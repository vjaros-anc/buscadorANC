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E:\CONCENTRACIONES\BASE DE DATOS\ESTADISTICAS Y REPORTES\"/>
    </mc:Choice>
  </mc:AlternateContent>
  <xr:revisionPtr revIDLastSave="0" documentId="13_ncr:1_{320BFE7B-792B-43C1-AE8E-F8DC7B0BE5AD}" xr6:coauthVersionLast="36" xr6:coauthVersionMax="45" xr10:uidLastSave="{00000000-0000-0000-0000-000000000000}"/>
  <bookViews>
    <workbookView xWindow="0" yWindow="0" windowWidth="20490" windowHeight="6945" activeTab="1" xr2:uid="{00000000-000D-0000-FFFF-FFFF00000000}"/>
  </bookViews>
  <sheets>
    <sheet name="General" sheetId="1" r:id="rId1"/>
    <sheet name="evol_conc" sheetId="2" r:id="rId2"/>
    <sheet name="firmadas" sheetId="3" r:id="rId3"/>
    <sheet name="OPIs" sheetId="4" r:id="rId4"/>
    <sheet name="DP" sheetId="5" r:id="rId5"/>
    <sheet name="_listas" sheetId="6" state="hidden" r:id="rId6"/>
  </sheets>
  <functionGroups builtInGroupCount="19"/>
  <definedNames>
    <definedName name="_xlnm._FilterDatabase" localSheetId="1" hidden="1">evol_conc!$A$1:$T$223</definedName>
    <definedName name="_xlnm._FilterDatabase" localSheetId="2" hidden="1">firmadas!$A$1:$Q$273</definedName>
    <definedName name="_xlnm._FilterDatabase" localSheetId="3" hidden="1">OPIs!$A$1:$O$14</definedName>
    <definedName name="EST_CONC">_listas!$A$2:$A$15</definedName>
    <definedName name="EST_DP">_listas!$C$2:$C$14</definedName>
    <definedName name="EST_OPI">_listas!$B$2:$B$12</definedName>
    <definedName name="REL_ECON">_listas!$E$2:$E$9</definedName>
    <definedName name="SI_NO">_listas!$D$2:$D$3</definedName>
    <definedName name="TIPO_TR">_listas!$F$2:$F$7</definedName>
  </definedNames>
  <calcPr calcId="191029" iterateDelta="1E-4"/>
</workbook>
</file>

<file path=xl/calcChain.xml><?xml version="1.0" encoding="utf-8"?>
<calcChain xmlns="http://schemas.openxmlformats.org/spreadsheetml/2006/main">
  <c r="N225" i="2" l="1"/>
  <c r="N1000" i="3" l="1"/>
  <c r="M1000" i="3"/>
  <c r="L1000" i="3"/>
  <c r="N999" i="3"/>
  <c r="Q999" i="3" s="1"/>
  <c r="M999" i="3"/>
  <c r="L999" i="3"/>
  <c r="N998" i="3"/>
  <c r="O998" i="3" s="1"/>
  <c r="M998" i="3"/>
  <c r="L998" i="3"/>
  <c r="N997" i="3"/>
  <c r="M997" i="3"/>
  <c r="L997" i="3"/>
  <c r="N996" i="3"/>
  <c r="M996" i="3"/>
  <c r="L996" i="3"/>
  <c r="N995" i="3"/>
  <c r="Q995" i="3" s="1"/>
  <c r="M995" i="3"/>
  <c r="L995" i="3"/>
  <c r="N994" i="3"/>
  <c r="O994" i="3" s="1"/>
  <c r="M994" i="3"/>
  <c r="L994" i="3"/>
  <c r="N993" i="3"/>
  <c r="M993" i="3"/>
  <c r="L993" i="3"/>
  <c r="N992" i="3"/>
  <c r="M992" i="3"/>
  <c r="L992" i="3"/>
  <c r="N991" i="3"/>
  <c r="Q991" i="3" s="1"/>
  <c r="M991" i="3"/>
  <c r="L991" i="3"/>
  <c r="N990" i="3"/>
  <c r="M990" i="3"/>
  <c r="L990" i="3"/>
  <c r="N989" i="3"/>
  <c r="Q989" i="3" s="1"/>
  <c r="M989" i="3"/>
  <c r="L989" i="3"/>
  <c r="N988" i="3"/>
  <c r="M988" i="3"/>
  <c r="L988" i="3"/>
  <c r="N987" i="3"/>
  <c r="Q987" i="3" s="1"/>
  <c r="M987" i="3"/>
  <c r="L987" i="3"/>
  <c r="N986" i="3"/>
  <c r="M986" i="3"/>
  <c r="L986" i="3"/>
  <c r="N985" i="3"/>
  <c r="M985" i="3"/>
  <c r="L985" i="3"/>
  <c r="N984" i="3"/>
  <c r="M984" i="3"/>
  <c r="L984" i="3"/>
  <c r="N983" i="3"/>
  <c r="Q983" i="3" s="1"/>
  <c r="M983" i="3"/>
  <c r="L983" i="3"/>
  <c r="N982" i="3"/>
  <c r="M982" i="3"/>
  <c r="L982" i="3"/>
  <c r="N981" i="3"/>
  <c r="O981" i="3" s="1"/>
  <c r="M981" i="3"/>
  <c r="L981" i="3"/>
  <c r="N980" i="3"/>
  <c r="M980" i="3"/>
  <c r="L980" i="3"/>
  <c r="N979" i="3"/>
  <c r="Q979" i="3" s="1"/>
  <c r="M979" i="3"/>
  <c r="L979" i="3"/>
  <c r="N978" i="3"/>
  <c r="Q978" i="3" s="1"/>
  <c r="M978" i="3"/>
  <c r="L978" i="3"/>
  <c r="N977" i="3"/>
  <c r="O977" i="3" s="1"/>
  <c r="M977" i="3"/>
  <c r="L977" i="3"/>
  <c r="N976" i="3"/>
  <c r="M976" i="3"/>
  <c r="L976" i="3"/>
  <c r="N975" i="3"/>
  <c r="Q975" i="3" s="1"/>
  <c r="M975" i="3"/>
  <c r="L975" i="3"/>
  <c r="N974" i="3"/>
  <c r="M974" i="3"/>
  <c r="L974" i="3"/>
  <c r="N973" i="3"/>
  <c r="M973" i="3"/>
  <c r="L973" i="3"/>
  <c r="N972" i="3"/>
  <c r="M972" i="3"/>
  <c r="L972" i="3"/>
  <c r="N971" i="3"/>
  <c r="Q971" i="3" s="1"/>
  <c r="M971" i="3"/>
  <c r="L971" i="3"/>
  <c r="N970" i="3"/>
  <c r="M970" i="3"/>
  <c r="L970" i="3"/>
  <c r="N969" i="3"/>
  <c r="M969" i="3"/>
  <c r="L969" i="3"/>
  <c r="N968" i="3"/>
  <c r="M968" i="3"/>
  <c r="L968" i="3"/>
  <c r="N967" i="3"/>
  <c r="Q967" i="3" s="1"/>
  <c r="M967" i="3"/>
  <c r="L967" i="3"/>
  <c r="N966" i="3"/>
  <c r="M966" i="3"/>
  <c r="L966" i="3"/>
  <c r="N965" i="3"/>
  <c r="M965" i="3"/>
  <c r="L965" i="3"/>
  <c r="N964" i="3"/>
  <c r="M964" i="3"/>
  <c r="L964" i="3"/>
  <c r="N963" i="3"/>
  <c r="Q963" i="3" s="1"/>
  <c r="M963" i="3"/>
  <c r="L963" i="3"/>
  <c r="N962" i="3"/>
  <c r="M962" i="3"/>
  <c r="L962" i="3"/>
  <c r="N961" i="3"/>
  <c r="M961" i="3"/>
  <c r="L961" i="3"/>
  <c r="N960" i="3"/>
  <c r="M960" i="3"/>
  <c r="L960" i="3"/>
  <c r="N959" i="3"/>
  <c r="Q959" i="3" s="1"/>
  <c r="M959" i="3"/>
  <c r="L959" i="3"/>
  <c r="N958" i="3"/>
  <c r="M958" i="3"/>
  <c r="L958" i="3"/>
  <c r="N957" i="3"/>
  <c r="Q957" i="3" s="1"/>
  <c r="M957" i="3"/>
  <c r="L957" i="3"/>
  <c r="N956" i="3"/>
  <c r="M956" i="3"/>
  <c r="L956" i="3"/>
  <c r="N955" i="3"/>
  <c r="Q955" i="3" s="1"/>
  <c r="M955" i="3"/>
  <c r="L955" i="3"/>
  <c r="N954" i="3"/>
  <c r="M954" i="3"/>
  <c r="L954" i="3"/>
  <c r="N953" i="3"/>
  <c r="M953" i="3"/>
  <c r="L953" i="3"/>
  <c r="N952" i="3"/>
  <c r="M952" i="3"/>
  <c r="L952" i="3"/>
  <c r="N951" i="3"/>
  <c r="Q951" i="3" s="1"/>
  <c r="M951" i="3"/>
  <c r="L951" i="3"/>
  <c r="N950" i="3"/>
  <c r="M950" i="3"/>
  <c r="L950" i="3"/>
  <c r="N949" i="3"/>
  <c r="Q949" i="3" s="1"/>
  <c r="M949" i="3"/>
  <c r="L949" i="3"/>
  <c r="N948" i="3"/>
  <c r="M948" i="3"/>
  <c r="L948" i="3"/>
  <c r="N947" i="3"/>
  <c r="M947" i="3"/>
  <c r="L947" i="3"/>
  <c r="N946" i="3"/>
  <c r="Q946" i="3" s="1"/>
  <c r="M946" i="3"/>
  <c r="L946" i="3"/>
  <c r="N945" i="3"/>
  <c r="O945" i="3" s="1"/>
  <c r="M945" i="3"/>
  <c r="L945" i="3"/>
  <c r="N944" i="3"/>
  <c r="M944" i="3"/>
  <c r="L944" i="3"/>
  <c r="N943" i="3"/>
  <c r="Q943" i="3" s="1"/>
  <c r="M943" i="3"/>
  <c r="L943" i="3"/>
  <c r="N942" i="3"/>
  <c r="Q942" i="3" s="1"/>
  <c r="M942" i="3"/>
  <c r="L942" i="3"/>
  <c r="N941" i="3"/>
  <c r="Q941" i="3" s="1"/>
  <c r="M941" i="3"/>
  <c r="L941" i="3"/>
  <c r="N940" i="3"/>
  <c r="M940" i="3"/>
  <c r="L940" i="3"/>
  <c r="N939" i="3"/>
  <c r="Q939" i="3" s="1"/>
  <c r="M939" i="3"/>
  <c r="L939" i="3"/>
  <c r="N938" i="3"/>
  <c r="M938" i="3"/>
  <c r="L938" i="3"/>
  <c r="N937" i="3"/>
  <c r="Q937" i="3" s="1"/>
  <c r="M937" i="3"/>
  <c r="L937" i="3"/>
  <c r="N936" i="3"/>
  <c r="M936" i="3"/>
  <c r="L936" i="3"/>
  <c r="N935" i="3"/>
  <c r="Q935" i="3" s="1"/>
  <c r="M935" i="3"/>
  <c r="L935" i="3"/>
  <c r="N934" i="3"/>
  <c r="M934" i="3"/>
  <c r="L934" i="3"/>
  <c r="N933" i="3"/>
  <c r="Q933" i="3" s="1"/>
  <c r="M933" i="3"/>
  <c r="L933" i="3"/>
  <c r="N932" i="3"/>
  <c r="M932" i="3"/>
  <c r="L932" i="3"/>
  <c r="N931" i="3"/>
  <c r="M931" i="3"/>
  <c r="L931" i="3"/>
  <c r="N930" i="3"/>
  <c r="Q930" i="3" s="1"/>
  <c r="M930" i="3"/>
  <c r="L930" i="3"/>
  <c r="N929" i="3"/>
  <c r="O929" i="3" s="1"/>
  <c r="M929" i="3"/>
  <c r="L929" i="3"/>
  <c r="N928" i="3"/>
  <c r="M928" i="3"/>
  <c r="L928" i="3"/>
  <c r="N927" i="3"/>
  <c r="Q927" i="3" s="1"/>
  <c r="M927" i="3"/>
  <c r="L927" i="3"/>
  <c r="N926" i="3"/>
  <c r="Q926" i="3" s="1"/>
  <c r="M926" i="3"/>
  <c r="L926" i="3"/>
  <c r="N925" i="3"/>
  <c r="O925" i="3" s="1"/>
  <c r="M925" i="3"/>
  <c r="L925" i="3"/>
  <c r="N924" i="3"/>
  <c r="M924" i="3"/>
  <c r="L924" i="3"/>
  <c r="N923" i="3"/>
  <c r="Q923" i="3" s="1"/>
  <c r="M923" i="3"/>
  <c r="L923" i="3"/>
  <c r="N922" i="3"/>
  <c r="M922" i="3"/>
  <c r="L922" i="3"/>
  <c r="N921" i="3"/>
  <c r="M921" i="3"/>
  <c r="L921" i="3"/>
  <c r="N920" i="3"/>
  <c r="M920" i="3"/>
  <c r="L920" i="3"/>
  <c r="N919" i="3"/>
  <c r="Q919" i="3" s="1"/>
  <c r="M919" i="3"/>
  <c r="L919" i="3"/>
  <c r="N918" i="3"/>
  <c r="Q918" i="3" s="1"/>
  <c r="M918" i="3"/>
  <c r="L918" i="3"/>
  <c r="N917" i="3"/>
  <c r="O917" i="3" s="1"/>
  <c r="M917" i="3"/>
  <c r="L917" i="3"/>
  <c r="N916" i="3"/>
  <c r="M916" i="3"/>
  <c r="L916" i="3"/>
  <c r="N915" i="3"/>
  <c r="Q915" i="3" s="1"/>
  <c r="M915" i="3"/>
  <c r="L915" i="3"/>
  <c r="N914" i="3"/>
  <c r="O914" i="3" s="1"/>
  <c r="M914" i="3"/>
  <c r="L914" i="3"/>
  <c r="N913" i="3"/>
  <c r="M913" i="3"/>
  <c r="L913" i="3"/>
  <c r="N912" i="3"/>
  <c r="M912" i="3"/>
  <c r="L912" i="3"/>
  <c r="N911" i="3"/>
  <c r="Q911" i="3" s="1"/>
  <c r="M911" i="3"/>
  <c r="L911" i="3"/>
  <c r="N910" i="3"/>
  <c r="O910" i="3" s="1"/>
  <c r="M910" i="3"/>
  <c r="L910" i="3"/>
  <c r="N909" i="3"/>
  <c r="M909" i="3"/>
  <c r="L909" i="3"/>
  <c r="N908" i="3"/>
  <c r="M908" i="3"/>
  <c r="L908" i="3"/>
  <c r="N907" i="3"/>
  <c r="Q907" i="3" s="1"/>
  <c r="M907" i="3"/>
  <c r="L907" i="3"/>
  <c r="N906" i="3"/>
  <c r="M906" i="3"/>
  <c r="L906" i="3"/>
  <c r="N905" i="3"/>
  <c r="M905" i="3"/>
  <c r="L905" i="3"/>
  <c r="N904" i="3"/>
  <c r="M904" i="3"/>
  <c r="L904" i="3"/>
  <c r="N903" i="3"/>
  <c r="Q903" i="3" s="1"/>
  <c r="M903" i="3"/>
  <c r="L903" i="3"/>
  <c r="N902" i="3"/>
  <c r="O902" i="3" s="1"/>
  <c r="M902" i="3"/>
  <c r="L902" i="3"/>
  <c r="N901" i="3"/>
  <c r="M901" i="3"/>
  <c r="L901" i="3"/>
  <c r="N900" i="3"/>
  <c r="M900" i="3"/>
  <c r="L900" i="3"/>
  <c r="N899" i="3"/>
  <c r="Q899" i="3" s="1"/>
  <c r="M899" i="3"/>
  <c r="L899" i="3"/>
  <c r="N898" i="3"/>
  <c r="M898" i="3"/>
  <c r="L898" i="3"/>
  <c r="N897" i="3"/>
  <c r="M897" i="3"/>
  <c r="L897" i="3"/>
  <c r="N896" i="3"/>
  <c r="M896" i="3"/>
  <c r="L896" i="3"/>
  <c r="N895" i="3"/>
  <c r="Q895" i="3" s="1"/>
  <c r="M895" i="3"/>
  <c r="L895" i="3"/>
  <c r="N894" i="3"/>
  <c r="M894" i="3"/>
  <c r="L894" i="3"/>
  <c r="N893" i="3"/>
  <c r="Q893" i="3" s="1"/>
  <c r="M893" i="3"/>
  <c r="L893" i="3"/>
  <c r="N892" i="3"/>
  <c r="M892" i="3"/>
  <c r="L892" i="3"/>
  <c r="N891" i="3"/>
  <c r="Q891" i="3" s="1"/>
  <c r="M891" i="3"/>
  <c r="L891" i="3"/>
  <c r="N890" i="3"/>
  <c r="M890" i="3"/>
  <c r="L890" i="3"/>
  <c r="N889" i="3"/>
  <c r="Q889" i="3" s="1"/>
  <c r="M889" i="3"/>
  <c r="L889" i="3"/>
  <c r="N888" i="3"/>
  <c r="M888" i="3"/>
  <c r="L888" i="3"/>
  <c r="N887" i="3"/>
  <c r="Q887" i="3" s="1"/>
  <c r="M887" i="3"/>
  <c r="L887" i="3"/>
  <c r="N886" i="3"/>
  <c r="M886" i="3"/>
  <c r="L886" i="3"/>
  <c r="N885" i="3"/>
  <c r="Q885" i="3" s="1"/>
  <c r="M885" i="3"/>
  <c r="L885" i="3"/>
  <c r="N884" i="3"/>
  <c r="M884" i="3"/>
  <c r="L884" i="3"/>
  <c r="N883" i="3"/>
  <c r="M883" i="3"/>
  <c r="L883" i="3"/>
  <c r="N882" i="3"/>
  <c r="M882" i="3"/>
  <c r="L882" i="3"/>
  <c r="N881" i="3"/>
  <c r="Q881" i="3" s="1"/>
  <c r="M881" i="3"/>
  <c r="L881" i="3"/>
  <c r="N880" i="3"/>
  <c r="M880" i="3"/>
  <c r="L880" i="3"/>
  <c r="N879" i="3"/>
  <c r="Q879" i="3" s="1"/>
  <c r="M879" i="3"/>
  <c r="L879" i="3"/>
  <c r="N878" i="3"/>
  <c r="M878" i="3"/>
  <c r="L878" i="3"/>
  <c r="N877" i="3"/>
  <c r="Q877" i="3" s="1"/>
  <c r="M877" i="3"/>
  <c r="L877" i="3"/>
  <c r="N876" i="3"/>
  <c r="M876" i="3"/>
  <c r="L876" i="3"/>
  <c r="N875" i="3"/>
  <c r="Q875" i="3" s="1"/>
  <c r="M875" i="3"/>
  <c r="L875" i="3"/>
  <c r="N874" i="3"/>
  <c r="Q874" i="3" s="1"/>
  <c r="M874" i="3"/>
  <c r="L874" i="3"/>
  <c r="N873" i="3"/>
  <c r="Q873" i="3" s="1"/>
  <c r="M873" i="3"/>
  <c r="L873" i="3"/>
  <c r="N872" i="3"/>
  <c r="M872" i="3"/>
  <c r="L872" i="3"/>
  <c r="N871" i="3"/>
  <c r="Q871" i="3" s="1"/>
  <c r="M871" i="3"/>
  <c r="L871" i="3"/>
  <c r="N870" i="3"/>
  <c r="Q870" i="3" s="1"/>
  <c r="M870" i="3"/>
  <c r="L870" i="3"/>
  <c r="N869" i="3"/>
  <c r="M869" i="3"/>
  <c r="L869" i="3"/>
  <c r="N868" i="3"/>
  <c r="M868" i="3"/>
  <c r="L868" i="3"/>
  <c r="N867" i="3"/>
  <c r="Q867" i="3" s="1"/>
  <c r="M867" i="3"/>
  <c r="L867" i="3"/>
  <c r="N866" i="3"/>
  <c r="M866" i="3"/>
  <c r="L866" i="3"/>
  <c r="N865" i="3"/>
  <c r="M865" i="3"/>
  <c r="L865" i="3"/>
  <c r="N864" i="3"/>
  <c r="M864" i="3"/>
  <c r="L864" i="3"/>
  <c r="N863" i="3"/>
  <c r="Q863" i="3" s="1"/>
  <c r="M863" i="3"/>
  <c r="L863" i="3"/>
  <c r="N862" i="3"/>
  <c r="M862" i="3"/>
  <c r="L862" i="3"/>
  <c r="N861" i="3"/>
  <c r="M861" i="3"/>
  <c r="L861" i="3"/>
  <c r="N860" i="3"/>
  <c r="M860" i="3"/>
  <c r="L860" i="3"/>
  <c r="N859" i="3"/>
  <c r="Q859" i="3" s="1"/>
  <c r="M859" i="3"/>
  <c r="L859" i="3"/>
  <c r="N858" i="3"/>
  <c r="M858" i="3"/>
  <c r="L858" i="3"/>
  <c r="N857" i="3"/>
  <c r="M857" i="3"/>
  <c r="L857" i="3"/>
  <c r="N856" i="3"/>
  <c r="M856" i="3"/>
  <c r="L856" i="3"/>
  <c r="N855" i="3"/>
  <c r="Q855" i="3" s="1"/>
  <c r="M855" i="3"/>
  <c r="L855" i="3"/>
  <c r="N854" i="3"/>
  <c r="M854" i="3"/>
  <c r="L854" i="3"/>
  <c r="N853" i="3"/>
  <c r="M853" i="3"/>
  <c r="L853" i="3"/>
  <c r="N852" i="3"/>
  <c r="M852" i="3"/>
  <c r="L852" i="3"/>
  <c r="N851" i="3"/>
  <c r="Q851" i="3" s="1"/>
  <c r="M851" i="3"/>
  <c r="L851" i="3"/>
  <c r="N850" i="3"/>
  <c r="M850" i="3"/>
  <c r="L850" i="3"/>
  <c r="N849" i="3"/>
  <c r="M849" i="3"/>
  <c r="L849" i="3"/>
  <c r="N848" i="3"/>
  <c r="M848" i="3"/>
  <c r="L848" i="3"/>
  <c r="N847" i="3"/>
  <c r="Q847" i="3" s="1"/>
  <c r="M847" i="3"/>
  <c r="L847" i="3"/>
  <c r="N846" i="3"/>
  <c r="M846" i="3"/>
  <c r="L846" i="3"/>
  <c r="N845" i="3"/>
  <c r="M845" i="3"/>
  <c r="L845" i="3"/>
  <c r="N844" i="3"/>
  <c r="M844" i="3"/>
  <c r="L844" i="3"/>
  <c r="N843" i="3"/>
  <c r="Q843" i="3" s="1"/>
  <c r="M843" i="3"/>
  <c r="L843" i="3"/>
  <c r="N842" i="3"/>
  <c r="M842" i="3"/>
  <c r="L842" i="3"/>
  <c r="N841" i="3"/>
  <c r="M841" i="3"/>
  <c r="L841" i="3"/>
  <c r="N840" i="3"/>
  <c r="M840" i="3"/>
  <c r="L840" i="3"/>
  <c r="N839" i="3"/>
  <c r="Q839" i="3" s="1"/>
  <c r="M839" i="3"/>
  <c r="L839" i="3"/>
  <c r="N838" i="3"/>
  <c r="M838" i="3"/>
  <c r="L838" i="3"/>
  <c r="N837" i="3"/>
  <c r="M837" i="3"/>
  <c r="L837" i="3"/>
  <c r="N836" i="3"/>
  <c r="M836" i="3"/>
  <c r="L836" i="3"/>
  <c r="N835" i="3"/>
  <c r="Q835" i="3" s="1"/>
  <c r="M835" i="3"/>
  <c r="L835" i="3"/>
  <c r="N834" i="3"/>
  <c r="M834" i="3"/>
  <c r="L834" i="3"/>
  <c r="N833" i="3"/>
  <c r="M833" i="3"/>
  <c r="L833" i="3"/>
  <c r="N832" i="3"/>
  <c r="M832" i="3"/>
  <c r="L832" i="3"/>
  <c r="N831" i="3"/>
  <c r="M831" i="3"/>
  <c r="L831" i="3"/>
  <c r="N830" i="3"/>
  <c r="Q830" i="3" s="1"/>
  <c r="M830" i="3"/>
  <c r="L830" i="3"/>
  <c r="N829" i="3"/>
  <c r="Q829" i="3" s="1"/>
  <c r="M829" i="3"/>
  <c r="L829" i="3"/>
  <c r="N828" i="3"/>
  <c r="Q828" i="3" s="1"/>
  <c r="M828" i="3"/>
  <c r="L828" i="3"/>
  <c r="N827" i="3"/>
  <c r="O827" i="3" s="1"/>
  <c r="M827" i="3"/>
  <c r="L827" i="3"/>
  <c r="N826" i="3"/>
  <c r="Q826" i="3" s="1"/>
  <c r="M826" i="3"/>
  <c r="L826" i="3"/>
  <c r="N825" i="3"/>
  <c r="Q825" i="3" s="1"/>
  <c r="M825" i="3"/>
  <c r="L825" i="3"/>
  <c r="N824" i="3"/>
  <c r="M824" i="3"/>
  <c r="L824" i="3"/>
  <c r="N823" i="3"/>
  <c r="Q823" i="3" s="1"/>
  <c r="M823" i="3"/>
  <c r="L823" i="3"/>
  <c r="N822" i="3"/>
  <c r="Q822" i="3" s="1"/>
  <c r="M822" i="3"/>
  <c r="L822" i="3"/>
  <c r="N821" i="3"/>
  <c r="Q821" i="3" s="1"/>
  <c r="M821" i="3"/>
  <c r="L821" i="3"/>
  <c r="N820" i="3"/>
  <c r="Q820" i="3" s="1"/>
  <c r="M820" i="3"/>
  <c r="L820" i="3"/>
  <c r="N819" i="3"/>
  <c r="O819" i="3" s="1"/>
  <c r="M819" i="3"/>
  <c r="L819" i="3"/>
  <c r="N818" i="3"/>
  <c r="Q818" i="3" s="1"/>
  <c r="M818" i="3"/>
  <c r="L818" i="3"/>
  <c r="N817" i="3"/>
  <c r="Q817" i="3" s="1"/>
  <c r="M817" i="3"/>
  <c r="L817" i="3"/>
  <c r="N816" i="3"/>
  <c r="Q816" i="3" s="1"/>
  <c r="M816" i="3"/>
  <c r="L816" i="3"/>
  <c r="N815" i="3"/>
  <c r="Q815" i="3" s="1"/>
  <c r="M815" i="3"/>
  <c r="L815" i="3"/>
  <c r="N814" i="3"/>
  <c r="Q814" i="3" s="1"/>
  <c r="M814" i="3"/>
  <c r="L814" i="3"/>
  <c r="N813" i="3"/>
  <c r="Q813" i="3" s="1"/>
  <c r="M813" i="3"/>
  <c r="L813" i="3"/>
  <c r="N812" i="3"/>
  <c r="M812" i="3"/>
  <c r="L812" i="3"/>
  <c r="N811" i="3"/>
  <c r="Q811" i="3" s="1"/>
  <c r="M811" i="3"/>
  <c r="L811" i="3"/>
  <c r="N810" i="3"/>
  <c r="Q810" i="3" s="1"/>
  <c r="M810" i="3"/>
  <c r="L810" i="3"/>
  <c r="N809" i="3"/>
  <c r="Q809" i="3" s="1"/>
  <c r="M809" i="3"/>
  <c r="L809" i="3"/>
  <c r="N808" i="3"/>
  <c r="Q808" i="3" s="1"/>
  <c r="M808" i="3"/>
  <c r="L808" i="3"/>
  <c r="N807" i="3"/>
  <c r="M807" i="3"/>
  <c r="L807" i="3"/>
  <c r="N806" i="3"/>
  <c r="Q806" i="3" s="1"/>
  <c r="M806" i="3"/>
  <c r="L806" i="3"/>
  <c r="N805" i="3"/>
  <c r="Q805" i="3" s="1"/>
  <c r="M805" i="3"/>
  <c r="L805" i="3"/>
  <c r="N804" i="3"/>
  <c r="Q804" i="3" s="1"/>
  <c r="M804" i="3"/>
  <c r="L804" i="3"/>
  <c r="N803" i="3"/>
  <c r="O803" i="3" s="1"/>
  <c r="M803" i="3"/>
  <c r="L803" i="3"/>
  <c r="N802" i="3"/>
  <c r="Q802" i="3" s="1"/>
  <c r="M802" i="3"/>
  <c r="L802" i="3"/>
  <c r="N801" i="3"/>
  <c r="Q801" i="3" s="1"/>
  <c r="M801" i="3"/>
  <c r="L801" i="3"/>
  <c r="N800" i="3"/>
  <c r="Q800" i="3" s="1"/>
  <c r="M800" i="3"/>
  <c r="L800" i="3"/>
  <c r="N799" i="3"/>
  <c r="Q799" i="3" s="1"/>
  <c r="M799" i="3"/>
  <c r="L799" i="3"/>
  <c r="N798" i="3"/>
  <c r="Q798" i="3" s="1"/>
  <c r="M798" i="3"/>
  <c r="L798" i="3"/>
  <c r="N797" i="3"/>
  <c r="Q797" i="3" s="1"/>
  <c r="M797" i="3"/>
  <c r="L797" i="3"/>
  <c r="N796" i="3"/>
  <c r="M796" i="3"/>
  <c r="L796" i="3"/>
  <c r="N795" i="3"/>
  <c r="Q795" i="3" s="1"/>
  <c r="M795" i="3"/>
  <c r="L795" i="3"/>
  <c r="N794" i="3"/>
  <c r="Q794" i="3" s="1"/>
  <c r="M794" i="3"/>
  <c r="L794" i="3"/>
  <c r="N793" i="3"/>
  <c r="Q793" i="3" s="1"/>
  <c r="M793" i="3"/>
  <c r="L793" i="3"/>
  <c r="N792" i="3"/>
  <c r="Q792" i="3" s="1"/>
  <c r="M792" i="3"/>
  <c r="L792" i="3"/>
  <c r="N791" i="3"/>
  <c r="M791" i="3"/>
  <c r="L791" i="3"/>
  <c r="N790" i="3"/>
  <c r="Q790" i="3" s="1"/>
  <c r="M790" i="3"/>
  <c r="L790" i="3"/>
  <c r="N789" i="3"/>
  <c r="Q789" i="3" s="1"/>
  <c r="M789" i="3"/>
  <c r="L789" i="3"/>
  <c r="N788" i="3"/>
  <c r="Q788" i="3" s="1"/>
  <c r="M788" i="3"/>
  <c r="L788" i="3"/>
  <c r="N787" i="3"/>
  <c r="O787" i="3" s="1"/>
  <c r="M787" i="3"/>
  <c r="L787" i="3"/>
  <c r="N786" i="3"/>
  <c r="Q786" i="3" s="1"/>
  <c r="M786" i="3"/>
  <c r="L786" i="3"/>
  <c r="N785" i="3"/>
  <c r="Q785" i="3" s="1"/>
  <c r="M785" i="3"/>
  <c r="L785" i="3"/>
  <c r="N784" i="3"/>
  <c r="Q784" i="3" s="1"/>
  <c r="M784" i="3"/>
  <c r="L784" i="3"/>
  <c r="N783" i="3"/>
  <c r="Q783" i="3" s="1"/>
  <c r="M783" i="3"/>
  <c r="L783" i="3"/>
  <c r="N782" i="3"/>
  <c r="Q782" i="3" s="1"/>
  <c r="M782" i="3"/>
  <c r="L782" i="3"/>
  <c r="N781" i="3"/>
  <c r="Q781" i="3" s="1"/>
  <c r="M781" i="3"/>
  <c r="L781" i="3"/>
  <c r="N780" i="3"/>
  <c r="M780" i="3"/>
  <c r="L780" i="3"/>
  <c r="N779" i="3"/>
  <c r="Q779" i="3" s="1"/>
  <c r="M779" i="3"/>
  <c r="L779" i="3"/>
  <c r="N778" i="3"/>
  <c r="Q778" i="3" s="1"/>
  <c r="M778" i="3"/>
  <c r="L778" i="3"/>
  <c r="N777" i="3"/>
  <c r="Q777" i="3" s="1"/>
  <c r="M777" i="3"/>
  <c r="L777" i="3"/>
  <c r="N776" i="3"/>
  <c r="Q776" i="3" s="1"/>
  <c r="M776" i="3"/>
  <c r="L776" i="3"/>
  <c r="N775" i="3"/>
  <c r="M775" i="3"/>
  <c r="L775" i="3"/>
  <c r="N774" i="3"/>
  <c r="Q774" i="3" s="1"/>
  <c r="M774" i="3"/>
  <c r="L774" i="3"/>
  <c r="N773" i="3"/>
  <c r="Q773" i="3" s="1"/>
  <c r="M773" i="3"/>
  <c r="L773" i="3"/>
  <c r="N772" i="3"/>
  <c r="Q772" i="3" s="1"/>
  <c r="M772" i="3"/>
  <c r="L772" i="3"/>
  <c r="N771" i="3"/>
  <c r="O771" i="3" s="1"/>
  <c r="M771" i="3"/>
  <c r="L771" i="3"/>
  <c r="N770" i="3"/>
  <c r="Q770" i="3" s="1"/>
  <c r="M770" i="3"/>
  <c r="L770" i="3"/>
  <c r="N769" i="3"/>
  <c r="Q769" i="3" s="1"/>
  <c r="M769" i="3"/>
  <c r="L769" i="3"/>
  <c r="N768" i="3"/>
  <c r="Q768" i="3" s="1"/>
  <c r="M768" i="3"/>
  <c r="L768" i="3"/>
  <c r="N767" i="3"/>
  <c r="Q767" i="3" s="1"/>
  <c r="M767" i="3"/>
  <c r="L767" i="3"/>
  <c r="N766" i="3"/>
  <c r="Q766" i="3" s="1"/>
  <c r="M766" i="3"/>
  <c r="L766" i="3"/>
  <c r="N765" i="3"/>
  <c r="Q765" i="3" s="1"/>
  <c r="M765" i="3"/>
  <c r="L765" i="3"/>
  <c r="N764" i="3"/>
  <c r="M764" i="3"/>
  <c r="L764" i="3"/>
  <c r="N763" i="3"/>
  <c r="Q763" i="3" s="1"/>
  <c r="M763" i="3"/>
  <c r="L763" i="3"/>
  <c r="N762" i="3"/>
  <c r="Q762" i="3" s="1"/>
  <c r="M762" i="3"/>
  <c r="L762" i="3"/>
  <c r="N761" i="3"/>
  <c r="Q761" i="3" s="1"/>
  <c r="M761" i="3"/>
  <c r="L761" i="3"/>
  <c r="N760" i="3"/>
  <c r="Q760" i="3" s="1"/>
  <c r="M760" i="3"/>
  <c r="L760" i="3"/>
  <c r="N759" i="3"/>
  <c r="M759" i="3"/>
  <c r="L759" i="3"/>
  <c r="N758" i="3"/>
  <c r="Q758" i="3" s="1"/>
  <c r="M758" i="3"/>
  <c r="L758" i="3"/>
  <c r="N757" i="3"/>
  <c r="Q757" i="3" s="1"/>
  <c r="M757" i="3"/>
  <c r="L757" i="3"/>
  <c r="N756" i="3"/>
  <c r="Q756" i="3" s="1"/>
  <c r="M756" i="3"/>
  <c r="L756" i="3"/>
  <c r="N755" i="3"/>
  <c r="O755" i="3" s="1"/>
  <c r="M755" i="3"/>
  <c r="L755" i="3"/>
  <c r="N754" i="3"/>
  <c r="Q754" i="3" s="1"/>
  <c r="M754" i="3"/>
  <c r="L754" i="3"/>
  <c r="N753" i="3"/>
  <c r="Q753" i="3" s="1"/>
  <c r="M753" i="3"/>
  <c r="L753" i="3"/>
  <c r="N752" i="3"/>
  <c r="Q752" i="3" s="1"/>
  <c r="M752" i="3"/>
  <c r="L752" i="3"/>
  <c r="N751" i="3"/>
  <c r="Q751" i="3" s="1"/>
  <c r="M751" i="3"/>
  <c r="L751" i="3"/>
  <c r="N750" i="3"/>
  <c r="Q750" i="3" s="1"/>
  <c r="M750" i="3"/>
  <c r="L750" i="3"/>
  <c r="N749" i="3"/>
  <c r="Q749" i="3" s="1"/>
  <c r="M749" i="3"/>
  <c r="L749" i="3"/>
  <c r="N748" i="3"/>
  <c r="M748" i="3"/>
  <c r="L748" i="3"/>
  <c r="N747" i="3"/>
  <c r="Q747" i="3" s="1"/>
  <c r="M747" i="3"/>
  <c r="L747" i="3"/>
  <c r="N746" i="3"/>
  <c r="Q746" i="3" s="1"/>
  <c r="M746" i="3"/>
  <c r="L746" i="3"/>
  <c r="N745" i="3"/>
  <c r="Q745" i="3" s="1"/>
  <c r="M745" i="3"/>
  <c r="L745" i="3"/>
  <c r="N744" i="3"/>
  <c r="Q744" i="3" s="1"/>
  <c r="M744" i="3"/>
  <c r="L744" i="3"/>
  <c r="N743" i="3"/>
  <c r="M743" i="3"/>
  <c r="L743" i="3"/>
  <c r="N742" i="3"/>
  <c r="Q742" i="3" s="1"/>
  <c r="M742" i="3"/>
  <c r="L742" i="3"/>
  <c r="N741" i="3"/>
  <c r="Q741" i="3" s="1"/>
  <c r="M741" i="3"/>
  <c r="L741" i="3"/>
  <c r="N740" i="3"/>
  <c r="Q740" i="3" s="1"/>
  <c r="M740" i="3"/>
  <c r="L740" i="3"/>
  <c r="N739" i="3"/>
  <c r="O739" i="3" s="1"/>
  <c r="M739" i="3"/>
  <c r="L739" i="3"/>
  <c r="N738" i="3"/>
  <c r="Q738" i="3" s="1"/>
  <c r="M738" i="3"/>
  <c r="L738" i="3"/>
  <c r="N737" i="3"/>
  <c r="Q737" i="3" s="1"/>
  <c r="M737" i="3"/>
  <c r="L737" i="3"/>
  <c r="N736" i="3"/>
  <c r="Q736" i="3" s="1"/>
  <c r="M736" i="3"/>
  <c r="L736" i="3"/>
  <c r="N735" i="3"/>
  <c r="O735" i="3" s="1"/>
  <c r="M735" i="3"/>
  <c r="L735" i="3"/>
  <c r="N734" i="3"/>
  <c r="Q734" i="3" s="1"/>
  <c r="M734" i="3"/>
  <c r="L734" i="3"/>
  <c r="N733" i="3"/>
  <c r="Q733" i="3" s="1"/>
  <c r="M733" i="3"/>
  <c r="L733" i="3"/>
  <c r="N732" i="3"/>
  <c r="M732" i="3"/>
  <c r="L732" i="3"/>
  <c r="N731" i="3"/>
  <c r="Q731" i="3" s="1"/>
  <c r="M731" i="3"/>
  <c r="L731" i="3"/>
  <c r="N730" i="3"/>
  <c r="Q730" i="3" s="1"/>
  <c r="M730" i="3"/>
  <c r="L730" i="3"/>
  <c r="N729" i="3"/>
  <c r="Q729" i="3" s="1"/>
  <c r="M729" i="3"/>
  <c r="L729" i="3"/>
  <c r="N728" i="3"/>
  <c r="Q728" i="3" s="1"/>
  <c r="M728" i="3"/>
  <c r="L728" i="3"/>
  <c r="N727" i="3"/>
  <c r="M727" i="3"/>
  <c r="L727" i="3"/>
  <c r="N726" i="3"/>
  <c r="Q726" i="3" s="1"/>
  <c r="M726" i="3"/>
  <c r="L726" i="3"/>
  <c r="N725" i="3"/>
  <c r="Q725" i="3" s="1"/>
  <c r="M725" i="3"/>
  <c r="L725" i="3"/>
  <c r="N724" i="3"/>
  <c r="Q724" i="3" s="1"/>
  <c r="M724" i="3"/>
  <c r="L724" i="3"/>
  <c r="N723" i="3"/>
  <c r="O723" i="3" s="1"/>
  <c r="M723" i="3"/>
  <c r="L723" i="3"/>
  <c r="N722" i="3"/>
  <c r="Q722" i="3" s="1"/>
  <c r="M722" i="3"/>
  <c r="L722" i="3"/>
  <c r="N721" i="3"/>
  <c r="Q721" i="3" s="1"/>
  <c r="M721" i="3"/>
  <c r="L721" i="3"/>
  <c r="N720" i="3"/>
  <c r="Q720" i="3" s="1"/>
  <c r="M720" i="3"/>
  <c r="L720" i="3"/>
  <c r="N719" i="3"/>
  <c r="Q719" i="3" s="1"/>
  <c r="M719" i="3"/>
  <c r="L719" i="3"/>
  <c r="N718" i="3"/>
  <c r="Q718" i="3" s="1"/>
  <c r="M718" i="3"/>
  <c r="L718" i="3"/>
  <c r="N717" i="3"/>
  <c r="Q717" i="3" s="1"/>
  <c r="M717" i="3"/>
  <c r="L717" i="3"/>
  <c r="N716" i="3"/>
  <c r="M716" i="3"/>
  <c r="L716" i="3"/>
  <c r="N715" i="3"/>
  <c r="Q715" i="3" s="1"/>
  <c r="M715" i="3"/>
  <c r="L715" i="3"/>
  <c r="N714" i="3"/>
  <c r="Q714" i="3" s="1"/>
  <c r="M714" i="3"/>
  <c r="L714" i="3"/>
  <c r="N713" i="3"/>
  <c r="Q713" i="3" s="1"/>
  <c r="M713" i="3"/>
  <c r="L713" i="3"/>
  <c r="N712" i="3"/>
  <c r="Q712" i="3" s="1"/>
  <c r="M712" i="3"/>
  <c r="L712" i="3"/>
  <c r="N711" i="3"/>
  <c r="M711" i="3"/>
  <c r="L711" i="3"/>
  <c r="N710" i="3"/>
  <c r="Q710" i="3" s="1"/>
  <c r="M710" i="3"/>
  <c r="L710" i="3"/>
  <c r="N709" i="3"/>
  <c r="Q709" i="3" s="1"/>
  <c r="M709" i="3"/>
  <c r="L709" i="3"/>
  <c r="N708" i="3"/>
  <c r="Q708" i="3" s="1"/>
  <c r="M708" i="3"/>
  <c r="L708" i="3"/>
  <c r="N707" i="3"/>
  <c r="O707" i="3" s="1"/>
  <c r="M707" i="3"/>
  <c r="L707" i="3"/>
  <c r="N706" i="3"/>
  <c r="Q706" i="3" s="1"/>
  <c r="M706" i="3"/>
  <c r="L706" i="3"/>
  <c r="N705" i="3"/>
  <c r="Q705" i="3" s="1"/>
  <c r="M705" i="3"/>
  <c r="L705" i="3"/>
  <c r="N704" i="3"/>
  <c r="Q704" i="3" s="1"/>
  <c r="M704" i="3"/>
  <c r="L704" i="3"/>
  <c r="N703" i="3"/>
  <c r="Q703" i="3" s="1"/>
  <c r="M703" i="3"/>
  <c r="L703" i="3"/>
  <c r="N702" i="3"/>
  <c r="Q702" i="3" s="1"/>
  <c r="M702" i="3"/>
  <c r="L702" i="3"/>
  <c r="N701" i="3"/>
  <c r="Q701" i="3" s="1"/>
  <c r="M701" i="3"/>
  <c r="L701" i="3"/>
  <c r="N700" i="3"/>
  <c r="M700" i="3"/>
  <c r="L700" i="3"/>
  <c r="N699" i="3"/>
  <c r="Q699" i="3" s="1"/>
  <c r="M699" i="3"/>
  <c r="L699" i="3"/>
  <c r="N698" i="3"/>
  <c r="Q698" i="3" s="1"/>
  <c r="M698" i="3"/>
  <c r="L698" i="3"/>
  <c r="N697" i="3"/>
  <c r="Q697" i="3" s="1"/>
  <c r="M697" i="3"/>
  <c r="L697" i="3"/>
  <c r="N696" i="3"/>
  <c r="Q696" i="3" s="1"/>
  <c r="M696" i="3"/>
  <c r="L696" i="3"/>
  <c r="N695" i="3"/>
  <c r="M695" i="3"/>
  <c r="L695" i="3"/>
  <c r="N694" i="3"/>
  <c r="Q694" i="3" s="1"/>
  <c r="M694" i="3"/>
  <c r="L694" i="3"/>
  <c r="N693" i="3"/>
  <c r="Q693" i="3" s="1"/>
  <c r="M693" i="3"/>
  <c r="L693" i="3"/>
  <c r="N692" i="3"/>
  <c r="Q692" i="3" s="1"/>
  <c r="M692" i="3"/>
  <c r="L692" i="3"/>
  <c r="N691" i="3"/>
  <c r="O691" i="3" s="1"/>
  <c r="M691" i="3"/>
  <c r="L691" i="3"/>
  <c r="N690" i="3"/>
  <c r="Q690" i="3" s="1"/>
  <c r="M690" i="3"/>
  <c r="L690" i="3"/>
  <c r="N689" i="3"/>
  <c r="Q689" i="3" s="1"/>
  <c r="M689" i="3"/>
  <c r="L689" i="3"/>
  <c r="N688" i="3"/>
  <c r="Q688" i="3" s="1"/>
  <c r="M688" i="3"/>
  <c r="L688" i="3"/>
  <c r="N687" i="3"/>
  <c r="Q687" i="3" s="1"/>
  <c r="M687" i="3"/>
  <c r="L687" i="3"/>
  <c r="N686" i="3"/>
  <c r="Q686" i="3" s="1"/>
  <c r="M686" i="3"/>
  <c r="L686" i="3"/>
  <c r="N685" i="3"/>
  <c r="Q685" i="3" s="1"/>
  <c r="M685" i="3"/>
  <c r="L685" i="3"/>
  <c r="N684" i="3"/>
  <c r="M684" i="3"/>
  <c r="L684" i="3"/>
  <c r="N683" i="3"/>
  <c r="Q683" i="3" s="1"/>
  <c r="M683" i="3"/>
  <c r="L683" i="3"/>
  <c r="N682" i="3"/>
  <c r="Q682" i="3" s="1"/>
  <c r="M682" i="3"/>
  <c r="L682" i="3"/>
  <c r="N681" i="3"/>
  <c r="Q681" i="3" s="1"/>
  <c r="M681" i="3"/>
  <c r="L681" i="3"/>
  <c r="N680" i="3"/>
  <c r="Q680" i="3" s="1"/>
  <c r="M680" i="3"/>
  <c r="L680" i="3"/>
  <c r="N679" i="3"/>
  <c r="M679" i="3"/>
  <c r="L679" i="3"/>
  <c r="N678" i="3"/>
  <c r="Q678" i="3" s="1"/>
  <c r="M678" i="3"/>
  <c r="L678" i="3"/>
  <c r="N677" i="3"/>
  <c r="Q677" i="3" s="1"/>
  <c r="M677" i="3"/>
  <c r="L677" i="3"/>
  <c r="N676" i="3"/>
  <c r="Q676" i="3" s="1"/>
  <c r="M676" i="3"/>
  <c r="L676" i="3"/>
  <c r="N675" i="3"/>
  <c r="O675" i="3" s="1"/>
  <c r="M675" i="3"/>
  <c r="L675" i="3"/>
  <c r="N674" i="3"/>
  <c r="Q674" i="3" s="1"/>
  <c r="M674" i="3"/>
  <c r="L674" i="3"/>
  <c r="N673" i="3"/>
  <c r="Q673" i="3" s="1"/>
  <c r="M673" i="3"/>
  <c r="L673" i="3"/>
  <c r="N672" i="3"/>
  <c r="Q672" i="3" s="1"/>
  <c r="M672" i="3"/>
  <c r="L672" i="3"/>
  <c r="N671" i="3"/>
  <c r="Q671" i="3" s="1"/>
  <c r="M671" i="3"/>
  <c r="L671" i="3"/>
  <c r="N670" i="3"/>
  <c r="Q670" i="3" s="1"/>
  <c r="M670" i="3"/>
  <c r="L670" i="3"/>
  <c r="N669" i="3"/>
  <c r="Q669" i="3" s="1"/>
  <c r="M669" i="3"/>
  <c r="L669" i="3"/>
  <c r="N668" i="3"/>
  <c r="Q668" i="3" s="1"/>
  <c r="M668" i="3"/>
  <c r="L668" i="3"/>
  <c r="N667" i="3"/>
  <c r="M667" i="3"/>
  <c r="L667" i="3"/>
  <c r="N666" i="3"/>
  <c r="Q666" i="3" s="1"/>
  <c r="M666" i="3"/>
  <c r="L666" i="3"/>
  <c r="N665" i="3"/>
  <c r="Q665" i="3" s="1"/>
  <c r="M665" i="3"/>
  <c r="L665" i="3"/>
  <c r="N664" i="3"/>
  <c r="Q664" i="3" s="1"/>
  <c r="M664" i="3"/>
  <c r="L664" i="3"/>
  <c r="N663" i="3"/>
  <c r="Q663" i="3" s="1"/>
  <c r="M663" i="3"/>
  <c r="L663" i="3"/>
  <c r="N662" i="3"/>
  <c r="Q662" i="3" s="1"/>
  <c r="M662" i="3"/>
  <c r="L662" i="3"/>
  <c r="N661" i="3"/>
  <c r="Q661" i="3" s="1"/>
  <c r="M661" i="3"/>
  <c r="L661" i="3"/>
  <c r="N660" i="3"/>
  <c r="Q660" i="3" s="1"/>
  <c r="M660" i="3"/>
  <c r="L660" i="3"/>
  <c r="N659" i="3"/>
  <c r="M659" i="3"/>
  <c r="L659" i="3"/>
  <c r="N658" i="3"/>
  <c r="Q658" i="3" s="1"/>
  <c r="M658" i="3"/>
  <c r="L658" i="3"/>
  <c r="N657" i="3"/>
  <c r="Q657" i="3" s="1"/>
  <c r="M657" i="3"/>
  <c r="L657" i="3"/>
  <c r="N656" i="3"/>
  <c r="Q656" i="3" s="1"/>
  <c r="M656" i="3"/>
  <c r="L656" i="3"/>
  <c r="N655" i="3"/>
  <c r="O655" i="3" s="1"/>
  <c r="M655" i="3"/>
  <c r="L655" i="3"/>
  <c r="N654" i="3"/>
  <c r="Q654" i="3" s="1"/>
  <c r="M654" i="3"/>
  <c r="L654" i="3"/>
  <c r="N653" i="3"/>
  <c r="Q653" i="3" s="1"/>
  <c r="M653" i="3"/>
  <c r="L653" i="3"/>
  <c r="N652" i="3"/>
  <c r="Q652" i="3" s="1"/>
  <c r="M652" i="3"/>
  <c r="L652" i="3"/>
  <c r="N651" i="3"/>
  <c r="Q651" i="3" s="1"/>
  <c r="M651" i="3"/>
  <c r="L651" i="3"/>
  <c r="N650" i="3"/>
  <c r="Q650" i="3" s="1"/>
  <c r="M650" i="3"/>
  <c r="L650" i="3"/>
  <c r="N649" i="3"/>
  <c r="Q649" i="3" s="1"/>
  <c r="M649" i="3"/>
  <c r="L649" i="3"/>
  <c r="N648" i="3"/>
  <c r="Q648" i="3" s="1"/>
  <c r="M648" i="3"/>
  <c r="L648" i="3"/>
  <c r="N647" i="3"/>
  <c r="O647" i="3" s="1"/>
  <c r="M647" i="3"/>
  <c r="L647" i="3"/>
  <c r="N646" i="3"/>
  <c r="Q646" i="3" s="1"/>
  <c r="M646" i="3"/>
  <c r="L646" i="3"/>
  <c r="N645" i="3"/>
  <c r="Q645" i="3" s="1"/>
  <c r="M645" i="3"/>
  <c r="L645" i="3"/>
  <c r="N644" i="3"/>
  <c r="Q644" i="3" s="1"/>
  <c r="M644" i="3"/>
  <c r="L644" i="3"/>
  <c r="N643" i="3"/>
  <c r="Q643" i="3" s="1"/>
  <c r="M643" i="3"/>
  <c r="L643" i="3"/>
  <c r="N642" i="3"/>
  <c r="Q642" i="3" s="1"/>
  <c r="M642" i="3"/>
  <c r="L642" i="3"/>
  <c r="N641" i="3"/>
  <c r="Q641" i="3" s="1"/>
  <c r="M641" i="3"/>
  <c r="L641" i="3"/>
  <c r="N640" i="3"/>
  <c r="Q640" i="3" s="1"/>
  <c r="M640" i="3"/>
  <c r="L640" i="3"/>
  <c r="N639" i="3"/>
  <c r="M639" i="3"/>
  <c r="L639" i="3"/>
  <c r="N638" i="3"/>
  <c r="Q638" i="3" s="1"/>
  <c r="M638" i="3"/>
  <c r="L638" i="3"/>
  <c r="N637" i="3"/>
  <c r="Q637" i="3" s="1"/>
  <c r="M637" i="3"/>
  <c r="L637" i="3"/>
  <c r="N636" i="3"/>
  <c r="Q636" i="3" s="1"/>
  <c r="M636" i="3"/>
  <c r="L636" i="3"/>
  <c r="N635" i="3"/>
  <c r="Q635" i="3" s="1"/>
  <c r="M635" i="3"/>
  <c r="L635" i="3"/>
  <c r="N634" i="3"/>
  <c r="Q634" i="3" s="1"/>
  <c r="M634" i="3"/>
  <c r="L634" i="3"/>
  <c r="N633" i="3"/>
  <c r="Q633" i="3" s="1"/>
  <c r="M633" i="3"/>
  <c r="L633" i="3"/>
  <c r="N632" i="3"/>
  <c r="Q632" i="3" s="1"/>
  <c r="M632" i="3"/>
  <c r="L632" i="3"/>
  <c r="N631" i="3"/>
  <c r="M631" i="3"/>
  <c r="L631" i="3"/>
  <c r="N630" i="3"/>
  <c r="Q630" i="3" s="1"/>
  <c r="M630" i="3"/>
  <c r="L630" i="3"/>
  <c r="N629" i="3"/>
  <c r="Q629" i="3" s="1"/>
  <c r="M629" i="3"/>
  <c r="L629" i="3"/>
  <c r="N628" i="3"/>
  <c r="Q628" i="3" s="1"/>
  <c r="M628" i="3"/>
  <c r="L628" i="3"/>
  <c r="N627" i="3"/>
  <c r="O627" i="3" s="1"/>
  <c r="M627" i="3"/>
  <c r="L627" i="3"/>
  <c r="N626" i="3"/>
  <c r="Q626" i="3" s="1"/>
  <c r="M626" i="3"/>
  <c r="L626" i="3"/>
  <c r="N625" i="3"/>
  <c r="Q625" i="3" s="1"/>
  <c r="M625" i="3"/>
  <c r="L625" i="3"/>
  <c r="N624" i="3"/>
  <c r="M624" i="3"/>
  <c r="L624" i="3"/>
  <c r="N623" i="3"/>
  <c r="Q623" i="3" s="1"/>
  <c r="M623" i="3"/>
  <c r="L623" i="3"/>
  <c r="N622" i="3"/>
  <c r="Q622" i="3" s="1"/>
  <c r="M622" i="3"/>
  <c r="L622" i="3"/>
  <c r="N621" i="3"/>
  <c r="Q621" i="3" s="1"/>
  <c r="M621" i="3"/>
  <c r="L621" i="3"/>
  <c r="N620" i="3"/>
  <c r="Q620" i="3" s="1"/>
  <c r="M620" i="3"/>
  <c r="L620" i="3"/>
  <c r="N619" i="3"/>
  <c r="O619" i="3" s="1"/>
  <c r="M619" i="3"/>
  <c r="L619" i="3"/>
  <c r="N618" i="3"/>
  <c r="Q618" i="3" s="1"/>
  <c r="M618" i="3"/>
  <c r="L618" i="3"/>
  <c r="N617" i="3"/>
  <c r="Q617" i="3" s="1"/>
  <c r="M617" i="3"/>
  <c r="L617" i="3"/>
  <c r="N616" i="3"/>
  <c r="M616" i="3"/>
  <c r="L616" i="3"/>
  <c r="N615" i="3"/>
  <c r="Q615" i="3" s="1"/>
  <c r="M615" i="3"/>
  <c r="L615" i="3"/>
  <c r="N614" i="3"/>
  <c r="Q614" i="3" s="1"/>
  <c r="M614" i="3"/>
  <c r="L614" i="3"/>
  <c r="N613" i="3"/>
  <c r="M613" i="3"/>
  <c r="L613" i="3"/>
  <c r="N612" i="3"/>
  <c r="M612" i="3"/>
  <c r="L612" i="3"/>
  <c r="N611" i="3"/>
  <c r="M611" i="3"/>
  <c r="L611" i="3"/>
  <c r="N610" i="3"/>
  <c r="M610" i="3"/>
  <c r="L610" i="3"/>
  <c r="N609" i="3"/>
  <c r="M609" i="3"/>
  <c r="L609" i="3"/>
  <c r="N608" i="3"/>
  <c r="M608" i="3"/>
  <c r="L608" i="3"/>
  <c r="N607" i="3"/>
  <c r="M607" i="3"/>
  <c r="L607" i="3"/>
  <c r="N606" i="3"/>
  <c r="M606" i="3"/>
  <c r="L606" i="3"/>
  <c r="N605" i="3"/>
  <c r="M605" i="3"/>
  <c r="L605" i="3"/>
  <c r="N604" i="3"/>
  <c r="M604" i="3"/>
  <c r="L604" i="3"/>
  <c r="N603" i="3"/>
  <c r="Q603" i="3" s="1"/>
  <c r="M603" i="3"/>
  <c r="L603" i="3"/>
  <c r="N602" i="3"/>
  <c r="O602" i="3" s="1"/>
  <c r="M602" i="3"/>
  <c r="L602" i="3"/>
  <c r="N601" i="3"/>
  <c r="M601" i="3"/>
  <c r="L601" i="3"/>
  <c r="N600" i="3"/>
  <c r="M600" i="3"/>
  <c r="L600" i="3"/>
  <c r="N599" i="3"/>
  <c r="M599" i="3"/>
  <c r="L599" i="3"/>
  <c r="N598" i="3"/>
  <c r="M598" i="3"/>
  <c r="L598" i="3"/>
  <c r="N597" i="3"/>
  <c r="M597" i="3"/>
  <c r="L597" i="3"/>
  <c r="N596" i="3"/>
  <c r="Q596" i="3" s="1"/>
  <c r="M596" i="3"/>
  <c r="L596" i="3"/>
  <c r="N595" i="3"/>
  <c r="M595" i="3"/>
  <c r="L595" i="3"/>
  <c r="N594" i="3"/>
  <c r="M594" i="3"/>
  <c r="L594" i="3"/>
  <c r="N593" i="3"/>
  <c r="M593" i="3"/>
  <c r="L593" i="3"/>
  <c r="N592" i="3"/>
  <c r="Q592" i="3" s="1"/>
  <c r="M592" i="3"/>
  <c r="L592" i="3"/>
  <c r="N591" i="3"/>
  <c r="Q591" i="3" s="1"/>
  <c r="M591" i="3"/>
  <c r="L591" i="3"/>
  <c r="N590" i="3"/>
  <c r="O590" i="3" s="1"/>
  <c r="M590" i="3"/>
  <c r="L590" i="3"/>
  <c r="N589" i="3"/>
  <c r="M589" i="3"/>
  <c r="L589" i="3"/>
  <c r="N588" i="3"/>
  <c r="Q588" i="3" s="1"/>
  <c r="M588" i="3"/>
  <c r="L588" i="3"/>
  <c r="N587" i="3"/>
  <c r="M587" i="3"/>
  <c r="L587" i="3"/>
  <c r="N586" i="3"/>
  <c r="O586" i="3" s="1"/>
  <c r="M586" i="3"/>
  <c r="L586" i="3"/>
  <c r="N585" i="3"/>
  <c r="M585" i="3"/>
  <c r="L585" i="3"/>
  <c r="N584" i="3"/>
  <c r="Q584" i="3" s="1"/>
  <c r="M584" i="3"/>
  <c r="L584" i="3"/>
  <c r="N583" i="3"/>
  <c r="Q583" i="3" s="1"/>
  <c r="M583" i="3"/>
  <c r="L583" i="3"/>
  <c r="N582" i="3"/>
  <c r="O582" i="3" s="1"/>
  <c r="M582" i="3"/>
  <c r="L582" i="3"/>
  <c r="N581" i="3"/>
  <c r="Q581" i="3" s="1"/>
  <c r="M581" i="3"/>
  <c r="L581" i="3"/>
  <c r="N580" i="3"/>
  <c r="Q580" i="3" s="1"/>
  <c r="M580" i="3"/>
  <c r="L580" i="3"/>
  <c r="N579" i="3"/>
  <c r="O579" i="3" s="1"/>
  <c r="M579" i="3"/>
  <c r="L579" i="3"/>
  <c r="N578" i="3"/>
  <c r="M578" i="3"/>
  <c r="L578" i="3"/>
  <c r="N577" i="3"/>
  <c r="M577" i="3"/>
  <c r="L577" i="3"/>
  <c r="N576" i="3"/>
  <c r="M576" i="3"/>
  <c r="L576" i="3"/>
  <c r="N575" i="3"/>
  <c r="M575" i="3"/>
  <c r="L575" i="3"/>
  <c r="N574" i="3"/>
  <c r="O574" i="3" s="1"/>
  <c r="M574" i="3"/>
  <c r="L574" i="3"/>
  <c r="N573" i="3"/>
  <c r="Q573" i="3" s="1"/>
  <c r="M573" i="3"/>
  <c r="L573" i="3"/>
  <c r="N572" i="3"/>
  <c r="Q572" i="3" s="1"/>
  <c r="M572" i="3"/>
  <c r="L572" i="3"/>
  <c r="N571" i="3"/>
  <c r="Q571" i="3" s="1"/>
  <c r="M571" i="3"/>
  <c r="L571" i="3"/>
  <c r="N570" i="3"/>
  <c r="O570" i="3" s="1"/>
  <c r="M570" i="3"/>
  <c r="L570" i="3"/>
  <c r="N569" i="3"/>
  <c r="Q569" i="3" s="1"/>
  <c r="M569" i="3"/>
  <c r="L569" i="3"/>
  <c r="N568" i="3"/>
  <c r="O568" i="3" s="1"/>
  <c r="M568" i="3"/>
  <c r="L568" i="3"/>
  <c r="N567" i="3"/>
  <c r="O567" i="3" s="1"/>
  <c r="M567" i="3"/>
  <c r="L567" i="3"/>
  <c r="N566" i="3"/>
  <c r="O566" i="3" s="1"/>
  <c r="M566" i="3"/>
  <c r="L566" i="3"/>
  <c r="N565" i="3"/>
  <c r="Q565" i="3" s="1"/>
  <c r="M565" i="3"/>
  <c r="L565" i="3"/>
  <c r="N564" i="3"/>
  <c r="Q564" i="3" s="1"/>
  <c r="M564" i="3"/>
  <c r="L564" i="3"/>
  <c r="N563" i="3"/>
  <c r="M563" i="3"/>
  <c r="L563" i="3"/>
  <c r="N562" i="3"/>
  <c r="M562" i="3"/>
  <c r="L562" i="3"/>
  <c r="N561" i="3"/>
  <c r="M561" i="3"/>
  <c r="L561" i="3"/>
  <c r="N560" i="3"/>
  <c r="M560" i="3"/>
  <c r="L560" i="3"/>
  <c r="N559" i="3"/>
  <c r="Q559" i="3" s="1"/>
  <c r="M559" i="3"/>
  <c r="L559" i="3"/>
  <c r="N558" i="3"/>
  <c r="O558" i="3" s="1"/>
  <c r="M558" i="3"/>
  <c r="L558" i="3"/>
  <c r="N557" i="3"/>
  <c r="Q557" i="3" s="1"/>
  <c r="M557" i="3"/>
  <c r="L557" i="3"/>
  <c r="N556" i="3"/>
  <c r="Q556" i="3" s="1"/>
  <c r="M556" i="3"/>
  <c r="L556" i="3"/>
  <c r="N555" i="3"/>
  <c r="Q555" i="3" s="1"/>
  <c r="M555" i="3"/>
  <c r="L555" i="3"/>
  <c r="N554" i="3"/>
  <c r="O554" i="3" s="1"/>
  <c r="M554" i="3"/>
  <c r="L554" i="3"/>
  <c r="N553" i="3"/>
  <c r="Q553" i="3" s="1"/>
  <c r="M553" i="3"/>
  <c r="L553" i="3"/>
  <c r="N552" i="3"/>
  <c r="O552" i="3" s="1"/>
  <c r="M552" i="3"/>
  <c r="L552" i="3"/>
  <c r="N551" i="3"/>
  <c r="O551" i="3" s="1"/>
  <c r="M551" i="3"/>
  <c r="L551" i="3"/>
  <c r="N550" i="3"/>
  <c r="Q550" i="3" s="1"/>
  <c r="M550" i="3"/>
  <c r="L550" i="3"/>
  <c r="N549" i="3"/>
  <c r="O549" i="3" s="1"/>
  <c r="M549" i="3"/>
  <c r="L549" i="3"/>
  <c r="N548" i="3"/>
  <c r="O548" i="3" s="1"/>
  <c r="M548" i="3"/>
  <c r="L548" i="3"/>
  <c r="N547" i="3"/>
  <c r="Q547" i="3" s="1"/>
  <c r="M547" i="3"/>
  <c r="L547" i="3"/>
  <c r="N546" i="3"/>
  <c r="Q546" i="3" s="1"/>
  <c r="M546" i="3"/>
  <c r="L546" i="3"/>
  <c r="N545" i="3"/>
  <c r="O545" i="3" s="1"/>
  <c r="M545" i="3"/>
  <c r="L545" i="3"/>
  <c r="N544" i="3"/>
  <c r="O544" i="3" s="1"/>
  <c r="M544" i="3"/>
  <c r="L544" i="3"/>
  <c r="N543" i="3"/>
  <c r="Q543" i="3" s="1"/>
  <c r="M543" i="3"/>
  <c r="L543" i="3"/>
  <c r="N542" i="3"/>
  <c r="Q542" i="3" s="1"/>
  <c r="M542" i="3"/>
  <c r="L542" i="3"/>
  <c r="N541" i="3"/>
  <c r="Q541" i="3" s="1"/>
  <c r="M541" i="3"/>
  <c r="L541" i="3"/>
  <c r="N540" i="3"/>
  <c r="O540" i="3" s="1"/>
  <c r="M540" i="3"/>
  <c r="L540" i="3"/>
  <c r="N539" i="3"/>
  <c r="M539" i="3"/>
  <c r="L539" i="3"/>
  <c r="N538" i="3"/>
  <c r="M538" i="3"/>
  <c r="L538" i="3"/>
  <c r="N537" i="3"/>
  <c r="M537" i="3"/>
  <c r="L537" i="3"/>
  <c r="N536" i="3"/>
  <c r="O536" i="3" s="1"/>
  <c r="M536" i="3"/>
  <c r="L536" i="3"/>
  <c r="N535" i="3"/>
  <c r="M535" i="3"/>
  <c r="L535" i="3"/>
  <c r="N534" i="3"/>
  <c r="M534" i="3"/>
  <c r="L534" i="3"/>
  <c r="N533" i="3"/>
  <c r="Q533" i="3" s="1"/>
  <c r="M533" i="3"/>
  <c r="L533" i="3"/>
  <c r="N532" i="3"/>
  <c r="O532" i="3" s="1"/>
  <c r="M532" i="3"/>
  <c r="L532" i="3"/>
  <c r="N531" i="3"/>
  <c r="M531" i="3"/>
  <c r="L531" i="3"/>
  <c r="N530" i="3"/>
  <c r="M530" i="3"/>
  <c r="L530" i="3"/>
  <c r="N529" i="3"/>
  <c r="M529" i="3"/>
  <c r="L529" i="3"/>
  <c r="N528" i="3"/>
  <c r="O528" i="3" s="1"/>
  <c r="M528" i="3"/>
  <c r="L528" i="3"/>
  <c r="N527" i="3"/>
  <c r="M527" i="3"/>
  <c r="L527" i="3"/>
  <c r="N526" i="3"/>
  <c r="M526" i="3"/>
  <c r="L526" i="3"/>
  <c r="N525" i="3"/>
  <c r="Q525" i="3" s="1"/>
  <c r="M525" i="3"/>
  <c r="L525" i="3"/>
  <c r="N524" i="3"/>
  <c r="O524" i="3" s="1"/>
  <c r="M524" i="3"/>
  <c r="L524" i="3"/>
  <c r="N523" i="3"/>
  <c r="M523" i="3"/>
  <c r="L523" i="3"/>
  <c r="N522" i="3"/>
  <c r="M522" i="3"/>
  <c r="L522" i="3"/>
  <c r="N521" i="3"/>
  <c r="Q521" i="3" s="1"/>
  <c r="M521" i="3"/>
  <c r="L521" i="3"/>
  <c r="N520" i="3"/>
  <c r="O520" i="3" s="1"/>
  <c r="M520" i="3"/>
  <c r="L520" i="3"/>
  <c r="N519" i="3"/>
  <c r="M519" i="3"/>
  <c r="L519" i="3"/>
  <c r="N518" i="3"/>
  <c r="M518" i="3"/>
  <c r="L518" i="3"/>
  <c r="N517" i="3"/>
  <c r="M517" i="3"/>
  <c r="L517" i="3"/>
  <c r="N516" i="3"/>
  <c r="O516" i="3" s="1"/>
  <c r="M516" i="3"/>
  <c r="L516" i="3"/>
  <c r="N515" i="3"/>
  <c r="M515" i="3"/>
  <c r="L515" i="3"/>
  <c r="N514" i="3"/>
  <c r="M514" i="3"/>
  <c r="L514" i="3"/>
  <c r="N513" i="3"/>
  <c r="M513" i="3"/>
  <c r="L513" i="3"/>
  <c r="N512" i="3"/>
  <c r="O512" i="3" s="1"/>
  <c r="M512" i="3"/>
  <c r="L512" i="3"/>
  <c r="N511" i="3"/>
  <c r="M511" i="3"/>
  <c r="L511" i="3"/>
  <c r="N510" i="3"/>
  <c r="M510" i="3"/>
  <c r="L510" i="3"/>
  <c r="N509" i="3"/>
  <c r="M509" i="3"/>
  <c r="L509" i="3"/>
  <c r="N508" i="3"/>
  <c r="O508" i="3" s="1"/>
  <c r="M508" i="3"/>
  <c r="L508" i="3"/>
  <c r="N507" i="3"/>
  <c r="M507" i="3"/>
  <c r="L507" i="3"/>
  <c r="N506" i="3"/>
  <c r="M506" i="3"/>
  <c r="L506" i="3"/>
  <c r="N505" i="3"/>
  <c r="Q505" i="3" s="1"/>
  <c r="M505" i="3"/>
  <c r="L505" i="3"/>
  <c r="N504" i="3"/>
  <c r="O504" i="3" s="1"/>
  <c r="M504" i="3"/>
  <c r="L504" i="3"/>
  <c r="N503" i="3"/>
  <c r="Q503" i="3" s="1"/>
  <c r="M503" i="3"/>
  <c r="L503" i="3"/>
  <c r="N502" i="3"/>
  <c r="O502" i="3" s="1"/>
  <c r="M502" i="3"/>
  <c r="L502" i="3"/>
  <c r="N501" i="3"/>
  <c r="Q501" i="3" s="1"/>
  <c r="M501" i="3"/>
  <c r="L501" i="3"/>
  <c r="N500" i="3"/>
  <c r="O500" i="3" s="1"/>
  <c r="M500" i="3"/>
  <c r="L500" i="3"/>
  <c r="N499" i="3"/>
  <c r="M499" i="3"/>
  <c r="L499" i="3"/>
  <c r="N498" i="3"/>
  <c r="M498" i="3"/>
  <c r="L498" i="3"/>
  <c r="N497" i="3"/>
  <c r="Q497" i="3" s="1"/>
  <c r="M497" i="3"/>
  <c r="L497" i="3"/>
  <c r="N496" i="3"/>
  <c r="O496" i="3" s="1"/>
  <c r="M496" i="3"/>
  <c r="L496" i="3"/>
  <c r="N495" i="3"/>
  <c r="Q495" i="3" s="1"/>
  <c r="M495" i="3"/>
  <c r="L495" i="3"/>
  <c r="N494" i="3"/>
  <c r="O494" i="3" s="1"/>
  <c r="M494" i="3"/>
  <c r="L494" i="3"/>
  <c r="N493" i="3"/>
  <c r="Q493" i="3" s="1"/>
  <c r="M493" i="3"/>
  <c r="L493" i="3"/>
  <c r="N492" i="3"/>
  <c r="O492" i="3" s="1"/>
  <c r="M492" i="3"/>
  <c r="L492" i="3"/>
  <c r="N491" i="3"/>
  <c r="Q491" i="3" s="1"/>
  <c r="M491" i="3"/>
  <c r="L491" i="3"/>
  <c r="N490" i="3"/>
  <c r="O490" i="3" s="1"/>
  <c r="M490" i="3"/>
  <c r="L490" i="3"/>
  <c r="N489" i="3"/>
  <c r="Q489" i="3" s="1"/>
  <c r="M489" i="3"/>
  <c r="L489" i="3"/>
  <c r="N488" i="3"/>
  <c r="O488" i="3" s="1"/>
  <c r="M488" i="3"/>
  <c r="L488" i="3"/>
  <c r="N487" i="3"/>
  <c r="Q487" i="3" s="1"/>
  <c r="M487" i="3"/>
  <c r="L487" i="3"/>
  <c r="N486" i="3"/>
  <c r="O486" i="3" s="1"/>
  <c r="M486" i="3"/>
  <c r="L486" i="3"/>
  <c r="N485" i="3"/>
  <c r="Q485" i="3" s="1"/>
  <c r="M485" i="3"/>
  <c r="L485" i="3"/>
  <c r="N484" i="3"/>
  <c r="O484" i="3" s="1"/>
  <c r="M484" i="3"/>
  <c r="L484" i="3"/>
  <c r="N483" i="3"/>
  <c r="O483" i="3" s="1"/>
  <c r="M483" i="3"/>
  <c r="L483" i="3"/>
  <c r="N482" i="3"/>
  <c r="M482" i="3"/>
  <c r="L482" i="3"/>
  <c r="N481" i="3"/>
  <c r="Q481" i="3" s="1"/>
  <c r="M481" i="3"/>
  <c r="L481" i="3"/>
  <c r="N480" i="3"/>
  <c r="O480" i="3" s="1"/>
  <c r="M480" i="3"/>
  <c r="L480" i="3"/>
  <c r="N479" i="3"/>
  <c r="Q479" i="3" s="1"/>
  <c r="M479" i="3"/>
  <c r="L479" i="3"/>
  <c r="N478" i="3"/>
  <c r="O478" i="3" s="1"/>
  <c r="M478" i="3"/>
  <c r="L478" i="3"/>
  <c r="N477" i="3"/>
  <c r="Q477" i="3" s="1"/>
  <c r="M477" i="3"/>
  <c r="L477" i="3"/>
  <c r="N476" i="3"/>
  <c r="O476" i="3" s="1"/>
  <c r="M476" i="3"/>
  <c r="L476" i="3"/>
  <c r="N475" i="3"/>
  <c r="M475" i="3"/>
  <c r="L475" i="3"/>
  <c r="N474" i="3"/>
  <c r="M474" i="3"/>
  <c r="L474" i="3"/>
  <c r="N473" i="3"/>
  <c r="Q473" i="3" s="1"/>
  <c r="M473" i="3"/>
  <c r="L473" i="3"/>
  <c r="N472" i="3"/>
  <c r="O472" i="3" s="1"/>
  <c r="M472" i="3"/>
  <c r="L472" i="3"/>
  <c r="N471" i="3"/>
  <c r="M471" i="3"/>
  <c r="L471" i="3"/>
  <c r="N470" i="3"/>
  <c r="M470" i="3"/>
  <c r="L470" i="3"/>
  <c r="N469" i="3"/>
  <c r="Q469" i="3" s="1"/>
  <c r="M469" i="3"/>
  <c r="L469" i="3"/>
  <c r="N468" i="3"/>
  <c r="O468" i="3" s="1"/>
  <c r="M468" i="3"/>
  <c r="L468" i="3"/>
  <c r="N467" i="3"/>
  <c r="O467" i="3" s="1"/>
  <c r="M467" i="3"/>
  <c r="L467" i="3"/>
  <c r="N466" i="3"/>
  <c r="M466" i="3"/>
  <c r="L466" i="3"/>
  <c r="N465" i="3"/>
  <c r="Q465" i="3" s="1"/>
  <c r="M465" i="3"/>
  <c r="L465" i="3"/>
  <c r="N464" i="3"/>
  <c r="O464" i="3" s="1"/>
  <c r="M464" i="3"/>
  <c r="L464" i="3"/>
  <c r="N463" i="3"/>
  <c r="M463" i="3"/>
  <c r="L463" i="3"/>
  <c r="N462" i="3"/>
  <c r="M462" i="3"/>
  <c r="L462" i="3"/>
  <c r="N461" i="3"/>
  <c r="Q461" i="3" s="1"/>
  <c r="M461" i="3"/>
  <c r="L461" i="3"/>
  <c r="N460" i="3"/>
  <c r="O460" i="3" s="1"/>
  <c r="M460" i="3"/>
  <c r="L460" i="3"/>
  <c r="N459" i="3"/>
  <c r="O459" i="3" s="1"/>
  <c r="M459" i="3"/>
  <c r="L459" i="3"/>
  <c r="N458" i="3"/>
  <c r="O458" i="3" s="1"/>
  <c r="M458" i="3"/>
  <c r="L458" i="3"/>
  <c r="N457" i="3"/>
  <c r="Q457" i="3" s="1"/>
  <c r="M457" i="3"/>
  <c r="L457" i="3"/>
  <c r="N456" i="3"/>
  <c r="O456" i="3" s="1"/>
  <c r="M456" i="3"/>
  <c r="L456" i="3"/>
  <c r="N455" i="3"/>
  <c r="O455" i="3" s="1"/>
  <c r="M455" i="3"/>
  <c r="L455" i="3"/>
  <c r="N454" i="3"/>
  <c r="M454" i="3"/>
  <c r="L454" i="3"/>
  <c r="N453" i="3"/>
  <c r="Q453" i="3" s="1"/>
  <c r="M453" i="3"/>
  <c r="L453" i="3"/>
  <c r="N452" i="3"/>
  <c r="O452" i="3" s="1"/>
  <c r="M452" i="3"/>
  <c r="L452" i="3"/>
  <c r="N451" i="3"/>
  <c r="O451" i="3" s="1"/>
  <c r="M451" i="3"/>
  <c r="L451" i="3"/>
  <c r="N450" i="3"/>
  <c r="Q450" i="3" s="1"/>
  <c r="M450" i="3"/>
  <c r="L450" i="3"/>
  <c r="N449" i="3"/>
  <c r="Q449" i="3" s="1"/>
  <c r="M449" i="3"/>
  <c r="L449" i="3"/>
  <c r="N448" i="3"/>
  <c r="O448" i="3" s="1"/>
  <c r="M448" i="3"/>
  <c r="L448" i="3"/>
  <c r="N447" i="3"/>
  <c r="O447" i="3" s="1"/>
  <c r="M447" i="3"/>
  <c r="L447" i="3"/>
  <c r="N446" i="3"/>
  <c r="M446" i="3"/>
  <c r="L446" i="3"/>
  <c r="N445" i="3"/>
  <c r="Q445" i="3" s="1"/>
  <c r="M445" i="3"/>
  <c r="L445" i="3"/>
  <c r="N444" i="3"/>
  <c r="O444" i="3" s="1"/>
  <c r="M444" i="3"/>
  <c r="L444" i="3"/>
  <c r="N443" i="3"/>
  <c r="Q443" i="3" s="1"/>
  <c r="M443" i="3"/>
  <c r="L443" i="3"/>
  <c r="N442" i="3"/>
  <c r="O442" i="3" s="1"/>
  <c r="M442" i="3"/>
  <c r="L442" i="3"/>
  <c r="N441" i="3"/>
  <c r="Q441" i="3" s="1"/>
  <c r="M441" i="3"/>
  <c r="L441" i="3"/>
  <c r="N440" i="3"/>
  <c r="O440" i="3" s="1"/>
  <c r="M440" i="3"/>
  <c r="L440" i="3"/>
  <c r="N439" i="3"/>
  <c r="M439" i="3"/>
  <c r="L439" i="3"/>
  <c r="N438" i="3"/>
  <c r="M438" i="3"/>
  <c r="L438" i="3"/>
  <c r="N437" i="3"/>
  <c r="Q437" i="3" s="1"/>
  <c r="M437" i="3"/>
  <c r="L437" i="3"/>
  <c r="N436" i="3"/>
  <c r="O436" i="3" s="1"/>
  <c r="M436" i="3"/>
  <c r="L436" i="3"/>
  <c r="N435" i="3"/>
  <c r="O435" i="3" s="1"/>
  <c r="M435" i="3"/>
  <c r="L435" i="3"/>
  <c r="N434" i="3"/>
  <c r="M434" i="3"/>
  <c r="L434" i="3"/>
  <c r="N433" i="3"/>
  <c r="Q433" i="3" s="1"/>
  <c r="M433" i="3"/>
  <c r="L433" i="3"/>
  <c r="N432" i="3"/>
  <c r="O432" i="3" s="1"/>
  <c r="M432" i="3"/>
  <c r="L432" i="3"/>
  <c r="N431" i="3"/>
  <c r="Q431" i="3" s="1"/>
  <c r="M431" i="3"/>
  <c r="L431" i="3"/>
  <c r="N430" i="3"/>
  <c r="O430" i="3" s="1"/>
  <c r="M430" i="3"/>
  <c r="L430" i="3"/>
  <c r="N429" i="3"/>
  <c r="Q429" i="3" s="1"/>
  <c r="M429" i="3"/>
  <c r="L429" i="3"/>
  <c r="N428" i="3"/>
  <c r="O428" i="3" s="1"/>
  <c r="M428" i="3"/>
  <c r="L428" i="3"/>
  <c r="N427" i="3"/>
  <c r="Q427" i="3" s="1"/>
  <c r="M427" i="3"/>
  <c r="L427" i="3"/>
  <c r="N426" i="3"/>
  <c r="O426" i="3" s="1"/>
  <c r="M426" i="3"/>
  <c r="L426" i="3"/>
  <c r="N425" i="3"/>
  <c r="Q425" i="3" s="1"/>
  <c r="M425" i="3"/>
  <c r="L425" i="3"/>
  <c r="N424" i="3"/>
  <c r="M424" i="3"/>
  <c r="L424" i="3"/>
  <c r="N423" i="3"/>
  <c r="O423" i="3" s="1"/>
  <c r="M423" i="3"/>
  <c r="L423" i="3"/>
  <c r="N422" i="3"/>
  <c r="O422" i="3" s="1"/>
  <c r="M422" i="3"/>
  <c r="L422" i="3"/>
  <c r="N421" i="3"/>
  <c r="Q421" i="3" s="1"/>
  <c r="M421" i="3"/>
  <c r="L421" i="3"/>
  <c r="N420" i="3"/>
  <c r="M420" i="3"/>
  <c r="L420" i="3"/>
  <c r="N419" i="3"/>
  <c r="O419" i="3" s="1"/>
  <c r="M419" i="3"/>
  <c r="L419" i="3"/>
  <c r="N418" i="3"/>
  <c r="Q418" i="3" s="1"/>
  <c r="M418" i="3"/>
  <c r="L418" i="3"/>
  <c r="N417" i="3"/>
  <c r="Q417" i="3" s="1"/>
  <c r="M417" i="3"/>
  <c r="L417" i="3"/>
  <c r="N416" i="3"/>
  <c r="M416" i="3"/>
  <c r="L416" i="3"/>
  <c r="N415" i="3"/>
  <c r="O415" i="3" s="1"/>
  <c r="M415" i="3"/>
  <c r="L415" i="3"/>
  <c r="N414" i="3"/>
  <c r="Q414" i="3" s="1"/>
  <c r="M414" i="3"/>
  <c r="L414" i="3"/>
  <c r="N413" i="3"/>
  <c r="Q413" i="3" s="1"/>
  <c r="M413" i="3"/>
  <c r="L413" i="3"/>
  <c r="N412" i="3"/>
  <c r="M412" i="3"/>
  <c r="L412" i="3"/>
  <c r="N411" i="3"/>
  <c r="O411" i="3" s="1"/>
  <c r="M411" i="3"/>
  <c r="L411" i="3"/>
  <c r="N410" i="3"/>
  <c r="Q410" i="3" s="1"/>
  <c r="M410" i="3"/>
  <c r="L410" i="3"/>
  <c r="N409" i="3"/>
  <c r="Q409" i="3" s="1"/>
  <c r="M409" i="3"/>
  <c r="L409" i="3"/>
  <c r="N408" i="3"/>
  <c r="M408" i="3"/>
  <c r="L408" i="3"/>
  <c r="N407" i="3"/>
  <c r="Q407" i="3" s="1"/>
  <c r="M407" i="3"/>
  <c r="L407" i="3"/>
  <c r="N406" i="3"/>
  <c r="Q406" i="3" s="1"/>
  <c r="M406" i="3"/>
  <c r="L406" i="3"/>
  <c r="N405" i="3"/>
  <c r="M405" i="3"/>
  <c r="L405" i="3"/>
  <c r="N404" i="3"/>
  <c r="Q404" i="3" s="1"/>
  <c r="M404" i="3"/>
  <c r="L404" i="3"/>
  <c r="N403" i="3"/>
  <c r="Q403" i="3" s="1"/>
  <c r="M403" i="3"/>
  <c r="L403" i="3"/>
  <c r="N402" i="3"/>
  <c r="O402" i="3" s="1"/>
  <c r="M402" i="3"/>
  <c r="L402" i="3"/>
  <c r="N401" i="3"/>
  <c r="M401" i="3"/>
  <c r="L401" i="3"/>
  <c r="N400" i="3"/>
  <c r="Q400" i="3" s="1"/>
  <c r="M400" i="3"/>
  <c r="L400" i="3"/>
  <c r="N399" i="3"/>
  <c r="O399" i="3" s="1"/>
  <c r="M399" i="3"/>
  <c r="L399" i="3"/>
  <c r="N398" i="3"/>
  <c r="O398" i="3" s="1"/>
  <c r="M398" i="3"/>
  <c r="L398" i="3"/>
  <c r="N397" i="3"/>
  <c r="M397" i="3"/>
  <c r="L397" i="3"/>
  <c r="N396" i="3"/>
  <c r="Q396" i="3" s="1"/>
  <c r="M396" i="3"/>
  <c r="L396" i="3"/>
  <c r="N395" i="3"/>
  <c r="O395" i="3" s="1"/>
  <c r="M395" i="3"/>
  <c r="L395" i="3"/>
  <c r="N394" i="3"/>
  <c r="Q394" i="3" s="1"/>
  <c r="M394" i="3"/>
  <c r="L394" i="3"/>
  <c r="N393" i="3"/>
  <c r="M393" i="3"/>
  <c r="L393" i="3"/>
  <c r="N392" i="3"/>
  <c r="Q392" i="3" s="1"/>
  <c r="M392" i="3"/>
  <c r="L392" i="3"/>
  <c r="N391" i="3"/>
  <c r="Q391" i="3" s="1"/>
  <c r="M391" i="3"/>
  <c r="L391" i="3"/>
  <c r="N390" i="3"/>
  <c r="O390" i="3" s="1"/>
  <c r="M390" i="3"/>
  <c r="L390" i="3"/>
  <c r="N389" i="3"/>
  <c r="M389" i="3"/>
  <c r="L389" i="3"/>
  <c r="N388" i="3"/>
  <c r="Q388" i="3" s="1"/>
  <c r="M388" i="3"/>
  <c r="L388" i="3"/>
  <c r="N387" i="3"/>
  <c r="O387" i="3" s="1"/>
  <c r="M387" i="3"/>
  <c r="L387" i="3"/>
  <c r="N386" i="3"/>
  <c r="O386" i="3" s="1"/>
  <c r="M386" i="3"/>
  <c r="L386" i="3"/>
  <c r="N385" i="3"/>
  <c r="M385" i="3"/>
  <c r="L385" i="3"/>
  <c r="N384" i="3"/>
  <c r="Q384" i="3" s="1"/>
  <c r="M384" i="3"/>
  <c r="L384" i="3"/>
  <c r="N383" i="3"/>
  <c r="O383" i="3" s="1"/>
  <c r="M383" i="3"/>
  <c r="L383" i="3"/>
  <c r="N382" i="3"/>
  <c r="Q382" i="3" s="1"/>
  <c r="M382" i="3"/>
  <c r="L382" i="3"/>
  <c r="N381" i="3"/>
  <c r="M381" i="3"/>
  <c r="L381" i="3"/>
  <c r="N380" i="3"/>
  <c r="Q380" i="3" s="1"/>
  <c r="M380" i="3"/>
  <c r="L380" i="3"/>
  <c r="N379" i="3"/>
  <c r="O379" i="3" s="1"/>
  <c r="M379" i="3"/>
  <c r="L379" i="3"/>
  <c r="N378" i="3"/>
  <c r="Q378" i="3" s="1"/>
  <c r="M378" i="3"/>
  <c r="L378" i="3"/>
  <c r="N377" i="3"/>
  <c r="M377" i="3"/>
  <c r="L377" i="3"/>
  <c r="N376" i="3"/>
  <c r="M376" i="3"/>
  <c r="L376" i="3"/>
  <c r="N375" i="3"/>
  <c r="Q375" i="3" s="1"/>
  <c r="M375" i="3"/>
  <c r="L375" i="3"/>
  <c r="N374" i="3"/>
  <c r="O374" i="3" s="1"/>
  <c r="M374" i="3"/>
  <c r="L374" i="3"/>
  <c r="N373" i="3"/>
  <c r="M373" i="3"/>
  <c r="L373" i="3"/>
  <c r="N372" i="3"/>
  <c r="Q372" i="3" s="1"/>
  <c r="M372" i="3"/>
  <c r="L372" i="3"/>
  <c r="N371" i="3"/>
  <c r="Q371" i="3" s="1"/>
  <c r="M371" i="3"/>
  <c r="L371" i="3"/>
  <c r="N370" i="3"/>
  <c r="Q370" i="3" s="1"/>
  <c r="M370" i="3"/>
  <c r="L370" i="3"/>
  <c r="N369" i="3"/>
  <c r="M369" i="3"/>
  <c r="L369" i="3"/>
  <c r="N368" i="3"/>
  <c r="Q368" i="3" s="1"/>
  <c r="M368" i="3"/>
  <c r="L368" i="3"/>
  <c r="N367" i="3"/>
  <c r="Q367" i="3" s="1"/>
  <c r="M367" i="3"/>
  <c r="L367" i="3"/>
  <c r="N366" i="3"/>
  <c r="Q366" i="3" s="1"/>
  <c r="M366" i="3"/>
  <c r="L366" i="3"/>
  <c r="N365" i="3"/>
  <c r="M365" i="3"/>
  <c r="L365" i="3"/>
  <c r="N364" i="3"/>
  <c r="Q364" i="3" s="1"/>
  <c r="M364" i="3"/>
  <c r="L364" i="3"/>
  <c r="N363" i="3"/>
  <c r="Q363" i="3" s="1"/>
  <c r="M363" i="3"/>
  <c r="L363" i="3"/>
  <c r="N362" i="3"/>
  <c r="Q362" i="3" s="1"/>
  <c r="M362" i="3"/>
  <c r="L362" i="3"/>
  <c r="N361" i="3"/>
  <c r="O361" i="3" s="1"/>
  <c r="M361" i="3"/>
  <c r="L361" i="3"/>
  <c r="N360" i="3"/>
  <c r="Q360" i="3" s="1"/>
  <c r="M360" i="3"/>
  <c r="L360" i="3"/>
  <c r="N359" i="3"/>
  <c r="Q359" i="3" s="1"/>
  <c r="M359" i="3"/>
  <c r="L359" i="3"/>
  <c r="N358" i="3"/>
  <c r="O358" i="3" s="1"/>
  <c r="M358" i="3"/>
  <c r="L358" i="3"/>
  <c r="N357" i="3"/>
  <c r="O357" i="3" s="1"/>
  <c r="M357" i="3"/>
  <c r="L357" i="3"/>
  <c r="N356" i="3"/>
  <c r="Q356" i="3" s="1"/>
  <c r="M356" i="3"/>
  <c r="L356" i="3"/>
  <c r="N355" i="3"/>
  <c r="O355" i="3" s="1"/>
  <c r="M355" i="3"/>
  <c r="L355" i="3"/>
  <c r="N354" i="3"/>
  <c r="M354" i="3"/>
  <c r="L354" i="3"/>
  <c r="N353" i="3"/>
  <c r="M353" i="3"/>
  <c r="L353" i="3"/>
  <c r="N352" i="3"/>
  <c r="Q352" i="3" s="1"/>
  <c r="M352" i="3"/>
  <c r="L352" i="3"/>
  <c r="N351" i="3"/>
  <c r="O351" i="3" s="1"/>
  <c r="M351" i="3"/>
  <c r="L351" i="3"/>
  <c r="N350" i="3"/>
  <c r="M350" i="3"/>
  <c r="L350" i="3"/>
  <c r="N349" i="3"/>
  <c r="M349" i="3"/>
  <c r="L349" i="3"/>
  <c r="N348" i="3"/>
  <c r="Q348" i="3" s="1"/>
  <c r="M348" i="3"/>
  <c r="L348" i="3"/>
  <c r="N347" i="3"/>
  <c r="O347" i="3" s="1"/>
  <c r="M347" i="3"/>
  <c r="L347" i="3"/>
  <c r="N346" i="3"/>
  <c r="M346" i="3"/>
  <c r="L346" i="3"/>
  <c r="N345" i="3"/>
  <c r="M345" i="3"/>
  <c r="L345" i="3"/>
  <c r="N344" i="3"/>
  <c r="Q344" i="3" s="1"/>
  <c r="M344" i="3"/>
  <c r="L344" i="3"/>
  <c r="N343" i="3"/>
  <c r="O343" i="3" s="1"/>
  <c r="M343" i="3"/>
  <c r="L343" i="3"/>
  <c r="N342" i="3"/>
  <c r="M342" i="3"/>
  <c r="L342" i="3"/>
  <c r="N341" i="3"/>
  <c r="M341" i="3"/>
  <c r="L341" i="3"/>
  <c r="N340" i="3"/>
  <c r="Q340" i="3" s="1"/>
  <c r="M340" i="3"/>
  <c r="L340" i="3"/>
  <c r="N339" i="3"/>
  <c r="O339" i="3" s="1"/>
  <c r="M339" i="3"/>
  <c r="L339" i="3"/>
  <c r="N338" i="3"/>
  <c r="M338" i="3"/>
  <c r="L338" i="3"/>
  <c r="N337" i="3"/>
  <c r="M337" i="3"/>
  <c r="L337" i="3"/>
  <c r="N336" i="3"/>
  <c r="Q336" i="3" s="1"/>
  <c r="M336" i="3"/>
  <c r="L336" i="3"/>
  <c r="N335" i="3"/>
  <c r="O335" i="3" s="1"/>
  <c r="M335" i="3"/>
  <c r="L335" i="3"/>
  <c r="N334" i="3"/>
  <c r="M334" i="3"/>
  <c r="L334" i="3"/>
  <c r="N333" i="3"/>
  <c r="M333" i="3"/>
  <c r="L333" i="3"/>
  <c r="N332" i="3"/>
  <c r="Q332" i="3" s="1"/>
  <c r="M332" i="3"/>
  <c r="L332" i="3"/>
  <c r="N331" i="3"/>
  <c r="O331" i="3" s="1"/>
  <c r="M331" i="3"/>
  <c r="L331" i="3"/>
  <c r="N330" i="3"/>
  <c r="M330" i="3"/>
  <c r="L330" i="3"/>
  <c r="N329" i="3"/>
  <c r="M329" i="3"/>
  <c r="L329" i="3"/>
  <c r="N328" i="3"/>
  <c r="Q328" i="3" s="1"/>
  <c r="M328" i="3"/>
  <c r="L328" i="3"/>
  <c r="N327" i="3"/>
  <c r="O327" i="3" s="1"/>
  <c r="M327" i="3"/>
  <c r="L327" i="3"/>
  <c r="N326" i="3"/>
  <c r="M326" i="3"/>
  <c r="L326" i="3"/>
  <c r="N325" i="3"/>
  <c r="M325" i="3"/>
  <c r="L325" i="3"/>
  <c r="N324" i="3"/>
  <c r="Q324" i="3" s="1"/>
  <c r="M324" i="3"/>
  <c r="L324" i="3"/>
  <c r="N323" i="3"/>
  <c r="O323" i="3" s="1"/>
  <c r="M323" i="3"/>
  <c r="L323" i="3"/>
  <c r="N322" i="3"/>
  <c r="M322" i="3"/>
  <c r="L322" i="3"/>
  <c r="N321" i="3"/>
  <c r="M321" i="3"/>
  <c r="L321" i="3"/>
  <c r="N320" i="3"/>
  <c r="Q320" i="3" s="1"/>
  <c r="M320" i="3"/>
  <c r="L320" i="3"/>
  <c r="N319" i="3"/>
  <c r="O319" i="3" s="1"/>
  <c r="M319" i="3"/>
  <c r="L319" i="3"/>
  <c r="N318" i="3"/>
  <c r="M318" i="3"/>
  <c r="L318" i="3"/>
  <c r="N317" i="3"/>
  <c r="M317" i="3"/>
  <c r="L317" i="3"/>
  <c r="N316" i="3"/>
  <c r="Q316" i="3" s="1"/>
  <c r="M316" i="3"/>
  <c r="L316" i="3"/>
  <c r="N315" i="3"/>
  <c r="O315" i="3" s="1"/>
  <c r="M315" i="3"/>
  <c r="L315" i="3"/>
  <c r="N314" i="3"/>
  <c r="M314" i="3"/>
  <c r="L314" i="3"/>
  <c r="N313" i="3"/>
  <c r="M313" i="3"/>
  <c r="L313" i="3"/>
  <c r="N312" i="3"/>
  <c r="Q312" i="3" s="1"/>
  <c r="M312" i="3"/>
  <c r="L312" i="3"/>
  <c r="N311" i="3"/>
  <c r="O311" i="3" s="1"/>
  <c r="M311" i="3"/>
  <c r="L311" i="3"/>
  <c r="N310" i="3"/>
  <c r="M310" i="3"/>
  <c r="L310" i="3"/>
  <c r="N309" i="3"/>
  <c r="M309" i="3"/>
  <c r="L309" i="3"/>
  <c r="N308" i="3"/>
  <c r="Q308" i="3" s="1"/>
  <c r="M308" i="3"/>
  <c r="L308" i="3"/>
  <c r="N307" i="3"/>
  <c r="O307" i="3" s="1"/>
  <c r="M307" i="3"/>
  <c r="L307" i="3"/>
  <c r="N306" i="3"/>
  <c r="M306" i="3"/>
  <c r="L306" i="3"/>
  <c r="N305" i="3"/>
  <c r="M305" i="3"/>
  <c r="L305" i="3"/>
  <c r="N304" i="3"/>
  <c r="O304" i="3" s="1"/>
  <c r="M304" i="3"/>
  <c r="L304" i="3"/>
  <c r="N303" i="3"/>
  <c r="O303" i="3" s="1"/>
  <c r="M303" i="3"/>
  <c r="L303" i="3"/>
  <c r="N302" i="3"/>
  <c r="Q302" i="3" s="1"/>
  <c r="M302" i="3"/>
  <c r="L302" i="3"/>
  <c r="N301" i="3"/>
  <c r="O301" i="3" s="1"/>
  <c r="M301" i="3"/>
  <c r="L301" i="3"/>
  <c r="N300" i="3"/>
  <c r="O300" i="3" s="1"/>
  <c r="M300" i="3"/>
  <c r="L300" i="3"/>
  <c r="N299" i="3"/>
  <c r="O299" i="3" s="1"/>
  <c r="M299" i="3"/>
  <c r="L299" i="3"/>
  <c r="N298" i="3"/>
  <c r="Q298" i="3" s="1"/>
  <c r="M298" i="3"/>
  <c r="L298" i="3"/>
  <c r="N297" i="3"/>
  <c r="O297" i="3" s="1"/>
  <c r="M297" i="3"/>
  <c r="L297" i="3"/>
  <c r="N296" i="3"/>
  <c r="O296" i="3" s="1"/>
  <c r="M296" i="3"/>
  <c r="L296" i="3"/>
  <c r="N295" i="3"/>
  <c r="O295" i="3" s="1"/>
  <c r="M295" i="3"/>
  <c r="L295" i="3"/>
  <c r="N294" i="3"/>
  <c r="Q294" i="3" s="1"/>
  <c r="M294" i="3"/>
  <c r="L294" i="3"/>
  <c r="N293" i="3"/>
  <c r="O293" i="3" s="1"/>
  <c r="M293" i="3"/>
  <c r="L293" i="3"/>
  <c r="N292" i="3"/>
  <c r="O292" i="3" s="1"/>
  <c r="M292" i="3"/>
  <c r="L292" i="3"/>
  <c r="N291" i="3"/>
  <c r="O291" i="3" s="1"/>
  <c r="M291" i="3"/>
  <c r="L291" i="3"/>
  <c r="N290" i="3"/>
  <c r="Q290" i="3" s="1"/>
  <c r="M290" i="3"/>
  <c r="L290" i="3"/>
  <c r="N289" i="3"/>
  <c r="O289" i="3" s="1"/>
  <c r="M289" i="3"/>
  <c r="L289" i="3"/>
  <c r="N288" i="3"/>
  <c r="O288" i="3" s="1"/>
  <c r="M288" i="3"/>
  <c r="L288" i="3"/>
  <c r="N287" i="3"/>
  <c r="O287" i="3" s="1"/>
  <c r="M287" i="3"/>
  <c r="L287" i="3"/>
  <c r="N286" i="3"/>
  <c r="Q286" i="3" s="1"/>
  <c r="M286" i="3"/>
  <c r="L286" i="3"/>
  <c r="N285" i="3"/>
  <c r="O285" i="3" s="1"/>
  <c r="M285" i="3"/>
  <c r="L285" i="3"/>
  <c r="N284" i="3"/>
  <c r="O284" i="3" s="1"/>
  <c r="M284" i="3"/>
  <c r="L284" i="3"/>
  <c r="N283" i="3"/>
  <c r="O283" i="3" s="1"/>
  <c r="M283" i="3"/>
  <c r="L283" i="3"/>
  <c r="N282" i="3"/>
  <c r="Q282" i="3" s="1"/>
  <c r="M282" i="3"/>
  <c r="L282" i="3"/>
  <c r="N281" i="3"/>
  <c r="O281" i="3" s="1"/>
  <c r="M281" i="3"/>
  <c r="L281" i="3"/>
  <c r="M280" i="3"/>
  <c r="L280" i="3"/>
  <c r="M279" i="3"/>
  <c r="L279" i="3"/>
  <c r="M278" i="3"/>
  <c r="L278" i="3"/>
  <c r="M277" i="3"/>
  <c r="L277" i="3"/>
  <c r="M276" i="3"/>
  <c r="L276" i="3"/>
  <c r="M275" i="3"/>
  <c r="L275" i="3"/>
  <c r="M274" i="3"/>
  <c r="L274" i="3"/>
  <c r="M273" i="3"/>
  <c r="L273" i="3"/>
  <c r="M272" i="3"/>
  <c r="L272" i="3"/>
  <c r="M271" i="3"/>
  <c r="L271" i="3"/>
  <c r="M270" i="3"/>
  <c r="L270" i="3"/>
  <c r="M269" i="3"/>
  <c r="L269" i="3"/>
  <c r="M268" i="3"/>
  <c r="L268" i="3"/>
  <c r="M267" i="3"/>
  <c r="L267" i="3"/>
  <c r="M266" i="3"/>
  <c r="L266" i="3"/>
  <c r="M265" i="3"/>
  <c r="L265" i="3"/>
  <c r="M264" i="3"/>
  <c r="L264" i="3"/>
  <c r="M263" i="3"/>
  <c r="L263" i="3"/>
  <c r="M262" i="3"/>
  <c r="L262" i="3"/>
  <c r="M261" i="3"/>
  <c r="L261" i="3"/>
  <c r="M260" i="3"/>
  <c r="L260" i="3"/>
  <c r="M259" i="3"/>
  <c r="L259" i="3"/>
  <c r="M258" i="3"/>
  <c r="L258" i="3"/>
  <c r="M257" i="3"/>
  <c r="L257" i="3"/>
  <c r="M256" i="3"/>
  <c r="L256" i="3"/>
  <c r="M255" i="3"/>
  <c r="L255" i="3"/>
  <c r="M254" i="3"/>
  <c r="L254" i="3"/>
  <c r="M253" i="3"/>
  <c r="L253" i="3"/>
  <c r="M252" i="3"/>
  <c r="L252" i="3"/>
  <c r="M251" i="3"/>
  <c r="L251" i="3"/>
  <c r="M250" i="3"/>
  <c r="L250" i="3"/>
  <c r="M249" i="3"/>
  <c r="L249" i="3"/>
  <c r="M248" i="3"/>
  <c r="L248" i="3"/>
  <c r="M247" i="3"/>
  <c r="L247" i="3"/>
  <c r="M246" i="3"/>
  <c r="L246" i="3"/>
  <c r="M245" i="3"/>
  <c r="L245" i="3"/>
  <c r="M244" i="3"/>
  <c r="L244" i="3"/>
  <c r="M243" i="3"/>
  <c r="L243" i="3"/>
  <c r="M242" i="3"/>
  <c r="L242" i="3"/>
  <c r="M241" i="3"/>
  <c r="L241" i="3"/>
  <c r="M240" i="3"/>
  <c r="L240" i="3"/>
  <c r="M239" i="3"/>
  <c r="L239" i="3"/>
  <c r="M238" i="3"/>
  <c r="L238" i="3"/>
  <c r="M237" i="3"/>
  <c r="L237" i="3"/>
  <c r="M236" i="3"/>
  <c r="L236" i="3"/>
  <c r="M235"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M220" i="3"/>
  <c r="L220" i="3"/>
  <c r="M219" i="3"/>
  <c r="L219" i="3"/>
  <c r="M218" i="3"/>
  <c r="L218" i="3"/>
  <c r="M217" i="3"/>
  <c r="L217" i="3"/>
  <c r="M216" i="3"/>
  <c r="L216" i="3"/>
  <c r="M215" i="3"/>
  <c r="L215" i="3"/>
  <c r="M214" i="3"/>
  <c r="L214" i="3"/>
  <c r="M213" i="3"/>
  <c r="L213" i="3"/>
  <c r="M212" i="3"/>
  <c r="L212" i="3"/>
  <c r="M211" i="3"/>
  <c r="L211" i="3"/>
  <c r="M210"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M187" i="3"/>
  <c r="L187" i="3"/>
  <c r="M186" i="3"/>
  <c r="L186" i="3"/>
  <c r="M185" i="3"/>
  <c r="L185" i="3"/>
  <c r="M184" i="3"/>
  <c r="L184" i="3"/>
  <c r="M183" i="3"/>
  <c r="L183" i="3"/>
  <c r="M182" i="3"/>
  <c r="L182" i="3"/>
  <c r="M181" i="3"/>
  <c r="L181" i="3"/>
  <c r="M180" i="3"/>
  <c r="L180" i="3"/>
  <c r="M179" i="3"/>
  <c r="L179" i="3"/>
  <c r="M178" i="3"/>
  <c r="L178" i="3"/>
  <c r="M177" i="3"/>
  <c r="L177" i="3"/>
  <c r="M176" i="3"/>
  <c r="L176" i="3"/>
  <c r="M175" i="3"/>
  <c r="L175" i="3"/>
  <c r="M174" i="3"/>
  <c r="L174" i="3"/>
  <c r="M173" i="3"/>
  <c r="L173" i="3"/>
  <c r="M172" i="3"/>
  <c r="L172" i="3"/>
  <c r="M171" i="3"/>
  <c r="L171" i="3"/>
  <c r="M170" i="3"/>
  <c r="L170" i="3"/>
  <c r="M169" i="3"/>
  <c r="L169" i="3"/>
  <c r="M168" i="3"/>
  <c r="L168" i="3"/>
  <c r="M167" i="3"/>
  <c r="L167" i="3"/>
  <c r="M166" i="3"/>
  <c r="L166" i="3"/>
  <c r="M165" i="3"/>
  <c r="L165" i="3"/>
  <c r="M164" i="3"/>
  <c r="L164" i="3"/>
  <c r="M163" i="3"/>
  <c r="L163" i="3"/>
  <c r="M162" i="3"/>
  <c r="L162" i="3"/>
  <c r="M161" i="3"/>
  <c r="L161" i="3"/>
  <c r="M160" i="3"/>
  <c r="L160" i="3"/>
  <c r="M159" i="3"/>
  <c r="L159" i="3"/>
  <c r="M158" i="3"/>
  <c r="L158" i="3"/>
  <c r="M157" i="3"/>
  <c r="L157" i="3"/>
  <c r="M156" i="3"/>
  <c r="L156" i="3"/>
  <c r="M155"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2" i="3"/>
  <c r="L92" i="3"/>
  <c r="M91" i="3"/>
  <c r="L91" i="3"/>
  <c r="M90" i="3"/>
  <c r="L90" i="3"/>
  <c r="M89" i="3"/>
  <c r="L89" i="3"/>
  <c r="M88" i="3"/>
  <c r="L88" i="3"/>
  <c r="M87" i="3"/>
  <c r="L87" i="3"/>
  <c r="M86" i="3"/>
  <c r="L86" i="3"/>
  <c r="M85" i="3"/>
  <c r="L85" i="3"/>
  <c r="M84" i="3"/>
  <c r="L84" i="3"/>
  <c r="M83" i="3"/>
  <c r="L83" i="3"/>
  <c r="M82" i="3"/>
  <c r="L82" i="3"/>
  <c r="M81" i="3"/>
  <c r="L81" i="3"/>
  <c r="M80" i="3"/>
  <c r="L80" i="3"/>
  <c r="M79" i="3"/>
  <c r="L79" i="3"/>
  <c r="M78" i="3"/>
  <c r="L78" i="3"/>
  <c r="M77" i="3"/>
  <c r="L77" i="3"/>
  <c r="M76" i="3"/>
  <c r="L76" i="3"/>
  <c r="M75" i="3"/>
  <c r="L75" i="3"/>
  <c r="M74" i="3"/>
  <c r="L74" i="3"/>
  <c r="M73" i="3"/>
  <c r="L73" i="3"/>
  <c r="M72" i="3"/>
  <c r="L72" i="3"/>
  <c r="M71" i="3"/>
  <c r="L71" i="3"/>
  <c r="M70" i="3"/>
  <c r="L70" i="3"/>
  <c r="M69" i="3"/>
  <c r="L69" i="3"/>
  <c r="M68" i="3"/>
  <c r="L68" i="3"/>
  <c r="M67" i="3"/>
  <c r="L67" i="3"/>
  <c r="M66" i="3"/>
  <c r="L66" i="3"/>
  <c r="M65" i="3"/>
  <c r="L65" i="3"/>
  <c r="M64" i="3"/>
  <c r="L64" i="3"/>
  <c r="M63" i="3"/>
  <c r="L63" i="3"/>
  <c r="M62" i="3"/>
  <c r="L62" i="3"/>
  <c r="M61" i="3"/>
  <c r="L61" i="3"/>
  <c r="M60" i="3"/>
  <c r="L60" i="3"/>
  <c r="M59" i="3"/>
  <c r="L59" i="3"/>
  <c r="M58" i="3"/>
  <c r="L58" i="3"/>
  <c r="M57" i="3"/>
  <c r="L57" i="3"/>
  <c r="M56" i="3"/>
  <c r="L56" i="3"/>
  <c r="M55" i="3"/>
  <c r="L55" i="3"/>
  <c r="M54" i="3"/>
  <c r="L54" i="3"/>
  <c r="M53" i="3"/>
  <c r="L53" i="3"/>
  <c r="M52" i="3"/>
  <c r="L52" i="3"/>
  <c r="M51" i="3"/>
  <c r="L51" i="3"/>
  <c r="M50" i="3"/>
  <c r="L50" i="3"/>
  <c r="M49" i="3"/>
  <c r="L49" i="3"/>
  <c r="M48" i="3"/>
  <c r="L48" i="3"/>
  <c r="M47" i="3"/>
  <c r="L47" i="3"/>
  <c r="M46" i="3"/>
  <c r="L46" i="3"/>
  <c r="M45" i="3"/>
  <c r="L45" i="3"/>
  <c r="M44" i="3"/>
  <c r="L44" i="3"/>
  <c r="M43" i="3"/>
  <c r="L43" i="3"/>
  <c r="M42" i="3"/>
  <c r="L42" i="3"/>
  <c r="M41" i="3"/>
  <c r="L41" i="3"/>
  <c r="M40" i="3"/>
  <c r="L40"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M13" i="3"/>
  <c r="L13" i="3"/>
  <c r="M12" i="3"/>
  <c r="L12" i="3"/>
  <c r="M11" i="3"/>
  <c r="L11" i="3"/>
  <c r="M10" i="3"/>
  <c r="L10" i="3"/>
  <c r="M9" i="3"/>
  <c r="L9" i="3"/>
  <c r="M8" i="3"/>
  <c r="L8" i="3"/>
  <c r="M7" i="3"/>
  <c r="L7" i="3"/>
  <c r="M6" i="3"/>
  <c r="L6" i="3"/>
  <c r="M5" i="3"/>
  <c r="L5" i="3"/>
  <c r="M4" i="3"/>
  <c r="L4" i="3"/>
  <c r="M3" i="3"/>
  <c r="L3" i="3"/>
  <c r="C46" i="1" s="1"/>
  <c r="M2" i="3"/>
  <c r="L2" i="3"/>
  <c r="P1000" i="2"/>
  <c r="N1000" i="2"/>
  <c r="P999" i="2"/>
  <c r="T999" i="2" s="1"/>
  <c r="N999" i="2"/>
  <c r="P998" i="2"/>
  <c r="N998" i="2"/>
  <c r="P997" i="2"/>
  <c r="T997" i="2" s="1"/>
  <c r="N997" i="2"/>
  <c r="P996" i="2"/>
  <c r="N996" i="2"/>
  <c r="P995" i="2"/>
  <c r="T995" i="2" s="1"/>
  <c r="N995" i="2"/>
  <c r="P994" i="2"/>
  <c r="N994" i="2"/>
  <c r="P993" i="2"/>
  <c r="T993" i="2" s="1"/>
  <c r="N993" i="2"/>
  <c r="P992" i="2"/>
  <c r="N992" i="2"/>
  <c r="P991" i="2"/>
  <c r="T991" i="2" s="1"/>
  <c r="N991" i="2"/>
  <c r="P990" i="2"/>
  <c r="N990" i="2"/>
  <c r="P989" i="2"/>
  <c r="T989" i="2" s="1"/>
  <c r="N989" i="2"/>
  <c r="P988" i="2"/>
  <c r="N988" i="2"/>
  <c r="P987" i="2"/>
  <c r="T987" i="2" s="1"/>
  <c r="N987" i="2"/>
  <c r="P986" i="2"/>
  <c r="N986" i="2"/>
  <c r="P985" i="2"/>
  <c r="T985" i="2" s="1"/>
  <c r="N985" i="2"/>
  <c r="P984" i="2"/>
  <c r="N984" i="2"/>
  <c r="P983" i="2"/>
  <c r="T983" i="2" s="1"/>
  <c r="N983" i="2"/>
  <c r="P982" i="2"/>
  <c r="N982" i="2"/>
  <c r="P981" i="2"/>
  <c r="T981" i="2" s="1"/>
  <c r="N981" i="2"/>
  <c r="P980" i="2"/>
  <c r="N980" i="2"/>
  <c r="P979" i="2"/>
  <c r="T979" i="2" s="1"/>
  <c r="N979" i="2"/>
  <c r="P978" i="2"/>
  <c r="N978" i="2"/>
  <c r="P977" i="2"/>
  <c r="T977" i="2" s="1"/>
  <c r="N977" i="2"/>
  <c r="P976" i="2"/>
  <c r="N976" i="2"/>
  <c r="P975" i="2"/>
  <c r="T975" i="2" s="1"/>
  <c r="N975" i="2"/>
  <c r="P974" i="2"/>
  <c r="N974" i="2"/>
  <c r="P973" i="2"/>
  <c r="T973" i="2" s="1"/>
  <c r="N973" i="2"/>
  <c r="P972" i="2"/>
  <c r="N972" i="2"/>
  <c r="P971" i="2"/>
  <c r="Q971" i="2" s="1"/>
  <c r="N971" i="2"/>
  <c r="P970" i="2"/>
  <c r="Q970" i="2" s="1"/>
  <c r="N970" i="2"/>
  <c r="P969" i="2"/>
  <c r="Q969" i="2" s="1"/>
  <c r="N969" i="2"/>
  <c r="P968" i="2"/>
  <c r="Q968" i="2" s="1"/>
  <c r="N968" i="2"/>
  <c r="P967" i="2"/>
  <c r="Q967" i="2" s="1"/>
  <c r="N967" i="2"/>
  <c r="P966" i="2"/>
  <c r="Q966" i="2" s="1"/>
  <c r="N966" i="2"/>
  <c r="P965" i="2"/>
  <c r="Q965" i="2" s="1"/>
  <c r="N965" i="2"/>
  <c r="P964" i="2"/>
  <c r="Q964" i="2" s="1"/>
  <c r="N964" i="2"/>
  <c r="P963" i="2"/>
  <c r="Q963" i="2" s="1"/>
  <c r="N963" i="2"/>
  <c r="P962" i="2"/>
  <c r="Q962" i="2" s="1"/>
  <c r="N962" i="2"/>
  <c r="P961" i="2"/>
  <c r="Q961" i="2" s="1"/>
  <c r="N961" i="2"/>
  <c r="P960" i="2"/>
  <c r="Q960" i="2" s="1"/>
  <c r="N960" i="2"/>
  <c r="P959" i="2"/>
  <c r="Q959" i="2" s="1"/>
  <c r="N959" i="2"/>
  <c r="P958" i="2"/>
  <c r="Q958" i="2" s="1"/>
  <c r="N958" i="2"/>
  <c r="P957" i="2"/>
  <c r="Q957" i="2" s="1"/>
  <c r="N957" i="2"/>
  <c r="P956" i="2"/>
  <c r="Q956" i="2" s="1"/>
  <c r="N956" i="2"/>
  <c r="P955" i="2"/>
  <c r="Q955" i="2" s="1"/>
  <c r="N955" i="2"/>
  <c r="P954" i="2"/>
  <c r="Q954" i="2" s="1"/>
  <c r="N954" i="2"/>
  <c r="P953" i="2"/>
  <c r="Q953" i="2" s="1"/>
  <c r="N953" i="2"/>
  <c r="P952" i="2"/>
  <c r="Q952" i="2" s="1"/>
  <c r="N952" i="2"/>
  <c r="P951" i="2"/>
  <c r="Q951" i="2" s="1"/>
  <c r="N951" i="2"/>
  <c r="P950" i="2"/>
  <c r="Q950" i="2" s="1"/>
  <c r="N950" i="2"/>
  <c r="P949" i="2"/>
  <c r="Q949" i="2" s="1"/>
  <c r="N949" i="2"/>
  <c r="P948" i="2"/>
  <c r="Q948" i="2" s="1"/>
  <c r="N948" i="2"/>
  <c r="P947" i="2"/>
  <c r="Q947" i="2" s="1"/>
  <c r="N947" i="2"/>
  <c r="P946" i="2"/>
  <c r="Q946" i="2" s="1"/>
  <c r="N946" i="2"/>
  <c r="P945" i="2"/>
  <c r="Q945" i="2" s="1"/>
  <c r="N945" i="2"/>
  <c r="P944" i="2"/>
  <c r="Q944" i="2" s="1"/>
  <c r="N944" i="2"/>
  <c r="P943" i="2"/>
  <c r="Q943" i="2" s="1"/>
  <c r="N943" i="2"/>
  <c r="P942" i="2"/>
  <c r="Q942" i="2" s="1"/>
  <c r="N942" i="2"/>
  <c r="P941" i="2"/>
  <c r="Q941" i="2" s="1"/>
  <c r="N941" i="2"/>
  <c r="P940" i="2"/>
  <c r="Q940" i="2" s="1"/>
  <c r="N940" i="2"/>
  <c r="P939" i="2"/>
  <c r="Q939" i="2" s="1"/>
  <c r="N939" i="2"/>
  <c r="P938" i="2"/>
  <c r="Q938" i="2" s="1"/>
  <c r="N938" i="2"/>
  <c r="P937" i="2"/>
  <c r="Q937" i="2" s="1"/>
  <c r="N937" i="2"/>
  <c r="P936" i="2"/>
  <c r="Q936" i="2" s="1"/>
  <c r="N936" i="2"/>
  <c r="P935" i="2"/>
  <c r="Q935" i="2" s="1"/>
  <c r="N935" i="2"/>
  <c r="P934" i="2"/>
  <c r="Q934" i="2" s="1"/>
  <c r="N934" i="2"/>
  <c r="P933" i="2"/>
  <c r="Q933" i="2" s="1"/>
  <c r="N933" i="2"/>
  <c r="P932" i="2"/>
  <c r="Q932" i="2" s="1"/>
  <c r="N932" i="2"/>
  <c r="P931" i="2"/>
  <c r="Q931" i="2" s="1"/>
  <c r="N931" i="2"/>
  <c r="P930" i="2"/>
  <c r="Q930" i="2" s="1"/>
  <c r="N930" i="2"/>
  <c r="P929" i="2"/>
  <c r="Q929" i="2" s="1"/>
  <c r="N929" i="2"/>
  <c r="P928" i="2"/>
  <c r="Q928" i="2" s="1"/>
  <c r="N928" i="2"/>
  <c r="P927" i="2"/>
  <c r="Q927" i="2" s="1"/>
  <c r="N927" i="2"/>
  <c r="P926" i="2"/>
  <c r="Q926" i="2" s="1"/>
  <c r="N926" i="2"/>
  <c r="P925" i="2"/>
  <c r="Q925" i="2" s="1"/>
  <c r="N925" i="2"/>
  <c r="P924" i="2"/>
  <c r="Q924" i="2" s="1"/>
  <c r="N924" i="2"/>
  <c r="P923" i="2"/>
  <c r="Q923" i="2" s="1"/>
  <c r="N923" i="2"/>
  <c r="P922" i="2"/>
  <c r="Q922" i="2" s="1"/>
  <c r="N922" i="2"/>
  <c r="P921" i="2"/>
  <c r="Q921" i="2" s="1"/>
  <c r="N921" i="2"/>
  <c r="P920" i="2"/>
  <c r="Q920" i="2" s="1"/>
  <c r="N920" i="2"/>
  <c r="P919" i="2"/>
  <c r="Q919" i="2" s="1"/>
  <c r="N919" i="2"/>
  <c r="P918" i="2"/>
  <c r="Q918" i="2" s="1"/>
  <c r="N918" i="2"/>
  <c r="P917" i="2"/>
  <c r="Q917" i="2" s="1"/>
  <c r="N917" i="2"/>
  <c r="P916" i="2"/>
  <c r="Q916" i="2" s="1"/>
  <c r="N916" i="2"/>
  <c r="P915" i="2"/>
  <c r="Q915" i="2" s="1"/>
  <c r="N915" i="2"/>
  <c r="P914" i="2"/>
  <c r="Q914" i="2" s="1"/>
  <c r="N914" i="2"/>
  <c r="P913" i="2"/>
  <c r="Q913" i="2" s="1"/>
  <c r="N913" i="2"/>
  <c r="P912" i="2"/>
  <c r="Q912" i="2" s="1"/>
  <c r="N912" i="2"/>
  <c r="P911" i="2"/>
  <c r="Q911" i="2" s="1"/>
  <c r="N911" i="2"/>
  <c r="P910" i="2"/>
  <c r="Q910" i="2" s="1"/>
  <c r="N910" i="2"/>
  <c r="P909" i="2"/>
  <c r="Q909" i="2" s="1"/>
  <c r="N909" i="2"/>
  <c r="P908" i="2"/>
  <c r="Q908" i="2" s="1"/>
  <c r="N908" i="2"/>
  <c r="P907" i="2"/>
  <c r="Q907" i="2" s="1"/>
  <c r="N907" i="2"/>
  <c r="P906" i="2"/>
  <c r="Q906" i="2" s="1"/>
  <c r="N906" i="2"/>
  <c r="P905" i="2"/>
  <c r="Q905" i="2" s="1"/>
  <c r="N905" i="2"/>
  <c r="P904" i="2"/>
  <c r="Q904" i="2" s="1"/>
  <c r="N904" i="2"/>
  <c r="P903" i="2"/>
  <c r="Q903" i="2" s="1"/>
  <c r="N903" i="2"/>
  <c r="P902" i="2"/>
  <c r="Q902" i="2" s="1"/>
  <c r="N902" i="2"/>
  <c r="P901" i="2"/>
  <c r="Q901" i="2" s="1"/>
  <c r="N901" i="2"/>
  <c r="P900" i="2"/>
  <c r="Q900" i="2" s="1"/>
  <c r="N900" i="2"/>
  <c r="P899" i="2"/>
  <c r="Q899" i="2" s="1"/>
  <c r="N899" i="2"/>
  <c r="P898" i="2"/>
  <c r="Q898" i="2" s="1"/>
  <c r="N898" i="2"/>
  <c r="P897" i="2"/>
  <c r="Q897" i="2" s="1"/>
  <c r="N897" i="2"/>
  <c r="P896" i="2"/>
  <c r="Q896" i="2" s="1"/>
  <c r="N896" i="2"/>
  <c r="P895" i="2"/>
  <c r="Q895" i="2" s="1"/>
  <c r="N895" i="2"/>
  <c r="P894" i="2"/>
  <c r="Q894" i="2" s="1"/>
  <c r="N894" i="2"/>
  <c r="P893" i="2"/>
  <c r="Q893" i="2" s="1"/>
  <c r="N893" i="2"/>
  <c r="P892" i="2"/>
  <c r="Q892" i="2" s="1"/>
  <c r="N892" i="2"/>
  <c r="P891" i="2"/>
  <c r="Q891" i="2" s="1"/>
  <c r="N891" i="2"/>
  <c r="P890" i="2"/>
  <c r="Q890" i="2" s="1"/>
  <c r="N890" i="2"/>
  <c r="P889" i="2"/>
  <c r="Q889" i="2" s="1"/>
  <c r="N889" i="2"/>
  <c r="P888" i="2"/>
  <c r="Q888" i="2" s="1"/>
  <c r="N888" i="2"/>
  <c r="P887" i="2"/>
  <c r="Q887" i="2" s="1"/>
  <c r="N887" i="2"/>
  <c r="P886" i="2"/>
  <c r="Q886" i="2" s="1"/>
  <c r="N886" i="2"/>
  <c r="P885" i="2"/>
  <c r="Q885" i="2" s="1"/>
  <c r="N885" i="2"/>
  <c r="P884" i="2"/>
  <c r="Q884" i="2" s="1"/>
  <c r="N884" i="2"/>
  <c r="P883" i="2"/>
  <c r="Q883" i="2" s="1"/>
  <c r="N883" i="2"/>
  <c r="P882" i="2"/>
  <c r="Q882" i="2" s="1"/>
  <c r="N882" i="2"/>
  <c r="P881" i="2"/>
  <c r="Q881" i="2" s="1"/>
  <c r="N881" i="2"/>
  <c r="P880" i="2"/>
  <c r="Q880" i="2" s="1"/>
  <c r="N880" i="2"/>
  <c r="P879" i="2"/>
  <c r="Q879" i="2" s="1"/>
  <c r="N879" i="2"/>
  <c r="P878" i="2"/>
  <c r="Q878" i="2" s="1"/>
  <c r="N878" i="2"/>
  <c r="P877" i="2"/>
  <c r="Q877" i="2" s="1"/>
  <c r="N877" i="2"/>
  <c r="P876" i="2"/>
  <c r="Q876" i="2" s="1"/>
  <c r="N876" i="2"/>
  <c r="P875" i="2"/>
  <c r="Q875" i="2" s="1"/>
  <c r="N875" i="2"/>
  <c r="P874" i="2"/>
  <c r="Q874" i="2" s="1"/>
  <c r="N874" i="2"/>
  <c r="P873" i="2"/>
  <c r="Q873" i="2" s="1"/>
  <c r="N873" i="2"/>
  <c r="P872" i="2"/>
  <c r="Q872" i="2" s="1"/>
  <c r="N872" i="2"/>
  <c r="P871" i="2"/>
  <c r="Q871" i="2" s="1"/>
  <c r="N871" i="2"/>
  <c r="P870" i="2"/>
  <c r="Q870" i="2" s="1"/>
  <c r="N870" i="2"/>
  <c r="P869" i="2"/>
  <c r="Q869" i="2" s="1"/>
  <c r="N869" i="2"/>
  <c r="P868" i="2"/>
  <c r="Q868" i="2" s="1"/>
  <c r="N868" i="2"/>
  <c r="P867" i="2"/>
  <c r="Q867" i="2" s="1"/>
  <c r="N867" i="2"/>
  <c r="P866" i="2"/>
  <c r="Q866" i="2" s="1"/>
  <c r="N866" i="2"/>
  <c r="P865" i="2"/>
  <c r="Q865" i="2" s="1"/>
  <c r="N865" i="2"/>
  <c r="P864" i="2"/>
  <c r="Q864" i="2" s="1"/>
  <c r="N864" i="2"/>
  <c r="P863" i="2"/>
  <c r="Q863" i="2" s="1"/>
  <c r="N863" i="2"/>
  <c r="P862" i="2"/>
  <c r="Q862" i="2" s="1"/>
  <c r="N862" i="2"/>
  <c r="P861" i="2"/>
  <c r="Q861" i="2" s="1"/>
  <c r="N861" i="2"/>
  <c r="P860" i="2"/>
  <c r="Q860" i="2" s="1"/>
  <c r="N860" i="2"/>
  <c r="P859" i="2"/>
  <c r="Q859" i="2" s="1"/>
  <c r="N859" i="2"/>
  <c r="P858" i="2"/>
  <c r="Q858" i="2" s="1"/>
  <c r="N858" i="2"/>
  <c r="P857" i="2"/>
  <c r="Q857" i="2" s="1"/>
  <c r="N857" i="2"/>
  <c r="P856" i="2"/>
  <c r="Q856" i="2" s="1"/>
  <c r="N856" i="2"/>
  <c r="P855" i="2"/>
  <c r="Q855" i="2" s="1"/>
  <c r="N855" i="2"/>
  <c r="P854" i="2"/>
  <c r="Q854" i="2" s="1"/>
  <c r="N854" i="2"/>
  <c r="P853" i="2"/>
  <c r="Q853" i="2" s="1"/>
  <c r="N853" i="2"/>
  <c r="P852" i="2"/>
  <c r="Q852" i="2" s="1"/>
  <c r="N852" i="2"/>
  <c r="P851" i="2"/>
  <c r="Q851" i="2" s="1"/>
  <c r="N851" i="2"/>
  <c r="P850" i="2"/>
  <c r="Q850" i="2" s="1"/>
  <c r="N850" i="2"/>
  <c r="P849" i="2"/>
  <c r="Q849" i="2" s="1"/>
  <c r="N849" i="2"/>
  <c r="P848" i="2"/>
  <c r="Q848" i="2" s="1"/>
  <c r="N848" i="2"/>
  <c r="P847" i="2"/>
  <c r="Q847" i="2" s="1"/>
  <c r="N847" i="2"/>
  <c r="P846" i="2"/>
  <c r="Q846" i="2" s="1"/>
  <c r="N846" i="2"/>
  <c r="P845" i="2"/>
  <c r="Q845" i="2" s="1"/>
  <c r="N845" i="2"/>
  <c r="P844" i="2"/>
  <c r="Q844" i="2" s="1"/>
  <c r="N844" i="2"/>
  <c r="P843" i="2"/>
  <c r="Q843" i="2" s="1"/>
  <c r="N843" i="2"/>
  <c r="P842" i="2"/>
  <c r="Q842" i="2" s="1"/>
  <c r="N842" i="2"/>
  <c r="P841" i="2"/>
  <c r="Q841" i="2" s="1"/>
  <c r="N841" i="2"/>
  <c r="P840" i="2"/>
  <c r="Q840" i="2" s="1"/>
  <c r="N840" i="2"/>
  <c r="P839" i="2"/>
  <c r="Q839" i="2" s="1"/>
  <c r="N839" i="2"/>
  <c r="P838" i="2"/>
  <c r="Q838" i="2" s="1"/>
  <c r="N838" i="2"/>
  <c r="P837" i="2"/>
  <c r="Q837" i="2" s="1"/>
  <c r="N837" i="2"/>
  <c r="P836" i="2"/>
  <c r="Q836" i="2" s="1"/>
  <c r="N836" i="2"/>
  <c r="P835" i="2"/>
  <c r="Q835" i="2" s="1"/>
  <c r="N835" i="2"/>
  <c r="P834" i="2"/>
  <c r="Q834" i="2" s="1"/>
  <c r="N834" i="2"/>
  <c r="P833" i="2"/>
  <c r="Q833" i="2" s="1"/>
  <c r="N833" i="2"/>
  <c r="P832" i="2"/>
  <c r="Q832" i="2" s="1"/>
  <c r="N832" i="2"/>
  <c r="P831" i="2"/>
  <c r="Q831" i="2" s="1"/>
  <c r="N831" i="2"/>
  <c r="P830" i="2"/>
  <c r="Q830" i="2" s="1"/>
  <c r="N830" i="2"/>
  <c r="P829" i="2"/>
  <c r="Q829" i="2" s="1"/>
  <c r="N829" i="2"/>
  <c r="P828" i="2"/>
  <c r="Q828" i="2" s="1"/>
  <c r="N828" i="2"/>
  <c r="P827" i="2"/>
  <c r="Q827" i="2" s="1"/>
  <c r="N827" i="2"/>
  <c r="P826" i="2"/>
  <c r="Q826" i="2" s="1"/>
  <c r="N826" i="2"/>
  <c r="P825" i="2"/>
  <c r="Q825" i="2" s="1"/>
  <c r="N825" i="2"/>
  <c r="P824" i="2"/>
  <c r="Q824" i="2" s="1"/>
  <c r="N824" i="2"/>
  <c r="P823" i="2"/>
  <c r="Q823" i="2" s="1"/>
  <c r="N823" i="2"/>
  <c r="P822" i="2"/>
  <c r="Q822" i="2" s="1"/>
  <c r="N822" i="2"/>
  <c r="P821" i="2"/>
  <c r="Q821" i="2" s="1"/>
  <c r="N821" i="2"/>
  <c r="P820" i="2"/>
  <c r="Q820" i="2" s="1"/>
  <c r="N820" i="2"/>
  <c r="P819" i="2"/>
  <c r="Q819" i="2" s="1"/>
  <c r="N819" i="2"/>
  <c r="P818" i="2"/>
  <c r="Q818" i="2" s="1"/>
  <c r="N818" i="2"/>
  <c r="P817" i="2"/>
  <c r="Q817" i="2" s="1"/>
  <c r="N817" i="2"/>
  <c r="P816" i="2"/>
  <c r="Q816" i="2" s="1"/>
  <c r="N816" i="2"/>
  <c r="P815" i="2"/>
  <c r="Q815" i="2" s="1"/>
  <c r="N815" i="2"/>
  <c r="P814" i="2"/>
  <c r="Q814" i="2" s="1"/>
  <c r="N814" i="2"/>
  <c r="P813" i="2"/>
  <c r="Q813" i="2" s="1"/>
  <c r="N813" i="2"/>
  <c r="P812" i="2"/>
  <c r="Q812" i="2" s="1"/>
  <c r="N812" i="2"/>
  <c r="P811" i="2"/>
  <c r="Q811" i="2" s="1"/>
  <c r="N811" i="2"/>
  <c r="P810" i="2"/>
  <c r="Q810" i="2" s="1"/>
  <c r="N810" i="2"/>
  <c r="P809" i="2"/>
  <c r="Q809" i="2" s="1"/>
  <c r="N809" i="2"/>
  <c r="P808" i="2"/>
  <c r="Q808" i="2" s="1"/>
  <c r="N808" i="2"/>
  <c r="P807" i="2"/>
  <c r="Q807" i="2" s="1"/>
  <c r="N807" i="2"/>
  <c r="P806" i="2"/>
  <c r="Q806" i="2" s="1"/>
  <c r="N806" i="2"/>
  <c r="P805" i="2"/>
  <c r="Q805" i="2" s="1"/>
  <c r="N805" i="2"/>
  <c r="P804" i="2"/>
  <c r="Q804" i="2" s="1"/>
  <c r="N804" i="2"/>
  <c r="P803" i="2"/>
  <c r="Q803" i="2" s="1"/>
  <c r="N803" i="2"/>
  <c r="P802" i="2"/>
  <c r="Q802" i="2" s="1"/>
  <c r="N802" i="2"/>
  <c r="P801" i="2"/>
  <c r="Q801" i="2" s="1"/>
  <c r="N801" i="2"/>
  <c r="P800" i="2"/>
  <c r="Q800" i="2" s="1"/>
  <c r="N800" i="2"/>
  <c r="P799" i="2"/>
  <c r="Q799" i="2" s="1"/>
  <c r="N799" i="2"/>
  <c r="P798" i="2"/>
  <c r="Q798" i="2" s="1"/>
  <c r="N798" i="2"/>
  <c r="P797" i="2"/>
  <c r="Q797" i="2" s="1"/>
  <c r="N797" i="2"/>
  <c r="P796" i="2"/>
  <c r="Q796" i="2" s="1"/>
  <c r="N796" i="2"/>
  <c r="P795" i="2"/>
  <c r="Q795" i="2" s="1"/>
  <c r="N795" i="2"/>
  <c r="P794" i="2"/>
  <c r="Q794" i="2" s="1"/>
  <c r="N794" i="2"/>
  <c r="P793" i="2"/>
  <c r="Q793" i="2" s="1"/>
  <c r="N793" i="2"/>
  <c r="P792" i="2"/>
  <c r="Q792" i="2" s="1"/>
  <c r="N792" i="2"/>
  <c r="P791" i="2"/>
  <c r="Q791" i="2" s="1"/>
  <c r="N791" i="2"/>
  <c r="P790" i="2"/>
  <c r="Q790" i="2" s="1"/>
  <c r="N790" i="2"/>
  <c r="P789" i="2"/>
  <c r="Q789" i="2" s="1"/>
  <c r="N789" i="2"/>
  <c r="P788" i="2"/>
  <c r="Q788" i="2" s="1"/>
  <c r="N788" i="2"/>
  <c r="P787" i="2"/>
  <c r="Q787" i="2" s="1"/>
  <c r="N787" i="2"/>
  <c r="P786" i="2"/>
  <c r="Q786" i="2" s="1"/>
  <c r="N786" i="2"/>
  <c r="P785" i="2"/>
  <c r="Q785" i="2" s="1"/>
  <c r="N785" i="2"/>
  <c r="P784" i="2"/>
  <c r="Q784" i="2" s="1"/>
  <c r="N784" i="2"/>
  <c r="P783" i="2"/>
  <c r="Q783" i="2" s="1"/>
  <c r="N783" i="2"/>
  <c r="P782" i="2"/>
  <c r="Q782" i="2" s="1"/>
  <c r="N782" i="2"/>
  <c r="P781" i="2"/>
  <c r="Q781" i="2" s="1"/>
  <c r="N781" i="2"/>
  <c r="P780" i="2"/>
  <c r="Q780" i="2" s="1"/>
  <c r="N780" i="2"/>
  <c r="P779" i="2"/>
  <c r="Q779" i="2" s="1"/>
  <c r="N779" i="2"/>
  <c r="P778" i="2"/>
  <c r="Q778" i="2" s="1"/>
  <c r="N778" i="2"/>
  <c r="P777" i="2"/>
  <c r="Q777" i="2" s="1"/>
  <c r="N777" i="2"/>
  <c r="P776" i="2"/>
  <c r="Q776" i="2" s="1"/>
  <c r="N776" i="2"/>
  <c r="P775" i="2"/>
  <c r="Q775" i="2" s="1"/>
  <c r="N775" i="2"/>
  <c r="P774" i="2"/>
  <c r="Q774" i="2" s="1"/>
  <c r="N774" i="2"/>
  <c r="P773" i="2"/>
  <c r="Q773" i="2" s="1"/>
  <c r="N773" i="2"/>
  <c r="P772" i="2"/>
  <c r="Q772" i="2" s="1"/>
  <c r="N772" i="2"/>
  <c r="P771" i="2"/>
  <c r="Q771" i="2" s="1"/>
  <c r="N771" i="2"/>
  <c r="P770" i="2"/>
  <c r="Q770" i="2" s="1"/>
  <c r="N770" i="2"/>
  <c r="P769" i="2"/>
  <c r="Q769" i="2" s="1"/>
  <c r="N769" i="2"/>
  <c r="P768" i="2"/>
  <c r="Q768" i="2" s="1"/>
  <c r="N768" i="2"/>
  <c r="P767" i="2"/>
  <c r="Q767" i="2" s="1"/>
  <c r="N767" i="2"/>
  <c r="P766" i="2"/>
  <c r="Q766" i="2" s="1"/>
  <c r="N766" i="2"/>
  <c r="P765" i="2"/>
  <c r="Q765" i="2" s="1"/>
  <c r="N765" i="2"/>
  <c r="P764" i="2"/>
  <c r="Q764" i="2" s="1"/>
  <c r="N764" i="2"/>
  <c r="P763" i="2"/>
  <c r="Q763" i="2" s="1"/>
  <c r="N763" i="2"/>
  <c r="P762" i="2"/>
  <c r="Q762" i="2" s="1"/>
  <c r="N762" i="2"/>
  <c r="P761" i="2"/>
  <c r="Q761" i="2" s="1"/>
  <c r="N761" i="2"/>
  <c r="P760" i="2"/>
  <c r="Q760" i="2" s="1"/>
  <c r="N760" i="2"/>
  <c r="P759" i="2"/>
  <c r="Q759" i="2" s="1"/>
  <c r="N759" i="2"/>
  <c r="P758" i="2"/>
  <c r="Q758" i="2" s="1"/>
  <c r="N758" i="2"/>
  <c r="P757" i="2"/>
  <c r="Q757" i="2" s="1"/>
  <c r="N757" i="2"/>
  <c r="P756" i="2"/>
  <c r="Q756" i="2" s="1"/>
  <c r="N756" i="2"/>
  <c r="P755" i="2"/>
  <c r="Q755" i="2" s="1"/>
  <c r="N755" i="2"/>
  <c r="P754" i="2"/>
  <c r="Q754" i="2" s="1"/>
  <c r="N754" i="2"/>
  <c r="P753" i="2"/>
  <c r="Q753" i="2" s="1"/>
  <c r="N753" i="2"/>
  <c r="P752" i="2"/>
  <c r="Q752" i="2" s="1"/>
  <c r="N752" i="2"/>
  <c r="P751" i="2"/>
  <c r="Q751" i="2" s="1"/>
  <c r="N751" i="2"/>
  <c r="P750" i="2"/>
  <c r="Q750" i="2" s="1"/>
  <c r="N750" i="2"/>
  <c r="P749" i="2"/>
  <c r="Q749" i="2" s="1"/>
  <c r="N749" i="2"/>
  <c r="P748" i="2"/>
  <c r="Q748" i="2" s="1"/>
  <c r="N748" i="2"/>
  <c r="P747" i="2"/>
  <c r="Q747" i="2" s="1"/>
  <c r="N747" i="2"/>
  <c r="P746" i="2"/>
  <c r="Q746" i="2" s="1"/>
  <c r="N746" i="2"/>
  <c r="P745" i="2"/>
  <c r="Q745" i="2" s="1"/>
  <c r="N745" i="2"/>
  <c r="P744" i="2"/>
  <c r="Q744" i="2" s="1"/>
  <c r="N744" i="2"/>
  <c r="P743" i="2"/>
  <c r="Q743" i="2" s="1"/>
  <c r="N743" i="2"/>
  <c r="P742" i="2"/>
  <c r="Q742" i="2" s="1"/>
  <c r="N742" i="2"/>
  <c r="P741" i="2"/>
  <c r="Q741" i="2" s="1"/>
  <c r="N741" i="2"/>
  <c r="P740" i="2"/>
  <c r="Q740" i="2" s="1"/>
  <c r="N740" i="2"/>
  <c r="P739" i="2"/>
  <c r="Q739" i="2" s="1"/>
  <c r="N739" i="2"/>
  <c r="P738" i="2"/>
  <c r="Q738" i="2" s="1"/>
  <c r="N738" i="2"/>
  <c r="P737" i="2"/>
  <c r="Q737" i="2" s="1"/>
  <c r="N737" i="2"/>
  <c r="P736" i="2"/>
  <c r="Q736" i="2" s="1"/>
  <c r="N736" i="2"/>
  <c r="P735" i="2"/>
  <c r="Q735" i="2" s="1"/>
  <c r="N735" i="2"/>
  <c r="P734" i="2"/>
  <c r="Q734" i="2" s="1"/>
  <c r="N734" i="2"/>
  <c r="P733" i="2"/>
  <c r="Q733" i="2" s="1"/>
  <c r="N733" i="2"/>
  <c r="P732" i="2"/>
  <c r="Q732" i="2" s="1"/>
  <c r="N732" i="2"/>
  <c r="P731" i="2"/>
  <c r="Q731" i="2" s="1"/>
  <c r="N731" i="2"/>
  <c r="P730" i="2"/>
  <c r="Q730" i="2" s="1"/>
  <c r="N730" i="2"/>
  <c r="P729" i="2"/>
  <c r="Q729" i="2" s="1"/>
  <c r="N729" i="2"/>
  <c r="P728" i="2"/>
  <c r="Q728" i="2" s="1"/>
  <c r="N728" i="2"/>
  <c r="P727" i="2"/>
  <c r="Q727" i="2" s="1"/>
  <c r="N727" i="2"/>
  <c r="P726" i="2"/>
  <c r="Q726" i="2" s="1"/>
  <c r="N726" i="2"/>
  <c r="P725" i="2"/>
  <c r="Q725" i="2" s="1"/>
  <c r="N725" i="2"/>
  <c r="P724" i="2"/>
  <c r="Q724" i="2" s="1"/>
  <c r="N724" i="2"/>
  <c r="P723" i="2"/>
  <c r="Q723" i="2" s="1"/>
  <c r="N723" i="2"/>
  <c r="P722" i="2"/>
  <c r="Q722" i="2" s="1"/>
  <c r="N722" i="2"/>
  <c r="P721" i="2"/>
  <c r="Q721" i="2" s="1"/>
  <c r="N721" i="2"/>
  <c r="P720" i="2"/>
  <c r="Q720" i="2" s="1"/>
  <c r="N720" i="2"/>
  <c r="P719" i="2"/>
  <c r="Q719" i="2" s="1"/>
  <c r="N719" i="2"/>
  <c r="P718" i="2"/>
  <c r="Q718" i="2" s="1"/>
  <c r="N718" i="2"/>
  <c r="P717" i="2"/>
  <c r="Q717" i="2" s="1"/>
  <c r="N717" i="2"/>
  <c r="P716" i="2"/>
  <c r="Q716" i="2" s="1"/>
  <c r="N716" i="2"/>
  <c r="P715" i="2"/>
  <c r="Q715" i="2" s="1"/>
  <c r="N715" i="2"/>
  <c r="P714" i="2"/>
  <c r="Q714" i="2" s="1"/>
  <c r="N714" i="2"/>
  <c r="P713" i="2"/>
  <c r="Q713" i="2" s="1"/>
  <c r="N713" i="2"/>
  <c r="P712" i="2"/>
  <c r="Q712" i="2" s="1"/>
  <c r="N712" i="2"/>
  <c r="P711" i="2"/>
  <c r="Q711" i="2" s="1"/>
  <c r="N711" i="2"/>
  <c r="P710" i="2"/>
  <c r="Q710" i="2" s="1"/>
  <c r="N710" i="2"/>
  <c r="P709" i="2"/>
  <c r="Q709" i="2" s="1"/>
  <c r="N709" i="2"/>
  <c r="P708" i="2"/>
  <c r="Q708" i="2" s="1"/>
  <c r="N708" i="2"/>
  <c r="P707" i="2"/>
  <c r="Q707" i="2" s="1"/>
  <c r="N707" i="2"/>
  <c r="P706" i="2"/>
  <c r="Q706" i="2" s="1"/>
  <c r="N706" i="2"/>
  <c r="P705" i="2"/>
  <c r="Q705" i="2" s="1"/>
  <c r="N705" i="2"/>
  <c r="P704" i="2"/>
  <c r="Q704" i="2" s="1"/>
  <c r="N704" i="2"/>
  <c r="P703" i="2"/>
  <c r="Q703" i="2" s="1"/>
  <c r="N703" i="2"/>
  <c r="P702" i="2"/>
  <c r="Q702" i="2" s="1"/>
  <c r="N702" i="2"/>
  <c r="P701" i="2"/>
  <c r="Q701" i="2" s="1"/>
  <c r="N701" i="2"/>
  <c r="P700" i="2"/>
  <c r="Q700" i="2" s="1"/>
  <c r="N700" i="2"/>
  <c r="P699" i="2"/>
  <c r="Q699" i="2" s="1"/>
  <c r="N699" i="2"/>
  <c r="P698" i="2"/>
  <c r="Q698" i="2" s="1"/>
  <c r="N698" i="2"/>
  <c r="P697" i="2"/>
  <c r="Q697" i="2" s="1"/>
  <c r="N697" i="2"/>
  <c r="P696" i="2"/>
  <c r="Q696" i="2" s="1"/>
  <c r="N696" i="2"/>
  <c r="P695" i="2"/>
  <c r="Q695" i="2" s="1"/>
  <c r="N695" i="2"/>
  <c r="P694" i="2"/>
  <c r="Q694" i="2" s="1"/>
  <c r="N694" i="2"/>
  <c r="P693" i="2"/>
  <c r="Q693" i="2" s="1"/>
  <c r="N693" i="2"/>
  <c r="P692" i="2"/>
  <c r="Q692" i="2" s="1"/>
  <c r="N692" i="2"/>
  <c r="P691" i="2"/>
  <c r="Q691" i="2" s="1"/>
  <c r="N691" i="2"/>
  <c r="P690" i="2"/>
  <c r="Q690" i="2" s="1"/>
  <c r="N690" i="2"/>
  <c r="P689" i="2"/>
  <c r="Q689" i="2" s="1"/>
  <c r="N689" i="2"/>
  <c r="P688" i="2"/>
  <c r="Q688" i="2" s="1"/>
  <c r="N688" i="2"/>
  <c r="P687" i="2"/>
  <c r="Q687" i="2" s="1"/>
  <c r="N687" i="2"/>
  <c r="P686" i="2"/>
  <c r="Q686" i="2" s="1"/>
  <c r="N686" i="2"/>
  <c r="P685" i="2"/>
  <c r="Q685" i="2" s="1"/>
  <c r="N685" i="2"/>
  <c r="P684" i="2"/>
  <c r="Q684" i="2" s="1"/>
  <c r="N684" i="2"/>
  <c r="P683" i="2"/>
  <c r="Q683" i="2" s="1"/>
  <c r="N683" i="2"/>
  <c r="P682" i="2"/>
  <c r="Q682" i="2" s="1"/>
  <c r="N682" i="2"/>
  <c r="P681" i="2"/>
  <c r="Q681" i="2" s="1"/>
  <c r="N681" i="2"/>
  <c r="P680" i="2"/>
  <c r="Q680" i="2" s="1"/>
  <c r="N680" i="2"/>
  <c r="P679" i="2"/>
  <c r="Q679" i="2" s="1"/>
  <c r="N679" i="2"/>
  <c r="P678" i="2"/>
  <c r="Q678" i="2" s="1"/>
  <c r="N678" i="2"/>
  <c r="P677" i="2"/>
  <c r="Q677" i="2" s="1"/>
  <c r="N677" i="2"/>
  <c r="P676" i="2"/>
  <c r="Q676" i="2" s="1"/>
  <c r="N676" i="2"/>
  <c r="P675" i="2"/>
  <c r="Q675" i="2" s="1"/>
  <c r="N675" i="2"/>
  <c r="P674" i="2"/>
  <c r="Q674" i="2" s="1"/>
  <c r="N674" i="2"/>
  <c r="P673" i="2"/>
  <c r="Q673" i="2" s="1"/>
  <c r="N673" i="2"/>
  <c r="P672" i="2"/>
  <c r="Q672" i="2" s="1"/>
  <c r="N672" i="2"/>
  <c r="P671" i="2"/>
  <c r="Q671" i="2" s="1"/>
  <c r="N671" i="2"/>
  <c r="P670" i="2"/>
  <c r="Q670" i="2" s="1"/>
  <c r="N670" i="2"/>
  <c r="P669" i="2"/>
  <c r="Q669" i="2" s="1"/>
  <c r="N669" i="2"/>
  <c r="P668" i="2"/>
  <c r="Q668" i="2" s="1"/>
  <c r="N668" i="2"/>
  <c r="P667" i="2"/>
  <c r="Q667" i="2" s="1"/>
  <c r="N667" i="2"/>
  <c r="P666" i="2"/>
  <c r="Q666" i="2" s="1"/>
  <c r="N666" i="2"/>
  <c r="P665" i="2"/>
  <c r="Q665" i="2" s="1"/>
  <c r="N665" i="2"/>
  <c r="P664" i="2"/>
  <c r="Q664" i="2" s="1"/>
  <c r="N664" i="2"/>
  <c r="P663" i="2"/>
  <c r="Q663" i="2" s="1"/>
  <c r="N663" i="2"/>
  <c r="P662" i="2"/>
  <c r="Q662" i="2" s="1"/>
  <c r="N662" i="2"/>
  <c r="P661" i="2"/>
  <c r="Q661" i="2" s="1"/>
  <c r="N661" i="2"/>
  <c r="P660" i="2"/>
  <c r="Q660" i="2" s="1"/>
  <c r="N660" i="2"/>
  <c r="P659" i="2"/>
  <c r="Q659" i="2" s="1"/>
  <c r="N659" i="2"/>
  <c r="P658" i="2"/>
  <c r="Q658" i="2" s="1"/>
  <c r="N658" i="2"/>
  <c r="P657" i="2"/>
  <c r="Q657" i="2" s="1"/>
  <c r="N657" i="2"/>
  <c r="P656" i="2"/>
  <c r="Q656" i="2" s="1"/>
  <c r="N656" i="2"/>
  <c r="P655" i="2"/>
  <c r="Q655" i="2" s="1"/>
  <c r="N655" i="2"/>
  <c r="P654" i="2"/>
  <c r="Q654" i="2" s="1"/>
  <c r="N654" i="2"/>
  <c r="P653" i="2"/>
  <c r="Q653" i="2" s="1"/>
  <c r="N653" i="2"/>
  <c r="P652" i="2"/>
  <c r="Q652" i="2" s="1"/>
  <c r="N652" i="2"/>
  <c r="P651" i="2"/>
  <c r="Q651" i="2" s="1"/>
  <c r="N651" i="2"/>
  <c r="P650" i="2"/>
  <c r="Q650" i="2" s="1"/>
  <c r="N650" i="2"/>
  <c r="P649" i="2"/>
  <c r="Q649" i="2" s="1"/>
  <c r="N649" i="2"/>
  <c r="P648" i="2"/>
  <c r="Q648" i="2" s="1"/>
  <c r="N648" i="2"/>
  <c r="P647" i="2"/>
  <c r="Q647" i="2" s="1"/>
  <c r="N647" i="2"/>
  <c r="P646" i="2"/>
  <c r="Q646" i="2" s="1"/>
  <c r="N646" i="2"/>
  <c r="P645" i="2"/>
  <c r="Q645" i="2" s="1"/>
  <c r="N645" i="2"/>
  <c r="P644" i="2"/>
  <c r="Q644" i="2" s="1"/>
  <c r="N644" i="2"/>
  <c r="P643" i="2"/>
  <c r="Q643" i="2" s="1"/>
  <c r="N643" i="2"/>
  <c r="P642" i="2"/>
  <c r="Q642" i="2" s="1"/>
  <c r="N642" i="2"/>
  <c r="P641" i="2"/>
  <c r="Q641" i="2" s="1"/>
  <c r="N641" i="2"/>
  <c r="P640" i="2"/>
  <c r="Q640" i="2" s="1"/>
  <c r="N640" i="2"/>
  <c r="P639" i="2"/>
  <c r="Q639" i="2" s="1"/>
  <c r="N639" i="2"/>
  <c r="P638" i="2"/>
  <c r="Q638" i="2" s="1"/>
  <c r="N638" i="2"/>
  <c r="P637" i="2"/>
  <c r="Q637" i="2" s="1"/>
  <c r="N637" i="2"/>
  <c r="P636" i="2"/>
  <c r="Q636" i="2" s="1"/>
  <c r="N636" i="2"/>
  <c r="P635" i="2"/>
  <c r="Q635" i="2" s="1"/>
  <c r="N635" i="2"/>
  <c r="P634" i="2"/>
  <c r="Q634" i="2" s="1"/>
  <c r="N634" i="2"/>
  <c r="P633" i="2"/>
  <c r="Q633" i="2" s="1"/>
  <c r="N633" i="2"/>
  <c r="P632" i="2"/>
  <c r="Q632" i="2" s="1"/>
  <c r="N632" i="2"/>
  <c r="P631" i="2"/>
  <c r="Q631" i="2" s="1"/>
  <c r="N631" i="2"/>
  <c r="P630" i="2"/>
  <c r="Q630" i="2" s="1"/>
  <c r="N630" i="2"/>
  <c r="P629" i="2"/>
  <c r="Q629" i="2" s="1"/>
  <c r="N629" i="2"/>
  <c r="P628" i="2"/>
  <c r="Q628" i="2" s="1"/>
  <c r="N628" i="2"/>
  <c r="P627" i="2"/>
  <c r="Q627" i="2" s="1"/>
  <c r="N627" i="2"/>
  <c r="P626" i="2"/>
  <c r="Q626" i="2" s="1"/>
  <c r="N626" i="2"/>
  <c r="P625" i="2"/>
  <c r="Q625" i="2" s="1"/>
  <c r="N625" i="2"/>
  <c r="P624" i="2"/>
  <c r="Q624" i="2" s="1"/>
  <c r="N624" i="2"/>
  <c r="P623" i="2"/>
  <c r="Q623" i="2" s="1"/>
  <c r="N623" i="2"/>
  <c r="P622" i="2"/>
  <c r="Q622" i="2" s="1"/>
  <c r="N622" i="2"/>
  <c r="P621" i="2"/>
  <c r="Q621" i="2" s="1"/>
  <c r="N621" i="2"/>
  <c r="P620" i="2"/>
  <c r="T620" i="2" s="1"/>
  <c r="N620" i="2"/>
  <c r="P619" i="2"/>
  <c r="T619" i="2" s="1"/>
  <c r="N619" i="2"/>
  <c r="P618" i="2"/>
  <c r="T618" i="2" s="1"/>
  <c r="N618" i="2"/>
  <c r="P617" i="2"/>
  <c r="T617" i="2" s="1"/>
  <c r="N617" i="2"/>
  <c r="P616" i="2"/>
  <c r="T616" i="2" s="1"/>
  <c r="N616" i="2"/>
  <c r="P615" i="2"/>
  <c r="T615" i="2" s="1"/>
  <c r="N615" i="2"/>
  <c r="P614" i="2"/>
  <c r="T614" i="2" s="1"/>
  <c r="N614" i="2"/>
  <c r="P613" i="2"/>
  <c r="T613" i="2" s="1"/>
  <c r="N613" i="2"/>
  <c r="P612" i="2"/>
  <c r="T612" i="2" s="1"/>
  <c r="N612" i="2"/>
  <c r="P611" i="2"/>
  <c r="T611" i="2" s="1"/>
  <c r="N611" i="2"/>
  <c r="P610" i="2"/>
  <c r="T610" i="2" s="1"/>
  <c r="N610" i="2"/>
  <c r="P609" i="2"/>
  <c r="T609" i="2" s="1"/>
  <c r="N609" i="2"/>
  <c r="P608" i="2"/>
  <c r="T608" i="2" s="1"/>
  <c r="N608" i="2"/>
  <c r="P607" i="2"/>
  <c r="T607" i="2" s="1"/>
  <c r="N607" i="2"/>
  <c r="P606" i="2"/>
  <c r="T606" i="2" s="1"/>
  <c r="N606" i="2"/>
  <c r="P605" i="2"/>
  <c r="T605" i="2" s="1"/>
  <c r="N605" i="2"/>
  <c r="P604" i="2"/>
  <c r="T604" i="2" s="1"/>
  <c r="N604" i="2"/>
  <c r="P603" i="2"/>
  <c r="T603" i="2" s="1"/>
  <c r="N603" i="2"/>
  <c r="P602" i="2"/>
  <c r="T602" i="2" s="1"/>
  <c r="N602" i="2"/>
  <c r="P601" i="2"/>
  <c r="T601" i="2" s="1"/>
  <c r="N601" i="2"/>
  <c r="P600" i="2"/>
  <c r="T600" i="2" s="1"/>
  <c r="N600" i="2"/>
  <c r="P599" i="2"/>
  <c r="N599" i="2"/>
  <c r="P598" i="2"/>
  <c r="N598" i="2"/>
  <c r="P597" i="2"/>
  <c r="N597" i="2"/>
  <c r="P596" i="2"/>
  <c r="N596" i="2"/>
  <c r="P595" i="2"/>
  <c r="N595" i="2"/>
  <c r="P594" i="2"/>
  <c r="N594" i="2"/>
  <c r="P593" i="2"/>
  <c r="N593" i="2"/>
  <c r="P592" i="2"/>
  <c r="N592" i="2"/>
  <c r="P591" i="2"/>
  <c r="N591" i="2"/>
  <c r="P590" i="2"/>
  <c r="N590" i="2"/>
  <c r="P589" i="2"/>
  <c r="N589" i="2"/>
  <c r="P588" i="2"/>
  <c r="N588" i="2"/>
  <c r="P587" i="2"/>
  <c r="N587" i="2"/>
  <c r="P586" i="2"/>
  <c r="N586" i="2"/>
  <c r="P585" i="2"/>
  <c r="N585" i="2"/>
  <c r="P584" i="2"/>
  <c r="N584" i="2"/>
  <c r="P583" i="2"/>
  <c r="N583" i="2"/>
  <c r="P582" i="2"/>
  <c r="N582" i="2"/>
  <c r="P581" i="2"/>
  <c r="N581" i="2"/>
  <c r="P580" i="2"/>
  <c r="N580" i="2"/>
  <c r="P579" i="2"/>
  <c r="N579" i="2"/>
  <c r="P578" i="2"/>
  <c r="N578" i="2"/>
  <c r="P577" i="2"/>
  <c r="N577" i="2"/>
  <c r="P576" i="2"/>
  <c r="N576" i="2"/>
  <c r="P575" i="2"/>
  <c r="N575" i="2"/>
  <c r="P574" i="2"/>
  <c r="N574" i="2"/>
  <c r="P573" i="2"/>
  <c r="N573" i="2"/>
  <c r="P572" i="2"/>
  <c r="N572" i="2"/>
  <c r="P571" i="2"/>
  <c r="N571" i="2"/>
  <c r="P570" i="2"/>
  <c r="N570" i="2"/>
  <c r="P569" i="2"/>
  <c r="N569" i="2"/>
  <c r="P568" i="2"/>
  <c r="N568" i="2"/>
  <c r="P567" i="2"/>
  <c r="N567" i="2"/>
  <c r="P566" i="2"/>
  <c r="N566" i="2"/>
  <c r="P565" i="2"/>
  <c r="N565" i="2"/>
  <c r="P564" i="2"/>
  <c r="N564" i="2"/>
  <c r="P563" i="2"/>
  <c r="N563" i="2"/>
  <c r="P562" i="2"/>
  <c r="N562" i="2"/>
  <c r="P561" i="2"/>
  <c r="N561" i="2"/>
  <c r="P560" i="2"/>
  <c r="N560" i="2"/>
  <c r="P559" i="2"/>
  <c r="N559" i="2"/>
  <c r="P558" i="2"/>
  <c r="N558" i="2"/>
  <c r="P557" i="2"/>
  <c r="N557" i="2"/>
  <c r="P556" i="2"/>
  <c r="N556" i="2"/>
  <c r="P555" i="2"/>
  <c r="N555" i="2"/>
  <c r="P554" i="2"/>
  <c r="N554" i="2"/>
  <c r="P553" i="2"/>
  <c r="N553" i="2"/>
  <c r="P552" i="2"/>
  <c r="N552" i="2"/>
  <c r="P551" i="2"/>
  <c r="N551" i="2"/>
  <c r="P550" i="2"/>
  <c r="N550" i="2"/>
  <c r="P549" i="2"/>
  <c r="N549" i="2"/>
  <c r="P548" i="2"/>
  <c r="N548" i="2"/>
  <c r="P547" i="2"/>
  <c r="N547" i="2"/>
  <c r="P546" i="2"/>
  <c r="N546" i="2"/>
  <c r="P545" i="2"/>
  <c r="N545" i="2"/>
  <c r="P544" i="2"/>
  <c r="N544" i="2"/>
  <c r="P543" i="2"/>
  <c r="N543" i="2"/>
  <c r="P542" i="2"/>
  <c r="N542" i="2"/>
  <c r="P541" i="2"/>
  <c r="N541" i="2"/>
  <c r="P540" i="2"/>
  <c r="N540" i="2"/>
  <c r="P539" i="2"/>
  <c r="N539" i="2"/>
  <c r="P538" i="2"/>
  <c r="N538" i="2"/>
  <c r="P537" i="2"/>
  <c r="N537" i="2"/>
  <c r="P536" i="2"/>
  <c r="N536" i="2"/>
  <c r="P535" i="2"/>
  <c r="N535" i="2"/>
  <c r="P534" i="2"/>
  <c r="N534" i="2"/>
  <c r="P533" i="2"/>
  <c r="N533" i="2"/>
  <c r="P532" i="2"/>
  <c r="N532" i="2"/>
  <c r="P531" i="2"/>
  <c r="N531" i="2"/>
  <c r="P530" i="2"/>
  <c r="N530" i="2"/>
  <c r="P529" i="2"/>
  <c r="N529" i="2"/>
  <c r="P528" i="2"/>
  <c r="N528" i="2"/>
  <c r="P527" i="2"/>
  <c r="N527" i="2"/>
  <c r="P526" i="2"/>
  <c r="N526" i="2"/>
  <c r="P525" i="2"/>
  <c r="N525" i="2"/>
  <c r="P524" i="2"/>
  <c r="N524" i="2"/>
  <c r="P523" i="2"/>
  <c r="N523" i="2"/>
  <c r="P522" i="2"/>
  <c r="N522" i="2"/>
  <c r="P521" i="2"/>
  <c r="N521" i="2"/>
  <c r="P520" i="2"/>
  <c r="N520" i="2"/>
  <c r="P519" i="2"/>
  <c r="N519" i="2"/>
  <c r="P518" i="2"/>
  <c r="N518" i="2"/>
  <c r="P517" i="2"/>
  <c r="N517" i="2"/>
  <c r="P516" i="2"/>
  <c r="N516" i="2"/>
  <c r="P515" i="2"/>
  <c r="N515" i="2"/>
  <c r="P514" i="2"/>
  <c r="N514" i="2"/>
  <c r="P513" i="2"/>
  <c r="N513" i="2"/>
  <c r="P512" i="2"/>
  <c r="N512" i="2"/>
  <c r="P511" i="2"/>
  <c r="N511" i="2"/>
  <c r="P510" i="2"/>
  <c r="N510" i="2"/>
  <c r="P509" i="2"/>
  <c r="N509" i="2"/>
  <c r="P508" i="2"/>
  <c r="N508" i="2"/>
  <c r="P507" i="2"/>
  <c r="N507" i="2"/>
  <c r="P506" i="2"/>
  <c r="N506" i="2"/>
  <c r="P505" i="2"/>
  <c r="N505" i="2"/>
  <c r="P504" i="2"/>
  <c r="N504" i="2"/>
  <c r="P503" i="2"/>
  <c r="N503" i="2"/>
  <c r="P502" i="2"/>
  <c r="N502" i="2"/>
  <c r="P501" i="2"/>
  <c r="N501" i="2"/>
  <c r="P500" i="2"/>
  <c r="N500" i="2"/>
  <c r="P499" i="2"/>
  <c r="N499" i="2"/>
  <c r="P498" i="2"/>
  <c r="N498" i="2"/>
  <c r="P497" i="2"/>
  <c r="N497" i="2"/>
  <c r="P496" i="2"/>
  <c r="N496" i="2"/>
  <c r="P495" i="2"/>
  <c r="N495" i="2"/>
  <c r="P494" i="2"/>
  <c r="N494" i="2"/>
  <c r="P493" i="2"/>
  <c r="N493" i="2"/>
  <c r="P492" i="2"/>
  <c r="N492" i="2"/>
  <c r="P491" i="2"/>
  <c r="N491" i="2"/>
  <c r="P490" i="2"/>
  <c r="N490" i="2"/>
  <c r="P489" i="2"/>
  <c r="N489" i="2"/>
  <c r="P488" i="2"/>
  <c r="N488" i="2"/>
  <c r="P487" i="2"/>
  <c r="N487" i="2"/>
  <c r="P486" i="2"/>
  <c r="N486" i="2"/>
  <c r="P485" i="2"/>
  <c r="N485" i="2"/>
  <c r="P484" i="2"/>
  <c r="N484" i="2"/>
  <c r="P483" i="2"/>
  <c r="N483" i="2"/>
  <c r="P482" i="2"/>
  <c r="N482" i="2"/>
  <c r="P481" i="2"/>
  <c r="N481" i="2"/>
  <c r="P480" i="2"/>
  <c r="N480" i="2"/>
  <c r="P479" i="2"/>
  <c r="N479" i="2"/>
  <c r="P478" i="2"/>
  <c r="N478" i="2"/>
  <c r="P477" i="2"/>
  <c r="N477" i="2"/>
  <c r="P476" i="2"/>
  <c r="N476" i="2"/>
  <c r="P475" i="2"/>
  <c r="N475" i="2"/>
  <c r="P474" i="2"/>
  <c r="N474" i="2"/>
  <c r="P473" i="2"/>
  <c r="N473" i="2"/>
  <c r="P472" i="2"/>
  <c r="N472" i="2"/>
  <c r="P471" i="2"/>
  <c r="N471" i="2"/>
  <c r="P470" i="2"/>
  <c r="N470" i="2"/>
  <c r="P469" i="2"/>
  <c r="N469" i="2"/>
  <c r="P468" i="2"/>
  <c r="N468" i="2"/>
  <c r="P467" i="2"/>
  <c r="N467" i="2"/>
  <c r="P466" i="2"/>
  <c r="N466" i="2"/>
  <c r="P465" i="2"/>
  <c r="N465" i="2"/>
  <c r="P464" i="2"/>
  <c r="N464" i="2"/>
  <c r="P463" i="2"/>
  <c r="N463" i="2"/>
  <c r="P462" i="2"/>
  <c r="N462" i="2"/>
  <c r="P461" i="2"/>
  <c r="N461" i="2"/>
  <c r="P460" i="2"/>
  <c r="N460" i="2"/>
  <c r="P459" i="2"/>
  <c r="N459" i="2"/>
  <c r="P458" i="2"/>
  <c r="N458" i="2"/>
  <c r="P457" i="2"/>
  <c r="N457" i="2"/>
  <c r="P456" i="2"/>
  <c r="N456" i="2"/>
  <c r="P455" i="2"/>
  <c r="Q455" i="2" s="1"/>
  <c r="N455" i="2"/>
  <c r="P454" i="2"/>
  <c r="Q454" i="2" s="1"/>
  <c r="N454" i="2"/>
  <c r="P453" i="2"/>
  <c r="Q453" i="2" s="1"/>
  <c r="N453" i="2"/>
  <c r="P452" i="2"/>
  <c r="Q452" i="2" s="1"/>
  <c r="N452" i="2"/>
  <c r="P451" i="2"/>
  <c r="Q451" i="2" s="1"/>
  <c r="N451" i="2"/>
  <c r="P450" i="2"/>
  <c r="Q450" i="2" s="1"/>
  <c r="N450" i="2"/>
  <c r="P449" i="2"/>
  <c r="Q449" i="2" s="1"/>
  <c r="N449" i="2"/>
  <c r="P448" i="2"/>
  <c r="Q448" i="2" s="1"/>
  <c r="N448" i="2"/>
  <c r="P447" i="2"/>
  <c r="Q447" i="2" s="1"/>
  <c r="N447" i="2"/>
  <c r="P446" i="2"/>
  <c r="Q446" i="2" s="1"/>
  <c r="N446" i="2"/>
  <c r="P445" i="2"/>
  <c r="Q445" i="2" s="1"/>
  <c r="N445" i="2"/>
  <c r="P444" i="2"/>
  <c r="Q444" i="2" s="1"/>
  <c r="N444" i="2"/>
  <c r="P443" i="2"/>
  <c r="Q443" i="2" s="1"/>
  <c r="N443" i="2"/>
  <c r="P442" i="2"/>
  <c r="Q442" i="2" s="1"/>
  <c r="N442" i="2"/>
  <c r="P441" i="2"/>
  <c r="Q441" i="2" s="1"/>
  <c r="N441" i="2"/>
  <c r="P440" i="2"/>
  <c r="Q440" i="2" s="1"/>
  <c r="N440" i="2"/>
  <c r="P439" i="2"/>
  <c r="Q439" i="2" s="1"/>
  <c r="N439" i="2"/>
  <c r="P438" i="2"/>
  <c r="Q438" i="2" s="1"/>
  <c r="N438" i="2"/>
  <c r="P437" i="2"/>
  <c r="Q437" i="2" s="1"/>
  <c r="N437" i="2"/>
  <c r="P436" i="2"/>
  <c r="Q436" i="2" s="1"/>
  <c r="N436" i="2"/>
  <c r="P435" i="2"/>
  <c r="Q435" i="2" s="1"/>
  <c r="N435" i="2"/>
  <c r="P434" i="2"/>
  <c r="Q434" i="2" s="1"/>
  <c r="N434" i="2"/>
  <c r="P433" i="2"/>
  <c r="Q433" i="2" s="1"/>
  <c r="N433" i="2"/>
  <c r="P432" i="2"/>
  <c r="Q432" i="2" s="1"/>
  <c r="N432" i="2"/>
  <c r="P431" i="2"/>
  <c r="Q431" i="2" s="1"/>
  <c r="N431" i="2"/>
  <c r="P430" i="2"/>
  <c r="Q430" i="2" s="1"/>
  <c r="N430" i="2"/>
  <c r="P429" i="2"/>
  <c r="Q429" i="2" s="1"/>
  <c r="N429" i="2"/>
  <c r="P428" i="2"/>
  <c r="Q428" i="2" s="1"/>
  <c r="N428" i="2"/>
  <c r="P427" i="2"/>
  <c r="Q427" i="2" s="1"/>
  <c r="N427" i="2"/>
  <c r="P426" i="2"/>
  <c r="Q426" i="2" s="1"/>
  <c r="N426" i="2"/>
  <c r="P425" i="2"/>
  <c r="Q425" i="2" s="1"/>
  <c r="N425" i="2"/>
  <c r="P424" i="2"/>
  <c r="Q424" i="2" s="1"/>
  <c r="N424" i="2"/>
  <c r="P423" i="2"/>
  <c r="Q423" i="2" s="1"/>
  <c r="N423" i="2"/>
  <c r="P422" i="2"/>
  <c r="Q422" i="2" s="1"/>
  <c r="N422" i="2"/>
  <c r="P421" i="2"/>
  <c r="Q421" i="2" s="1"/>
  <c r="N421" i="2"/>
  <c r="P420" i="2"/>
  <c r="Q420" i="2" s="1"/>
  <c r="N420" i="2"/>
  <c r="P419" i="2"/>
  <c r="Q419" i="2" s="1"/>
  <c r="N419" i="2"/>
  <c r="P418" i="2"/>
  <c r="Q418" i="2" s="1"/>
  <c r="N418" i="2"/>
  <c r="P417" i="2"/>
  <c r="Q417" i="2" s="1"/>
  <c r="N417" i="2"/>
  <c r="P416" i="2"/>
  <c r="Q416" i="2" s="1"/>
  <c r="N416" i="2"/>
  <c r="P415" i="2"/>
  <c r="Q415" i="2" s="1"/>
  <c r="N415" i="2"/>
  <c r="P414" i="2"/>
  <c r="Q414" i="2" s="1"/>
  <c r="N414" i="2"/>
  <c r="P413" i="2"/>
  <c r="Q413" i="2" s="1"/>
  <c r="N413" i="2"/>
  <c r="P412" i="2"/>
  <c r="Q412" i="2" s="1"/>
  <c r="N412" i="2"/>
  <c r="P411" i="2"/>
  <c r="Q411" i="2" s="1"/>
  <c r="N411" i="2"/>
  <c r="P410" i="2"/>
  <c r="Q410" i="2" s="1"/>
  <c r="N410" i="2"/>
  <c r="P409" i="2"/>
  <c r="Q409" i="2" s="1"/>
  <c r="N409" i="2"/>
  <c r="P408" i="2"/>
  <c r="Q408" i="2" s="1"/>
  <c r="N408" i="2"/>
  <c r="P407" i="2"/>
  <c r="Q407" i="2" s="1"/>
  <c r="N407" i="2"/>
  <c r="P406" i="2"/>
  <c r="Q406" i="2" s="1"/>
  <c r="N406" i="2"/>
  <c r="P405" i="2"/>
  <c r="Q405" i="2" s="1"/>
  <c r="N405" i="2"/>
  <c r="P404" i="2"/>
  <c r="Q404" i="2" s="1"/>
  <c r="N404" i="2"/>
  <c r="P403" i="2"/>
  <c r="Q403" i="2" s="1"/>
  <c r="N403" i="2"/>
  <c r="P402" i="2"/>
  <c r="Q402" i="2" s="1"/>
  <c r="N402" i="2"/>
  <c r="P401" i="2"/>
  <c r="Q401" i="2" s="1"/>
  <c r="N401" i="2"/>
  <c r="P400" i="2"/>
  <c r="Q400" i="2" s="1"/>
  <c r="N400" i="2"/>
  <c r="P399" i="2"/>
  <c r="Q399" i="2" s="1"/>
  <c r="N399" i="2"/>
  <c r="P398" i="2"/>
  <c r="N398" i="2"/>
  <c r="P397" i="2"/>
  <c r="Q397" i="2" s="1"/>
  <c r="N397" i="2"/>
  <c r="P396" i="2"/>
  <c r="Q396" i="2" s="1"/>
  <c r="N396" i="2"/>
  <c r="P395" i="2"/>
  <c r="Q395" i="2" s="1"/>
  <c r="N395" i="2"/>
  <c r="P394" i="2"/>
  <c r="N394" i="2"/>
  <c r="P393" i="2"/>
  <c r="Q393" i="2" s="1"/>
  <c r="N393" i="2"/>
  <c r="P392" i="2"/>
  <c r="Q392" i="2" s="1"/>
  <c r="N392" i="2"/>
  <c r="P391" i="2"/>
  <c r="Q391" i="2" s="1"/>
  <c r="N391" i="2"/>
  <c r="P390" i="2"/>
  <c r="N390" i="2"/>
  <c r="P389" i="2"/>
  <c r="Q389" i="2" s="1"/>
  <c r="N389" i="2"/>
  <c r="P388" i="2"/>
  <c r="Q388" i="2" s="1"/>
  <c r="N388" i="2"/>
  <c r="P387" i="2"/>
  <c r="Q387" i="2" s="1"/>
  <c r="N387" i="2"/>
  <c r="P386" i="2"/>
  <c r="N386" i="2"/>
  <c r="P385" i="2"/>
  <c r="Q385" i="2" s="1"/>
  <c r="N385" i="2"/>
  <c r="P384" i="2"/>
  <c r="Q384" i="2" s="1"/>
  <c r="N384" i="2"/>
  <c r="P383" i="2"/>
  <c r="Q383" i="2" s="1"/>
  <c r="N383" i="2"/>
  <c r="P382" i="2"/>
  <c r="N382" i="2"/>
  <c r="P381" i="2"/>
  <c r="Q381" i="2" s="1"/>
  <c r="N381" i="2"/>
  <c r="P380" i="2"/>
  <c r="Q380" i="2" s="1"/>
  <c r="N380" i="2"/>
  <c r="P379" i="2"/>
  <c r="Q379" i="2" s="1"/>
  <c r="N379" i="2"/>
  <c r="P378" i="2"/>
  <c r="N378" i="2"/>
  <c r="P377" i="2"/>
  <c r="Q377" i="2" s="1"/>
  <c r="N377" i="2"/>
  <c r="P376" i="2"/>
  <c r="Q376" i="2" s="1"/>
  <c r="N376" i="2"/>
  <c r="P375" i="2"/>
  <c r="Q375" i="2" s="1"/>
  <c r="N375" i="2"/>
  <c r="P374" i="2"/>
  <c r="N374" i="2"/>
  <c r="P373" i="2"/>
  <c r="Q373" i="2" s="1"/>
  <c r="N373" i="2"/>
  <c r="P372" i="2"/>
  <c r="Q372" i="2" s="1"/>
  <c r="N372" i="2"/>
  <c r="P371" i="2"/>
  <c r="Q371" i="2" s="1"/>
  <c r="N371" i="2"/>
  <c r="P370" i="2"/>
  <c r="N370" i="2"/>
  <c r="P369" i="2"/>
  <c r="Q369" i="2" s="1"/>
  <c r="N369" i="2"/>
  <c r="P368" i="2"/>
  <c r="Q368" i="2" s="1"/>
  <c r="N368" i="2"/>
  <c r="P367" i="2"/>
  <c r="Q367" i="2" s="1"/>
  <c r="N367" i="2"/>
  <c r="P366" i="2"/>
  <c r="N366" i="2"/>
  <c r="P365" i="2"/>
  <c r="Q365" i="2" s="1"/>
  <c r="N365" i="2"/>
  <c r="P364" i="2"/>
  <c r="Q364" i="2" s="1"/>
  <c r="N364" i="2"/>
  <c r="P363" i="2"/>
  <c r="Q363" i="2" s="1"/>
  <c r="N363" i="2"/>
  <c r="P362" i="2"/>
  <c r="N362" i="2"/>
  <c r="P361" i="2"/>
  <c r="Q361" i="2" s="1"/>
  <c r="N361" i="2"/>
  <c r="P360" i="2"/>
  <c r="Q360" i="2" s="1"/>
  <c r="N360" i="2"/>
  <c r="P359" i="2"/>
  <c r="Q359" i="2" s="1"/>
  <c r="N359" i="2"/>
  <c r="P358" i="2"/>
  <c r="N358" i="2"/>
  <c r="P357" i="2"/>
  <c r="Q357" i="2" s="1"/>
  <c r="N357" i="2"/>
  <c r="P356" i="2"/>
  <c r="Q356" i="2" s="1"/>
  <c r="N356" i="2"/>
  <c r="P355" i="2"/>
  <c r="Q355" i="2" s="1"/>
  <c r="N355" i="2"/>
  <c r="P354" i="2"/>
  <c r="N354" i="2"/>
  <c r="P353" i="2"/>
  <c r="Q353" i="2" s="1"/>
  <c r="N353" i="2"/>
  <c r="P352" i="2"/>
  <c r="Q352" i="2" s="1"/>
  <c r="N352" i="2"/>
  <c r="P351" i="2"/>
  <c r="Q351" i="2" s="1"/>
  <c r="N351" i="2"/>
  <c r="P350" i="2"/>
  <c r="N350" i="2"/>
  <c r="P349" i="2"/>
  <c r="Q349" i="2" s="1"/>
  <c r="N349" i="2"/>
  <c r="P348" i="2"/>
  <c r="Q348" i="2" s="1"/>
  <c r="N348" i="2"/>
  <c r="P347" i="2"/>
  <c r="Q347" i="2" s="1"/>
  <c r="N347" i="2"/>
  <c r="P346" i="2"/>
  <c r="N346" i="2"/>
  <c r="P345" i="2"/>
  <c r="Q345" i="2" s="1"/>
  <c r="N345" i="2"/>
  <c r="P344" i="2"/>
  <c r="Q344" i="2" s="1"/>
  <c r="N344" i="2"/>
  <c r="P343" i="2"/>
  <c r="Q343" i="2" s="1"/>
  <c r="N343" i="2"/>
  <c r="P342" i="2"/>
  <c r="N342" i="2"/>
  <c r="P341" i="2"/>
  <c r="Q341" i="2" s="1"/>
  <c r="N341" i="2"/>
  <c r="P340" i="2"/>
  <c r="Q340" i="2" s="1"/>
  <c r="N340" i="2"/>
  <c r="P339" i="2"/>
  <c r="Q339" i="2" s="1"/>
  <c r="N339" i="2"/>
  <c r="P338" i="2"/>
  <c r="N338" i="2"/>
  <c r="P337" i="2"/>
  <c r="Q337" i="2" s="1"/>
  <c r="N337" i="2"/>
  <c r="P336" i="2"/>
  <c r="Q336" i="2" s="1"/>
  <c r="N336" i="2"/>
  <c r="P335" i="2"/>
  <c r="Q335" i="2" s="1"/>
  <c r="N335" i="2"/>
  <c r="P334" i="2"/>
  <c r="N334" i="2"/>
  <c r="P333" i="2"/>
  <c r="Q333" i="2" s="1"/>
  <c r="N333" i="2"/>
  <c r="P332" i="2"/>
  <c r="Q332" i="2" s="1"/>
  <c r="N332" i="2"/>
  <c r="P331" i="2"/>
  <c r="Q331" i="2" s="1"/>
  <c r="N331" i="2"/>
  <c r="P330" i="2"/>
  <c r="N330" i="2"/>
  <c r="P329" i="2"/>
  <c r="Q329" i="2" s="1"/>
  <c r="N329" i="2"/>
  <c r="P328" i="2"/>
  <c r="Q328" i="2" s="1"/>
  <c r="N328" i="2"/>
  <c r="P327" i="2"/>
  <c r="Q327" i="2" s="1"/>
  <c r="N327" i="2"/>
  <c r="P326" i="2"/>
  <c r="N326" i="2"/>
  <c r="P325" i="2"/>
  <c r="Q325" i="2" s="1"/>
  <c r="N325" i="2"/>
  <c r="P324" i="2"/>
  <c r="Q324" i="2" s="1"/>
  <c r="N324" i="2"/>
  <c r="P323" i="2"/>
  <c r="Q323" i="2" s="1"/>
  <c r="N323" i="2"/>
  <c r="P322" i="2"/>
  <c r="N322" i="2"/>
  <c r="P321" i="2"/>
  <c r="Q321" i="2" s="1"/>
  <c r="N321" i="2"/>
  <c r="P320" i="2"/>
  <c r="Q320" i="2" s="1"/>
  <c r="N320" i="2"/>
  <c r="P319" i="2"/>
  <c r="Q319" i="2" s="1"/>
  <c r="N319" i="2"/>
  <c r="P318" i="2"/>
  <c r="N318" i="2"/>
  <c r="P317" i="2"/>
  <c r="Q317" i="2" s="1"/>
  <c r="N317" i="2"/>
  <c r="P316" i="2"/>
  <c r="Q316" i="2" s="1"/>
  <c r="N316" i="2"/>
  <c r="P315" i="2"/>
  <c r="Q315" i="2" s="1"/>
  <c r="N315" i="2"/>
  <c r="P314" i="2"/>
  <c r="N314" i="2"/>
  <c r="P313" i="2"/>
  <c r="Q313" i="2" s="1"/>
  <c r="N313" i="2"/>
  <c r="P312" i="2"/>
  <c r="Q312" i="2" s="1"/>
  <c r="N312" i="2"/>
  <c r="P311" i="2"/>
  <c r="Q311" i="2" s="1"/>
  <c r="N311" i="2"/>
  <c r="P310" i="2"/>
  <c r="N310" i="2"/>
  <c r="P309" i="2"/>
  <c r="Q309" i="2" s="1"/>
  <c r="N309" i="2"/>
  <c r="P308" i="2"/>
  <c r="Q308" i="2" s="1"/>
  <c r="N308" i="2"/>
  <c r="P307" i="2"/>
  <c r="Q307" i="2" s="1"/>
  <c r="N307" i="2"/>
  <c r="P306" i="2"/>
  <c r="N306" i="2"/>
  <c r="P305" i="2"/>
  <c r="Q305" i="2" s="1"/>
  <c r="N305" i="2"/>
  <c r="P304" i="2"/>
  <c r="Q304" i="2" s="1"/>
  <c r="N304" i="2"/>
  <c r="P303" i="2"/>
  <c r="Q303" i="2" s="1"/>
  <c r="N303" i="2"/>
  <c r="P302" i="2"/>
  <c r="N302" i="2"/>
  <c r="P301" i="2"/>
  <c r="Q301" i="2" s="1"/>
  <c r="N301" i="2"/>
  <c r="P300" i="2"/>
  <c r="Q300" i="2" s="1"/>
  <c r="N300" i="2"/>
  <c r="P299" i="2"/>
  <c r="Q299" i="2" s="1"/>
  <c r="N299" i="2"/>
  <c r="P298" i="2"/>
  <c r="N298" i="2"/>
  <c r="P297" i="2"/>
  <c r="Q297" i="2" s="1"/>
  <c r="N297" i="2"/>
  <c r="P296" i="2"/>
  <c r="Q296" i="2" s="1"/>
  <c r="N296" i="2"/>
  <c r="P295" i="2"/>
  <c r="Q295" i="2" s="1"/>
  <c r="N295" i="2"/>
  <c r="P294" i="2"/>
  <c r="N294" i="2"/>
  <c r="P293" i="2"/>
  <c r="Q293" i="2" s="1"/>
  <c r="N293" i="2"/>
  <c r="P292" i="2"/>
  <c r="Q292" i="2" s="1"/>
  <c r="N292" i="2"/>
  <c r="P291" i="2"/>
  <c r="Q291" i="2" s="1"/>
  <c r="N291" i="2"/>
  <c r="P290" i="2"/>
  <c r="N290" i="2"/>
  <c r="P289" i="2"/>
  <c r="Q289" i="2" s="1"/>
  <c r="N289" i="2"/>
  <c r="P288" i="2"/>
  <c r="Q288" i="2" s="1"/>
  <c r="N288" i="2"/>
  <c r="P287" i="2"/>
  <c r="Q287" i="2" s="1"/>
  <c r="N287" i="2"/>
  <c r="P286" i="2"/>
  <c r="N286" i="2"/>
  <c r="P285" i="2"/>
  <c r="Q285" i="2" s="1"/>
  <c r="N285" i="2"/>
  <c r="P284" i="2"/>
  <c r="Q284" i="2" s="1"/>
  <c r="N284" i="2"/>
  <c r="P283" i="2"/>
  <c r="Q283" i="2" s="1"/>
  <c r="N283" i="2"/>
  <c r="P282" i="2"/>
  <c r="N282" i="2"/>
  <c r="P281" i="2"/>
  <c r="Q281" i="2" s="1"/>
  <c r="N281" i="2"/>
  <c r="P280" i="2"/>
  <c r="Q280" i="2" s="1"/>
  <c r="N280" i="2"/>
  <c r="P279" i="2"/>
  <c r="Q279" i="2" s="1"/>
  <c r="N279" i="2"/>
  <c r="P278" i="2"/>
  <c r="N278" i="2"/>
  <c r="P277" i="2"/>
  <c r="Q277" i="2" s="1"/>
  <c r="N277" i="2"/>
  <c r="P276" i="2"/>
  <c r="N276" i="2"/>
  <c r="P275" i="2"/>
  <c r="Q275" i="2" s="1"/>
  <c r="N275" i="2"/>
  <c r="P274" i="2"/>
  <c r="N274" i="2"/>
  <c r="P273" i="2"/>
  <c r="Q273" i="2" s="1"/>
  <c r="N273" i="2"/>
  <c r="P272" i="2"/>
  <c r="N272" i="2"/>
  <c r="P271" i="2"/>
  <c r="Q271" i="2" s="1"/>
  <c r="N271" i="2"/>
  <c r="P270" i="2"/>
  <c r="N270" i="2"/>
  <c r="P269" i="2"/>
  <c r="Q269" i="2" s="1"/>
  <c r="N269" i="2"/>
  <c r="P268" i="2"/>
  <c r="N268" i="2"/>
  <c r="P267" i="2"/>
  <c r="Q267" i="2" s="1"/>
  <c r="N267" i="2"/>
  <c r="P266" i="2"/>
  <c r="N266" i="2"/>
  <c r="P265" i="2"/>
  <c r="Q265" i="2" s="1"/>
  <c r="N265" i="2"/>
  <c r="P264" i="2"/>
  <c r="N264" i="2"/>
  <c r="P263" i="2"/>
  <c r="Q263" i="2" s="1"/>
  <c r="N263" i="2"/>
  <c r="P262" i="2"/>
  <c r="N262" i="2"/>
  <c r="P261" i="2"/>
  <c r="Q261" i="2" s="1"/>
  <c r="N261" i="2"/>
  <c r="P260" i="2"/>
  <c r="N260" i="2"/>
  <c r="P259" i="2"/>
  <c r="Q259" i="2" s="1"/>
  <c r="N259" i="2"/>
  <c r="P258" i="2"/>
  <c r="N258" i="2"/>
  <c r="P257" i="2"/>
  <c r="N257" i="2"/>
  <c r="P256" i="2"/>
  <c r="N256" i="2"/>
  <c r="P255" i="2"/>
  <c r="Q255" i="2" s="1"/>
  <c r="N255" i="2"/>
  <c r="P254" i="2"/>
  <c r="Q254" i="2" s="1"/>
  <c r="N254" i="2"/>
  <c r="P253" i="2"/>
  <c r="Q253" i="2" s="1"/>
  <c r="N253" i="2"/>
  <c r="P252" i="2"/>
  <c r="Q252" i="2" s="1"/>
  <c r="N252" i="2"/>
  <c r="P251" i="2"/>
  <c r="Q251" i="2" s="1"/>
  <c r="N251" i="2"/>
  <c r="P250" i="2"/>
  <c r="Q250" i="2" s="1"/>
  <c r="N250" i="2"/>
  <c r="P249" i="2"/>
  <c r="Q249" i="2" s="1"/>
  <c r="N249" i="2"/>
  <c r="P248" i="2"/>
  <c r="Q248" i="2" s="1"/>
  <c r="N248" i="2"/>
  <c r="P247" i="2"/>
  <c r="Q247" i="2" s="1"/>
  <c r="N247" i="2"/>
  <c r="P246" i="2"/>
  <c r="Q246" i="2" s="1"/>
  <c r="N246" i="2"/>
  <c r="P245" i="2"/>
  <c r="Q245" i="2" s="1"/>
  <c r="N245" i="2"/>
  <c r="P244" i="2"/>
  <c r="N244" i="2"/>
  <c r="P243" i="2"/>
  <c r="Q243" i="2" s="1"/>
  <c r="N243" i="2"/>
  <c r="P242" i="2"/>
  <c r="Q242" i="2" s="1"/>
  <c r="N242" i="2"/>
  <c r="P241" i="2"/>
  <c r="Q241" i="2" s="1"/>
  <c r="N241" i="2"/>
  <c r="P240" i="2"/>
  <c r="Q240" i="2" s="1"/>
  <c r="N240" i="2"/>
  <c r="P239" i="2"/>
  <c r="Q239" i="2" s="1"/>
  <c r="N239" i="2"/>
  <c r="P238" i="2"/>
  <c r="Q238" i="2" s="1"/>
  <c r="N238" i="2"/>
  <c r="P237" i="2"/>
  <c r="Q237" i="2" s="1"/>
  <c r="N237" i="2"/>
  <c r="P236" i="2"/>
  <c r="Q236" i="2" s="1"/>
  <c r="N236" i="2"/>
  <c r="P235" i="2"/>
  <c r="Q235" i="2" s="1"/>
  <c r="N235" i="2"/>
  <c r="P234" i="2"/>
  <c r="Q234" i="2" s="1"/>
  <c r="N234" i="2"/>
  <c r="P233" i="2"/>
  <c r="Q233" i="2" s="1"/>
  <c r="N233" i="2"/>
  <c r="P232" i="2"/>
  <c r="Q232" i="2" s="1"/>
  <c r="N232" i="2"/>
  <c r="N231" i="2"/>
  <c r="N230" i="2"/>
  <c r="N229" i="2"/>
  <c r="N228" i="2"/>
  <c r="N227" i="2"/>
  <c r="N226"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C70" i="1"/>
  <c r="D65" i="1"/>
  <c r="C65" i="1"/>
  <c r="D64" i="1"/>
  <c r="C64" i="1"/>
  <c r="D63" i="1"/>
  <c r="C63" i="1"/>
  <c r="D62" i="1"/>
  <c r="C62" i="1"/>
  <c r="D61" i="1"/>
  <c r="C61" i="1"/>
  <c r="D60" i="1"/>
  <c r="C60" i="1"/>
  <c r="D59" i="1"/>
  <c r="C59" i="1"/>
  <c r="D58" i="1"/>
  <c r="C58" i="1"/>
  <c r="D57" i="1"/>
  <c r="C57" i="1"/>
  <c r="D56" i="1"/>
  <c r="C56" i="1"/>
  <c r="D55" i="1"/>
  <c r="C55" i="1"/>
  <c r="D54" i="1"/>
  <c r="C54" i="1"/>
  <c r="D53" i="1"/>
  <c r="C53" i="1"/>
  <c r="D52" i="1"/>
  <c r="C52" i="1"/>
  <c r="D43" i="1"/>
  <c r="D42" i="1"/>
  <c r="D41" i="1"/>
  <c r="D40" i="1"/>
  <c r="D39" i="1"/>
  <c r="D38" i="1"/>
  <c r="C35" i="1"/>
  <c r="C25" i="1"/>
  <c r="C24" i="1"/>
  <c r="C23" i="1"/>
  <c r="C22" i="1"/>
  <c r="C21" i="1"/>
  <c r="C20" i="1"/>
  <c r="C19" i="1"/>
  <c r="C18" i="1"/>
  <c r="C17" i="1"/>
  <c r="C16" i="1"/>
  <c r="C15" i="1"/>
  <c r="C14" i="1"/>
  <c r="C13" i="1"/>
  <c r="C12" i="1"/>
  <c r="C5" i="1"/>
  <c r="C8" i="1" s="1"/>
  <c r="C33" i="1" s="1"/>
  <c r="N280" i="3"/>
  <c r="P231" i="2"/>
  <c r="P230" i="2"/>
  <c r="N279" i="3"/>
  <c r="E49" i="1" l="1"/>
  <c r="O823" i="3"/>
  <c r="T876" i="2"/>
  <c r="O394" i="3"/>
  <c r="Q467" i="3"/>
  <c r="T441" i="2"/>
  <c r="Q627" i="3"/>
  <c r="O663" i="3"/>
  <c r="O703" i="3"/>
  <c r="T313" i="2"/>
  <c r="T684" i="2"/>
  <c r="Q494" i="3"/>
  <c r="O495" i="3"/>
  <c r="O521" i="3"/>
  <c r="Q602" i="3"/>
  <c r="O603" i="3"/>
  <c r="Q925" i="3"/>
  <c r="O926" i="3"/>
  <c r="T812" i="2"/>
  <c r="T252" i="2"/>
  <c r="T345" i="2"/>
  <c r="T940" i="2"/>
  <c r="Q358" i="3"/>
  <c r="O363" i="3"/>
  <c r="Q478" i="3"/>
  <c r="O479" i="3"/>
  <c r="Q655" i="3"/>
  <c r="O656" i="3"/>
  <c r="Q735" i="3"/>
  <c r="O941" i="3"/>
  <c r="T629" i="2"/>
  <c r="O783" i="3"/>
  <c r="O881" i="3"/>
  <c r="T645" i="2"/>
  <c r="T748" i="2"/>
  <c r="O320" i="3"/>
  <c r="O367" i="3"/>
  <c r="Q647" i="3"/>
  <c r="O671" i="3"/>
  <c r="O751" i="3"/>
  <c r="O799" i="3"/>
  <c r="O893" i="3"/>
  <c r="Q902" i="3"/>
  <c r="O915" i="3"/>
  <c r="Q977" i="3"/>
  <c r="O978" i="3"/>
  <c r="T281" i="2"/>
  <c r="T409" i="2"/>
  <c r="Q292" i="3"/>
  <c r="Q293" i="3"/>
  <c r="O294" i="3"/>
  <c r="Q387" i="3"/>
  <c r="O719" i="3"/>
  <c r="O767" i="3"/>
  <c r="Q929" i="3"/>
  <c r="O930" i="3"/>
  <c r="T377" i="2"/>
  <c r="Q993" i="2"/>
  <c r="Q551" i="3"/>
  <c r="Q552" i="3"/>
  <c r="O553" i="3"/>
  <c r="Q554" i="3"/>
  <c r="O555" i="3"/>
  <c r="O580" i="3"/>
  <c r="O623" i="3"/>
  <c r="O687" i="3"/>
  <c r="O815" i="3"/>
  <c r="O877" i="3"/>
  <c r="Q458" i="3"/>
  <c r="Q945" i="3"/>
  <c r="T236" i="2"/>
  <c r="T265" i="2"/>
  <c r="T329" i="2"/>
  <c r="T393" i="2"/>
  <c r="T621" i="2"/>
  <c r="T653" i="2"/>
  <c r="T716" i="2"/>
  <c r="T844" i="2"/>
  <c r="Q300" i="3"/>
  <c r="Q301" i="3"/>
  <c r="O302" i="3"/>
  <c r="O352" i="3"/>
  <c r="Q435" i="3"/>
  <c r="O450" i="3"/>
  <c r="Q570" i="3"/>
  <c r="O571" i="3"/>
  <c r="Q590" i="3"/>
  <c r="O591" i="3"/>
  <c r="Q619" i="3"/>
  <c r="O635" i="3"/>
  <c r="O651" i="3"/>
  <c r="Q675" i="3"/>
  <c r="O676" i="3"/>
  <c r="O688" i="3"/>
  <c r="O699" i="3"/>
  <c r="Q707" i="3"/>
  <c r="O708" i="3"/>
  <c r="O720" i="3"/>
  <c r="O731" i="3"/>
  <c r="Q739" i="3"/>
  <c r="O740" i="3"/>
  <c r="O752" i="3"/>
  <c r="O763" i="3"/>
  <c r="Q771" i="3"/>
  <c r="O772" i="3"/>
  <c r="O784" i="3"/>
  <c r="O795" i="3"/>
  <c r="Q803" i="3"/>
  <c r="O804" i="3"/>
  <c r="O816" i="3"/>
  <c r="Q827" i="3"/>
  <c r="O828" i="3"/>
  <c r="O870" i="3"/>
  <c r="Q910" i="3"/>
  <c r="Q917" i="3"/>
  <c r="O918" i="3"/>
  <c r="O933" i="3"/>
  <c r="O942" i="3"/>
  <c r="O949" i="3"/>
  <c r="O989" i="3"/>
  <c r="Q994" i="3"/>
  <c r="Q914" i="3"/>
  <c r="T297" i="2"/>
  <c r="T361" i="2"/>
  <c r="T425" i="2"/>
  <c r="T637" i="2"/>
  <c r="T780" i="2"/>
  <c r="T908" i="2"/>
  <c r="Q977" i="2"/>
  <c r="Q284" i="3"/>
  <c r="Q285" i="3"/>
  <c r="O286" i="3"/>
  <c r="Q398" i="3"/>
  <c r="Q399" i="3"/>
  <c r="O400" i="3"/>
  <c r="Q442" i="3"/>
  <c r="O443" i="3"/>
  <c r="Q502" i="3"/>
  <c r="O503" i="3"/>
  <c r="Q545" i="3"/>
  <c r="O559" i="3"/>
  <c r="O643" i="3"/>
  <c r="O672" i="3"/>
  <c r="O683" i="3"/>
  <c r="Q691" i="3"/>
  <c r="O692" i="3"/>
  <c r="O704" i="3"/>
  <c r="O715" i="3"/>
  <c r="Q723" i="3"/>
  <c r="O724" i="3"/>
  <c r="O736" i="3"/>
  <c r="O747" i="3"/>
  <c r="Q755" i="3"/>
  <c r="O756" i="3"/>
  <c r="O768" i="3"/>
  <c r="O779" i="3"/>
  <c r="Q787" i="3"/>
  <c r="O788" i="3"/>
  <c r="O800" i="3"/>
  <c r="O811" i="3"/>
  <c r="Q819" i="3"/>
  <c r="O867" i="3"/>
  <c r="O873" i="3"/>
  <c r="O889" i="3"/>
  <c r="O937" i="3"/>
  <c r="Q244" i="2"/>
  <c r="T244" i="2"/>
  <c r="C49" i="1"/>
  <c r="Q257" i="2"/>
  <c r="T257" i="2"/>
  <c r="Q454" i="3"/>
  <c r="O454" i="3"/>
  <c r="Q537" i="3"/>
  <c r="O537" i="3"/>
  <c r="Q611" i="3"/>
  <c r="O611" i="3"/>
  <c r="Q631" i="3"/>
  <c r="O631" i="3"/>
  <c r="Q695" i="3"/>
  <c r="O695" i="3"/>
  <c r="Q700" i="3"/>
  <c r="O700" i="3"/>
  <c r="Q727" i="3"/>
  <c r="O727" i="3"/>
  <c r="Q732" i="3"/>
  <c r="O732" i="3"/>
  <c r="Q759" i="3"/>
  <c r="O759" i="3"/>
  <c r="Q764" i="3"/>
  <c r="O764" i="3"/>
  <c r="Q791" i="3"/>
  <c r="O791" i="3"/>
  <c r="Q796" i="3"/>
  <c r="O796" i="3"/>
  <c r="O833" i="3"/>
  <c r="Q833" i="3"/>
  <c r="O837" i="3"/>
  <c r="Q837" i="3"/>
  <c r="O841" i="3"/>
  <c r="Q841" i="3"/>
  <c r="O845" i="3"/>
  <c r="Q845" i="3"/>
  <c r="O849" i="3"/>
  <c r="Q849" i="3"/>
  <c r="O853" i="3"/>
  <c r="Q853" i="3"/>
  <c r="O857" i="3"/>
  <c r="Q857" i="3"/>
  <c r="O861" i="3"/>
  <c r="Q861" i="3"/>
  <c r="O865" i="3"/>
  <c r="Q865" i="3"/>
  <c r="O906" i="3"/>
  <c r="Q906" i="3"/>
  <c r="O966" i="3"/>
  <c r="Q966" i="3"/>
  <c r="C48" i="1"/>
  <c r="T289" i="2"/>
  <c r="T321" i="2"/>
  <c r="T353" i="2"/>
  <c r="T385" i="2"/>
  <c r="T417" i="2"/>
  <c r="T449" i="2"/>
  <c r="T633" i="2"/>
  <c r="T649" i="2"/>
  <c r="T668" i="2"/>
  <c r="T732" i="2"/>
  <c r="T796" i="2"/>
  <c r="T860" i="2"/>
  <c r="T924" i="2"/>
  <c r="Q288" i="3"/>
  <c r="Q289" i="3"/>
  <c r="O290" i="3"/>
  <c r="Q304" i="3"/>
  <c r="O362" i="3"/>
  <c r="O366" i="3"/>
  <c r="O370" i="3"/>
  <c r="O382" i="3"/>
  <c r="Q383" i="3"/>
  <c r="O384" i="3"/>
  <c r="O391" i="3"/>
  <c r="Q395" i="3"/>
  <c r="Q426" i="3"/>
  <c r="O427" i="3"/>
  <c r="Q463" i="3"/>
  <c r="O463" i="3"/>
  <c r="Q515" i="3"/>
  <c r="O515" i="3"/>
  <c r="O610" i="3"/>
  <c r="Q610" i="3"/>
  <c r="Q624" i="3"/>
  <c r="O624" i="3"/>
  <c r="Q667" i="3"/>
  <c r="O667" i="3"/>
  <c r="Q869" i="3"/>
  <c r="O869" i="3"/>
  <c r="Q882" i="3"/>
  <c r="O882" i="3"/>
  <c r="Q961" i="3"/>
  <c r="O961" i="3"/>
  <c r="O434" i="3"/>
  <c r="Q434" i="3"/>
  <c r="O462" i="3"/>
  <c r="Q462" i="3"/>
  <c r="Q475" i="3"/>
  <c r="O475" i="3"/>
  <c r="O514" i="3"/>
  <c r="Q514" i="3"/>
  <c r="O595" i="3"/>
  <c r="Q595" i="3"/>
  <c r="Q639" i="3"/>
  <c r="O639" i="3"/>
  <c r="Q679" i="3"/>
  <c r="O679" i="3"/>
  <c r="Q684" i="3"/>
  <c r="O684" i="3"/>
  <c r="Q711" i="3"/>
  <c r="O711" i="3"/>
  <c r="Q716" i="3"/>
  <c r="O716" i="3"/>
  <c r="Q743" i="3"/>
  <c r="O743" i="3"/>
  <c r="Q748" i="3"/>
  <c r="O748" i="3"/>
  <c r="Q775" i="3"/>
  <c r="O775" i="3"/>
  <c r="Q780" i="3"/>
  <c r="O780" i="3"/>
  <c r="Q807" i="3"/>
  <c r="O807" i="3"/>
  <c r="Q812" i="3"/>
  <c r="O812" i="3"/>
  <c r="Q831" i="3"/>
  <c r="O831" i="3"/>
  <c r="Q922" i="3"/>
  <c r="O922" i="3"/>
  <c r="Q938" i="3"/>
  <c r="O938" i="3"/>
  <c r="T273" i="2"/>
  <c r="T305" i="2"/>
  <c r="T337" i="2"/>
  <c r="T369" i="2"/>
  <c r="T401" i="2"/>
  <c r="T433" i="2"/>
  <c r="T625" i="2"/>
  <c r="T641" i="2"/>
  <c r="T700" i="2"/>
  <c r="T764" i="2"/>
  <c r="T828" i="2"/>
  <c r="T892" i="2"/>
  <c r="T956" i="2"/>
  <c r="Q985" i="2"/>
  <c r="Q281" i="3"/>
  <c r="O282" i="3"/>
  <c r="Q296" i="3"/>
  <c r="Q297" i="3"/>
  <c r="O298" i="3"/>
  <c r="O336" i="3"/>
  <c r="Q374" i="3"/>
  <c r="O375" i="3"/>
  <c r="Q402" i="3"/>
  <c r="O403" i="3"/>
  <c r="Q451" i="3"/>
  <c r="O474" i="3"/>
  <c r="Q474" i="3"/>
  <c r="Q513" i="3"/>
  <c r="O513" i="3"/>
  <c r="O543" i="3"/>
  <c r="Q549" i="3"/>
  <c r="O587" i="3"/>
  <c r="Q587" i="3"/>
  <c r="Q659" i="3"/>
  <c r="O659" i="3"/>
  <c r="Q834" i="3"/>
  <c r="O834" i="3"/>
  <c r="Q838" i="3"/>
  <c r="O838" i="3"/>
  <c r="Q842" i="3"/>
  <c r="O842" i="3"/>
  <c r="Q846" i="3"/>
  <c r="O846" i="3"/>
  <c r="Q850" i="3"/>
  <c r="O850" i="3"/>
  <c r="Q854" i="3"/>
  <c r="O854" i="3"/>
  <c r="Q858" i="3"/>
  <c r="O858" i="3"/>
  <c r="Q862" i="3"/>
  <c r="O862" i="3"/>
  <c r="Q866" i="3"/>
  <c r="O866" i="3"/>
  <c r="O921" i="3"/>
  <c r="Q921" i="3"/>
  <c r="O982" i="3"/>
  <c r="Q982" i="3"/>
  <c r="Q998" i="3"/>
  <c r="O999" i="3"/>
  <c r="Q567" i="3"/>
  <c r="Q568" i="3"/>
  <c r="O569" i="3"/>
  <c r="O640" i="3"/>
  <c r="O680" i="3"/>
  <c r="O696" i="3"/>
  <c r="O712" i="3"/>
  <c r="O728" i="3"/>
  <c r="O744" i="3"/>
  <c r="O760" i="3"/>
  <c r="O776" i="3"/>
  <c r="O792" i="3"/>
  <c r="O808" i="3"/>
  <c r="O835" i="3"/>
  <c r="O839" i="3"/>
  <c r="O843" i="3"/>
  <c r="O847" i="3"/>
  <c r="O851" i="3"/>
  <c r="O855" i="3"/>
  <c r="O859" i="3"/>
  <c r="O863" i="3"/>
  <c r="O309" i="3"/>
  <c r="Q309" i="3"/>
  <c r="Q314" i="3"/>
  <c r="O314" i="3"/>
  <c r="O325" i="3"/>
  <c r="Q325" i="3"/>
  <c r="Q330" i="3"/>
  <c r="O330" i="3"/>
  <c r="O341" i="3"/>
  <c r="Q341" i="3"/>
  <c r="Q346" i="3"/>
  <c r="O346" i="3"/>
  <c r="Q507" i="3"/>
  <c r="O507" i="3"/>
  <c r="Q511" i="3"/>
  <c r="O511" i="3"/>
  <c r="O560" i="3"/>
  <c r="Q560" i="3"/>
  <c r="Q607" i="3"/>
  <c r="O607" i="3"/>
  <c r="Q824" i="3"/>
  <c r="O824" i="3"/>
  <c r="Q897" i="3"/>
  <c r="O897" i="3"/>
  <c r="Q953" i="3"/>
  <c r="O953" i="3"/>
  <c r="Q997" i="3"/>
  <c r="O997" i="3"/>
  <c r="C26" i="1"/>
  <c r="T246" i="2"/>
  <c r="T254" i="2"/>
  <c r="T275" i="2"/>
  <c r="T283" i="2"/>
  <c r="T624" i="2"/>
  <c r="T628" i="2"/>
  <c r="T632" i="2"/>
  <c r="T636" i="2"/>
  <c r="T640" i="2"/>
  <c r="T644" i="2"/>
  <c r="T648" i="2"/>
  <c r="T652" i="2"/>
  <c r="T656" i="2"/>
  <c r="T672" i="2"/>
  <c r="T688" i="2"/>
  <c r="T704" i="2"/>
  <c r="T720" i="2"/>
  <c r="T736" i="2"/>
  <c r="T752" i="2"/>
  <c r="T768" i="2"/>
  <c r="T784" i="2"/>
  <c r="T800" i="2"/>
  <c r="T816" i="2"/>
  <c r="T832" i="2"/>
  <c r="T848" i="2"/>
  <c r="T864" i="2"/>
  <c r="T880" i="2"/>
  <c r="T896" i="2"/>
  <c r="T912" i="2"/>
  <c r="T928" i="2"/>
  <c r="T944" i="2"/>
  <c r="T960" i="2"/>
  <c r="Q979" i="2"/>
  <c r="Q987" i="2"/>
  <c r="Q995" i="2"/>
  <c r="O308" i="3"/>
  <c r="O313" i="3"/>
  <c r="Q313" i="3"/>
  <c r="Q318" i="3"/>
  <c r="O318" i="3"/>
  <c r="O324" i="3"/>
  <c r="O329" i="3"/>
  <c r="Q329" i="3"/>
  <c r="Q334" i="3"/>
  <c r="O334" i="3"/>
  <c r="O340" i="3"/>
  <c r="O345" i="3"/>
  <c r="Q345" i="3"/>
  <c r="Q350" i="3"/>
  <c r="O350" i="3"/>
  <c r="O356" i="3"/>
  <c r="O359" i="3"/>
  <c r="O368" i="3"/>
  <c r="O371" i="3"/>
  <c r="O410" i="3"/>
  <c r="Q411" i="3"/>
  <c r="O418" i="3"/>
  <c r="Q419" i="3"/>
  <c r="O446" i="3"/>
  <c r="Q446" i="3"/>
  <c r="Q447" i="3"/>
  <c r="O482" i="3"/>
  <c r="Q482" i="3"/>
  <c r="Q483" i="3"/>
  <c r="O506" i="3"/>
  <c r="Q506" i="3"/>
  <c r="O510" i="3"/>
  <c r="Q510" i="3"/>
  <c r="Q531" i="3"/>
  <c r="O531" i="3"/>
  <c r="Q535" i="3"/>
  <c r="O535" i="3"/>
  <c r="O541" i="3"/>
  <c r="Q563" i="3"/>
  <c r="O563" i="3"/>
  <c r="Q577" i="3"/>
  <c r="O577" i="3"/>
  <c r="O583" i="3"/>
  <c r="Q600" i="3"/>
  <c r="O600" i="3"/>
  <c r="O606" i="3"/>
  <c r="Q606" i="3"/>
  <c r="O620" i="3"/>
  <c r="O636" i="3"/>
  <c r="O652" i="3"/>
  <c r="O668" i="3"/>
  <c r="Q974" i="3"/>
  <c r="O974" i="3"/>
  <c r="C27" i="1"/>
  <c r="T267" i="2"/>
  <c r="T291" i="2"/>
  <c r="T299" i="2"/>
  <c r="T307" i="2"/>
  <c r="T315" i="2"/>
  <c r="T339" i="2"/>
  <c r="T347" i="2"/>
  <c r="T379" i="2"/>
  <c r="T387" i="2"/>
  <c r="T395" i="2"/>
  <c r="T443" i="2"/>
  <c r="T451" i="2"/>
  <c r="T232" i="2"/>
  <c r="T240" i="2"/>
  <c r="T248" i="2"/>
  <c r="T261" i="2"/>
  <c r="T269" i="2"/>
  <c r="T277" i="2"/>
  <c r="T285" i="2"/>
  <c r="T293" i="2"/>
  <c r="T301" i="2"/>
  <c r="T309" i="2"/>
  <c r="T317" i="2"/>
  <c r="T325" i="2"/>
  <c r="T333" i="2"/>
  <c r="T341" i="2"/>
  <c r="T349" i="2"/>
  <c r="T357" i="2"/>
  <c r="T365" i="2"/>
  <c r="T373" i="2"/>
  <c r="T381" i="2"/>
  <c r="T389" i="2"/>
  <c r="T397" i="2"/>
  <c r="T405" i="2"/>
  <c r="T413" i="2"/>
  <c r="T421" i="2"/>
  <c r="T429" i="2"/>
  <c r="T437" i="2"/>
  <c r="T445" i="2"/>
  <c r="T453" i="2"/>
  <c r="T623" i="2"/>
  <c r="T627" i="2"/>
  <c r="T631" i="2"/>
  <c r="T635" i="2"/>
  <c r="T639" i="2"/>
  <c r="T643" i="2"/>
  <c r="T647" i="2"/>
  <c r="T651" i="2"/>
  <c r="T655" i="2"/>
  <c r="T660" i="2"/>
  <c r="T676" i="2"/>
  <c r="T692" i="2"/>
  <c r="T708" i="2"/>
  <c r="T724" i="2"/>
  <c r="T740" i="2"/>
  <c r="T756" i="2"/>
  <c r="T772" i="2"/>
  <c r="T788" i="2"/>
  <c r="T804" i="2"/>
  <c r="T820" i="2"/>
  <c r="T836" i="2"/>
  <c r="T852" i="2"/>
  <c r="T868" i="2"/>
  <c r="T884" i="2"/>
  <c r="T900" i="2"/>
  <c r="T916" i="2"/>
  <c r="T932" i="2"/>
  <c r="T948" i="2"/>
  <c r="T964" i="2"/>
  <c r="Q973" i="2"/>
  <c r="Q981" i="2"/>
  <c r="Q989" i="2"/>
  <c r="Q997" i="2"/>
  <c r="Q306" i="3"/>
  <c r="O306" i="3"/>
  <c r="O312" i="3"/>
  <c r="O317" i="3"/>
  <c r="Q317" i="3"/>
  <c r="Q322" i="3"/>
  <c r="O322" i="3"/>
  <c r="O328" i="3"/>
  <c r="O333" i="3"/>
  <c r="Q333" i="3"/>
  <c r="Q338" i="3"/>
  <c r="O338" i="3"/>
  <c r="O344" i="3"/>
  <c r="O349" i="3"/>
  <c r="Q349" i="3"/>
  <c r="Q354" i="3"/>
  <c r="O354" i="3"/>
  <c r="O378" i="3"/>
  <c r="Q379" i="3"/>
  <c r="Q390" i="3"/>
  <c r="O406" i="3"/>
  <c r="Q408" i="3"/>
  <c r="O408" i="3"/>
  <c r="O439" i="3"/>
  <c r="Q439" i="3"/>
  <c r="Q459" i="3"/>
  <c r="O466" i="3"/>
  <c r="Q466" i="3"/>
  <c r="Q471" i="3"/>
  <c r="O471" i="3"/>
  <c r="O499" i="3"/>
  <c r="Q499" i="3"/>
  <c r="Q509" i="3"/>
  <c r="O509" i="3"/>
  <c r="O526" i="3"/>
  <c r="Q526" i="3"/>
  <c r="O530" i="3"/>
  <c r="Q530" i="3"/>
  <c r="O562" i="3"/>
  <c r="Q562" i="3"/>
  <c r="O576" i="3"/>
  <c r="Q576" i="3"/>
  <c r="O594" i="3"/>
  <c r="Q594" i="3"/>
  <c r="Q599" i="3"/>
  <c r="O599" i="3"/>
  <c r="Q616" i="3"/>
  <c r="O616" i="3"/>
  <c r="O632" i="3"/>
  <c r="O648" i="3"/>
  <c r="O664" i="3"/>
  <c r="Q878" i="3"/>
  <c r="O878" i="3"/>
  <c r="Q934" i="3"/>
  <c r="O934" i="3"/>
  <c r="O969" i="3"/>
  <c r="Q969" i="3"/>
  <c r="O973" i="3"/>
  <c r="Q973" i="3"/>
  <c r="T238" i="2"/>
  <c r="T259" i="2"/>
  <c r="T323" i="2"/>
  <c r="T331" i="2"/>
  <c r="T355" i="2"/>
  <c r="T363" i="2"/>
  <c r="T371" i="2"/>
  <c r="T403" i="2"/>
  <c r="T411" i="2"/>
  <c r="T419" i="2"/>
  <c r="T427" i="2"/>
  <c r="T435" i="2"/>
  <c r="T234" i="2"/>
  <c r="T242" i="2"/>
  <c r="T250" i="2"/>
  <c r="T263" i="2"/>
  <c r="T271" i="2"/>
  <c r="T279" i="2"/>
  <c r="T287" i="2"/>
  <c r="T295" i="2"/>
  <c r="T303" i="2"/>
  <c r="T311" i="2"/>
  <c r="T319" i="2"/>
  <c r="T327" i="2"/>
  <c r="T335" i="2"/>
  <c r="T343" i="2"/>
  <c r="T351" i="2"/>
  <c r="T359" i="2"/>
  <c r="T367" i="2"/>
  <c r="T375" i="2"/>
  <c r="T383" i="2"/>
  <c r="T391" i="2"/>
  <c r="T399" i="2"/>
  <c r="T407" i="2"/>
  <c r="T415" i="2"/>
  <c r="T423" i="2"/>
  <c r="T431" i="2"/>
  <c r="T439" i="2"/>
  <c r="T447" i="2"/>
  <c r="T455" i="2"/>
  <c r="T622" i="2"/>
  <c r="T626" i="2"/>
  <c r="T630" i="2"/>
  <c r="T634" i="2"/>
  <c r="T638" i="2"/>
  <c r="T642" i="2"/>
  <c r="T646" i="2"/>
  <c r="T650" i="2"/>
  <c r="T654" i="2"/>
  <c r="T664" i="2"/>
  <c r="T680" i="2"/>
  <c r="T696" i="2"/>
  <c r="T712" i="2"/>
  <c r="T728" i="2"/>
  <c r="T744" i="2"/>
  <c r="T760" i="2"/>
  <c r="T776" i="2"/>
  <c r="T792" i="2"/>
  <c r="T808" i="2"/>
  <c r="T824" i="2"/>
  <c r="T840" i="2"/>
  <c r="T856" i="2"/>
  <c r="T872" i="2"/>
  <c r="T888" i="2"/>
  <c r="T904" i="2"/>
  <c r="T920" i="2"/>
  <c r="T936" i="2"/>
  <c r="T952" i="2"/>
  <c r="T968" i="2"/>
  <c r="Q975" i="2"/>
  <c r="Q983" i="2"/>
  <c r="Q991" i="2"/>
  <c r="Q999" i="2"/>
  <c r="O305" i="3"/>
  <c r="Q305" i="3"/>
  <c r="Q310" i="3"/>
  <c r="O310" i="3"/>
  <c r="O316" i="3"/>
  <c r="O321" i="3"/>
  <c r="Q321" i="3"/>
  <c r="Q326" i="3"/>
  <c r="O326" i="3"/>
  <c r="O332" i="3"/>
  <c r="O337" i="3"/>
  <c r="Q337" i="3"/>
  <c r="Q342" i="3"/>
  <c r="O342" i="3"/>
  <c r="O348" i="3"/>
  <c r="O353" i="3"/>
  <c r="Q353" i="3"/>
  <c r="Q376" i="3"/>
  <c r="O376" i="3"/>
  <c r="Q386" i="3"/>
  <c r="O392" i="3"/>
  <c r="O407" i="3"/>
  <c r="O414" i="3"/>
  <c r="Q415" i="3"/>
  <c r="Q422" i="3"/>
  <c r="Q423" i="3"/>
  <c r="Q430" i="3"/>
  <c r="O431" i="3"/>
  <c r="Q455" i="3"/>
  <c r="O470" i="3"/>
  <c r="Q470" i="3"/>
  <c r="Q490" i="3"/>
  <c r="O491" i="3"/>
  <c r="Q519" i="3"/>
  <c r="O519" i="3"/>
  <c r="O525" i="3"/>
  <c r="Q529" i="3"/>
  <c r="O529" i="3"/>
  <c r="Q561" i="3"/>
  <c r="O561" i="3"/>
  <c r="Q575" i="3"/>
  <c r="O575" i="3"/>
  <c r="O598" i="3"/>
  <c r="Q598" i="3"/>
  <c r="Q608" i="3"/>
  <c r="O608" i="3"/>
  <c r="O615" i="3"/>
  <c r="O628" i="3"/>
  <c r="O644" i="3"/>
  <c r="O660" i="3"/>
  <c r="Q898" i="3"/>
  <c r="O898" i="3"/>
  <c r="Q913" i="3"/>
  <c r="O913" i="3"/>
  <c r="Q931" i="3"/>
  <c r="O931" i="3"/>
  <c r="Q954" i="3"/>
  <c r="O954" i="3"/>
  <c r="O498" i="3"/>
  <c r="Q498" i="3"/>
  <c r="O518" i="3"/>
  <c r="Q518" i="3"/>
  <c r="Q523" i="3"/>
  <c r="O523" i="3"/>
  <c r="O534" i="3"/>
  <c r="Q534" i="3"/>
  <c r="Q539" i="3"/>
  <c r="O539" i="3"/>
  <c r="Q886" i="3"/>
  <c r="O886" i="3"/>
  <c r="Q901" i="3"/>
  <c r="O901" i="3"/>
  <c r="Q947" i="3"/>
  <c r="O947" i="3"/>
  <c r="Q958" i="3"/>
  <c r="O958" i="3"/>
  <c r="Q986" i="3"/>
  <c r="O986" i="3"/>
  <c r="O438" i="3"/>
  <c r="Q438" i="3"/>
  <c r="Q486" i="3"/>
  <c r="O487" i="3"/>
  <c r="Q517" i="3"/>
  <c r="O517" i="3"/>
  <c r="O522" i="3"/>
  <c r="Q522" i="3"/>
  <c r="Q527" i="3"/>
  <c r="O527" i="3"/>
  <c r="O533" i="3"/>
  <c r="O538" i="3"/>
  <c r="Q538" i="3"/>
  <c r="O547" i="3"/>
  <c r="Q548" i="3"/>
  <c r="O578" i="3"/>
  <c r="Q578" i="3"/>
  <c r="Q579" i="3"/>
  <c r="Q586" i="3"/>
  <c r="Q604" i="3"/>
  <c r="O604" i="3"/>
  <c r="Q612" i="3"/>
  <c r="O612" i="3"/>
  <c r="O820" i="3"/>
  <c r="O874" i="3"/>
  <c r="O885" i="3"/>
  <c r="Q890" i="3"/>
  <c r="O890" i="3"/>
  <c r="Q905" i="3"/>
  <c r="O905" i="3"/>
  <c r="O946" i="3"/>
  <c r="O957" i="3"/>
  <c r="Q962" i="3"/>
  <c r="O962" i="3"/>
  <c r="O985" i="3"/>
  <c r="Q985" i="3"/>
  <c r="Q990" i="3"/>
  <c r="O990" i="3"/>
  <c r="Q883" i="3"/>
  <c r="O883" i="3"/>
  <c r="Q894" i="3"/>
  <c r="O894" i="3"/>
  <c r="Q909" i="3"/>
  <c r="O909" i="3"/>
  <c r="Q950" i="3"/>
  <c r="O950" i="3"/>
  <c r="Q965" i="3"/>
  <c r="O965" i="3"/>
  <c r="Q970" i="3"/>
  <c r="O970" i="3"/>
  <c r="Q993" i="3"/>
  <c r="O993" i="3"/>
  <c r="O899" i="3"/>
  <c r="O963" i="3"/>
  <c r="Q981" i="3"/>
  <c r="O991" i="3"/>
  <c r="C9" i="1"/>
  <c r="C6" i="1"/>
  <c r="C30" i="1"/>
  <c r="Q262" i="2"/>
  <c r="T262" i="2"/>
  <c r="Q270" i="2"/>
  <c r="T270" i="2"/>
  <c r="Q278" i="2"/>
  <c r="T278" i="2"/>
  <c r="Q286" i="2"/>
  <c r="T286" i="2"/>
  <c r="Q294" i="2"/>
  <c r="T294" i="2"/>
  <c r="Q302" i="2"/>
  <c r="T302" i="2"/>
  <c r="Q310" i="2"/>
  <c r="T310" i="2"/>
  <c r="Q318" i="2"/>
  <c r="T318" i="2"/>
  <c r="Q326" i="2"/>
  <c r="T326" i="2"/>
  <c r="Q334" i="2"/>
  <c r="T334" i="2"/>
  <c r="Q342" i="2"/>
  <c r="T342" i="2"/>
  <c r="Q350" i="2"/>
  <c r="T350" i="2"/>
  <c r="Q358" i="2"/>
  <c r="T358" i="2"/>
  <c r="Q366" i="2"/>
  <c r="T366" i="2"/>
  <c r="Q374" i="2"/>
  <c r="T374" i="2"/>
  <c r="Q382" i="2"/>
  <c r="T382" i="2"/>
  <c r="Q390" i="2"/>
  <c r="T390" i="2"/>
  <c r="Q398" i="2"/>
  <c r="T398" i="2"/>
  <c r="T233" i="2"/>
  <c r="T237" i="2"/>
  <c r="T241" i="2"/>
  <c r="T245" i="2"/>
  <c r="T249" i="2"/>
  <c r="T253" i="2"/>
  <c r="Q256" i="2"/>
  <c r="T256" i="2"/>
  <c r="Q264" i="2"/>
  <c r="T264" i="2"/>
  <c r="Q272" i="2"/>
  <c r="T272" i="2"/>
  <c r="Q258" i="2"/>
  <c r="T258" i="2"/>
  <c r="Q266" i="2"/>
  <c r="T266" i="2"/>
  <c r="Q274" i="2"/>
  <c r="T274" i="2"/>
  <c r="Q282" i="2"/>
  <c r="T282" i="2"/>
  <c r="Q290" i="2"/>
  <c r="T290" i="2"/>
  <c r="Q298" i="2"/>
  <c r="T298" i="2"/>
  <c r="Q306" i="2"/>
  <c r="T306" i="2"/>
  <c r="Q314" i="2"/>
  <c r="T314" i="2"/>
  <c r="Q322" i="2"/>
  <c r="T322" i="2"/>
  <c r="Q330" i="2"/>
  <c r="T330" i="2"/>
  <c r="Q338" i="2"/>
  <c r="T338" i="2"/>
  <c r="Q346" i="2"/>
  <c r="T346" i="2"/>
  <c r="Q354" i="2"/>
  <c r="T354" i="2"/>
  <c r="Q362" i="2"/>
  <c r="T362" i="2"/>
  <c r="Q370" i="2"/>
  <c r="T370" i="2"/>
  <c r="Q378" i="2"/>
  <c r="T378" i="2"/>
  <c r="Q386" i="2"/>
  <c r="T386" i="2"/>
  <c r="Q394" i="2"/>
  <c r="T394" i="2"/>
  <c r="T235" i="2"/>
  <c r="T239" i="2"/>
  <c r="T243" i="2"/>
  <c r="T247" i="2"/>
  <c r="T251" i="2"/>
  <c r="T255" i="2"/>
  <c r="Q260" i="2"/>
  <c r="T260" i="2"/>
  <c r="Q268" i="2"/>
  <c r="T268" i="2"/>
  <c r="Q276" i="2"/>
  <c r="T276" i="2"/>
  <c r="T402" i="2"/>
  <c r="T406" i="2"/>
  <c r="T410" i="2"/>
  <c r="T414" i="2"/>
  <c r="T418" i="2"/>
  <c r="T422" i="2"/>
  <c r="T426" i="2"/>
  <c r="T430" i="2"/>
  <c r="T434" i="2"/>
  <c r="T438" i="2"/>
  <c r="T442" i="2"/>
  <c r="T446" i="2"/>
  <c r="T450" i="2"/>
  <c r="T454" i="2"/>
  <c r="T456" i="2"/>
  <c r="Q456" i="2"/>
  <c r="T458" i="2"/>
  <c r="Q458" i="2"/>
  <c r="T460" i="2"/>
  <c r="Q460" i="2"/>
  <c r="T462" i="2"/>
  <c r="Q462" i="2"/>
  <c r="T464" i="2"/>
  <c r="Q464" i="2"/>
  <c r="T466" i="2"/>
  <c r="Q466" i="2"/>
  <c r="T468" i="2"/>
  <c r="Q468" i="2"/>
  <c r="T470" i="2"/>
  <c r="Q470" i="2"/>
  <c r="T472" i="2"/>
  <c r="Q472" i="2"/>
  <c r="T474" i="2"/>
  <c r="Q474" i="2"/>
  <c r="T476" i="2"/>
  <c r="Q476" i="2"/>
  <c r="T478" i="2"/>
  <c r="Q478" i="2"/>
  <c r="T480" i="2"/>
  <c r="Q480" i="2"/>
  <c r="T482" i="2"/>
  <c r="Q482" i="2"/>
  <c r="T484" i="2"/>
  <c r="Q484" i="2"/>
  <c r="T486" i="2"/>
  <c r="Q486" i="2"/>
  <c r="T488" i="2"/>
  <c r="Q488" i="2"/>
  <c r="T490" i="2"/>
  <c r="Q490" i="2"/>
  <c r="T492" i="2"/>
  <c r="Q492" i="2"/>
  <c r="T494" i="2"/>
  <c r="Q494" i="2"/>
  <c r="T496" i="2"/>
  <c r="Q496" i="2"/>
  <c r="T498" i="2"/>
  <c r="Q498" i="2"/>
  <c r="T500" i="2"/>
  <c r="Q500" i="2"/>
  <c r="T502" i="2"/>
  <c r="Q502" i="2"/>
  <c r="T504" i="2"/>
  <c r="Q504" i="2"/>
  <c r="T506" i="2"/>
  <c r="Q506" i="2"/>
  <c r="T508" i="2"/>
  <c r="Q508" i="2"/>
  <c r="T510" i="2"/>
  <c r="Q510" i="2"/>
  <c r="T512" i="2"/>
  <c r="Q512" i="2"/>
  <c r="T514" i="2"/>
  <c r="Q514" i="2"/>
  <c r="T516" i="2"/>
  <c r="Q516" i="2"/>
  <c r="T518" i="2"/>
  <c r="Q518" i="2"/>
  <c r="T520" i="2"/>
  <c r="Q520" i="2"/>
  <c r="T522" i="2"/>
  <c r="Q522" i="2"/>
  <c r="T524" i="2"/>
  <c r="Q524" i="2"/>
  <c r="T526" i="2"/>
  <c r="Q526" i="2"/>
  <c r="T528" i="2"/>
  <c r="Q528" i="2"/>
  <c r="T530" i="2"/>
  <c r="Q530" i="2"/>
  <c r="T532" i="2"/>
  <c r="Q532" i="2"/>
  <c r="T534" i="2"/>
  <c r="Q534" i="2"/>
  <c r="T536" i="2"/>
  <c r="Q536" i="2"/>
  <c r="T538" i="2"/>
  <c r="Q538" i="2"/>
  <c r="T540" i="2"/>
  <c r="Q540" i="2"/>
  <c r="T542" i="2"/>
  <c r="Q542" i="2"/>
  <c r="T544" i="2"/>
  <c r="Q544" i="2"/>
  <c r="T546" i="2"/>
  <c r="Q546" i="2"/>
  <c r="T548" i="2"/>
  <c r="Q548" i="2"/>
  <c r="T550" i="2"/>
  <c r="Q550" i="2"/>
  <c r="T552" i="2"/>
  <c r="Q552" i="2"/>
  <c r="T554" i="2"/>
  <c r="Q554" i="2"/>
  <c r="T556" i="2"/>
  <c r="Q556" i="2"/>
  <c r="T558" i="2"/>
  <c r="Q558" i="2"/>
  <c r="T560" i="2"/>
  <c r="Q560" i="2"/>
  <c r="T562" i="2"/>
  <c r="Q562" i="2"/>
  <c r="T564" i="2"/>
  <c r="Q564" i="2"/>
  <c r="T566" i="2"/>
  <c r="Q566" i="2"/>
  <c r="T568" i="2"/>
  <c r="Q568" i="2"/>
  <c r="T570" i="2"/>
  <c r="Q570" i="2"/>
  <c r="T572" i="2"/>
  <c r="Q572" i="2"/>
  <c r="T574" i="2"/>
  <c r="Q574" i="2"/>
  <c r="T576" i="2"/>
  <c r="Q576" i="2"/>
  <c r="T578" i="2"/>
  <c r="Q578" i="2"/>
  <c r="T580" i="2"/>
  <c r="Q580" i="2"/>
  <c r="T582" i="2"/>
  <c r="Q582" i="2"/>
  <c r="T584" i="2"/>
  <c r="Q584" i="2"/>
  <c r="T586" i="2"/>
  <c r="Q586" i="2"/>
  <c r="T588" i="2"/>
  <c r="Q588" i="2"/>
  <c r="T590" i="2"/>
  <c r="Q590" i="2"/>
  <c r="T592" i="2"/>
  <c r="Q592" i="2"/>
  <c r="T594" i="2"/>
  <c r="Q594" i="2"/>
  <c r="T596" i="2"/>
  <c r="Q596" i="2"/>
  <c r="T598" i="2"/>
  <c r="Q598" i="2"/>
  <c r="T280" i="2"/>
  <c r="T284" i="2"/>
  <c r="T288" i="2"/>
  <c r="T292" i="2"/>
  <c r="T296" i="2"/>
  <c r="T300" i="2"/>
  <c r="T304" i="2"/>
  <c r="T308" i="2"/>
  <c r="T312" i="2"/>
  <c r="T316" i="2"/>
  <c r="T320" i="2"/>
  <c r="T324" i="2"/>
  <c r="T328" i="2"/>
  <c r="T332" i="2"/>
  <c r="T336" i="2"/>
  <c r="T340" i="2"/>
  <c r="T344" i="2"/>
  <c r="T348" i="2"/>
  <c r="T352" i="2"/>
  <c r="T356" i="2"/>
  <c r="T360" i="2"/>
  <c r="T364" i="2"/>
  <c r="T368" i="2"/>
  <c r="T372" i="2"/>
  <c r="T376" i="2"/>
  <c r="T380" i="2"/>
  <c r="T384" i="2"/>
  <c r="T388" i="2"/>
  <c r="T392" i="2"/>
  <c r="T396" i="2"/>
  <c r="T400" i="2"/>
  <c r="T404" i="2"/>
  <c r="T408" i="2"/>
  <c r="T412" i="2"/>
  <c r="T416" i="2"/>
  <c r="T420" i="2"/>
  <c r="T424" i="2"/>
  <c r="T428" i="2"/>
  <c r="T432" i="2"/>
  <c r="T436" i="2"/>
  <c r="T440" i="2"/>
  <c r="T444" i="2"/>
  <c r="T448" i="2"/>
  <c r="T452" i="2"/>
  <c r="T457" i="2"/>
  <c r="Q457" i="2"/>
  <c r="T459" i="2"/>
  <c r="Q459" i="2"/>
  <c r="T461" i="2"/>
  <c r="Q461" i="2"/>
  <c r="T463" i="2"/>
  <c r="Q463" i="2"/>
  <c r="T465" i="2"/>
  <c r="Q465" i="2"/>
  <c r="T467" i="2"/>
  <c r="Q467" i="2"/>
  <c r="T469" i="2"/>
  <c r="Q469" i="2"/>
  <c r="T471" i="2"/>
  <c r="Q471" i="2"/>
  <c r="T473" i="2"/>
  <c r="Q473" i="2"/>
  <c r="T475" i="2"/>
  <c r="Q475" i="2"/>
  <c r="T477" i="2"/>
  <c r="Q477" i="2"/>
  <c r="T479" i="2"/>
  <c r="Q479" i="2"/>
  <c r="T481" i="2"/>
  <c r="Q481" i="2"/>
  <c r="T483" i="2"/>
  <c r="Q483" i="2"/>
  <c r="T485" i="2"/>
  <c r="Q485" i="2"/>
  <c r="T487" i="2"/>
  <c r="Q487" i="2"/>
  <c r="T489" i="2"/>
  <c r="Q489" i="2"/>
  <c r="T491" i="2"/>
  <c r="Q491" i="2"/>
  <c r="T493" i="2"/>
  <c r="Q493" i="2"/>
  <c r="T495" i="2"/>
  <c r="Q495" i="2"/>
  <c r="T497" i="2"/>
  <c r="Q497" i="2"/>
  <c r="T499" i="2"/>
  <c r="Q499" i="2"/>
  <c r="T501" i="2"/>
  <c r="Q501" i="2"/>
  <c r="T503" i="2"/>
  <c r="Q503" i="2"/>
  <c r="T505" i="2"/>
  <c r="Q505" i="2"/>
  <c r="T507" i="2"/>
  <c r="Q507" i="2"/>
  <c r="T509" i="2"/>
  <c r="Q509" i="2"/>
  <c r="T511" i="2"/>
  <c r="Q511" i="2"/>
  <c r="T513" i="2"/>
  <c r="Q513" i="2"/>
  <c r="T515" i="2"/>
  <c r="Q515" i="2"/>
  <c r="T517" i="2"/>
  <c r="Q517" i="2"/>
  <c r="T519" i="2"/>
  <c r="Q519" i="2"/>
  <c r="T521" i="2"/>
  <c r="Q521" i="2"/>
  <c r="T523" i="2"/>
  <c r="Q523" i="2"/>
  <c r="T525" i="2"/>
  <c r="Q525" i="2"/>
  <c r="T527" i="2"/>
  <c r="Q527" i="2"/>
  <c r="T529" i="2"/>
  <c r="Q529" i="2"/>
  <c r="T531" i="2"/>
  <c r="Q531" i="2"/>
  <c r="T533" i="2"/>
  <c r="Q533" i="2"/>
  <c r="T535" i="2"/>
  <c r="Q535" i="2"/>
  <c r="T537" i="2"/>
  <c r="Q537" i="2"/>
  <c r="T539" i="2"/>
  <c r="Q539" i="2"/>
  <c r="T541" i="2"/>
  <c r="Q541" i="2"/>
  <c r="T543" i="2"/>
  <c r="Q543" i="2"/>
  <c r="T545" i="2"/>
  <c r="Q545" i="2"/>
  <c r="T547" i="2"/>
  <c r="Q547" i="2"/>
  <c r="T549" i="2"/>
  <c r="Q549" i="2"/>
  <c r="T551" i="2"/>
  <c r="Q551" i="2"/>
  <c r="T553" i="2"/>
  <c r="Q553" i="2"/>
  <c r="T555" i="2"/>
  <c r="Q555" i="2"/>
  <c r="T557" i="2"/>
  <c r="Q557" i="2"/>
  <c r="T559" i="2"/>
  <c r="Q559" i="2"/>
  <c r="T561" i="2"/>
  <c r="Q561" i="2"/>
  <c r="T563" i="2"/>
  <c r="Q563" i="2"/>
  <c r="T565" i="2"/>
  <c r="Q565" i="2"/>
  <c r="T567" i="2"/>
  <c r="Q567" i="2"/>
  <c r="T569" i="2"/>
  <c r="Q569" i="2"/>
  <c r="T571" i="2"/>
  <c r="Q571" i="2"/>
  <c r="T573" i="2"/>
  <c r="Q573" i="2"/>
  <c r="T575" i="2"/>
  <c r="Q575" i="2"/>
  <c r="T577" i="2"/>
  <c r="Q577" i="2"/>
  <c r="T579" i="2"/>
  <c r="Q579" i="2"/>
  <c r="T581" i="2"/>
  <c r="Q581" i="2"/>
  <c r="T583" i="2"/>
  <c r="Q583" i="2"/>
  <c r="T585" i="2"/>
  <c r="Q585" i="2"/>
  <c r="T587" i="2"/>
  <c r="Q587" i="2"/>
  <c r="T589" i="2"/>
  <c r="Q589" i="2"/>
  <c r="T591" i="2"/>
  <c r="Q591" i="2"/>
  <c r="T593" i="2"/>
  <c r="Q593" i="2"/>
  <c r="T595" i="2"/>
  <c r="Q595" i="2"/>
  <c r="T597" i="2"/>
  <c r="Q597" i="2"/>
  <c r="T599" i="2"/>
  <c r="Q599" i="2"/>
  <c r="Q600" i="2"/>
  <c r="Q601" i="2"/>
  <c r="Q602" i="2"/>
  <c r="Q603" i="2"/>
  <c r="Q604" i="2"/>
  <c r="Q605" i="2"/>
  <c r="Q606" i="2"/>
  <c r="Q607" i="2"/>
  <c r="Q608" i="2"/>
  <c r="Q609" i="2"/>
  <c r="Q610" i="2"/>
  <c r="Q611" i="2"/>
  <c r="Q612" i="2"/>
  <c r="Q613" i="2"/>
  <c r="Q614" i="2"/>
  <c r="Q615" i="2"/>
  <c r="Q616" i="2"/>
  <c r="Q617" i="2"/>
  <c r="Q618" i="2"/>
  <c r="Q619" i="2"/>
  <c r="Q620" i="2"/>
  <c r="T657" i="2"/>
  <c r="T661" i="2"/>
  <c r="T665" i="2"/>
  <c r="T669" i="2"/>
  <c r="T673" i="2"/>
  <c r="T677" i="2"/>
  <c r="T681" i="2"/>
  <c r="T685" i="2"/>
  <c r="T689" i="2"/>
  <c r="T693" i="2"/>
  <c r="T697" i="2"/>
  <c r="T701" i="2"/>
  <c r="T705" i="2"/>
  <c r="T709" i="2"/>
  <c r="T713" i="2"/>
  <c r="T717" i="2"/>
  <c r="T721" i="2"/>
  <c r="T725" i="2"/>
  <c r="T729" i="2"/>
  <c r="T733" i="2"/>
  <c r="T737" i="2"/>
  <c r="T741" i="2"/>
  <c r="T745" i="2"/>
  <c r="T749" i="2"/>
  <c r="T753" i="2"/>
  <c r="T757" i="2"/>
  <c r="T761" i="2"/>
  <c r="T765" i="2"/>
  <c r="T769" i="2"/>
  <c r="T773" i="2"/>
  <c r="T777" i="2"/>
  <c r="T781" i="2"/>
  <c r="T785" i="2"/>
  <c r="T789" i="2"/>
  <c r="T793" i="2"/>
  <c r="T797" i="2"/>
  <c r="T801" i="2"/>
  <c r="T805" i="2"/>
  <c r="T809" i="2"/>
  <c r="T813" i="2"/>
  <c r="T817" i="2"/>
  <c r="T821" i="2"/>
  <c r="T825" i="2"/>
  <c r="T829" i="2"/>
  <c r="T833" i="2"/>
  <c r="T837" i="2"/>
  <c r="T841" i="2"/>
  <c r="T845" i="2"/>
  <c r="T849" i="2"/>
  <c r="T853" i="2"/>
  <c r="T857" i="2"/>
  <c r="T861" i="2"/>
  <c r="T865" i="2"/>
  <c r="T869" i="2"/>
  <c r="T873" i="2"/>
  <c r="T877" i="2"/>
  <c r="T881" i="2"/>
  <c r="T885" i="2"/>
  <c r="T889" i="2"/>
  <c r="T893" i="2"/>
  <c r="T897" i="2"/>
  <c r="T901" i="2"/>
  <c r="T905" i="2"/>
  <c r="T909" i="2"/>
  <c r="T913" i="2"/>
  <c r="T917" i="2"/>
  <c r="T921" i="2"/>
  <c r="T925" i="2"/>
  <c r="T929" i="2"/>
  <c r="T933" i="2"/>
  <c r="T937" i="2"/>
  <c r="T941" i="2"/>
  <c r="T945" i="2"/>
  <c r="T949" i="2"/>
  <c r="T953" i="2"/>
  <c r="T957" i="2"/>
  <c r="T961" i="2"/>
  <c r="T965" i="2"/>
  <c r="T969" i="2"/>
  <c r="T972" i="2"/>
  <c r="Q972" i="2"/>
  <c r="T980" i="2"/>
  <c r="Q980" i="2"/>
  <c r="T988" i="2"/>
  <c r="Q988" i="2"/>
  <c r="T996" i="2"/>
  <c r="Q996" i="2"/>
  <c r="T974" i="2"/>
  <c r="Q974" i="2"/>
  <c r="T982" i="2"/>
  <c r="Q982" i="2"/>
  <c r="T990" i="2"/>
  <c r="Q990" i="2"/>
  <c r="T998" i="2"/>
  <c r="Q998" i="2"/>
  <c r="T659" i="2"/>
  <c r="T663" i="2"/>
  <c r="T667" i="2"/>
  <c r="T671" i="2"/>
  <c r="T675" i="2"/>
  <c r="T679" i="2"/>
  <c r="T683" i="2"/>
  <c r="T687" i="2"/>
  <c r="T691" i="2"/>
  <c r="T695" i="2"/>
  <c r="T699" i="2"/>
  <c r="T703" i="2"/>
  <c r="T707" i="2"/>
  <c r="T711" i="2"/>
  <c r="T715" i="2"/>
  <c r="T719" i="2"/>
  <c r="T723" i="2"/>
  <c r="T727" i="2"/>
  <c r="T731" i="2"/>
  <c r="T735" i="2"/>
  <c r="T739" i="2"/>
  <c r="T743" i="2"/>
  <c r="T747" i="2"/>
  <c r="T751" i="2"/>
  <c r="T755" i="2"/>
  <c r="T759" i="2"/>
  <c r="T763" i="2"/>
  <c r="T767" i="2"/>
  <c r="T771" i="2"/>
  <c r="T775" i="2"/>
  <c r="T779" i="2"/>
  <c r="T783" i="2"/>
  <c r="T787" i="2"/>
  <c r="T791" i="2"/>
  <c r="T795" i="2"/>
  <c r="T799" i="2"/>
  <c r="T803" i="2"/>
  <c r="T807" i="2"/>
  <c r="T811" i="2"/>
  <c r="T815" i="2"/>
  <c r="T819" i="2"/>
  <c r="T823" i="2"/>
  <c r="T827" i="2"/>
  <c r="T831" i="2"/>
  <c r="T835" i="2"/>
  <c r="T839" i="2"/>
  <c r="T843" i="2"/>
  <c r="T847" i="2"/>
  <c r="T851" i="2"/>
  <c r="T855" i="2"/>
  <c r="T859" i="2"/>
  <c r="T863" i="2"/>
  <c r="T867" i="2"/>
  <c r="T871" i="2"/>
  <c r="T875" i="2"/>
  <c r="T879" i="2"/>
  <c r="T883" i="2"/>
  <c r="T887" i="2"/>
  <c r="T891" i="2"/>
  <c r="T895" i="2"/>
  <c r="T899" i="2"/>
  <c r="T903" i="2"/>
  <c r="T907" i="2"/>
  <c r="T911" i="2"/>
  <c r="T915" i="2"/>
  <c r="T919" i="2"/>
  <c r="T923" i="2"/>
  <c r="T927" i="2"/>
  <c r="T931" i="2"/>
  <c r="T935" i="2"/>
  <c r="T939" i="2"/>
  <c r="T943" i="2"/>
  <c r="T947" i="2"/>
  <c r="T951" i="2"/>
  <c r="T955" i="2"/>
  <c r="T959" i="2"/>
  <c r="T963" i="2"/>
  <c r="T967" i="2"/>
  <c r="T971" i="2"/>
  <c r="T976" i="2"/>
  <c r="Q976" i="2"/>
  <c r="T984" i="2"/>
  <c r="Q984" i="2"/>
  <c r="T992" i="2"/>
  <c r="Q992" i="2"/>
  <c r="T1000" i="2"/>
  <c r="Q1000" i="2"/>
  <c r="T658" i="2"/>
  <c r="T662" i="2"/>
  <c r="T666" i="2"/>
  <c r="T670" i="2"/>
  <c r="T674" i="2"/>
  <c r="T678" i="2"/>
  <c r="T682" i="2"/>
  <c r="T686" i="2"/>
  <c r="T690" i="2"/>
  <c r="T694" i="2"/>
  <c r="T698" i="2"/>
  <c r="T702" i="2"/>
  <c r="T706" i="2"/>
  <c r="T710" i="2"/>
  <c r="T714" i="2"/>
  <c r="T718" i="2"/>
  <c r="T722" i="2"/>
  <c r="T726" i="2"/>
  <c r="T730" i="2"/>
  <c r="T734" i="2"/>
  <c r="T738" i="2"/>
  <c r="T742" i="2"/>
  <c r="T746" i="2"/>
  <c r="T750" i="2"/>
  <c r="T754" i="2"/>
  <c r="T758" i="2"/>
  <c r="T762" i="2"/>
  <c r="T766" i="2"/>
  <c r="T770" i="2"/>
  <c r="T774" i="2"/>
  <c r="T778" i="2"/>
  <c r="T782" i="2"/>
  <c r="T786" i="2"/>
  <c r="T790" i="2"/>
  <c r="T794" i="2"/>
  <c r="T798" i="2"/>
  <c r="T802" i="2"/>
  <c r="T806" i="2"/>
  <c r="T810" i="2"/>
  <c r="T814" i="2"/>
  <c r="T818" i="2"/>
  <c r="T822" i="2"/>
  <c r="T826" i="2"/>
  <c r="T830" i="2"/>
  <c r="T834" i="2"/>
  <c r="T838" i="2"/>
  <c r="T842" i="2"/>
  <c r="T846" i="2"/>
  <c r="T850" i="2"/>
  <c r="T854" i="2"/>
  <c r="T858" i="2"/>
  <c r="T862" i="2"/>
  <c r="T866" i="2"/>
  <c r="T870" i="2"/>
  <c r="T874" i="2"/>
  <c r="T878" i="2"/>
  <c r="T882" i="2"/>
  <c r="T886" i="2"/>
  <c r="T890" i="2"/>
  <c r="T894" i="2"/>
  <c r="T898" i="2"/>
  <c r="T902" i="2"/>
  <c r="T906" i="2"/>
  <c r="T910" i="2"/>
  <c r="T914" i="2"/>
  <c r="T918" i="2"/>
  <c r="T922" i="2"/>
  <c r="T926" i="2"/>
  <c r="T930" i="2"/>
  <c r="T934" i="2"/>
  <c r="T938" i="2"/>
  <c r="T942" i="2"/>
  <c r="T946" i="2"/>
  <c r="T950" i="2"/>
  <c r="T954" i="2"/>
  <c r="T958" i="2"/>
  <c r="T962" i="2"/>
  <c r="T966" i="2"/>
  <c r="T970" i="2"/>
  <c r="T978" i="2"/>
  <c r="Q978" i="2"/>
  <c r="T986" i="2"/>
  <c r="Q986" i="2"/>
  <c r="T994" i="2"/>
  <c r="Q994" i="2"/>
  <c r="Q283" i="3"/>
  <c r="Q287" i="3"/>
  <c r="Q291" i="3"/>
  <c r="Q295" i="3"/>
  <c r="Q299" i="3"/>
  <c r="Q303" i="3"/>
  <c r="Q307" i="3"/>
  <c r="Q311" i="3"/>
  <c r="Q315" i="3"/>
  <c r="Q319" i="3"/>
  <c r="Q323" i="3"/>
  <c r="Q327" i="3"/>
  <c r="Q331" i="3"/>
  <c r="Q335" i="3"/>
  <c r="Q339" i="3"/>
  <c r="Q343" i="3"/>
  <c r="Q347" i="3"/>
  <c r="Q351" i="3"/>
  <c r="Q355" i="3"/>
  <c r="Q365" i="3"/>
  <c r="O365" i="3"/>
  <c r="Q381" i="3"/>
  <c r="O381" i="3"/>
  <c r="Q397" i="3"/>
  <c r="O397" i="3"/>
  <c r="O412" i="3"/>
  <c r="Q412" i="3"/>
  <c r="O416" i="3"/>
  <c r="Q416" i="3"/>
  <c r="O420" i="3"/>
  <c r="Q420" i="3"/>
  <c r="Q357" i="3"/>
  <c r="O364" i="3"/>
  <c r="Q369" i="3"/>
  <c r="O369" i="3"/>
  <c r="O380" i="3"/>
  <c r="Q385" i="3"/>
  <c r="O385" i="3"/>
  <c r="O396" i="3"/>
  <c r="Q401" i="3"/>
  <c r="O401" i="3"/>
  <c r="Q373" i="3"/>
  <c r="O373" i="3"/>
  <c r="Q389" i="3"/>
  <c r="O389" i="3"/>
  <c r="Q405" i="3"/>
  <c r="O405" i="3"/>
  <c r="O360" i="3"/>
  <c r="Q361" i="3"/>
  <c r="O372" i="3"/>
  <c r="Q377" i="3"/>
  <c r="O377" i="3"/>
  <c r="O388" i="3"/>
  <c r="Q393" i="3"/>
  <c r="O393" i="3"/>
  <c r="O404" i="3"/>
  <c r="O424" i="3"/>
  <c r="Q424" i="3"/>
  <c r="O409" i="3"/>
  <c r="O413" i="3"/>
  <c r="O417" i="3"/>
  <c r="O421" i="3"/>
  <c r="O425" i="3"/>
  <c r="Q428" i="3"/>
  <c r="O429" i="3"/>
  <c r="Q432" i="3"/>
  <c r="O433" i="3"/>
  <c r="Q436" i="3"/>
  <c r="O437" i="3"/>
  <c r="Q440" i="3"/>
  <c r="O441" i="3"/>
  <c r="Q444" i="3"/>
  <c r="O445" i="3"/>
  <c r="Q448" i="3"/>
  <c r="O449" i="3"/>
  <c r="Q452" i="3"/>
  <c r="O453" i="3"/>
  <c r="Q456" i="3"/>
  <c r="O457" i="3"/>
  <c r="Q460" i="3"/>
  <c r="O461" i="3"/>
  <c r="Q464" i="3"/>
  <c r="O465" i="3"/>
  <c r="Q468" i="3"/>
  <c r="O469" i="3"/>
  <c r="Q472" i="3"/>
  <c r="O473" i="3"/>
  <c r="Q476" i="3"/>
  <c r="O477" i="3"/>
  <c r="Q480" i="3"/>
  <c r="O481" i="3"/>
  <c r="Q484" i="3"/>
  <c r="O485" i="3"/>
  <c r="Q488" i="3"/>
  <c r="O489" i="3"/>
  <c r="Q492" i="3"/>
  <c r="O493" i="3"/>
  <c r="Q496" i="3"/>
  <c r="O497" i="3"/>
  <c r="Q500" i="3"/>
  <c r="O501" i="3"/>
  <c r="Q504" i="3"/>
  <c r="O505" i="3"/>
  <c r="Q508" i="3"/>
  <c r="Q512" i="3"/>
  <c r="Q516" i="3"/>
  <c r="Q520" i="3"/>
  <c r="Q524" i="3"/>
  <c r="Q528" i="3"/>
  <c r="Q532" i="3"/>
  <c r="Q536" i="3"/>
  <c r="Q540" i="3"/>
  <c r="Q544" i="3"/>
  <c r="O542" i="3"/>
  <c r="O546" i="3"/>
  <c r="O550" i="3"/>
  <c r="O556" i="3"/>
  <c r="O564" i="3"/>
  <c r="O572" i="3"/>
  <c r="O557" i="3"/>
  <c r="Q558" i="3"/>
  <c r="O565" i="3"/>
  <c r="Q566" i="3"/>
  <c r="O573" i="3"/>
  <c r="Q574" i="3"/>
  <c r="O581" i="3"/>
  <c r="Q582" i="3"/>
  <c r="Q585" i="3"/>
  <c r="O585" i="3"/>
  <c r="Q589" i="3"/>
  <c r="O589" i="3"/>
  <c r="Q593" i="3"/>
  <c r="O593" i="3"/>
  <c r="Q597" i="3"/>
  <c r="O597" i="3"/>
  <c r="Q601" i="3"/>
  <c r="O601" i="3"/>
  <c r="Q605" i="3"/>
  <c r="O605" i="3"/>
  <c r="Q609" i="3"/>
  <c r="O609" i="3"/>
  <c r="Q613" i="3"/>
  <c r="O613" i="3"/>
  <c r="O584" i="3"/>
  <c r="O588" i="3"/>
  <c r="O592" i="3"/>
  <c r="O596" i="3"/>
  <c r="Q872" i="3"/>
  <c r="O872" i="3"/>
  <c r="Q888" i="3"/>
  <c r="O888" i="3"/>
  <c r="Q904" i="3"/>
  <c r="O904" i="3"/>
  <c r="Q920" i="3"/>
  <c r="O920" i="3"/>
  <c r="Q936" i="3"/>
  <c r="O936" i="3"/>
  <c r="Q952" i="3"/>
  <c r="O952" i="3"/>
  <c r="Q968" i="3"/>
  <c r="O968" i="3"/>
  <c r="Q972" i="3"/>
  <c r="O972" i="3"/>
  <c r="Q976" i="3"/>
  <c r="O976" i="3"/>
  <c r="Q980" i="3"/>
  <c r="O980" i="3"/>
  <c r="Q984" i="3"/>
  <c r="O984" i="3"/>
  <c r="Q988" i="3"/>
  <c r="O988" i="3"/>
  <c r="O617" i="3"/>
  <c r="O621" i="3"/>
  <c r="O625" i="3"/>
  <c r="O629" i="3"/>
  <c r="O633" i="3"/>
  <c r="O637" i="3"/>
  <c r="O641" i="3"/>
  <c r="O645" i="3"/>
  <c r="O649" i="3"/>
  <c r="O653" i="3"/>
  <c r="O657" i="3"/>
  <c r="O661" i="3"/>
  <c r="O665" i="3"/>
  <c r="O669" i="3"/>
  <c r="O673" i="3"/>
  <c r="O677" i="3"/>
  <c r="O681" i="3"/>
  <c r="O685" i="3"/>
  <c r="O689" i="3"/>
  <c r="O693" i="3"/>
  <c r="O697" i="3"/>
  <c r="O701" i="3"/>
  <c r="O705" i="3"/>
  <c r="O709" i="3"/>
  <c r="O713" i="3"/>
  <c r="O717" i="3"/>
  <c r="O721" i="3"/>
  <c r="O725" i="3"/>
  <c r="O729" i="3"/>
  <c r="O733" i="3"/>
  <c r="O737" i="3"/>
  <c r="O741" i="3"/>
  <c r="O745" i="3"/>
  <c r="O749" i="3"/>
  <c r="O753" i="3"/>
  <c r="O757" i="3"/>
  <c r="O761" i="3"/>
  <c r="O765" i="3"/>
  <c r="O769" i="3"/>
  <c r="O773" i="3"/>
  <c r="O777" i="3"/>
  <c r="O781" i="3"/>
  <c r="O785" i="3"/>
  <c r="O789" i="3"/>
  <c r="O793" i="3"/>
  <c r="O797" i="3"/>
  <c r="O801" i="3"/>
  <c r="O805" i="3"/>
  <c r="O809" i="3"/>
  <c r="O813" i="3"/>
  <c r="O817" i="3"/>
  <c r="O821" i="3"/>
  <c r="O825" i="3"/>
  <c r="O829" i="3"/>
  <c r="O871" i="3"/>
  <c r="Q876" i="3"/>
  <c r="O876" i="3"/>
  <c r="O887" i="3"/>
  <c r="Q892" i="3"/>
  <c r="O892" i="3"/>
  <c r="O903" i="3"/>
  <c r="Q908" i="3"/>
  <c r="O908" i="3"/>
  <c r="O919" i="3"/>
  <c r="Q924" i="3"/>
  <c r="O924" i="3"/>
  <c r="O935" i="3"/>
  <c r="Q940" i="3"/>
  <c r="O940" i="3"/>
  <c r="O951" i="3"/>
  <c r="Q956" i="3"/>
  <c r="O956" i="3"/>
  <c r="O967" i="3"/>
  <c r="O971" i="3"/>
  <c r="O975" i="3"/>
  <c r="O979" i="3"/>
  <c r="O983" i="3"/>
  <c r="O987" i="3"/>
  <c r="Q992" i="3"/>
  <c r="O992" i="3"/>
  <c r="O614" i="3"/>
  <c r="O618" i="3"/>
  <c r="O622" i="3"/>
  <c r="O626" i="3"/>
  <c r="O630" i="3"/>
  <c r="O634" i="3"/>
  <c r="O638" i="3"/>
  <c r="O642" i="3"/>
  <c r="O646" i="3"/>
  <c r="O650" i="3"/>
  <c r="O654" i="3"/>
  <c r="O658" i="3"/>
  <c r="O662" i="3"/>
  <c r="O666" i="3"/>
  <c r="O670" i="3"/>
  <c r="O674" i="3"/>
  <c r="O678" i="3"/>
  <c r="O682" i="3"/>
  <c r="O686" i="3"/>
  <c r="O690" i="3"/>
  <c r="O694" i="3"/>
  <c r="O698" i="3"/>
  <c r="O702" i="3"/>
  <c r="O706" i="3"/>
  <c r="O710" i="3"/>
  <c r="O714" i="3"/>
  <c r="O718" i="3"/>
  <c r="O722" i="3"/>
  <c r="O726" i="3"/>
  <c r="O730" i="3"/>
  <c r="O734" i="3"/>
  <c r="O738" i="3"/>
  <c r="O742" i="3"/>
  <c r="O746" i="3"/>
  <c r="O750" i="3"/>
  <c r="O754" i="3"/>
  <c r="O758" i="3"/>
  <c r="O762" i="3"/>
  <c r="O766" i="3"/>
  <c r="O770" i="3"/>
  <c r="O774" i="3"/>
  <c r="O778" i="3"/>
  <c r="O782" i="3"/>
  <c r="O786" i="3"/>
  <c r="O790" i="3"/>
  <c r="O794" i="3"/>
  <c r="O798" i="3"/>
  <c r="O802" i="3"/>
  <c r="O806" i="3"/>
  <c r="O810" i="3"/>
  <c r="O814" i="3"/>
  <c r="O818" i="3"/>
  <c r="O822" i="3"/>
  <c r="O826" i="3"/>
  <c r="O830" i="3"/>
  <c r="O875" i="3"/>
  <c r="Q880" i="3"/>
  <c r="O880" i="3"/>
  <c r="O891" i="3"/>
  <c r="Q896" i="3"/>
  <c r="O896" i="3"/>
  <c r="O907" i="3"/>
  <c r="Q912" i="3"/>
  <c r="O912" i="3"/>
  <c r="O923" i="3"/>
  <c r="Q928" i="3"/>
  <c r="O928" i="3"/>
  <c r="O939" i="3"/>
  <c r="Q944" i="3"/>
  <c r="O944" i="3"/>
  <c r="O955" i="3"/>
  <c r="Q960" i="3"/>
  <c r="O960" i="3"/>
  <c r="Q996" i="3"/>
  <c r="O996" i="3"/>
  <c r="Q832" i="3"/>
  <c r="O832" i="3"/>
  <c r="Q836" i="3"/>
  <c r="O836" i="3"/>
  <c r="Q840" i="3"/>
  <c r="O840" i="3"/>
  <c r="Q844" i="3"/>
  <c r="O844" i="3"/>
  <c r="Q848" i="3"/>
  <c r="O848" i="3"/>
  <c r="Q852" i="3"/>
  <c r="O852" i="3"/>
  <c r="Q856" i="3"/>
  <c r="O856" i="3"/>
  <c r="Q860" i="3"/>
  <c r="O860" i="3"/>
  <c r="Q864" i="3"/>
  <c r="O864" i="3"/>
  <c r="Q868" i="3"/>
  <c r="O868" i="3"/>
  <c r="O879" i="3"/>
  <c r="Q884" i="3"/>
  <c r="O884" i="3"/>
  <c r="O895" i="3"/>
  <c r="Q900" i="3"/>
  <c r="O900" i="3"/>
  <c r="O911" i="3"/>
  <c r="Q916" i="3"/>
  <c r="O916" i="3"/>
  <c r="O927" i="3"/>
  <c r="Q932" i="3"/>
  <c r="O932" i="3"/>
  <c r="O943" i="3"/>
  <c r="Q948" i="3"/>
  <c r="O948" i="3"/>
  <c r="O959" i="3"/>
  <c r="Q964" i="3"/>
  <c r="O964" i="3"/>
  <c r="O995" i="3"/>
  <c r="Q1000" i="3"/>
  <c r="O1000" i="3"/>
  <c r="N170" i="3"/>
  <c r="N262" i="3"/>
  <c r="P158" i="2"/>
  <c r="N185" i="3"/>
  <c r="P212" i="2"/>
  <c r="P155" i="2"/>
  <c r="N278" i="3"/>
  <c r="N127" i="3"/>
  <c r="N56" i="3"/>
  <c r="P93" i="2"/>
  <c r="N46" i="3"/>
  <c r="P22" i="2"/>
  <c r="P39" i="2"/>
  <c r="P198" i="2"/>
  <c r="P229" i="2"/>
  <c r="N47" i="3"/>
  <c r="N187" i="3"/>
  <c r="N259" i="3"/>
  <c r="N223" i="3"/>
  <c r="P18" i="2"/>
  <c r="P120" i="2"/>
  <c r="P220" i="2"/>
  <c r="N12" i="3"/>
  <c r="N152" i="3"/>
  <c r="P64" i="2"/>
  <c r="P213" i="2"/>
  <c r="P116" i="2"/>
  <c r="P127" i="2"/>
  <c r="P92" i="2"/>
  <c r="P43" i="2"/>
  <c r="P52" i="2"/>
  <c r="P138" i="2"/>
  <c r="N188" i="3"/>
  <c r="N157" i="3"/>
  <c r="P51" i="2"/>
  <c r="N36" i="3"/>
  <c r="P40" i="2"/>
  <c r="P202" i="2"/>
  <c r="N234" i="3"/>
  <c r="N256" i="3"/>
  <c r="N25" i="3"/>
  <c r="N130" i="3"/>
  <c r="N21" i="3"/>
  <c r="P111" i="2"/>
  <c r="P66" i="2"/>
  <c r="P156" i="2"/>
  <c r="N202" i="3"/>
  <c r="N231" i="3"/>
  <c r="P190" i="2"/>
  <c r="N218" i="3"/>
  <c r="P195" i="2"/>
  <c r="P105" i="2"/>
  <c r="P30" i="2"/>
  <c r="N267" i="3"/>
  <c r="N6" i="3"/>
  <c r="N43" i="3"/>
  <c r="N233" i="3"/>
  <c r="N2" i="3"/>
  <c r="P132" i="2"/>
  <c r="P211" i="2"/>
  <c r="P68" i="2"/>
  <c r="P184" i="2"/>
  <c r="P12" i="2"/>
  <c r="N250" i="3"/>
  <c r="N272" i="3"/>
  <c r="N37" i="3"/>
  <c r="N146" i="3"/>
  <c r="N41" i="3"/>
  <c r="P173" i="2"/>
  <c r="P98" i="2"/>
  <c r="N44" i="3"/>
  <c r="N184" i="3"/>
  <c r="P96" i="2"/>
  <c r="N164" i="3"/>
  <c r="N26" i="3"/>
  <c r="N142" i="3"/>
  <c r="P56" i="2"/>
  <c r="N228" i="3"/>
  <c r="N59" i="3"/>
  <c r="N160" i="3"/>
  <c r="P77" i="2"/>
  <c r="N95" i="3"/>
  <c r="N252" i="3"/>
  <c r="P143" i="2"/>
  <c r="P110" i="2"/>
  <c r="P46" i="2"/>
  <c r="P153" i="2"/>
  <c r="P126" i="2"/>
  <c r="P113" i="2"/>
  <c r="N190" i="3"/>
  <c r="P61" i="2"/>
  <c r="N60" i="3"/>
  <c r="P17" i="2"/>
  <c r="P142" i="2"/>
  <c r="P104" i="2"/>
  <c r="P90" i="2"/>
  <c r="N156" i="3"/>
  <c r="P19" i="2"/>
  <c r="P121" i="2"/>
  <c r="N245" i="3"/>
  <c r="N134" i="3"/>
  <c r="N180" i="3"/>
  <c r="N212" i="3"/>
  <c r="P28" i="2"/>
  <c r="P222" i="2"/>
  <c r="P106" i="2"/>
  <c r="N89" i="3"/>
  <c r="N214" i="3"/>
  <c r="P182" i="2"/>
  <c r="N155" i="3"/>
  <c r="P76" i="2"/>
  <c r="N66" i="3"/>
  <c r="P44" i="2"/>
  <c r="P72" i="2"/>
  <c r="N230" i="3"/>
  <c r="N153" i="3"/>
  <c r="P58" i="2"/>
  <c r="N266" i="3"/>
  <c r="N33" i="3"/>
  <c r="P79" i="2"/>
  <c r="P7" i="2"/>
  <c r="P100" i="2"/>
  <c r="N120" i="3"/>
  <c r="N74" i="3"/>
  <c r="P166" i="2"/>
  <c r="N3" i="3"/>
  <c r="N81" i="3"/>
  <c r="N207" i="3"/>
  <c r="N136" i="3"/>
  <c r="P48" i="2"/>
  <c r="N55" i="3"/>
  <c r="P102" i="2"/>
  <c r="P141" i="2"/>
  <c r="N90" i="3"/>
  <c r="N237" i="3"/>
  <c r="P167" i="2"/>
  <c r="N105" i="3"/>
  <c r="P169" i="2"/>
  <c r="N261" i="3"/>
  <c r="P203" i="2"/>
  <c r="P41" i="2"/>
  <c r="N177" i="3"/>
  <c r="N150" i="3"/>
  <c r="P209" i="2"/>
  <c r="N196" i="3"/>
  <c r="P63" i="2"/>
  <c r="N101" i="3"/>
  <c r="P10" i="2"/>
  <c r="N186" i="3"/>
  <c r="N215" i="3"/>
  <c r="P174" i="2"/>
  <c r="N201" i="3"/>
  <c r="N94" i="3"/>
  <c r="P118" i="2"/>
  <c r="N67" i="3"/>
  <c r="N248" i="3"/>
  <c r="P186" i="2"/>
  <c r="N158" i="3"/>
  <c r="N251" i="3"/>
  <c r="P210" i="2"/>
  <c r="N27" i="3"/>
  <c r="N210" i="3"/>
  <c r="N32" i="3"/>
  <c r="N10" i="3"/>
  <c r="P45" i="2"/>
  <c r="N108" i="3"/>
  <c r="N77" i="3"/>
  <c r="P163" i="2"/>
  <c r="N167" i="3"/>
  <c r="P65" i="2"/>
  <c r="P171" i="2"/>
  <c r="N217" i="3"/>
  <c r="P69" i="2"/>
  <c r="N28" i="3"/>
  <c r="N168" i="3"/>
  <c r="P80" i="2"/>
  <c r="N87" i="3"/>
  <c r="P134" i="2"/>
  <c r="P185" i="2"/>
  <c r="N64" i="3"/>
  <c r="N204" i="3"/>
  <c r="N173" i="3"/>
  <c r="P67" i="2"/>
  <c r="N52" i="3"/>
  <c r="P207" i="2"/>
  <c r="N199" i="3"/>
  <c r="P200" i="2"/>
  <c r="N135" i="3"/>
  <c r="P180" i="2"/>
  <c r="P136" i="2"/>
  <c r="N124" i="3"/>
  <c r="N93" i="3"/>
  <c r="P5" i="2"/>
  <c r="N183" i="3"/>
  <c r="P81" i="2"/>
  <c r="P191" i="2"/>
  <c r="N225" i="3"/>
  <c r="N247" i="3"/>
  <c r="P206" i="2"/>
  <c r="N118" i="3"/>
  <c r="N144" i="3"/>
  <c r="N211" i="3"/>
  <c r="P62" i="2"/>
  <c r="P221" i="2"/>
  <c r="N18" i="3"/>
  <c r="N249" i="3"/>
  <c r="N112" i="3"/>
  <c r="N276" i="3"/>
  <c r="N24" i="3"/>
  <c r="P54" i="2"/>
  <c r="P114" i="2"/>
  <c r="P159" i="2"/>
  <c r="P91" i="2"/>
  <c r="N241" i="3"/>
  <c r="P188" i="2"/>
  <c r="P208" i="2"/>
  <c r="N257" i="3"/>
  <c r="P129" i="2"/>
  <c r="P112" i="2"/>
  <c r="N154" i="3"/>
  <c r="N84" i="3"/>
  <c r="N35" i="3"/>
  <c r="P216" i="2"/>
  <c r="N125" i="3"/>
  <c r="N4" i="3"/>
  <c r="P146" i="2"/>
  <c r="N161" i="3"/>
  <c r="P193" i="2"/>
  <c r="N110" i="3"/>
  <c r="N85" i="3"/>
  <c r="N181" i="3"/>
  <c r="N191" i="3"/>
  <c r="N277" i="3"/>
  <c r="P196" i="2"/>
  <c r="P31" i="2"/>
  <c r="P228" i="2"/>
  <c r="N206" i="3"/>
  <c r="N205" i="3"/>
  <c r="P219" i="2"/>
  <c r="P78" i="2"/>
  <c r="N138" i="3"/>
  <c r="P215" i="2"/>
  <c r="P168" i="2"/>
  <c r="N131" i="3"/>
  <c r="P162" i="2"/>
  <c r="N162" i="3"/>
  <c r="P122" i="2"/>
  <c r="P74" i="2"/>
  <c r="N263" i="3"/>
  <c r="P86" i="2"/>
  <c r="N268" i="3"/>
  <c r="N5" i="3"/>
  <c r="P25" i="2"/>
  <c r="N260" i="3"/>
  <c r="P115" i="2"/>
  <c r="P124" i="2"/>
  <c r="N235" i="3"/>
  <c r="N11" i="3"/>
  <c r="N179" i="3"/>
  <c r="P29" i="2"/>
  <c r="N273" i="3"/>
  <c r="N17" i="3"/>
  <c r="P214" i="2"/>
  <c r="P34" i="2"/>
  <c r="N38" i="3"/>
  <c r="N242" i="3"/>
  <c r="P223" i="2"/>
  <c r="P217" i="2"/>
  <c r="P53" i="2"/>
  <c r="N143" i="3"/>
  <c r="P109" i="2"/>
  <c r="P38" i="2"/>
  <c r="N193" i="3"/>
  <c r="P160" i="2"/>
  <c r="P87" i="2"/>
  <c r="P71" i="2"/>
  <c r="N113" i="3"/>
  <c r="P145" i="2"/>
  <c r="P3" i="2"/>
  <c r="P85" i="2"/>
  <c r="N269" i="3"/>
  <c r="N137" i="3"/>
  <c r="P165" i="2"/>
  <c r="N238" i="3"/>
  <c r="P218" i="2"/>
  <c r="N182" i="3"/>
  <c r="N57" i="3"/>
  <c r="N62" i="3"/>
  <c r="N50" i="3"/>
  <c r="N145" i="3"/>
  <c r="N75" i="3"/>
  <c r="P24" i="2"/>
  <c r="P83" i="2"/>
  <c r="P42" i="2"/>
  <c r="N73" i="3"/>
  <c r="P181" i="2"/>
  <c r="N174" i="3"/>
  <c r="N111" i="3"/>
  <c r="N51" i="3"/>
  <c r="N133" i="3"/>
  <c r="N171" i="3"/>
  <c r="P150" i="2"/>
  <c r="P205" i="2"/>
  <c r="P119" i="2"/>
  <c r="N22" i="3"/>
  <c r="N226" i="3"/>
  <c r="N229" i="3"/>
  <c r="N172" i="3"/>
  <c r="P35" i="2"/>
  <c r="P20" i="2"/>
  <c r="N254" i="3"/>
  <c r="N92" i="3"/>
  <c r="P144" i="2"/>
  <c r="P49" i="2"/>
  <c r="N149" i="3"/>
  <c r="N70" i="3"/>
  <c r="N116" i="3"/>
  <c r="P57" i="2"/>
  <c r="P21" i="2"/>
  <c r="P175" i="2"/>
  <c r="N253" i="3"/>
  <c r="N121" i="3"/>
  <c r="N270" i="3"/>
  <c r="N63" i="3"/>
  <c r="N220" i="3"/>
  <c r="P50" i="2"/>
  <c r="P187" i="2"/>
  <c r="N34" i="3"/>
  <c r="N258" i="3"/>
  <c r="P14" i="2"/>
  <c r="P201" i="2"/>
  <c r="N88" i="3"/>
  <c r="P60" i="2"/>
  <c r="P101" i="2"/>
  <c r="P33" i="2"/>
  <c r="N275" i="3"/>
  <c r="N8" i="3"/>
  <c r="N14" i="3"/>
  <c r="P2" i="2"/>
  <c r="N102" i="3"/>
  <c r="P177" i="2"/>
  <c r="N148" i="3"/>
  <c r="N48" i="3"/>
  <c r="N68" i="3"/>
  <c r="N58" i="3"/>
  <c r="P139" i="2"/>
  <c r="N255" i="3"/>
  <c r="N82" i="3"/>
  <c r="N30" i="3"/>
  <c r="P6" i="2"/>
  <c r="N246" i="3"/>
  <c r="P97" i="2"/>
  <c r="N49" i="3"/>
  <c r="P13" i="2"/>
  <c r="N243" i="3"/>
  <c r="N69" i="3"/>
  <c r="N39" i="3"/>
  <c r="N224" i="3"/>
  <c r="N15" i="3"/>
  <c r="P99" i="2"/>
  <c r="N128" i="3"/>
  <c r="P16" i="2"/>
  <c r="N19" i="3"/>
  <c r="N7" i="3"/>
  <c r="N222" i="3"/>
  <c r="N176" i="3"/>
  <c r="N96" i="3"/>
  <c r="P172" i="2"/>
  <c r="N65" i="3"/>
  <c r="P9" i="2"/>
  <c r="N54" i="3"/>
  <c r="N100" i="3"/>
  <c r="N99" i="3"/>
  <c r="P194" i="2"/>
  <c r="N194" i="3"/>
  <c r="P154" i="2"/>
  <c r="P55" i="2"/>
  <c r="N240" i="3"/>
  <c r="N114" i="3"/>
  <c r="P47" i="2"/>
  <c r="P225" i="2"/>
  <c r="N107" i="3"/>
  <c r="N271" i="3"/>
  <c r="N126" i="3"/>
  <c r="N208" i="3"/>
  <c r="P148" i="2"/>
  <c r="N72" i="3"/>
  <c r="N42" i="3"/>
  <c r="P59" i="2"/>
  <c r="N166" i="3"/>
  <c r="N213" i="3"/>
  <c r="N165" i="3"/>
  <c r="N239" i="3"/>
  <c r="N86" i="3"/>
  <c r="N132" i="3"/>
  <c r="N16" i="3"/>
  <c r="N122" i="3"/>
  <c r="P199" i="2"/>
  <c r="P135" i="2"/>
  <c r="P152" i="2"/>
  <c r="P88" i="2"/>
  <c r="N209" i="3"/>
  <c r="P176" i="2"/>
  <c r="P107" i="2"/>
  <c r="P226" i="2"/>
  <c r="N139" i="3"/>
  <c r="P23" i="2"/>
  <c r="P8" i="2"/>
  <c r="N216" i="3"/>
  <c r="P84" i="2"/>
  <c r="N198" i="3"/>
  <c r="P197" i="2"/>
  <c r="N71" i="3"/>
  <c r="P32" i="2"/>
  <c r="P15" i="2"/>
  <c r="N200" i="3"/>
  <c r="N265" i="3"/>
  <c r="P137" i="2"/>
  <c r="N178" i="3"/>
  <c r="P227" i="2"/>
  <c r="N195" i="3"/>
  <c r="N192" i="3"/>
  <c r="N83" i="3"/>
  <c r="N98" i="3"/>
  <c r="N227" i="3"/>
  <c r="N103" i="3"/>
  <c r="P26" i="2"/>
  <c r="N23" i="3"/>
  <c r="N140" i="3"/>
  <c r="P157" i="2"/>
  <c r="P95" i="2"/>
  <c r="N40" i="3"/>
  <c r="P11" i="2"/>
  <c r="P178" i="2"/>
  <c r="P149" i="2"/>
  <c r="N104" i="3"/>
  <c r="N169" i="3"/>
  <c r="N91" i="3"/>
  <c r="N117" i="3"/>
  <c r="P117" i="2"/>
  <c r="N141" i="3"/>
  <c r="N20" i="3"/>
  <c r="P170" i="2"/>
  <c r="P27" i="2"/>
  <c r="N61" i="3"/>
  <c r="N151" i="3"/>
  <c r="P204" i="2"/>
  <c r="N97" i="3"/>
  <c r="P131" i="2"/>
  <c r="N147" i="3"/>
  <c r="N29" i="3"/>
  <c r="N9" i="3"/>
  <c r="N106" i="3"/>
  <c r="P183" i="2"/>
  <c r="P189" i="2"/>
  <c r="N274" i="3"/>
  <c r="N203" i="3"/>
  <c r="N232" i="3"/>
  <c r="P140" i="2"/>
  <c r="P224" i="2"/>
  <c r="N123" i="3"/>
  <c r="N78" i="3"/>
  <c r="P36" i="2"/>
  <c r="N159" i="3"/>
  <c r="P125" i="2"/>
  <c r="P133" i="2"/>
  <c r="P89" i="2"/>
  <c r="P73" i="2"/>
  <c r="N79" i="3"/>
  <c r="N236" i="3"/>
  <c r="P82" i="2"/>
  <c r="N129" i="3"/>
  <c r="P161" i="2"/>
  <c r="N244" i="3"/>
  <c r="N80" i="3"/>
  <c r="N189" i="3"/>
  <c r="N45" i="3"/>
  <c r="P192" i="2"/>
  <c r="N264" i="3"/>
  <c r="P4" i="2"/>
  <c r="P123" i="2"/>
  <c r="P128" i="2"/>
  <c r="N119" i="3"/>
  <c r="N53" i="3"/>
  <c r="N219" i="3"/>
  <c r="N115" i="3"/>
  <c r="N31" i="3"/>
  <c r="N197" i="3"/>
  <c r="N163" i="3"/>
  <c r="N221" i="3"/>
  <c r="P130" i="2"/>
  <c r="P94" i="2"/>
  <c r="P151" i="2"/>
  <c r="N175" i="3"/>
  <c r="P70" i="2"/>
  <c r="N109" i="3"/>
  <c r="N13" i="3"/>
  <c r="P108" i="2"/>
  <c r="P147" i="2"/>
  <c r="P37" i="2"/>
  <c r="P164" i="2"/>
  <c r="P179" i="2"/>
  <c r="P75" i="2"/>
  <c r="P103" i="2"/>
  <c r="N76" i="3"/>
  <c r="Q280" i="3" l="1"/>
  <c r="O280" i="3"/>
  <c r="Q279" i="3"/>
  <c r="O279" i="3"/>
  <c r="T231" i="2"/>
  <c r="Q231" i="2" s="1"/>
  <c r="T230" i="2"/>
  <c r="Q230" i="2" s="1"/>
  <c r="T91" i="2"/>
  <c r="Q91" i="2" s="1"/>
  <c r="T136" i="2"/>
  <c r="Q136" i="2" s="1"/>
  <c r="T138" i="2"/>
  <c r="Q138" i="2" s="1"/>
  <c r="T37" i="2"/>
  <c r="Q37" i="2" s="1"/>
  <c r="Q163" i="3"/>
  <c r="O163" i="3" s="1"/>
  <c r="T148" i="2"/>
  <c r="Q148" i="2" s="1"/>
  <c r="T175" i="2"/>
  <c r="Q175" i="2" s="1"/>
  <c r="Q181" i="3"/>
  <c r="O181" i="3" s="1"/>
  <c r="Q71" i="3"/>
  <c r="O71" i="3" s="1"/>
  <c r="T218" i="2"/>
  <c r="Q218" i="2" s="1"/>
  <c r="O158" i="3"/>
  <c r="Q158" i="3"/>
  <c r="T75" i="2"/>
  <c r="Q75" i="2" s="1"/>
  <c r="Q174" i="3"/>
  <c r="O174" i="3" s="1"/>
  <c r="T12" i="2"/>
  <c r="Q12" i="2" s="1"/>
  <c r="T53" i="2"/>
  <c r="Q53" i="2" s="1"/>
  <c r="T153" i="2"/>
  <c r="Q153" i="2" s="1"/>
  <c r="T46" i="2"/>
  <c r="Q46" i="2" s="1"/>
  <c r="T73" i="2"/>
  <c r="Q73" i="2" s="1"/>
  <c r="T52" i="2"/>
  <c r="Q52" i="2" s="1"/>
  <c r="T6" i="2"/>
  <c r="Q6" i="2" s="1"/>
  <c r="T95" i="2"/>
  <c r="Q95" i="2" s="1"/>
  <c r="T180" i="2"/>
  <c r="Q180" i="2" s="1"/>
  <c r="Q9" i="3"/>
  <c r="O9" i="3" s="1"/>
  <c r="Q192" i="3"/>
  <c r="O192" i="3" s="1"/>
  <c r="Q255" i="3"/>
  <c r="O255" i="3" s="1"/>
  <c r="T88" i="2"/>
  <c r="Q88" i="2" s="1"/>
  <c r="T186" i="2"/>
  <c r="Q186" i="2" s="1"/>
  <c r="T25" i="2"/>
  <c r="Q25" i="2" s="1"/>
  <c r="T100" i="2"/>
  <c r="Q100" i="2" s="1"/>
  <c r="T184" i="2"/>
  <c r="Q184" i="2" s="1"/>
  <c r="Q208" i="3"/>
  <c r="O208" i="3" s="1"/>
  <c r="Q4" i="2"/>
  <c r="T4" i="2"/>
  <c r="T159" i="2"/>
  <c r="Q159" i="2" s="1"/>
  <c r="T33" i="2"/>
  <c r="Q33" i="2" s="1"/>
  <c r="T43" i="2"/>
  <c r="Q43" i="2" s="1"/>
  <c r="T182" i="2"/>
  <c r="Q182" i="2" s="1"/>
  <c r="Q222" i="3"/>
  <c r="O222" i="3" s="1"/>
  <c r="Q135" i="3"/>
  <c r="O135" i="3"/>
  <c r="T21" i="2"/>
  <c r="Q21" i="2" s="1"/>
  <c r="T28" i="2"/>
  <c r="Q28" i="2" s="1"/>
  <c r="T181" i="2"/>
  <c r="Q181" i="2" s="1"/>
  <c r="O238" i="3"/>
  <c r="Q238" i="3"/>
  <c r="Q248" i="3"/>
  <c r="O248" i="3" s="1"/>
  <c r="T129" i="2"/>
  <c r="Q129" i="2" s="1"/>
  <c r="T74" i="2"/>
  <c r="Q74" i="2" s="1"/>
  <c r="T68" i="2"/>
  <c r="Q68" i="2" s="1"/>
  <c r="T217" i="2"/>
  <c r="Q217" i="2" s="1"/>
  <c r="Q69" i="3"/>
  <c r="O69" i="3" s="1"/>
  <c r="T110" i="2"/>
  <c r="Q110" i="2" s="1"/>
  <c r="T89" i="2"/>
  <c r="Q89" i="2" s="1"/>
  <c r="T92" i="2"/>
  <c r="Q92" i="2" s="1"/>
  <c r="T11" i="2"/>
  <c r="Q11" i="2" s="1"/>
  <c r="T119" i="2"/>
  <c r="Q119" i="2" s="1"/>
  <c r="T200" i="2"/>
  <c r="Q200" i="2" s="1"/>
  <c r="Q29" i="3"/>
  <c r="O29" i="3" s="1"/>
  <c r="Q85" i="3"/>
  <c r="O85" i="3" s="1"/>
  <c r="Q264" i="3"/>
  <c r="O264" i="3" s="1"/>
  <c r="T152" i="2"/>
  <c r="Q152" i="2" s="1"/>
  <c r="Q67" i="3"/>
  <c r="O67" i="3" s="1"/>
  <c r="T130" i="2"/>
  <c r="Q130" i="2" s="1"/>
  <c r="Q7" i="2"/>
  <c r="T7" i="2"/>
  <c r="T211" i="2"/>
  <c r="Q211" i="2" s="1"/>
  <c r="Q126" i="3"/>
  <c r="O126" i="3" s="1"/>
  <c r="T172" i="2"/>
  <c r="Q172" i="2" s="1"/>
  <c r="T114" i="2"/>
  <c r="Q114" i="2" s="1"/>
  <c r="T101" i="2"/>
  <c r="Q101" i="2" s="1"/>
  <c r="T127" i="2"/>
  <c r="Q127" i="2" s="1"/>
  <c r="Q51" i="3"/>
  <c r="O51" i="3" s="1"/>
  <c r="Q13" i="3"/>
  <c r="O13" i="3" s="1"/>
  <c r="Q199" i="3"/>
  <c r="O199" i="3" s="1"/>
  <c r="Q57" i="2"/>
  <c r="T57" i="2"/>
  <c r="Q212" i="3"/>
  <c r="O212" i="3" s="1"/>
  <c r="T197" i="2"/>
  <c r="Q197" i="2" s="1"/>
  <c r="T165" i="2"/>
  <c r="Q165" i="2" s="1"/>
  <c r="T118" i="2"/>
  <c r="Q118" i="2" s="1"/>
  <c r="Q3" i="3"/>
  <c r="O3" i="3" s="1"/>
  <c r="T122" i="2"/>
  <c r="Q122" i="2" s="1"/>
  <c r="T132" i="2"/>
  <c r="Q132" i="2" s="1"/>
  <c r="T223" i="2"/>
  <c r="Q223" i="2" s="1"/>
  <c r="Q197" i="3"/>
  <c r="O197" i="3" s="1"/>
  <c r="T143" i="2"/>
  <c r="Q143" i="2" s="1"/>
  <c r="T133" i="2"/>
  <c r="Q133" i="2" s="1"/>
  <c r="T116" i="2"/>
  <c r="Q116" i="2" s="1"/>
  <c r="T31" i="2"/>
  <c r="Q31" i="2" s="1"/>
  <c r="T157" i="2"/>
  <c r="Q157" i="2" s="1"/>
  <c r="T207" i="2"/>
  <c r="Q207" i="2" s="1"/>
  <c r="Q147" i="3"/>
  <c r="O147" i="3" s="1"/>
  <c r="Q110" i="3"/>
  <c r="O110" i="3" s="1"/>
  <c r="T139" i="2"/>
  <c r="Q139" i="2" s="1"/>
  <c r="T135" i="2"/>
  <c r="Q135" i="2" s="1"/>
  <c r="Q94" i="3"/>
  <c r="O94" i="3" s="1"/>
  <c r="T61" i="2"/>
  <c r="Q61" i="2" s="1"/>
  <c r="T79" i="2"/>
  <c r="Q79" i="2" s="1"/>
  <c r="Q2" i="3"/>
  <c r="O2" i="3" s="1"/>
  <c r="Q271" i="3"/>
  <c r="O271" i="3" s="1"/>
  <c r="Q195" i="3"/>
  <c r="O195" i="3" s="1"/>
  <c r="T54" i="2"/>
  <c r="Q54" i="2" s="1"/>
  <c r="T60" i="2"/>
  <c r="Q60" i="2" s="1"/>
  <c r="T213" i="2"/>
  <c r="Q213" i="2" s="1"/>
  <c r="Q96" i="3"/>
  <c r="O96" i="3" s="1"/>
  <c r="Q7" i="3"/>
  <c r="O7" i="3" s="1"/>
  <c r="Q52" i="3"/>
  <c r="O52" i="3" s="1"/>
  <c r="Q116" i="3"/>
  <c r="O116" i="3" s="1"/>
  <c r="O180" i="3"/>
  <c r="Q180" i="3"/>
  <c r="Q73" i="3"/>
  <c r="O73" i="3" s="1"/>
  <c r="Q137" i="3"/>
  <c r="O137" i="3"/>
  <c r="Q201" i="3"/>
  <c r="O201" i="3" s="1"/>
  <c r="Q98" i="3"/>
  <c r="O98" i="3" s="1"/>
  <c r="Q162" i="3"/>
  <c r="O162" i="3"/>
  <c r="Q233" i="3"/>
  <c r="O233" i="3" s="1"/>
  <c r="Q242" i="3"/>
  <c r="O242" i="3" s="1"/>
  <c r="Q243" i="3"/>
  <c r="O243" i="3" s="1"/>
  <c r="Q252" i="3"/>
  <c r="O252" i="3" s="1"/>
  <c r="T125" i="2"/>
  <c r="Q125" i="2" s="1"/>
  <c r="T64" i="2"/>
  <c r="Q64" i="2" s="1"/>
  <c r="T128" i="2"/>
  <c r="Q128" i="2" s="1"/>
  <c r="T9" i="2"/>
  <c r="Q9" i="2"/>
  <c r="T67" i="2"/>
  <c r="Q67" i="2" s="1"/>
  <c r="T131" i="2"/>
  <c r="Q131" i="2" s="1"/>
  <c r="T193" i="2"/>
  <c r="Q193" i="2" s="1"/>
  <c r="T192" i="2"/>
  <c r="Q192" i="2" s="1"/>
  <c r="T199" i="2"/>
  <c r="Q199" i="2" s="1"/>
  <c r="T174" i="2"/>
  <c r="Q174" i="2" s="1"/>
  <c r="Q5" i="3"/>
  <c r="O5" i="3" s="1"/>
  <c r="Q33" i="3"/>
  <c r="O33" i="3" s="1"/>
  <c r="Q43" i="3"/>
  <c r="O43" i="3" s="1"/>
  <c r="Q107" i="3"/>
  <c r="O107" i="3"/>
  <c r="Q171" i="3"/>
  <c r="O171" i="3" s="1"/>
  <c r="Q24" i="3"/>
  <c r="O24" i="3" s="1"/>
  <c r="Q88" i="3"/>
  <c r="O88" i="3" s="1"/>
  <c r="Q152" i="3"/>
  <c r="O152" i="3" s="1"/>
  <c r="O214" i="3"/>
  <c r="Q214" i="3"/>
  <c r="Q109" i="3"/>
  <c r="O109" i="3" s="1"/>
  <c r="Q173" i="3"/>
  <c r="O173" i="3" s="1"/>
  <c r="Q70" i="3"/>
  <c r="O70" i="3" s="1"/>
  <c r="Q134" i="3"/>
  <c r="O134" i="3" s="1"/>
  <c r="Q198" i="3"/>
  <c r="O198" i="3" s="1"/>
  <c r="Q269" i="3"/>
  <c r="O269" i="3" s="1"/>
  <c r="Q215" i="3"/>
  <c r="O215" i="3"/>
  <c r="Q224" i="3"/>
  <c r="O224" i="3" s="1"/>
  <c r="T162" i="2"/>
  <c r="Q162" i="2" s="1"/>
  <c r="Q6" i="3"/>
  <c r="O6" i="3" s="1"/>
  <c r="Q38" i="3"/>
  <c r="O38" i="3" s="1"/>
  <c r="Q31" i="3"/>
  <c r="O31" i="3" s="1"/>
  <c r="Q95" i="3"/>
  <c r="O95" i="3" s="1"/>
  <c r="Q159" i="3"/>
  <c r="O159" i="3" s="1"/>
  <c r="Q12" i="3"/>
  <c r="O12" i="3" s="1"/>
  <c r="Q76" i="3"/>
  <c r="O76" i="3" s="1"/>
  <c r="Q140" i="3"/>
  <c r="O140" i="3" s="1"/>
  <c r="O204" i="3"/>
  <c r="Q204" i="3"/>
  <c r="Q97" i="3"/>
  <c r="O97" i="3" s="1"/>
  <c r="Q161" i="3"/>
  <c r="O161" i="3"/>
  <c r="Q58" i="3"/>
  <c r="O58" i="3" s="1"/>
  <c r="Q122" i="3"/>
  <c r="O122" i="3" s="1"/>
  <c r="Q186" i="3"/>
  <c r="O186" i="3" s="1"/>
  <c r="Q257" i="3"/>
  <c r="O257" i="3" s="1"/>
  <c r="Q266" i="3"/>
  <c r="O266" i="3" s="1"/>
  <c r="Q267" i="3"/>
  <c r="O267" i="3" s="1"/>
  <c r="T225" i="2"/>
  <c r="Q225" i="2" s="1"/>
  <c r="T227" i="2"/>
  <c r="Q227" i="2" s="1"/>
  <c r="O276" i="3"/>
  <c r="Q276" i="3"/>
  <c r="T201" i="2"/>
  <c r="Q201" i="2" s="1"/>
  <c r="T220" i="2"/>
  <c r="Q220" i="2" s="1"/>
  <c r="T166" i="2"/>
  <c r="Q166" i="2" s="1"/>
  <c r="Q19" i="3"/>
  <c r="O19" i="3" s="1"/>
  <c r="Q64" i="3"/>
  <c r="O64" i="3" s="1"/>
  <c r="Q149" i="3"/>
  <c r="O149" i="3" s="1"/>
  <c r="Q245" i="3"/>
  <c r="O245" i="3"/>
  <c r="T42" i="2"/>
  <c r="Q42" i="2" s="1"/>
  <c r="T85" i="2"/>
  <c r="Q85" i="2" s="1"/>
  <c r="T10" i="2"/>
  <c r="Q10" i="2" s="1"/>
  <c r="T196" i="2"/>
  <c r="Q196" i="2" s="1"/>
  <c r="Q131" i="3"/>
  <c r="O131" i="3" s="1"/>
  <c r="T30" i="2"/>
  <c r="Q30" i="2" s="1"/>
  <c r="T34" i="2"/>
  <c r="Q34" i="2" s="1"/>
  <c r="T13" i="2"/>
  <c r="Q13" i="2" s="1"/>
  <c r="T77" i="2"/>
  <c r="Q77" i="2" s="1"/>
  <c r="T36" i="2"/>
  <c r="Q36" i="2" s="1"/>
  <c r="T120" i="2"/>
  <c r="Q120" i="2" s="1"/>
  <c r="T15" i="2"/>
  <c r="Q15" i="2" s="1"/>
  <c r="T103" i="2"/>
  <c r="Q103" i="2" s="1"/>
  <c r="T185" i="2"/>
  <c r="Q185" i="2" s="1"/>
  <c r="T204" i="2"/>
  <c r="Q204" i="2" s="1"/>
  <c r="T146" i="2"/>
  <c r="Q146" i="2" s="1"/>
  <c r="Q45" i="3"/>
  <c r="O45" i="3" s="1"/>
  <c r="Q16" i="3"/>
  <c r="O16" i="3" s="1"/>
  <c r="Q101" i="3"/>
  <c r="O101" i="3" s="1"/>
  <c r="Q190" i="3"/>
  <c r="O190" i="3"/>
  <c r="T58" i="2"/>
  <c r="Q58" i="2" s="1"/>
  <c r="T105" i="2"/>
  <c r="Q105" i="2" s="1"/>
  <c r="T47" i="2"/>
  <c r="Q47" i="2" s="1"/>
  <c r="T179" i="2"/>
  <c r="Q179" i="2" s="1"/>
  <c r="Q112" i="3"/>
  <c r="O112" i="3" s="1"/>
  <c r="T14" i="2"/>
  <c r="Q14" i="2"/>
  <c r="T18" i="2"/>
  <c r="Q18" i="2" s="1"/>
  <c r="T147" i="2"/>
  <c r="Q147" i="2" s="1"/>
  <c r="T70" i="2"/>
  <c r="Q70" i="2" s="1"/>
  <c r="T134" i="2"/>
  <c r="Q134" i="2" s="1"/>
  <c r="T49" i="2"/>
  <c r="Q49" i="2" s="1"/>
  <c r="T121" i="2"/>
  <c r="Q121" i="2" s="1"/>
  <c r="Q84" i="2"/>
  <c r="T84" i="2"/>
  <c r="T3" i="2"/>
  <c r="Q3" i="2" s="1"/>
  <c r="T63" i="2"/>
  <c r="Q63" i="2" s="1"/>
  <c r="T149" i="2"/>
  <c r="Q149" i="2" s="1"/>
  <c r="T168" i="2"/>
  <c r="Q168" i="2" s="1"/>
  <c r="T195" i="2"/>
  <c r="Q195" i="2" s="1"/>
  <c r="T214" i="2"/>
  <c r="Q214" i="2" s="1"/>
  <c r="Q115" i="3"/>
  <c r="O115" i="3" s="1"/>
  <c r="Q160" i="3"/>
  <c r="O160" i="3" s="1"/>
  <c r="Q78" i="3"/>
  <c r="O78" i="3" s="1"/>
  <c r="Q223" i="3"/>
  <c r="O223" i="3" s="1"/>
  <c r="Q30" i="3"/>
  <c r="O30" i="3" s="1"/>
  <c r="Q23" i="3"/>
  <c r="O23" i="3" s="1"/>
  <c r="Q87" i="3"/>
  <c r="O87" i="3" s="1"/>
  <c r="Q151" i="3"/>
  <c r="O151" i="3" s="1"/>
  <c r="Q4" i="3"/>
  <c r="O4" i="3" s="1"/>
  <c r="Q68" i="3"/>
  <c r="O68" i="3" s="1"/>
  <c r="Q132" i="3"/>
  <c r="O132" i="3" s="1"/>
  <c r="Q196" i="3"/>
  <c r="O196" i="3" s="1"/>
  <c r="Q89" i="3"/>
  <c r="O89" i="3" s="1"/>
  <c r="Q153" i="3"/>
  <c r="O153" i="3" s="1"/>
  <c r="Q218" i="3"/>
  <c r="O218" i="3" s="1"/>
  <c r="Q114" i="3"/>
  <c r="O114" i="3" s="1"/>
  <c r="Q178" i="3"/>
  <c r="O178" i="3" s="1"/>
  <c r="Q249" i="3"/>
  <c r="O249" i="3" s="1"/>
  <c r="Q258" i="3"/>
  <c r="O258" i="3" s="1"/>
  <c r="Q259" i="3"/>
  <c r="O259" i="3" s="1"/>
  <c r="Q268" i="3"/>
  <c r="O268" i="3" s="1"/>
  <c r="T16" i="2"/>
  <c r="Q16" i="2" s="1"/>
  <c r="T80" i="2"/>
  <c r="Q80" i="2" s="1"/>
  <c r="T144" i="2"/>
  <c r="Q144" i="2" s="1"/>
  <c r="T19" i="2"/>
  <c r="Q19" i="2" s="1"/>
  <c r="T83" i="2"/>
  <c r="Q83" i="2" s="1"/>
  <c r="T145" i="2"/>
  <c r="Q145" i="2" s="1"/>
  <c r="T209" i="2"/>
  <c r="Q209" i="2" s="1"/>
  <c r="T208" i="2"/>
  <c r="Q208" i="2" s="1"/>
  <c r="T215" i="2"/>
  <c r="Q215" i="2" s="1"/>
  <c r="T190" i="2"/>
  <c r="Q190" i="2" s="1"/>
  <c r="Q17" i="3"/>
  <c r="O17" i="3" s="1"/>
  <c r="Q49" i="3"/>
  <c r="O49" i="3" s="1"/>
  <c r="Q59" i="3"/>
  <c r="O59" i="3" s="1"/>
  <c r="Q123" i="3"/>
  <c r="O123" i="3" s="1"/>
  <c r="Q187" i="3"/>
  <c r="O187" i="3" s="1"/>
  <c r="Q40" i="3"/>
  <c r="O40" i="3" s="1"/>
  <c r="Q104" i="3"/>
  <c r="O104" i="3" s="1"/>
  <c r="Q168" i="3"/>
  <c r="O168" i="3" s="1"/>
  <c r="Q61" i="3"/>
  <c r="O61" i="3" s="1"/>
  <c r="Q125" i="3"/>
  <c r="O125" i="3" s="1"/>
  <c r="Q189" i="3"/>
  <c r="O189" i="3" s="1"/>
  <c r="Q86" i="3"/>
  <c r="O86" i="3" s="1"/>
  <c r="O150" i="3"/>
  <c r="Q150" i="3"/>
  <c r="Q221" i="3"/>
  <c r="O221" i="3" s="1"/>
  <c r="Q230" i="3"/>
  <c r="O230" i="3" s="1"/>
  <c r="Q231" i="3"/>
  <c r="O231" i="3" s="1"/>
  <c r="Q240" i="3"/>
  <c r="O240" i="3"/>
  <c r="T178" i="2"/>
  <c r="Q178" i="2" s="1"/>
  <c r="Q18" i="3"/>
  <c r="O18" i="3" s="1"/>
  <c r="Q34" i="3"/>
  <c r="O34" i="3" s="1"/>
  <c r="Q47" i="3"/>
  <c r="O47" i="3" s="1"/>
  <c r="Q111" i="3"/>
  <c r="O111" i="3" s="1"/>
  <c r="Q175" i="3"/>
  <c r="O175" i="3" s="1"/>
  <c r="Q28" i="3"/>
  <c r="O28" i="3" s="1"/>
  <c r="Q92" i="3"/>
  <c r="O92" i="3" s="1"/>
  <c r="Q156" i="3"/>
  <c r="O156" i="3" s="1"/>
  <c r="Q216" i="3"/>
  <c r="O216" i="3" s="1"/>
  <c r="Q113" i="3"/>
  <c r="O113" i="3"/>
  <c r="Q177" i="3"/>
  <c r="O177" i="3" s="1"/>
  <c r="Q74" i="3"/>
  <c r="O74" i="3" s="1"/>
  <c r="Q138" i="3"/>
  <c r="O138" i="3" s="1"/>
  <c r="Q202" i="3"/>
  <c r="O202" i="3" s="1"/>
  <c r="Q273" i="3"/>
  <c r="O273" i="3" s="1"/>
  <c r="Q219" i="3"/>
  <c r="O219" i="3" s="1"/>
  <c r="Q228" i="3"/>
  <c r="O228" i="3" s="1"/>
  <c r="T224" i="2"/>
  <c r="Q224" i="2" s="1"/>
  <c r="T229" i="2"/>
  <c r="Q229" i="2" s="1"/>
  <c r="O277" i="3"/>
  <c r="Q277" i="3"/>
  <c r="T26" i="2"/>
  <c r="Q26" i="2" s="1"/>
  <c r="T69" i="2"/>
  <c r="Q69" i="2" s="1"/>
  <c r="T27" i="2"/>
  <c r="Q27" i="2" s="1"/>
  <c r="T216" i="2"/>
  <c r="Q216" i="2" s="1"/>
  <c r="Q48" i="3"/>
  <c r="O48" i="3" s="1"/>
  <c r="Q239" i="3"/>
  <c r="O239" i="3" s="1"/>
  <c r="T41" i="2"/>
  <c r="Q41" i="2" s="1"/>
  <c r="T113" i="2"/>
  <c r="Q113" i="2" s="1"/>
  <c r="Q72" i="2"/>
  <c r="T72" i="2"/>
  <c r="T156" i="2"/>
  <c r="Q156" i="2" s="1"/>
  <c r="T55" i="2"/>
  <c r="Q55" i="2" s="1"/>
  <c r="T137" i="2"/>
  <c r="Q137" i="2" s="1"/>
  <c r="T221" i="2"/>
  <c r="Q221" i="2" s="1"/>
  <c r="T187" i="2"/>
  <c r="Q187" i="2" s="1"/>
  <c r="T198" i="2"/>
  <c r="Q198" i="2" s="1"/>
  <c r="Q83" i="3"/>
  <c r="O83" i="3" s="1"/>
  <c r="Q128" i="3"/>
  <c r="O128" i="3" s="1"/>
  <c r="O217" i="3"/>
  <c r="Q217" i="3"/>
  <c r="Q254" i="3"/>
  <c r="O254" i="3" s="1"/>
  <c r="T90" i="2"/>
  <c r="Q90" i="2" s="1"/>
  <c r="T24" i="2"/>
  <c r="Q24" i="2" s="1"/>
  <c r="T71" i="2"/>
  <c r="Q71" i="2" s="1"/>
  <c r="T203" i="2"/>
  <c r="Q203" i="2" s="1"/>
  <c r="Q176" i="3"/>
  <c r="O176" i="3" s="1"/>
  <c r="T78" i="2"/>
  <c r="Q78" i="2" s="1"/>
  <c r="T66" i="2"/>
  <c r="Q66" i="2" s="1"/>
  <c r="T29" i="2"/>
  <c r="Q29" i="2" s="1"/>
  <c r="T97" i="2"/>
  <c r="Q97" i="2" s="1"/>
  <c r="T56" i="2"/>
  <c r="Q56" i="2" s="1"/>
  <c r="T140" i="2"/>
  <c r="Q140" i="2" s="1"/>
  <c r="T39" i="2"/>
  <c r="Q39" i="2" s="1"/>
  <c r="T123" i="2"/>
  <c r="Q123" i="2" s="1"/>
  <c r="T205" i="2"/>
  <c r="Q205" i="2" s="1"/>
  <c r="T171" i="2"/>
  <c r="Q171" i="2" s="1"/>
  <c r="T170" i="2"/>
  <c r="Q170" i="2" s="1"/>
  <c r="Q35" i="3"/>
  <c r="O35" i="3" s="1"/>
  <c r="Q80" i="3"/>
  <c r="O80" i="3" s="1"/>
  <c r="Q165" i="3"/>
  <c r="O165" i="3" s="1"/>
  <c r="Q261" i="3"/>
  <c r="O261" i="3" s="1"/>
  <c r="T106" i="2"/>
  <c r="Q106" i="2" s="1"/>
  <c r="T44" i="2"/>
  <c r="Q44" i="2" s="1"/>
  <c r="T111" i="2"/>
  <c r="Q111" i="2" s="1"/>
  <c r="T154" i="2"/>
  <c r="Q154" i="2" s="1"/>
  <c r="Q133" i="3"/>
  <c r="O133" i="3" s="1"/>
  <c r="T62" i="2"/>
  <c r="Q62" i="2" s="1"/>
  <c r="T50" i="2"/>
  <c r="Q50" i="2" s="1"/>
  <c r="T22" i="2"/>
  <c r="Q22" i="2" s="1"/>
  <c r="T86" i="2"/>
  <c r="Q86" i="2" s="1"/>
  <c r="T151" i="2"/>
  <c r="Q151" i="2" s="1"/>
  <c r="T65" i="2"/>
  <c r="Q65" i="2" s="1"/>
  <c r="T20" i="2"/>
  <c r="Q20" i="2" s="1"/>
  <c r="T104" i="2"/>
  <c r="Q104" i="2" s="1"/>
  <c r="T8" i="2"/>
  <c r="Q8" i="2" s="1"/>
  <c r="T87" i="2"/>
  <c r="Q87" i="2" s="1"/>
  <c r="T169" i="2"/>
  <c r="Q169" i="2" s="1"/>
  <c r="T188" i="2"/>
  <c r="Q188" i="2" s="1"/>
  <c r="T219" i="2"/>
  <c r="Q219" i="2" s="1"/>
  <c r="Q21" i="3"/>
  <c r="O21" i="3" s="1"/>
  <c r="Q179" i="3"/>
  <c r="O179" i="3" s="1"/>
  <c r="Q53" i="3"/>
  <c r="O53" i="3" s="1"/>
  <c r="Q142" i="3"/>
  <c r="O142" i="3" s="1"/>
  <c r="Q232" i="3"/>
  <c r="O232" i="3" s="1"/>
  <c r="Q46" i="3"/>
  <c r="O46" i="3" s="1"/>
  <c r="Q39" i="3"/>
  <c r="O39" i="3" s="1"/>
  <c r="Q103" i="3"/>
  <c r="O103" i="3"/>
  <c r="Q167" i="3"/>
  <c r="O167" i="3" s="1"/>
  <c r="Q20" i="3"/>
  <c r="O20" i="3" s="1"/>
  <c r="Q84" i="3"/>
  <c r="O84" i="3" s="1"/>
  <c r="Q148" i="3"/>
  <c r="O148" i="3" s="1"/>
  <c r="O213" i="3"/>
  <c r="Q213" i="3"/>
  <c r="Q105" i="3"/>
  <c r="O105" i="3" s="1"/>
  <c r="O169" i="3"/>
  <c r="Q169" i="3"/>
  <c r="Q66" i="3"/>
  <c r="O66" i="3" s="1"/>
  <c r="Q130" i="3"/>
  <c r="O130" i="3" s="1"/>
  <c r="Q194" i="3"/>
  <c r="O194" i="3" s="1"/>
  <c r="Q265" i="3"/>
  <c r="O265" i="3" s="1"/>
  <c r="Q211" i="3"/>
  <c r="O211" i="3" s="1"/>
  <c r="Q220" i="3"/>
  <c r="O220" i="3" s="1"/>
  <c r="T93" i="2"/>
  <c r="Q93" i="2" s="1"/>
  <c r="T32" i="2"/>
  <c r="Q32" i="2" s="1"/>
  <c r="T96" i="2"/>
  <c r="Q96" i="2" s="1"/>
  <c r="T163" i="2"/>
  <c r="Q163" i="2" s="1"/>
  <c r="T35" i="2"/>
  <c r="Q35" i="2" s="1"/>
  <c r="T99" i="2"/>
  <c r="Q99" i="2" s="1"/>
  <c r="T161" i="2"/>
  <c r="Q161" i="2" s="1"/>
  <c r="T160" i="2"/>
  <c r="Q160" i="2" s="1"/>
  <c r="T167" i="2"/>
  <c r="Q167" i="2" s="1"/>
  <c r="T142" i="2"/>
  <c r="Q142" i="2" s="1"/>
  <c r="T206" i="2"/>
  <c r="Q206" i="2" s="1"/>
  <c r="Q25" i="3"/>
  <c r="O25" i="3" s="1"/>
  <c r="Q11" i="3"/>
  <c r="O11" i="3" s="1"/>
  <c r="Q75" i="3"/>
  <c r="O75" i="3" s="1"/>
  <c r="Q139" i="3"/>
  <c r="O139" i="3" s="1"/>
  <c r="Q203" i="3"/>
  <c r="O203" i="3" s="1"/>
  <c r="Q56" i="3"/>
  <c r="O56" i="3" s="1"/>
  <c r="Q120" i="3"/>
  <c r="O120" i="3" s="1"/>
  <c r="Q184" i="3"/>
  <c r="O184" i="3"/>
  <c r="Q77" i="3"/>
  <c r="O77" i="3" s="1"/>
  <c r="Q141" i="3"/>
  <c r="O141" i="3" s="1"/>
  <c r="Q205" i="3"/>
  <c r="O205" i="3"/>
  <c r="O102" i="3"/>
  <c r="Q102" i="3"/>
  <c r="Q166" i="3"/>
  <c r="O166" i="3" s="1"/>
  <c r="Q237" i="3"/>
  <c r="O237" i="3" s="1"/>
  <c r="Q246" i="3"/>
  <c r="O246" i="3" s="1"/>
  <c r="Q247" i="3"/>
  <c r="O247" i="3" s="1"/>
  <c r="Q256" i="3"/>
  <c r="O256" i="3" s="1"/>
  <c r="T194" i="2"/>
  <c r="Q194" i="2" s="1"/>
  <c r="Q26" i="3"/>
  <c r="O26" i="3" s="1"/>
  <c r="Q50" i="3"/>
  <c r="O50" i="3" s="1"/>
  <c r="Q63" i="3"/>
  <c r="O63" i="3" s="1"/>
  <c r="Q127" i="3"/>
  <c r="O127" i="3"/>
  <c r="Q191" i="3"/>
  <c r="O191" i="3" s="1"/>
  <c r="Q44" i="3"/>
  <c r="O44" i="3" s="1"/>
  <c r="Q108" i="3"/>
  <c r="O108" i="3" s="1"/>
  <c r="Q172" i="3"/>
  <c r="O172" i="3"/>
  <c r="Q65" i="3"/>
  <c r="O65" i="3" s="1"/>
  <c r="O129" i="3"/>
  <c r="Q129" i="3"/>
  <c r="Q193" i="3"/>
  <c r="O193" i="3" s="1"/>
  <c r="Q90" i="3"/>
  <c r="O90" i="3" s="1"/>
  <c r="Q154" i="3"/>
  <c r="O154" i="3" s="1"/>
  <c r="O225" i="3"/>
  <c r="Q225" i="3"/>
  <c r="Q234" i="3"/>
  <c r="O234" i="3" s="1"/>
  <c r="Q235" i="3"/>
  <c r="O235" i="3" s="1"/>
  <c r="Q244" i="3"/>
  <c r="O244" i="3" s="1"/>
  <c r="T226" i="2"/>
  <c r="Q226" i="2" s="1"/>
  <c r="Q274" i="3"/>
  <c r="O274" i="3"/>
  <c r="O278" i="3"/>
  <c r="Q278" i="3"/>
  <c r="T126" i="2"/>
  <c r="Q126" i="2" s="1"/>
  <c r="T98" i="2"/>
  <c r="Q98" i="2" s="1"/>
  <c r="T45" i="2"/>
  <c r="Q45" i="2" s="1"/>
  <c r="T117" i="2"/>
  <c r="Q117" i="2" s="1"/>
  <c r="T76" i="2"/>
  <c r="Q76" i="2" s="1"/>
  <c r="T2" i="2"/>
  <c r="Q2" i="2" s="1"/>
  <c r="T59" i="2"/>
  <c r="Q59" i="2" s="1"/>
  <c r="T141" i="2"/>
  <c r="Q141" i="2" s="1"/>
  <c r="T164" i="2"/>
  <c r="Q164" i="2" s="1"/>
  <c r="T191" i="2"/>
  <c r="Q191" i="2" s="1"/>
  <c r="T202" i="2"/>
  <c r="Q202" i="2" s="1"/>
  <c r="Q99" i="3"/>
  <c r="O99" i="3" s="1"/>
  <c r="Q144" i="3"/>
  <c r="O144" i="3" s="1"/>
  <c r="Q62" i="3"/>
  <c r="O62" i="3" s="1"/>
  <c r="Q270" i="3"/>
  <c r="O270" i="3"/>
  <c r="T155" i="2"/>
  <c r="Q155" i="2" s="1"/>
  <c r="T108" i="2"/>
  <c r="Q108" i="2"/>
  <c r="T173" i="2"/>
  <c r="Q173" i="2" s="1"/>
  <c r="Q10" i="3"/>
  <c r="O10" i="3" s="1"/>
  <c r="Q229" i="3"/>
  <c r="O229" i="3"/>
  <c r="T94" i="2"/>
  <c r="Q94" i="2" s="1"/>
  <c r="T82" i="2"/>
  <c r="Q82" i="2" s="1"/>
  <c r="T38" i="2"/>
  <c r="Q38" i="2" s="1"/>
  <c r="T102" i="2"/>
  <c r="Q102" i="2"/>
  <c r="T17" i="2"/>
  <c r="Q17" i="2" s="1"/>
  <c r="T81" i="2"/>
  <c r="Q81" i="2" s="1"/>
  <c r="T40" i="2"/>
  <c r="Q40" i="2" s="1"/>
  <c r="T124" i="2"/>
  <c r="Q124" i="2" s="1"/>
  <c r="T23" i="2"/>
  <c r="Q23" i="2" s="1"/>
  <c r="T107" i="2"/>
  <c r="Q107" i="2" s="1"/>
  <c r="T189" i="2"/>
  <c r="Q189" i="2" s="1"/>
  <c r="T212" i="2"/>
  <c r="Q212" i="2" s="1"/>
  <c r="T150" i="2"/>
  <c r="Q150" i="2" s="1"/>
  <c r="Q41" i="3"/>
  <c r="O41" i="3" s="1"/>
  <c r="Q32" i="3"/>
  <c r="O32" i="3" s="1"/>
  <c r="O117" i="3"/>
  <c r="Q117" i="3"/>
  <c r="O206" i="3"/>
  <c r="Q206" i="3"/>
  <c r="Q14" i="3"/>
  <c r="O14" i="3" s="1"/>
  <c r="Q42" i="3"/>
  <c r="O42" i="3" s="1"/>
  <c r="Q55" i="3"/>
  <c r="O55" i="3" s="1"/>
  <c r="Q119" i="3"/>
  <c r="O119" i="3" s="1"/>
  <c r="Q183" i="3"/>
  <c r="O183" i="3" s="1"/>
  <c r="Q36" i="3"/>
  <c r="O36" i="3" s="1"/>
  <c r="Q100" i="3"/>
  <c r="O100" i="3" s="1"/>
  <c r="Q164" i="3"/>
  <c r="O164" i="3" s="1"/>
  <c r="Q57" i="3"/>
  <c r="O57" i="3" s="1"/>
  <c r="Q121" i="3"/>
  <c r="O121" i="3" s="1"/>
  <c r="Q185" i="3"/>
  <c r="O185" i="3" s="1"/>
  <c r="Q82" i="3"/>
  <c r="O82" i="3" s="1"/>
  <c r="Q146" i="3"/>
  <c r="O146" i="3" s="1"/>
  <c r="Q210" i="3"/>
  <c r="O210" i="3" s="1"/>
  <c r="Q226" i="3"/>
  <c r="O226" i="3" s="1"/>
  <c r="Q227" i="3"/>
  <c r="O227" i="3" s="1"/>
  <c r="Q236" i="3"/>
  <c r="O236" i="3" s="1"/>
  <c r="T109" i="2"/>
  <c r="Q109" i="2" s="1"/>
  <c r="T48" i="2"/>
  <c r="Q48" i="2" s="1"/>
  <c r="T112" i="2"/>
  <c r="Q112" i="2" s="1"/>
  <c r="T5" i="2"/>
  <c r="Q5" i="2" s="1"/>
  <c r="T51" i="2"/>
  <c r="Q51" i="2" s="1"/>
  <c r="T115" i="2"/>
  <c r="Q115" i="2" s="1"/>
  <c r="T177" i="2"/>
  <c r="Q177" i="2" s="1"/>
  <c r="T176" i="2"/>
  <c r="Q176" i="2" s="1"/>
  <c r="T183" i="2"/>
  <c r="Q183" i="2" s="1"/>
  <c r="T158" i="2"/>
  <c r="Q158" i="2" s="1"/>
  <c r="T222" i="2"/>
  <c r="Q222" i="2" s="1"/>
  <c r="Q37" i="3"/>
  <c r="O37" i="3" s="1"/>
  <c r="Q27" i="3"/>
  <c r="O27" i="3" s="1"/>
  <c r="Q91" i="3"/>
  <c r="O91" i="3" s="1"/>
  <c r="Q155" i="3"/>
  <c r="O155" i="3" s="1"/>
  <c r="Q8" i="3"/>
  <c r="O8" i="3" s="1"/>
  <c r="Q72" i="3"/>
  <c r="O72" i="3" s="1"/>
  <c r="O136" i="3"/>
  <c r="Q136" i="3"/>
  <c r="Q200" i="3"/>
  <c r="O200" i="3" s="1"/>
  <c r="Q93" i="3"/>
  <c r="O93" i="3" s="1"/>
  <c r="Q157" i="3"/>
  <c r="O157" i="3" s="1"/>
  <c r="Q54" i="3"/>
  <c r="O54" i="3" s="1"/>
  <c r="O118" i="3"/>
  <c r="Q118" i="3"/>
  <c r="Q182" i="3"/>
  <c r="O182" i="3" s="1"/>
  <c r="Q253" i="3"/>
  <c r="O253" i="3" s="1"/>
  <c r="Q262" i="3"/>
  <c r="O262" i="3" s="1"/>
  <c r="Q263" i="3"/>
  <c r="O263" i="3" s="1"/>
  <c r="Q272" i="3"/>
  <c r="O272" i="3" s="1"/>
  <c r="T210" i="2"/>
  <c r="Q210" i="2" s="1"/>
  <c r="Q22" i="3"/>
  <c r="O22" i="3" s="1"/>
  <c r="Q15" i="3"/>
  <c r="O15" i="3" s="1"/>
  <c r="Q79" i="3"/>
  <c r="O79" i="3" s="1"/>
  <c r="Q143" i="3"/>
  <c r="O143" i="3"/>
  <c r="Q207" i="3"/>
  <c r="O207" i="3" s="1"/>
  <c r="Q60" i="3"/>
  <c r="O60" i="3" s="1"/>
  <c r="Q124" i="3"/>
  <c r="O124" i="3" s="1"/>
  <c r="Q188" i="3"/>
  <c r="O188" i="3" s="1"/>
  <c r="Q81" i="3"/>
  <c r="O81" i="3" s="1"/>
  <c r="Q145" i="3"/>
  <c r="O145" i="3" s="1"/>
  <c r="Q209" i="3"/>
  <c r="O209" i="3" s="1"/>
  <c r="Q106" i="3"/>
  <c r="O106" i="3" s="1"/>
  <c r="O170" i="3"/>
  <c r="Q170" i="3"/>
  <c r="Q241" i="3"/>
  <c r="O241" i="3" s="1"/>
  <c r="Q250" i="3"/>
  <c r="O250" i="3" s="1"/>
  <c r="Q251" i="3"/>
  <c r="O251" i="3" s="1"/>
  <c r="Q260" i="3"/>
  <c r="O260" i="3" s="1"/>
  <c r="T228" i="2"/>
  <c r="Q228" i="2" s="1"/>
  <c r="O275" i="3"/>
  <c r="Q275" i="3"/>
  <c r="C31" i="1"/>
  <c r="C7" i="1"/>
  <c r="C32" i="1" s="1"/>
  <c r="C42" i="1"/>
  <c r="C40" i="1"/>
  <c r="C38" i="1"/>
  <c r="C43" i="1"/>
  <c r="C41" i="1"/>
  <c r="C39" i="1"/>
  <c r="C34" i="1"/>
  <c r="C47" i="1"/>
  <c r="C69" i="1" l="1"/>
  <c r="C68" i="1"/>
</calcChain>
</file>

<file path=xl/sharedStrings.xml><?xml version="1.0" encoding="utf-8"?>
<sst xmlns="http://schemas.openxmlformats.org/spreadsheetml/2006/main" count="4270" uniqueCount="1982">
  <si>
    <t>TABLERO DE GESTIÓN — Secretaría de Concentraciones Económicas</t>
  </si>
  <si>
    <t>PARÁMETROS</t>
  </si>
  <si>
    <t>Fecha</t>
  </si>
  <si>
    <t>Fecha de corte</t>
  </si>
  <si>
    <t>Inicio del mes en curso</t>
  </si>
  <si>
    <t>Inicio del mes anterior</t>
  </si>
  <si>
    <t>Inicio del trimestre</t>
  </si>
  <si>
    <t>Inicio del año</t>
  </si>
  <si>
    <t>CONCENTRACIONES — stock por estado</t>
  </si>
  <si>
    <t>Casos</t>
  </si>
  <si>
    <t xml:space="preserve">   Pendiente de presentación</t>
  </si>
  <si>
    <t xml:space="preserve">   Observado</t>
  </si>
  <si>
    <t xml:space="preserve">   En análisis</t>
  </si>
  <si>
    <t xml:space="preserve">   En instrucción</t>
  </si>
  <si>
    <t xml:space="preserve">   Suspendida</t>
  </si>
  <si>
    <t xml:space="preserve">   IT circulando</t>
  </si>
  <si>
    <t xml:space="preserve">   Para resolución</t>
  </si>
  <si>
    <t xml:space="preserve">   TDC</t>
  </si>
  <si>
    <t xml:space="preserve">   Firmada</t>
  </si>
  <si>
    <t xml:space="preserve">   Subordinada en cumplimiento</t>
  </si>
  <si>
    <t xml:space="preserve">   Apelada</t>
  </si>
  <si>
    <t xml:space="preserve">   Acumulado</t>
  </si>
  <si>
    <t xml:space="preserve">   Archivo</t>
  </si>
  <si>
    <t xml:space="preserve">   Desistida</t>
  </si>
  <si>
    <t>TOTAL ACTIVAS (en trámite)</t>
  </si>
  <si>
    <t>TOTAL CERRADAS</t>
  </si>
  <si>
    <t>RESOLUCIONES FIRMADAS — por período</t>
  </si>
  <si>
    <t>Cantidad</t>
  </si>
  <si>
    <t>Últimos 30 días</t>
  </si>
  <si>
    <t>Mes en curso</t>
  </si>
  <si>
    <t>Mes anterior</t>
  </si>
  <si>
    <t>Trimestre en curso</t>
  </si>
  <si>
    <t>Año en curso</t>
  </si>
  <si>
    <t>Total histórico registrado</t>
  </si>
  <si>
    <t>FIRMADAS POR TIPO DE TRÁMITE</t>
  </si>
  <si>
    <t>Histórico</t>
  </si>
  <si>
    <t xml:space="preserve">   Ordinaria</t>
  </si>
  <si>
    <t xml:space="preserve">   DP</t>
  </si>
  <si>
    <t xml:space="preserve">   Otros</t>
  </si>
  <si>
    <t xml:space="preserve">   PROSUM</t>
  </si>
  <si>
    <t xml:space="preserve">   OPI</t>
  </si>
  <si>
    <t xml:space="preserve">   Condicionada</t>
  </si>
  <si>
    <t>TIEMPOS (meses)</t>
  </si>
  <si>
    <t>Valor</t>
  </si>
  <si>
    <t>Resolución — promedio histórico</t>
  </si>
  <si>
    <t>Resolución — promedio año en curso</t>
  </si>
  <si>
    <t>Antigüedad del stock activo</t>
  </si>
  <si>
    <t>Antigüedad — caso más viejo en trámite</t>
  </si>
  <si>
    <t>OPIs y DP — stock por estado</t>
  </si>
  <si>
    <t>OPIs</t>
  </si>
  <si>
    <t>DP</t>
  </si>
  <si>
    <t xml:space="preserve">   Relación de hechos</t>
  </si>
  <si>
    <t xml:space="preserve">   Relación de hechos - prueba</t>
  </si>
  <si>
    <t xml:space="preserve">   Resuelto</t>
  </si>
  <si>
    <t>TOTAL EN TRÁMITE</t>
  </si>
  <si>
    <t>CONTROL DE CONSISTENCIA</t>
  </si>
  <si>
    <t>evol_conc: filas con alerta en Chequeo</t>
  </si>
  <si>
    <t>firmadas: filas con alerta en Chequeo</t>
  </si>
  <si>
    <t>Registros marcados como Excluible</t>
  </si>
  <si>
    <t>Los valores se recalculan solos al abrir el archivo o con F9. Las categorías salen de la hoja oculta _listas.</t>
  </si>
  <si>
    <t>ESTADO</t>
  </si>
  <si>
    <t>Excluible</t>
  </si>
  <si>
    <t>CONC</t>
  </si>
  <si>
    <t>Carpeta</t>
  </si>
  <si>
    <t>N_expediente</t>
  </si>
  <si>
    <t>Caratula</t>
  </si>
  <si>
    <t>Fecha_Ingreso</t>
  </si>
  <si>
    <t>Fecha_firma</t>
  </si>
  <si>
    <t>Abogado_1</t>
  </si>
  <si>
    <t>Abogado_2</t>
  </si>
  <si>
    <t>Economista_1</t>
  </si>
  <si>
    <t>Economista_2</t>
  </si>
  <si>
    <t>ES FT</t>
  </si>
  <si>
    <t>MESES</t>
  </si>
  <si>
    <t>Dictamen a revisar (SI/NO)</t>
  </si>
  <si>
    <t>Clave</t>
  </si>
  <si>
    <t>Chequeo</t>
  </si>
  <si>
    <t>Observaciones</t>
  </si>
  <si>
    <t>Revisión</t>
  </si>
  <si>
    <t>_fila_firmadas</t>
  </si>
  <si>
    <t>Firmada</t>
  </si>
  <si>
    <t>848</t>
  </si>
  <si>
    <t>"LABORATORIOS RECALCINE S.A., POLYGON LABS S.A., e INVERSIONES ARGENTINAS I LIMITADA S.A. S/NOTIFICACIÓN ART. 8 DE LA LEY 25.156" (CONC. 848); EX-2023-149360908--APNDR#CNDC, caratulado "ALKMAAR EXPORT B.V. E INVERSIONES SYNTHIA LIMITADA S/NOTIFICACIÓN ART. 8 DE LA LEY 25.156" (CONC. 929) y EX-2018-50098912-APNDGD#MPYT, caratulado: "ABBOTT LABORATORIES Y POSITRON LIMITED S/NOTIFICACIÒN ART. 8º DE LA LEY 25.156" (CONC. 1169).</t>
  </si>
  <si>
    <t>NO</t>
  </si>
  <si>
    <t>Apelada</t>
  </si>
  <si>
    <t>S01:0088981/2013</t>
  </si>
  <si>
    <t>PFIZER INC. S/ NOTIFICACIÓN ART. 8 DE LA LEY 25.156 (Conc.1064)</t>
  </si>
  <si>
    <t>GOMEZ</t>
  </si>
  <si>
    <t>ZUVIRIA</t>
  </si>
  <si>
    <t>APELADA</t>
  </si>
  <si>
    <t>Conc.</t>
  </si>
  <si>
    <t>S01:0059681/2009</t>
  </si>
  <si>
    <t>COMPANHIA VALE DO RIO DOCE y RIO TINTO Plc y OTRO</t>
  </si>
  <si>
    <t>ROSOSZKA</t>
  </si>
  <si>
    <t>ROBERTS</t>
  </si>
  <si>
    <t>RÍOS</t>
  </si>
  <si>
    <t>FIGUEROA</t>
  </si>
  <si>
    <t>Nota firma conjunta al SIC a los efectos de la prosecución del trámite correspondiente al proyecto de resolución que fuera elevado en su oportunidad.</t>
  </si>
  <si>
    <t>S01:0201894/2014</t>
  </si>
  <si>
    <t>ENERGÍA RIOJANA S.A. Y OTROS S/ NOTIFICACIÓN ART. 8 LEY 25.156 (Conc. N° 1166)</t>
  </si>
  <si>
    <t>Suspendida</t>
  </si>
  <si>
    <t>EX-2018-50098912-APN-DGD#MP</t>
  </si>
  <si>
    <t>ABBOTT LABORATORIES y POSíTRON LIMITED S/ NOTIFICACIÓN ART. 8° DE LA LEy 25.156 (CONC. N° 1169)</t>
  </si>
  <si>
    <t>MAMMARELLI</t>
  </si>
  <si>
    <t>FLORES ZAPATA</t>
  </si>
  <si>
    <t>SUSPENDIDA</t>
  </si>
  <si>
    <t>S01:0141927/2012</t>
  </si>
  <si>
    <t>JUNCADELLA PROSEGUR INTERNACIONAL S.A., ARMOR ACQUISITION S.A., JULIO CÉSAR SARMIENTO Y LUCAS MANUEL SARMIENTO. S/NOTIFICACIÓN ART. 8 DE LA LEY 25.156 (CONC. 998)</t>
  </si>
  <si>
    <t>EX-2017-16171792- -APN-DDYME#MP</t>
  </si>
  <si>
    <t>LA HOLANDA SUDAMERICANA COMPAÑIA DE SEGUROS S.A. Y NOVA RE COMPAÑÍA DE REASEGUROS S.A. S/NOTIFICACIÓN ART. 8 DE LA LEY 25.156</t>
  </si>
  <si>
    <t>ZUVIRÍA</t>
  </si>
  <si>
    <t>Rososzka</t>
  </si>
  <si>
    <t>MADE</t>
  </si>
  <si>
    <t>EX-2018-26426529-APN-DGD#MP</t>
  </si>
  <si>
    <t>EMILIO SALVADOR LUQUE Y ATANOR SCA S/NOTIFICACIÓN ART. 8 DE LA LEY 25.156</t>
  </si>
  <si>
    <t>QUINTELA</t>
  </si>
  <si>
    <t>se paso a contencioso el 12/02 para ejecución 2 nda ampliacion de multa PV-2024-137785470-APN-DNCE#CNDC</t>
  </si>
  <si>
    <t>EX-2017-14837373- -APN-DDYME#MP</t>
  </si>
  <si>
    <t>V.F.G. INVERSIONES Y ACTIVIDADES ESPECIALES S.A., INDUSTRIA AGROALIMENTARIA LATAM S.A. Y R/C ARGENTINA BIOFUELS INVESTMENT COOPERATIEF U.A. S/NOTIFICACIÓN ART. 8 DE LA LEY 25.156</t>
  </si>
  <si>
    <t>EX-2017-19218822- -APN-DDYME#MP</t>
  </si>
  <si>
    <t>EX-2017-27178347—APN-DDYME#MP</t>
  </si>
  <si>
    <t>SANTIAGO ENRIQUE DELLATORE BALESTRA, DAMIÁN BURGIO, CARLOS FABIÁN DE SOUSA, NITZON HOLDINGS INC, CRISTÓBAL MANUEL LÓPEZ, CRISTÓBAL NAZARENO LÓPEZ, EMILIANO LÓPEZ Y FIDEICOMISO CML II S/NOTIF. ART. 8 LEY 25.156</t>
  </si>
  <si>
    <t>EX-2018-25150257-APN-DGD#M</t>
  </si>
  <si>
    <t>CONC. 1637 - BANCO INDUSTRIAL S.A. Y CAJA DE VALORES S.A. S/NOTIFICACIÓN ART. 9° LEY 27.442</t>
  </si>
  <si>
    <t>BALBI</t>
  </si>
  <si>
    <t>EX-2018-57318772- -APN-DGD#MPYT</t>
  </si>
  <si>
    <t>CONC.1663 - LINDE AG Y PRAXAIR, INC. S/NOTIFICACIÓN ART. 9 DE LA LEY N° 27.442</t>
  </si>
  <si>
    <t>IÑARRA</t>
  </si>
  <si>
    <t>Se encuentran circulando dos documentos: 1) Disposicion de Aclaración, respuesta AV por consulta cálculo precio. Y 2) Dictamen Complementario.</t>
  </si>
  <si>
    <t>EX-2019-01682971- -APN-DGD#MPYT</t>
  </si>
  <si>
    <t>CONC.1675 - INDUSTRIA AGROALIMENTARIA LATAM S.A., OLEAGINOSA MORENO HNOS. S.A.C.F.I. Y A, Y MOLINOS AGRO S.A. S/NOTIFICACIÓN ART. 9 DE LA LEY N°27.442</t>
  </si>
  <si>
    <t>EX-2019-16590632- -APN-DGD#MPYT</t>
  </si>
  <si>
    <t>CONC.1692 - THE WALT DISNEY COMPANY Y TWENTY-FIRST CENTURY FOX, INC. S/NOTIFICACIÓN ART. 9 DE LA LEY N° 27.442</t>
  </si>
  <si>
    <t>VOZZI</t>
  </si>
  <si>
    <t>EX-2019-60115311- -APN-DGD#MPYT</t>
  </si>
  <si>
    <t>CONC.1711 - CT BARRAGAN S.A. PAMPA COGENERACIÓN S.A. e YPF S.A., S/NOTIFICACIÓN ART. 9 DE LA LEY N° 27.442</t>
  </si>
  <si>
    <t>EX-2019-85277941- -APN-DGD#MPYT</t>
  </si>
  <si>
    <t>CONC.1726 - GARRUCHOS S.A. Y GRUPO BENICIO S.A. S/NOTIFICACIÓN ART. 9 DE LA LEY N° 27.442</t>
  </si>
  <si>
    <t>FERRANDO</t>
  </si>
  <si>
    <t>EX-2019-109196681- -APN-DGD#MPYT</t>
  </si>
  <si>
    <t>CONC.1736 - RENAISCO B.V. S/NOTIFICACIÓN ART. 9 DE LA LEY N° 27.442</t>
  </si>
  <si>
    <t>Subordinada en cumplimiento</t>
  </si>
  <si>
    <t>EX-2020-02227363- -APN-DGD#MPYT</t>
  </si>
  <si>
    <t>CONC.1739 - NATURA &amp; CO HOLDING S.A. Y AVON PRODUCTS, INC. S/NOTIFICACIÓN ART. 9 DE LA LEY N° 27.442</t>
  </si>
  <si>
    <t>RESOLUCIÓN SIC FIRMADA 23/10/2024// COMPROMISO ACTIVO</t>
  </si>
  <si>
    <t>CONC.</t>
  </si>
  <si>
    <t>EX-2020-27423994- -APN-DGD#MPYT</t>
  </si>
  <si>
    <t>CONC. 1753 - Fiat Chrysler Automobiles N.V. Y Peugeot S.A. S/ NOTIFICACION ART. 9 DE LA LEY 27</t>
  </si>
  <si>
    <t>RESOL APELADA. En queja Sala 2 CNACCF</t>
  </si>
  <si>
    <t>EX-2020-73660395- -APN-DR#CNDC</t>
  </si>
  <si>
    <t>“MIRGOR S.A.C.I.F.I.A. S/NOTIFICACION ART. 9 DE LA LEY Nº 27.442 (CONC. 1773)”</t>
  </si>
  <si>
    <t>TORANZO</t>
  </si>
  <si>
    <t>SUBORDINADA. EN CUMPLIMIENTO DEL COMPROMISO - FEB. 2027</t>
  </si>
  <si>
    <t>EX-2020-85983491-   -APN-DR#CNDC</t>
  </si>
  <si>
    <t>WADE S.A. /NOTIFICACION ART. 9 DE LA LEY N° 27.442 (Conc 1780)</t>
  </si>
  <si>
    <t>SOLARI</t>
  </si>
  <si>
    <t>dictamen rechaza recurso y aplicación de clemencia. Devolvieron el 26/3/25 para ampliar multa y hacer aclaración sobre la elevación o no camara, quieren rechazar recurso por improcedente.</t>
  </si>
  <si>
    <t>EX-2021-17215024-   -APN-DR#CNDC</t>
  </si>
  <si>
    <t>FIDEN S.A. S/ NOTIFICACIÓN ART. 9 DE LA LEY 27442 (CONC. 1791)</t>
  </si>
  <si>
    <t>EX-2021-44410399- -APN-DR#CNDC</t>
  </si>
  <si>
    <t>SHELL ARGENTINA S.A. E YPF S.A. S/ NOTIFICACION ART. 9 DE LA LEY 27.442</t>
  </si>
  <si>
    <t>EX-2021-70811915- -APN-DR#CNDC</t>
  </si>
  <si>
    <t>INGREDION ARGENTINA S.R.L. Y ARCOR S.A.I.C S/NOTIFICACIÓN ART 9 LEY N.° 27442 (CONC 1815)</t>
  </si>
  <si>
    <t>SUBORDINADA. EN CUMPLIMIENTO DEL COMPROMISO</t>
  </si>
  <si>
    <t>EX-2021-81430782-   -APN-DR#CNDC</t>
  </si>
  <si>
    <t>BAF LATAM CREDIT FUND B.V., BAF LATAM TRADE FINANCE FUND B.V. y VFG INVERSIONES Y ACTIVIDADES ESPECIALES S.A. S/ NOTIFICACION ART. 9 DE LA LEY 27.442 (CONC. 1820)</t>
  </si>
  <si>
    <t>EX-2022-36128734- -APN-DR#CNDC</t>
  </si>
  <si>
    <t>AT&amp;T INC. Y DISCOVERY INC. S/NOTIFICACIÓN ART.9 DE LA LEY 27.442 (CONC.1850)</t>
  </si>
  <si>
    <t>DICTAMEN SUBORDINANDO CIRCULANDO DESDE 9/4/2025 Vence los 45 días  11/4/25 y los 120 días 9/10/25.</t>
  </si>
  <si>
    <t>EX-2022-72586348--APN-DR#CNDC</t>
  </si>
  <si>
    <t>GEORGALOS HNOS S.A.I.C.A S/NOTIFICACIÓN ART. 9 DE LA LEY 27.442. (CONC. 1860)</t>
  </si>
  <si>
    <t>ELABORANDO DICTAMEN FINAL // FALTA AUDIENCIA ESPECIAL</t>
  </si>
  <si>
    <t>EX-2022-84382892--APN-DR#CNDC</t>
  </si>
  <si>
    <t>TYSON INTERNATIONAL HOLDING COMPANY S/NOTIFICACIÓN ART.9 DE LA LEY 27.442 (CONC. 1864)</t>
  </si>
  <si>
    <t>1919</t>
  </si>
  <si>
    <t>“BUNGE ARGENTINA S.A. S/ NOTIFICACIÓN ART. 9 DE LA LEY 27.442 (CONC.1919)”</t>
  </si>
  <si>
    <t>EX-2023-147397367- -APN-DR#CNDC</t>
  </si>
  <si>
    <t>ENCOMPASS DIGITAL MEDIA HOLDINGS, LLC S/NOTIFICACIÓN ART.9 DE LA LEY 27.442 (CONC.1952)</t>
  </si>
  <si>
    <t>EX-2023-151532541- -APN-DR#CNDC</t>
  </si>
  <si>
    <t>"WELL BEING S.A. S/ NOTIFICACION ART. 9 DE LA LEY 27.442" (CONC. 1955)</t>
  </si>
  <si>
    <t>OBSERVADA/ ELABORANDO INFORME DE OBJECIÓN</t>
  </si>
  <si>
    <t>1956</t>
  </si>
  <si>
    <t>EX-2024-03847359- -APN-DR#CNDC</t>
  </si>
  <si>
    <t>"LIVENT CORPORATION Y ALLKEM LIMITED S/ NOTIFICACIÓN ART. 9 DE LA LEY 27.442 (CONC. 1956)</t>
  </si>
  <si>
    <t>1957</t>
  </si>
  <si>
    <t>EX-2024-05584239- -APN-DR#CNDC</t>
  </si>
  <si>
    <t>LITION ENERGY HOLDING ARGENTINA S.A.U. S/NOTIFICACION ART. 9 DE LA LEY 27.442.</t>
  </si>
  <si>
    <t>LADERECHE</t>
  </si>
  <si>
    <t>HEREDIA</t>
  </si>
  <si>
    <t>1958</t>
  </si>
  <si>
    <t>EX-2024-12783331- -APN-DR#CNDC</t>
  </si>
  <si>
    <t>“NOVOZYMES A/S Y CHR. HANSEN HOLDING A/S S/NOTIFICACIÓN ART.9 DE LA LEY 27.442 (CONC.1958).</t>
  </si>
  <si>
    <t>1959</t>
  </si>
  <si>
    <t>EX-2024-14944039- -APN-DR#CNDC</t>
  </si>
  <si>
    <t>BUNGE ARGENTINA S.A. Y VICENTIN S.A.I.C. S/NOTIFICACIÓN ART.9 DE LA LEY 27.442 (CONC.1959)”.</t>
  </si>
  <si>
    <t>EX-2024-19400498-   -APN-DR#CNDC</t>
  </si>
  <si>
    <t>ETHICAL PHARMA SOCIEDAD ANONIMA Y TUTEUR S.A. S/NOTIFICACIÓN ART.9 DE LA LEY 27.442" (CONC. 1960)</t>
  </si>
  <si>
    <t>CANELAS</t>
  </si>
  <si>
    <t>ESPINOSA</t>
  </si>
  <si>
    <t>EX-2024-23527719- -APN-DR#CNDC</t>
  </si>
  <si>
    <t>"CMA CGM S.A. Y BOLLORE LOGISTICS SE S/NOTIFICACION ART. 9 DE LA LEY Nº 27.442." (CONC.1961)</t>
  </si>
  <si>
    <t>Mercedes- Benz Camiones y Buses Argentina S.A.U. (Inmueble Av. del Libertador) S/NOTIFICACIÓN ART. 9 DE LA LEY N° 27.442.</t>
  </si>
  <si>
    <t>SI</t>
  </si>
  <si>
    <t>SILICA NETWORKS ARGENTINA S.A. S/NOTIFICACION ART. 9 DE LA LEY 27.442.</t>
  </si>
  <si>
    <t>DREAMCO S.A. S/NOTIFICACION ART. 9 DE LA LEY 27.442.</t>
  </si>
  <si>
    <t>GIBSONHILL SPAIN, S.L. S/NOTIFICACION ART. 9 DE LA LEY 27.442.</t>
  </si>
  <si>
    <t>“MINERVA S.A. S/NOTIFICACIÓN ART. 9 DE LA LEY N° 27.442”.</t>
  </si>
  <si>
    <t>ANITER S.A. S/NOTIFICACIÓN ART. 9 DE LA LEY 27.442.</t>
  </si>
  <si>
    <t>CONSULTATIO ASSET MANAGEMENT GERENTE DE FONDOS COMUNES DE INVERSIÓN S.A. S/ NOTIFICACIÓN ART. 9 DE LA LEY N° 27.442</t>
  </si>
  <si>
    <t>AB ACQUISITION CORPORATION S/NOTIFICACIÓN ART. 9 DE LA LEY 27.442.</t>
  </si>
  <si>
    <t>TOTALENERGIES SE Y ETERNUM ENERGY S.A. S/NOTIFICACION ART. 9 DE LA LEY N° 27.442.</t>
  </si>
  <si>
    <t>"HENKEL AG &amp; CO. KGAA S/ NOTIFICACION ART. 9 DE LA LEY 27.442 (CONC.1972)".</t>
  </si>
  <si>
    <t>JOSEFINA HOLDINGS S.A., y otros S/NOTIFICACION ART. 9 DE LA LEY N° 27.442</t>
  </si>
  <si>
    <t>EX-2024-50714207- -APN-DR#CNDC</t>
  </si>
  <si>
    <t>HOLCIM ARGENTINA S.A. S/NOTIFICACION ART. 9 DE LA LEY N° 27.442. (CONC 1974)</t>
  </si>
  <si>
    <t>GRAMON MILLET S.A. S/NOTIFICACION ART. 9 DE LA LEY 27.442.</t>
  </si>
  <si>
    <t>“RENAULT S.A.S. Y ZHEJIANG GEELY HOLDING GROUP CO., LTD. S/ NOTIFICACIÓN ART. 9 DE LA LEY 27.442 (CONC.1977)”</t>
  </si>
  <si>
    <t>SANTA MARGARITA LLC S/NOTIFICACIÓN ART.9 DE LA LEY 27.442</t>
  </si>
  <si>
    <t>EX-2024-58697363- -APN-DR#CNDC</t>
  </si>
  <si>
    <t>WADE S.A. (CRESTA ROJA) S/NOTIFICACIÓN ART.9 DE LA LEY 27.442 (CONC.1979)".</t>
  </si>
  <si>
    <t>OBSERVADA</t>
  </si>
  <si>
    <t>LEONARDO LUIS LEQUIO Y FEDERICO LEQUIO S/NOTIFICACION ART. 9 DE LA LEY N° 27.442.</t>
  </si>
  <si>
    <t>PARSINA INVESTMENTS, S.L. S/NOTIFICACION ART. 9 DE LA LEY N° 27.442</t>
  </si>
  <si>
    <t>VERIFICAR: firma 26/07/2025 (sábado) sin respaldo en RESO FIRMADAS. Cuadro: "dispo prosum cndc firmada el 26/7/2024".</t>
  </si>
  <si>
    <t>ASOCIACION DE COOPERATIVAS ARGENTINAS COOP. LTDA. S/NOTIFICACION ART. 9 DE LA LEY N° 27.442.</t>
  </si>
  <si>
    <t>AMBER EQUITYCO, S.L.U. S/NOTIFICACION ART. 9 DE LA LEY 27.442.</t>
  </si>
  <si>
    <t>EX-2024-71194108- -APN-DR#CNDC</t>
  </si>
  <si>
    <t>FIDEICOMISO FARMAPLUS I Y FIDEICOMISO MANU SEGURA S/NOTIFICACION ART. 9 DE LA LEY N° 27.442." (CONC. 1984)</t>
  </si>
  <si>
    <t>CESARE</t>
  </si>
  <si>
    <t>DICTAMEN EN ELABORACION</t>
  </si>
  <si>
    <t>NEWSAN S.A. S/NOTIFICACION ART. 9 DE LA LEY 27.442.</t>
  </si>
  <si>
    <t>PAN AMERICAN SUR S.A. S/NOTIFICACION ART. 9 DE LA LEY 27.442.</t>
  </si>
  <si>
    <t>Compañía General de Combustibles S.A. y Equinor S/NOTIFICACION ART. 9 DE LA LEY N° 27.442.</t>
  </si>
  <si>
    <t>GDM ARGENTINA S.A. Y KWS ARGENTINA S.A. S/NOTIFICACION ART. 9 DE LA LEY N° 27.442.</t>
  </si>
  <si>
    <t>1989</t>
  </si>
  <si>
    <t>"IRSA INVERSIONES Y REPRESENTACIONES S.A. S/ NOTIFICACIÓN ART. 9 DE LA LEY 27.442" (CONC. 1989).</t>
  </si>
  <si>
    <t>"SIEGFRIED S.A. S/NOTIFICACION ART. 9 DE LA LEY N° 27.442. (CONC 1990)".</t>
  </si>
  <si>
    <t>“ROEMMERS S.A.I.C.F. S/NOTIFICACIÓN ART. 9 DE LA LEY N° 27.442”.</t>
  </si>
  <si>
    <t>“GRAMON MILLET S.A. Y ATOMO S/NOTIFICACION ART. 9 DE LA LEY N.º 27.442. (CONC 1992)”</t>
  </si>
  <si>
    <t>"BASF SE S/NOTIFICACION ART. 9 DE LA LEY N° 27.442. (CONC 1993)".</t>
  </si>
  <si>
    <t>“AAP FUNDING, LP S/ NOTIFICACION ART. 9 DE LA LEY N° 27.442. (CONC 1994)”.</t>
  </si>
  <si>
    <t>Brookfield CL Holdings LLC S/NOTIFICACIÓN ART. 9 DE LA LEY 27.442". (Conc. 1995)</t>
  </si>
  <si>
    <t>Archivo</t>
  </si>
  <si>
    <t>VERIFICAR: estado, ingreso (04/10/2024) y firma (10/04/2026) sin respaldo. Cuadro: ingresó el 21/05/2024 y se acumuló a la CONC 1938 el 28/5/2024.</t>
  </si>
  <si>
    <t>1996</t>
  </si>
  <si>
    <t>"ACINDAR INDUSTRIA ARGENTINA DE ACEROS S.A. S/ NOTIFICACIÓN ART. 9 DE LA LEY 27.442 (CONC. 1996)".</t>
  </si>
  <si>
    <t>1997</t>
  </si>
  <si>
    <t>"ACINDAR IAA S.A. Y CESAM S.A.U. S/NOTIFICACIÓN ART.9 DE LA LEY 27.442 (CONC. 1997)."</t>
  </si>
  <si>
    <t>“BANCO DE VALORES S.A. S/NOTIFICACIÓN ART. 9 DE LA LEY N° 27.442”.</t>
  </si>
  <si>
    <t>“LOS LAPACHOS S.A. S/NOTIFICACIÓN ART. 9 DE LA LEY N° 27.442 (CONC. 1999)”.</t>
  </si>
  <si>
    <t>EX-2024-121247207-   -APN-DR#CNDC</t>
  </si>
  <si>
    <t>CMA CGM S.A. Y GEFCO S.A. S/NOTIFICACIÓN ART.9 DE LA LEY 27.442.</t>
  </si>
  <si>
    <t>Obs del 23/4/25</t>
  </si>
  <si>
    <t>EX-2024-122398580- -APN-DR#CNDC</t>
  </si>
  <si>
    <t>Crown Point Energía S.A. S/NOTIFICACIÓN ART. 9 DE LA LEY N° 27.442” (CONC.2002).</t>
  </si>
  <si>
    <t>" INVERSORA MERCEDES S.A. S/NOTIFICACION ART. 9 DE LA LEY N° 27.442”.</t>
  </si>
  <si>
    <t>"GRUPO ST S.A. S/NOTIFICACIÓN ART.9 DE LA LEY 27.442".</t>
  </si>
  <si>
    <t>2004</t>
  </si>
  <si>
    <t>GLATFELTER CORPORATION S/ NOTIFICACION ART. 9 DE LA LEY 27.442”.</t>
  </si>
  <si>
    <t>2005</t>
  </si>
  <si>
    <t>"PECOM SERVICIOS ENERGIA S.A S/ NOTIFICACIÓN ART. 9 DE LA LEY 27.442" (CONC.2005)</t>
  </si>
  <si>
    <t>“NEWSAN S.A. (Whirlpool) S/NOTIFICACIÓN ART. 9 DE LA LEY N.º 27.442 (CONC.2006)”</t>
  </si>
  <si>
    <t>SCHLUMBERGER ARGENTINA S.A. S/NOTIFICACION ART. 9 DE LA LEY 27.442. (CONC.2007)".</t>
  </si>
  <si>
    <t>VERIFICAR: firma 25/09/2025 = fecha del IT firmado según el Cuadro; no hay resolución registrada.</t>
  </si>
  <si>
    <t>EX-2024-135018084- -APN-DR#CNDC</t>
  </si>
  <si>
    <t>IRSA INVERSIONES Y REPRESENTACIONES SOCIEDAD ANÓNIMA S/NOTIFICACIÓN ART.9 DE LA LEY 27.442" (CONC.2008)"</t>
  </si>
  <si>
    <t>“PETROQUIMICA COMODORO RIVADAVIA S.A. S/NOTIFICACIÓN ART.9 DE LA LEY 27.442 (CONC. 2009)”</t>
  </si>
  <si>
    <t>EX-2024-136595707- -APN-DR#CNDC</t>
  </si>
  <si>
    <t>GRUPO FINANCIERO GALICIA S.A.S/NOTIFICACIÓN ART.9 DE LA LEY 27.442” (CONC 2010)</t>
  </si>
  <si>
    <t>PLUSPETROL S.A. S/NOTIFICACIÓN ART 9 DE LA LEY 27.442. (CONC. 2011)"</t>
  </si>
  <si>
    <t>“VISTA ENERGY ARGENTINA S.A.U. S/NOTIFICACIÓN ART. 9 DE LA LEY 27.442 (CONC. 2012)”</t>
  </si>
  <si>
    <t>NOVO HOLDINGS A/S Y NOVO NORDISK A/S S/NOTIFICACIÓN ART. 9 DE LA LEY N° 27.442. (CONC. 2013)</t>
  </si>
  <si>
    <t>EX-2024-142842912-   -APN-DR#CNDC</t>
  </si>
  <si>
    <t>BROOKFIELD RENEWABLE HOLDING SAS S/NOTIFICACION ART. 9 DE LA LEY N° 27.442.  (CONC. 2014)</t>
  </si>
  <si>
    <t>TDC</t>
  </si>
  <si>
    <t>EX- 2025-01508976- -APN-DR#CNDC</t>
  </si>
  <si>
    <t>MATBA ROFEX S.A. S/NOTIFICACION ART. 9 DE LA LEY 27.442. (CONC. 2015)</t>
  </si>
  <si>
    <t>WINTERSHALL DEA ARGENTINA S.A. Y TOTAL AUSTRAL S.A. S/NOTIFICACION ART. 9 DE LA LEY N° 27.442. (CONC. 2016)"</t>
  </si>
  <si>
    <t>TOTAL AUSTRAL S.A. Y PAN AMERICAN SUR S.A. S/NOTIFICACION ART. 9 DE LA LEY N° 27.442. (CONC. 2017)"</t>
  </si>
  <si>
    <t>“HELMERICH &amp; PAYNE, INC. S/ NOTIFICACIÓN ART.9 DE LA LEY 27.442 (CONC. 2018)".</t>
  </si>
  <si>
    <t>EX-2025-08572003- -APN-DR#CNDC</t>
  </si>
  <si>
    <t>Deutsche Lufthansa AG S/NOTIFICACIÓN ART. 9 DE LA LEY N° 27.442” (CONC 2019)</t>
  </si>
  <si>
    <t xml:space="preserve"> EX-2025-11547913- -APN-DR#CNDC</t>
  </si>
  <si>
    <t>PECOM SERVICIOS ENERGIA S.A.U (Campamento Central – Cañadón Perdido) S/NOTIFICACION ART. 9 DE LA LEY 27.442” (CONC 2020)</t>
  </si>
  <si>
    <t>OJEDA</t>
  </si>
  <si>
    <t>"REPSOL YPF GAS S.A. S/NOTIFICACIÓN ART.9 DE LA LEY 27.442 ” (CONC 2021)</t>
  </si>
  <si>
    <t>CENCOSUD S.A. Y UNICENTER S.A. S/NOTIFICACIÓN ART.9 DE LA LEY 27.442” (CONC 2022)</t>
  </si>
  <si>
    <t>“BANCO BBVA ARGENTINA S.A. Y FIDIS S.P.A S/ NOTIFICACIÓN ART. 9 DE LA LEY N° 27.442 (CONC. 2023)</t>
  </si>
  <si>
    <t>Complejo Alimenticio San Salvador S.A. S/NOTIFICACION ART. 9 DE LA LEY N° 27.442 ” (CONC. 2024)</t>
  </si>
  <si>
    <t>EX-2025-22498026- -APN-DR#CNDC</t>
  </si>
  <si>
    <t>TELECOM ARGENTINA S.A. S/ NOTIFICACIÓN ART. 9 DE LA LEY N° 27.442” (CONC 2025)</t>
  </si>
  <si>
    <t>VERIFICAR: figura Firmada sin fecha ni fila en firmadas. En las planillas solo hay disposiciones de trámite (Cuadro: Suspendida = SI) y dos incidentes (INC 2025).</t>
  </si>
  <si>
    <t>Novo Invest 2H A/S S/ NOTIFICACION ART. 9 DE LA LEY N° 27.442 ” (CONC 2026)</t>
  </si>
  <si>
    <t>RIO TINTO BM SUBSIDIARY LIMITED S/NOTIFICACIÓN ART.9 DE LA LEY 27.442" (CONC.2027)</t>
  </si>
  <si>
    <t>EDISON HOLDING S.A. S/ NOTIFICACIÓN ART. 9 DE LA LEY N° 27.442 " (CONC.2028)</t>
  </si>
  <si>
    <t>YPF S.A. Y OLEODUCTO LOMA CAMPANA – Lago Pellegrini S.A. S/ NOTIFICACION ART. 9 DE LA LEY N° 27.442. " (CONC.2029)</t>
  </si>
  <si>
    <t>“AGCO CORPORATION Y TRIMBLE INC. S/ NOTIFICACIÓN ART. 9 DE LA LEY 27.442 (CONC.1966)”</t>
  </si>
  <si>
    <t>PLUSPETROL RESOURCES CORPORATION S.A. y PLUSPETROL RESOURCES CORPORATION B.V. S/NOTIFICACIÓN ART. 9 DE LA LEY N° 27.442” (CONC 2030)</t>
  </si>
  <si>
    <t>VERIFICAR: firma 13/12/2025 (sábado) sin respaldo en RESO FIRMADAS. Cuadro: firmada resol/dispo el 19/12/2025.</t>
  </si>
  <si>
    <t>Compañía General de Combustibles S.A.S/NOTIFICACIÓN ART. 9 DE LA LEY N° 27.442” (CONC 2031)</t>
  </si>
  <si>
    <t>EX-2025-37275636- -APN-DR#CNDC</t>
  </si>
  <si>
    <t>LATAM AIRLINES GROUP S.A. S/NOTIFICACIÓN ART.9 DE LA LEY 27.442" (CONC. 2032)</t>
  </si>
  <si>
    <t>VISTA ENERGY ARGENTINA S.A.U. Y PETRONAS E&amp;P ARGENTINA S.A. S/NOTIFICACIÓN ART.9 DE LA LEY 27.442 " (CONC. 2033)</t>
  </si>
  <si>
    <t>" DSV A/S S/NOTIFICACION ART. 9 DE LA LEY 27.442 " (CONC. 2034)</t>
  </si>
  <si>
    <t>" HOLCIM ARGENTINA S.A. (HORCRISA S.A.) S/NOTIFICACION ART. 9 DE LA LEY 27.442. " (CONC. 2035)</t>
  </si>
  <si>
    <t>MIH INTERNET HOLDINGS B.V. S.A. S/NOTIFICACION ART. 9 DE LA LEY 27.442.  " (CONC. 2036)</t>
  </si>
  <si>
    <t>SALTA REFRESCOS S.A. S/ NOTIFICACION ART. 9 DE LA LEY 27.442 (CONC 2037)”</t>
  </si>
  <si>
    <t> EX-2025-60179660-   -APN-DR#CNDC</t>
  </si>
  <si>
    <t>"PETROLEOS SUDAMERICANOS S.A. S/NOTIFICACION ART. 9 DE LA LEY 27.442.  " (CONC. 2038)</t>
  </si>
  <si>
    <t xml:space="preserve">QUINTELA </t>
  </si>
  <si>
    <t>"Leonardo Luis Lequio y Federico Lequio S/ NOTIFICACIÓN ART. 9 DE LA LEY N° 27.442" (CONC. 2039)</t>
  </si>
  <si>
    <t> EX-2025-63351837-   -APN-DR#CNDC</t>
  </si>
  <si>
    <t>" GROBOCOPATEL HERMANOS S.A. S/NOTIFICACION ART. 9 DE LA LEY 27.442.  " (CONC. 2040)</t>
  </si>
  <si>
    <t>" OBLITUS INTERNATIONAL LTD S.A. S/NOTIFICACION ART. 9 DE LA LEY 27.442.  " (CONC. 2041)</t>
  </si>
  <si>
    <t>"OPEN CARS S.A. S/ NOTIFICACION ART. 9 DE LA LEY 27.442. (CONC. 2043)”</t>
  </si>
  <si>
    <t>"SKIO BIDCO B.V. S/NOTIFICACION ART. 9 DE LA LEY 27.442" (CONC. 2042)</t>
  </si>
  <si>
    <t>EX-2025-71461535- -APN-DR#CNDC</t>
  </si>
  <si>
    <t>" DF ENTERTAINMENT S.A. S/NOTIFICACIÓN ART.9 DE LA LEY 27.442 " (CONC. 2044)</t>
  </si>
  <si>
    <t>" LITION ENERGY HOLDING ARGENTINA S.A.U. (Pipanaco y Volcán Galán)  S/NOTIFICACIÓN ART.9 DE LA LEY 27.442 " (CONC. 2045)</t>
  </si>
  <si>
    <t>En instrucción</t>
  </si>
  <si>
    <t>EX-2025-73800051-   -APN-DR#CNDC</t>
  </si>
  <si>
    <t>BUNGE GLOBAL S.A. S/NOTIFICACIÓN ART.9 DE LA LEY 27.442 " (CONC. 2046)</t>
  </si>
  <si>
    <t>02/06/2026 salieron observaciones. Serían las ultimas</t>
  </si>
  <si>
    <t>EX-2025-75909828-   -APN-DR#CNDC</t>
  </si>
  <si>
    <t>BUENOS AIRES SERVICIOS DE SALUD (BASA) S.A. UTE S/NOTIFICACIÓN ART.9 DE LA LEY 27.442 " (CONC. 2047)</t>
  </si>
  <si>
    <t>"  TOTAL AUSTRAL S.A. (PV LA PERLA S.A.)  S/NOTIFICACIÓN ART.9 DE LA LEY 27.442 " (CONC. 2048)</t>
  </si>
  <si>
    <t> EX-2025-80822067-   -APN-DR#CNDC</t>
  </si>
  <si>
    <t>" MOLINOS FLORENCIA S.A.U. y TIENDAS GOURMET S.A.U. S/NOTIFICACIÓN ART.9 DE LA LEY 27.442 " (CONC. 2049)</t>
  </si>
  <si>
    <t>IT en elaboración</t>
  </si>
  <si>
    <t>" BW GESTÃO DE INVESTIMENTOS LTDA S/NOTIFICACIÓN ART.9 DE LA LEY 27.442 " (CONC. 2050)</t>
  </si>
  <si>
    <t>“ROBERT BOSCH GMBH S/ NOTIFICACIÓN ART. 9 DE LA LEY 27.442 (CONC. 2051)”.</t>
  </si>
  <si>
    <t>EX-2025-89149055- -APN-DR#CNDC</t>
  </si>
  <si>
    <t> " PINNACLE MEDIA VENTURES LLC; PINACLE MEDIA VENTURES II LLC Y PINACLE MEDIA VENTURES III LLC (“PINACLE MEDIA”) Y RB TENTPOLE LP S/NOTIFICACIÓN ART.9 DE LA LEY 27.442 " (CONC. 2052)</t>
  </si>
  <si>
    <t>"Grupo ST S.A. S/ NOTIFICACION ART. 9 DE LA LEY N° 27.442 " (CONC. 2053).</t>
  </si>
  <si>
    <t>"DUQUEN ENERGY, LLC S/ NOTIFICACIÓN ART. 9 DE LA LEY 27.442 (CONC. 2054).”</t>
  </si>
  <si>
    <t>EX-2025-95665490-   -APN-DR#CNDC</t>
  </si>
  <si>
    <t>"  NEWSAN S.A. y New PGA S.R.L. S/NOTIFICACIÓN ART.9 DE LA LEY 27.442 " (CONC. 2055)</t>
  </si>
  <si>
    <t>EX-2025-98243485- -APN-DR#CNDC</t>
  </si>
  <si>
    <t>" VISTA ENERGY S.A.B. DE C.V. Y AR ENERGY RESOURCES S.A. S/NOTIFICACIÓN ART.9 DE LA LEY 27.442 " (CONC. 2056)</t>
  </si>
  <si>
    <t>EX-2025-99740096-   -APN-DR#CNDC</t>
  </si>
  <si>
    <t>" ERIS LLC y CABO VIRGENES S.A. S/NOTIFICACIÓN ART.9 DE LA LEY 27.442 " (CONC. 2057)</t>
  </si>
  <si>
    <t>EX-2025-100270167-   -APN-DR#CNDC</t>
  </si>
  <si>
    <t>" CENTRAL PUERTO S.A. S/NOTIFICACIÓN ART.9 DE LA LEY 27.442 " (CONC. 2059)</t>
  </si>
  <si>
    <t>“CO DESARROLLO S.A. Y LATAM INVERSIONES S.A. S/ NOTIFICACIÓN ART. 9 DE LA LEY 27.442 (CONC 2058)”.</t>
  </si>
  <si>
    <t>"INVERSORA JURAMENTO S.A. S/ NOTIFICACIÓN ART. 9 DE LA LEY 27.442"
(CONC. 2060).</t>
  </si>
  <si>
    <t>EX-2025-106526559- -APN-DR#CNDC</t>
  </si>
  <si>
    <t>" IRSA INVERSIONES Y REPRESENTACIONES SOCIEDAD ANÓNIMA (AL OESTE SHOPPING) S/NOTIFICACIÓN ART. 9 DE LA LEY 27.442 " (CONC. 2061)</t>
  </si>
  <si>
    <t>"ESTEBAN ANTONIO NOFAL S/ NOTIFICACIÓN ART. 9 DE LA LEY 27.442" (CONC. 2062).</t>
  </si>
  <si>
    <t>"MOLINOS AGRO S.A. S/ NOTIFICACIÓN ART. 9 DE LA LEY 27.442" (CONC. 2063).</t>
  </si>
  <si>
    <t>"Grupo ST S.A. S/NOTIFICACIÓN ART. 9 DE LA LEY 27.442" (CONC. 2064).</t>
  </si>
  <si>
    <t>“YPF S.A. Y VACA MUERTA INVERSIONES S.A.U. S/ NOTIFICACIÓN ART. 9 DE LA LEY 27.442 (CONC. 2065)”</t>
  </si>
  <si>
    <t>EX-2025-111550810- -APN-DR#CNDC</t>
  </si>
  <si>
    <t>"  Swiss Medical S.A. S/NOTIFICACIÓN ART. 9 DE LA LEY 27.442 " (CONC. 2066)</t>
  </si>
  <si>
    <t>18/6 vencen observaciones y saldria el dictamen</t>
  </si>
  <si>
    <t>EX-2025-113974552- -APN-DR#CNDC</t>
  </si>
  <si>
    <t>" INDUSTRIA AUSTRAL DE TECNOLOGÍA S.A.U. S/ NOTIFICACION ART. 9 DE LA LEY 27.442 " (CONC. 2067)</t>
  </si>
  <si>
    <t>PANTIGA</t>
  </si>
  <si>
    <t>prest IATEC/ F1. y podria salir dictamen/ ver posiciones arancelarias</t>
  </si>
  <si>
    <t>EX-2025-113996779- -APN-DR#CNDC</t>
  </si>
  <si>
    <t>" MARAUSTRALIS S.A. S/NOTIFICACIÓN ART.9 DE LA LEY 27.442 " (CONC. 2068)</t>
  </si>
  <si>
    <t>5/6 Vencen pbs. Y sale dictamen</t>
  </si>
  <si>
    <t>EX-2025-120936076- -APN-DR#CNDC</t>
  </si>
  <si>
    <t>" GAUCHO MEDIA S.A. S/NOTIFICACIÓN ART.9 DE LA LEY 27.442 " (CONC. 2069)</t>
  </si>
  <si>
    <t>flor me tiene que pasar IO</t>
  </si>
  <si>
    <t>YPF S.A. (REFINOR) S/ NOTIFICACIÓN ART. 9 DE LA LEY 27.442 (CONC. 2070)”.</t>
  </si>
  <si>
    <t>EX-2025-124089563- -APN-DR#CNDC</t>
  </si>
  <si>
    <t>" IOCHPE-MAXION AUSTRIA GMBH S/NOTIFICACIÓN ART.9 DE LA LEY 27.442 " (CONC. 2071)</t>
  </si>
  <si>
    <t>"PETRÓLEOS SUDAMERICANOS S.A. Y COMPAÑÍA GENERAL DE COMBUSTIBLES S.A. S/ NOTIFICACIÓN ART. 9 DE LA LEY 27.442 " (CONC. 2072).</t>
  </si>
  <si>
    <t>EX-2025-133007092-   -APN-DR#CNDC</t>
  </si>
  <si>
    <t>" PATAGONIA RESOURCES S.A. S/NOTIFICACIÓN ART 9 LEY N.° 27442 " (CONC. 2073)</t>
  </si>
  <si>
    <t>LOPEZ</t>
  </si>
  <si>
    <t>EX-2025-133470766-   -APN-DR#CNDC</t>
  </si>
  <si>
    <t>" NEXO INC.  S/NOTIFICACIÓN ART 9 LEY N.º 27442 " (CONC. 2074)</t>
  </si>
  <si>
    <t>“CROWN POINT ENERGÍA S.A. (“EL TORDILLO”, “LA TAPERA” Y “PUESTO QUIROGA” S/ NOTIFICACIÓN ART 9 LEY N.° 27442" (CONC. 2076)</t>
  </si>
  <si>
    <t>EX-2025-135065104- -APN-DR#CNDC</t>
  </si>
  <si>
    <t> CLEAR PETROLEUM S.A. S/NOTIFICACIÓN ART.9 DE LA LEY 27.442 " (CONC. 2075)</t>
  </si>
  <si>
    <t>EX-2025-135266801- -APN-DR#CNDC</t>
  </si>
  <si>
    <t>" Roch Proyectos S.A.  S/NOTIFICACIÓN ART 9 LEY N.º 27.442 " (CONC. 2077)</t>
  </si>
  <si>
    <t>EX-2025-136047728-   -APN-DR#CNDC</t>
  </si>
  <si>
    <t>SIEGFRIED S.A. (TELPRES) S/NOTIFICACION ART. 9 DE LA LEY N° 27.442"  (CONC. 2078)</t>
  </si>
  <si>
    <t>VENCE 45 DIAS 24/6</t>
  </si>
  <si>
    <t>EX-2025-139514144-   -APN-DR#CNDC</t>
  </si>
  <si>
    <t>" Agro Inversora Argentina S.A. y de Asociación de Cooperativas Argentinas Cooperativa Limitada  S/NOTIFICACION ART. 9 DE LA LEY N° 27.442"  (CONC. 2079)</t>
  </si>
  <si>
    <t>IRACHET</t>
  </si>
  <si>
    <t>VENCE 45 DIAS 23/6</t>
  </si>
  <si>
    <t>EX-2025-143109244- -APN-DR#CNDC</t>
  </si>
  <si>
    <t>BML Inversora S.A.U. (ORAZUL) S/ S/NOTIFICACIÓN ART.9 DE LA LEY 27.442 " (CONC. 2080)</t>
  </si>
  <si>
    <t>EX-2025-144501708- -APN-DR#CNDC.</t>
  </si>
  <si>
    <t>" GRASSI S.A. S/NOTIFICACIÓN ART.9 DE LA LEY 27.442 " (CONC. 2081)</t>
  </si>
  <si>
    <t>“TERRA IGNIS ENERGÍA S.A. S/ NOTIFICACIÓN ART. 9 DE LA LEY 27.442 (CONC 2082)”</t>
  </si>
  <si>
    <t>EX-2026-01176731- -APN-DR#CNDC</t>
  </si>
  <si>
    <t>" EDISON HOLDING S.A. (ALICURÁ Y CERROS COLORADOS) S/NOTIFICACIÓN ART. 9 DE LA LEY 27.442 " (CONC. 2083)</t>
  </si>
  <si>
    <t>EX-2026-01179274- -APN-DR#CNDC</t>
  </si>
  <si>
    <t>" LAVENDER DUTCH BIDCO B.V. S/NOTIFICACIÓN ART. 9 DE LA LEY 27.442 " (CONC. 2084)</t>
  </si>
  <si>
    <t>EX-2026-01611795- -APN-DR#CNDC</t>
  </si>
  <si>
    <t>" INGENIOS DE TUCUMÁN S.A. S/NOTIFICACIÓN ART.9 DE LA LEY 27.442 " (CONC. 2085)</t>
  </si>
  <si>
    <t>ROZOSKA</t>
  </si>
  <si>
    <t>PARA OBSERVAR/DICTAMEN EN PROCESO</t>
  </si>
  <si>
    <t> EX-2026-03149978- -APN-DR#CNDC</t>
  </si>
  <si>
    <t>" Co Desarrollo S.A. y Latam Inversiones S.A. (INTERSERVI S.A., NOROESTE CONSTRUCTORA S.A.)  S/NOTIFICACIÓN ART.9 DE LA LEY 27.442 " (CONC. 2086)</t>
  </si>
  <si>
    <t>FALTA ART. 17 ENReGE Y SALE IT</t>
  </si>
  <si>
    <t>EX-2026- 06069388 - -APN-DR#CNDC</t>
  </si>
  <si>
    <t>" BML Inversora S.A.U. y BML Energía S.A.  S/NOTIFICACIÓN ART.9 DE LA LEY 27.442 " (CONC. 2087)</t>
  </si>
  <si>
    <t>EX-2026-06978357- -APN-DR#CNDC</t>
  </si>
  <si>
    <t>"TERNIUM ARGENTINA S.A. S/NOTIFICACIÓN ART. 9 DE LA LEY 27.442” (CONC 2088)</t>
  </si>
  <si>
    <t>ROSOZKA</t>
  </si>
  <si>
    <t>F2 - GABY COMIENZA A HACER EL IO</t>
  </si>
  <si>
    <t>EX-2026-09173806-   -APN-DR#CNDC</t>
  </si>
  <si>
    <t>" EDISON LAS MADERAS S.A. S/NOTIFICACIÓN ART.9 DE LA LEY 27.442 ” (CONC 2089)</t>
  </si>
  <si>
    <t xml:space="preserve">CONC. </t>
  </si>
  <si>
    <t>EX-2026-10344428- -APN-DR#CNDC</t>
  </si>
  <si>
    <t>" BANCO MACRO S.A. S/NOTIFICACIÓN ART.9 DE LA LEY 27.442  ” (CONC 2090)</t>
  </si>
  <si>
    <t>OBSERVADA. VENCE 22/6 Y SALE DICTAMEN</t>
  </si>
  <si>
    <t>EX-2026-16150876- -APN-DR#CNDC </t>
  </si>
  <si>
    <t>" AZORRA AVIATION HOLDINGS, LLC S/NOTIFICACIÓN ART.9 DE LA LEY 27.442 ” (CONC 2091)</t>
  </si>
  <si>
    <t>PROSUM CON MULTA</t>
  </si>
  <si>
    <t>EX-2026-16308067- -APN-DR#CNDC</t>
  </si>
  <si>
    <t>"  MICROSOFT CORPORATION S/NOTIFICACIÓN ART.9 DE LA LEY 27.442 ” (CONC 2092)</t>
  </si>
  <si>
    <t>FLOR PREPARA DICTAMEN CON MULTA</t>
  </si>
  <si>
    <t>EX-2026-17586701- -APN-DR#CNDC</t>
  </si>
  <si>
    <t>" NOBLEZA CAPITAL S.A. Y QUALITY INVEST S.A. S/NOTIFICACIÓN ART.9 DE LA LEY 27.442 " (CONC 2093)</t>
  </si>
  <si>
    <t>LLAMAR A LAS PARTES PARA QUE PRESENTEN INFO</t>
  </si>
  <si>
    <t> EX-2026-18096092- -APN-DR#CNDC</t>
  </si>
  <si>
    <t> KIMBERLY-CLARK CORPORATION S/NOTIFICACIÓN ART.9 DE LA LEY 27.442 " (CONC 2094)</t>
  </si>
  <si>
    <t>ESPINO</t>
  </si>
  <si>
    <t>F2 - OBSERVADA VENCE EN JULIO - PREPARANDO DICTAMEN</t>
  </si>
  <si>
    <t>EX-2026-21144111- -APN-DR#CNDC</t>
  </si>
  <si>
    <t>" IAG CARGO LIMITED Y OTROS S/NOTIFICACIÓN ART.9 DE LA LEY 27.442 " (CONC 2095)</t>
  </si>
  <si>
    <t>OBSERVADA, EN VIRTUD DE LO QUE CONTESTEN JBA . REUNION CON LAS PARTES</t>
  </si>
  <si>
    <t>EX-2026-23480633- -APN-DR#CNDC</t>
  </si>
  <si>
    <t> VISA INTERNATIONAL SERVICE ASSOCIATION S/NOTIFICACIÓN ART.9 DE LA LEY 27.442 " (CONC 2096)</t>
  </si>
  <si>
    <t>PARA OBSERVAR/ SE MANDARON SENDOS REQUERIMIENTOS A COMPETIDORES/ BANCOS</t>
  </si>
  <si>
    <t>EX-2026-28631000- -APN-DR#CNDC</t>
  </si>
  <si>
    <t>" LIVE NATION ARGENTINA S.A. S/NOTIFICACIÓN ART.9 DE LA LEY 27.442 " (CONC 2097)</t>
  </si>
  <si>
    <t>pres. 18/5 hay que observar// 9/6/2026 -vence prorroga res no confidenciali --audiencias competidores</t>
  </si>
  <si>
    <t>PARA IO</t>
  </si>
  <si>
    <t>EX-2026-36280069- -APN-DR#CNDC</t>
  </si>
  <si>
    <t>"APOLLO CAPITAL MANAGEMENT L.P S/NOTIFICACIÓN ART.9 DE LA LEY 27.442" (CONC 2098).</t>
  </si>
  <si>
    <t>EX-2026-37651491 -APN-DR#CNDC</t>
  </si>
  <si>
    <t>"LITHIOS DESARROLLOS MINEROS S.A. S/NOTIFICACIÓN ART. 9 DE LA LEY 27.442" (CONC. 2099)</t>
  </si>
  <si>
    <t>EX-2026-42124218- -APN-DR#CNDC</t>
  </si>
  <si>
    <t> PATAGONIA ENERGY S.A. S/NOTIFICACIÓN ART.9 DE LA LEY 27.442 " (CONC 2100)</t>
  </si>
  <si>
    <t>EX-2026-45031072- -APN-DR#CNDC</t>
  </si>
  <si>
    <t>" SOCIEDAD ANÓNIMA IMPORTADORA Y EXPORTADORA DE LA PATAGONIA  S/NOTIFICACIÓN ART.9 DE LA LEY 27.442 " (CONC 2101)</t>
  </si>
  <si>
    <t>EX-2026-45733373- -APN-DR#CNDC</t>
  </si>
  <si>
    <t>YPF S.A. Y PLUSPETROL S.A. S/NOTIFICACIÓN ART.9 DE LA LEY 27.442 " (CONC 2102)</t>
  </si>
  <si>
    <t>EX-2026-46279780- -APN-DR#CNDC</t>
  </si>
  <si>
    <t xml:space="preserve">THE BRINK’S COMPANY S/NOTIFICACIÓN ART.9 DE LA LEY 27.442 " (CONC 2103) </t>
  </si>
  <si>
    <t>observada pedido F1</t>
  </si>
  <si>
    <t>EX-2026-46375406- -APN-DR#CNDC</t>
  </si>
  <si>
    <t>PAN AMERICAN ENERGY, S.L., SUC. ARG. Y TANGO ENERGY ARGENTINA S.A., S/NOTIFICACIÓN ART.9 DE LA LEY 27.442 " (CONC 2104)</t>
  </si>
  <si>
    <t>EX-2026-47009917- -APN-DR#CNDC</t>
  </si>
  <si>
    <t>KIMBELL S.A. Y MARAUSTRALIS S.A. S/NOTIFICACIÓN ART. 9 DE LA LEY 27.442 " (CONC 2105)</t>
  </si>
  <si>
    <t>observada // PARA IO</t>
  </si>
  <si>
    <t>EX-2026-47930019-   -APN-DR#CNDC</t>
  </si>
  <si>
    <t> CABO VÍRGENES S.A. S/NOTIFICACIÓN ART. 9 DE LA LEY 27.442 " (CONC 2106)</t>
  </si>
  <si>
    <t>EX-2026-48312952- -APN-DR#CNDC</t>
  </si>
  <si>
    <t xml:space="preserve">"VISTA ENERGY S.A.U. E YPF S.A. S/NOTIFICACIÓN ART.9 DE LA LEY 27.442" (CONC.2107) </t>
  </si>
  <si>
    <t>EX-2026-49018808- -APN-DR#CNDC</t>
  </si>
  <si>
    <t> HAPAG-LLOYD AKTIENGESELLSCHAFT S/NOTIFICACIÓN ART.9 DE LA LEY 27.442 " (CONC 2108)</t>
  </si>
  <si>
    <t>EX-2026-50976996- -APN-DR#CNDC</t>
  </si>
  <si>
    <t>"CONTINENTAL RESOURCES ARGENTINA S.A.U. S/ NOTIFICACIÓN ART. 9 DE LA LEY 27.442 " (CONC 2109)</t>
  </si>
  <si>
    <t>EX-2026-2026-51349746- -APN-DR#CNDC</t>
  </si>
  <si>
    <t>PECOM SERVICIOS ENERGÍA S.A.U. Y SAN BENITO UPSTREAM S.A.U S/NOTIFICACIÓN ART.9 DE LA LEY 27.442 " (CONC 2110)</t>
  </si>
  <si>
    <t>EX-2026-52043642- -APN-DR#CNDC</t>
  </si>
  <si>
    <t>CHS DE ARGENTINA S.A. S/NOTIFICACIÓN ART.9 DE LA LEY 27.442 " (CONC 2111)</t>
  </si>
  <si>
    <t>EX-2026-52459355- -APN-DR#CNDC.</t>
  </si>
  <si>
    <t>"  PETERSEN PROYECTOS INMOBILIARIOS S.A. S/NOTIFICACIÓN ART.9 DE LA LEY 27.442 " (CONC 2112)</t>
  </si>
  <si>
    <t>EX-2026-52471058- -APN-DR#CNDC.</t>
  </si>
  <si>
    <t>" BANCO DE SAN JUAN S.A., NUEVO BANCO DE SANTA FE S.A. Y NUEVO BANCO DE ENTRE RÍOS S.A. S/NOTIFICACIÓN ART.9 DE LA LEY 27.442 " (CONC 2113)</t>
  </si>
  <si>
    <t>EX-2026-52479445-   -APN-DR#CNDC</t>
  </si>
  <si>
    <t>"  TERRA INVESTMENT S.A. Y CORBLAIR S.A. S/NOTIFICACIÓN ART. 9 DE LA LEY 27.442 " (CONC 2114)</t>
  </si>
  <si>
    <t>EX-2026-54380750-APN-DR#CNDC</t>
  </si>
  <si>
    <t>SIEGFRIED S.A S/NOTIFICACIÓN ART.9 DE LA LEY 27.442 " (CONC 2115)</t>
  </si>
  <si>
    <t>EX-2026-54543710-APN-DR#CNDC</t>
  </si>
  <si>
    <t>KINDRA INTERNATIONAL LIMITED S/NOTIFICACIÓN ART.9 DE LA LEY 27.442 " (CONC 2116)</t>
  </si>
  <si>
    <t>EX-2026-55223484- -APN-DR#CNDC.</t>
  </si>
  <si>
    <t>BC E&amp;P URUGUAY S.A.S/NOTIFICACIÓN ART.9 DE LA LEY 27.442 " (CONC 2117)</t>
  </si>
  <si>
    <t>EX-2026-56413839- -APN-DR#CNDC</t>
  </si>
  <si>
    <t>BUNGE ARGENTINA S.A.S/ NOTIFICACIÓN ART.9 DE LA LEY 27.442 " (CONC 2118)</t>
  </si>
  <si>
    <t>POSIBLE IO</t>
  </si>
  <si>
    <t>EX-2026-56523693- -APN-DR#CNDC</t>
  </si>
  <si>
    <t>BANCO COLUMBIA S.A. S/NOTIFICACIÓN ART.9 DE LA LEY 27.442 " (CONC 2119)</t>
  </si>
  <si>
    <t>EX-2026-57910102- -APN-DR#CNDC</t>
  </si>
  <si>
    <t>" HORIZON MERGER SUB, INC. Y EQT FUND MANAGEMENT S.à.r.l S/NOTIFICACIÓN ART.9 DE LA LEY 27.442 " (CONC 2120)</t>
  </si>
  <si>
    <t>EX-2026-57916594- -APN-DR#CNDC</t>
  </si>
  <si>
    <t>CEMENTOS AVELLANEDA S.А. S/NOTIFICACIÓN ART.9 DE LA LEY 27.442" (CONC 2121)</t>
  </si>
  <si>
    <t>EX-2026-58454210- -APN-DR#CNDC.</t>
  </si>
  <si>
    <t>" RUBÉN L. CHERÑAJOVSKY Y PATAGONIA PESQUERA S.A.U. S/NOTIFICACIÓN ART.9 DE LA LEY 27.442 " (CONC 2122)</t>
  </si>
  <si>
    <t>EX-2026-58881526- -APN-DR#CNDC</t>
  </si>
  <si>
    <t>AKZO NOBEL N.V. Y DE AXALTA COATING SYSTEMS LTD. S/NOTIFICACIÓN ART.9 DE LA LEY 27.442 " (CONC 2123)</t>
  </si>
  <si>
    <t>EX-2026-59610163- -APN-DR#CNDC.</t>
  </si>
  <si>
    <t>" IRSA INVERSIONES Y REPRESENTACIONES SOCIEDAD ANÓNIMA (TIENDA LOS GALLEGOS S.A.) S/NOTIFICACIÓN ART.9 DE LA LEY 27.442 " (CONC 2124)</t>
  </si>
  <si>
    <t>EX-2026-60808005- -APN-DR#CNDC</t>
  </si>
  <si>
    <t>" LIVE NATION ARGENTINA S.A. y BUENOS AIRES ARENA S.A. S/NOTIFICACIÓN ART.9 DE LA LEY 27.442 " (CONC 2125)</t>
  </si>
  <si>
    <t>EX-2026-62898323- -APN-DR#CNDC</t>
  </si>
  <si>
    <t>"GLORIA FOODS S/NOTIFICACIÓN ART.9 DE LA LEY 27.442  " (CONC 2126)</t>
  </si>
  <si>
    <t>JAROSZEWSKI</t>
  </si>
  <si>
    <t>EX-2026-63955889- -APN-DR#CNDC</t>
  </si>
  <si>
    <t>PROMOFARMA S.A. S/NOTIFICACIÓN ART.9 DE LA LEY 27.442  " (CONC 2127)</t>
  </si>
  <si>
    <t>EX-2026-67274058- -APN-DR#CNDC</t>
  </si>
  <si>
    <t> CABO VIRGENES S.A. (SEA FRESH S.A Y BUQUE SANTIAGO I) S/NOTIFICACIÓN ART.9 DE LA LEY 27.442  " (CONC 2129)</t>
  </si>
  <si>
    <t>EX-2026-67216311- -APN-DR#CNDC</t>
  </si>
  <si>
    <t>"PECOM SERVICIOS ENERGÍA S.A.U. Y SAN BENITO UPSTREAM S.A.U. S/NOTIFICACIÓN ART.9 DE LA LEY 27.442  " (CONC 2128)</t>
  </si>
  <si>
    <t>EX-2026-67477657- -APN-DR#CNDC</t>
  </si>
  <si>
    <t>" DANA INCORPORATED S/NOTIFICACIÓN ART.9 DE LA LEY 27.442 " (CONC 2130)</t>
  </si>
  <si>
    <t>EX-2026-68313877- -APN-DR#CNDC</t>
  </si>
  <si>
    <t>" COMPAGNIE GERVAIS DANONE Y ARCOR S.A.I.C. S/NOTIFICACIÓN ART.9 DE LA LEY 27.442 " (CONC 2131)</t>
  </si>
  <si>
    <t>EX-2026-68885074- -APN-DR#CNDC</t>
  </si>
  <si>
    <t>" PARAMOUNT SKYDANCE CORPORATION S/NOTIFICACIÓN ART.9 DE LA LEY 27.442 " (CONC 2132)</t>
  </si>
  <si>
    <t>EX-2026-71651049-   -APN-DR#CNDC</t>
  </si>
  <si>
    <t> ENI ARGENTINA LNG B.V. Y XRG ARG LIMITED S/NOTIFICACIÓN ART.9 DE LA LEY 27.442 " (CONC 2133)</t>
  </si>
  <si>
    <t>EX-2026-73201698-   -APN-DR#CNDC</t>
  </si>
  <si>
    <t>" IBERIA LÍNEAS AÉREAS DE ESPAÑA, S.A. Y OTRAS S/NOTIFICACIÓN ART.9 DE LA LEY 27.442 " (CONC 2134)</t>
  </si>
  <si>
    <t>EX-2026-73717709-   -APN-DR#CNDC</t>
  </si>
  <si>
    <t>" EDISON ALMACENAMIENTO S.A.U. S/NOTIFICACIÓN ART.9 DE LA LEY 27.442 " (CONC 2135)</t>
  </si>
  <si>
    <t>EX-2026-74129575-   -APN-DR#CNDC</t>
  </si>
  <si>
    <t>FOXTROT MIDCO LP S/NOTIFICACIÓN ART.9 DE LA LEY 27.442 " (CONC 2136)</t>
  </si>
  <si>
    <t>EX-2026-75173526-   -APN-DR#CNDC</t>
  </si>
  <si>
    <t>" BROOKFIELD ASSET MANAGEMENT LTD. S/NOTIFICACIÓN ART.9 DE LA LEY 27.442" (CONC 2137)</t>
  </si>
  <si>
    <t>EX-2026-75402967-   -APN-DR#CNDC</t>
  </si>
  <si>
    <t>" GLOBANT ESPAÑA S.A. (SOCIEDAD UNIPERSONAL) S/NOTIFICACIÓN ART.9 DE LA LEY 27.442" (CONC 2138)</t>
  </si>
  <si>
    <t>EX-2026-76488134-   -APN-DR#CNDC</t>
  </si>
  <si>
    <t>" CABO VÍRGENES S.A. (FOOD PARTNERS PATAGONIA S.A.) S/NOTIFICACIÓN ART.9 DE LA LEY 27.442" (CONC 2139)</t>
  </si>
  <si>
    <t>EX-2026-76914662-   -APN-DR#CNDC</t>
  </si>
  <si>
    <t>" UBER TECHNOLOGIES, INC. S/NOTIFICACIÓN ART.9 DE LA LEY 27.442" (CONC 2140)</t>
  </si>
  <si>
    <t>EX-2026-76922881-   -APN-DR#CNDC</t>
  </si>
  <si>
    <t>"EQT FUND MANAGEMENT S.À R.L. S/NOTIFICACIÓN ART. 9 DE LA LEY 27.442" (CONC 2141)</t>
  </si>
  <si>
    <t>EX-2026-78446014- -APN-DR#CNDC</t>
  </si>
  <si>
    <t>" TML CV HOLDINGS PTE. LTD S/NOTIFICACIÓN ART. 9 DE LA LEY 27.442 " (CONC 2142)</t>
  </si>
  <si>
    <t>ojo no es notificable. first landing</t>
  </si>
  <si>
    <t>EX-2026-80781449- -APN-DR#CNDC</t>
  </si>
  <si>
    <t>SAN BENITO UPSTREAM S.A.U. S/NOTIFICACIÓN ART. 9 DE LA LEY 27.442 " (CONC 2143)</t>
  </si>
  <si>
    <t>EX-2026-80908146- -APN-DR#CNDC</t>
  </si>
  <si>
    <t>" EDENOR S.A. S/NOTIFICACIÓN ART. 9 DE LA LEY 27.442 " (CONC 2144)</t>
  </si>
  <si>
    <t>EX-2026-83319793- -APN-DR#CNDC</t>
  </si>
  <si>
    <t>"  FORWARD S.A.R.L S/NOTIFICACIÓN ART.9 DE LA LEY 27.442" (CONC 2145)</t>
  </si>
  <si>
    <t>tipo</t>
  </si>
  <si>
    <t>Carátula</t>
  </si>
  <si>
    <t>Decisión</t>
  </si>
  <si>
    <t>Número de Resolución</t>
  </si>
  <si>
    <t>Número de Dictamen</t>
  </si>
  <si>
    <t>Mercados relevantes</t>
  </si>
  <si>
    <t>Relaciones económicas</t>
  </si>
  <si>
    <t>meses</t>
  </si>
  <si>
    <t>DIAS</t>
  </si>
  <si>
    <t>_fila_evol</t>
  </si>
  <si>
    <t>Ordinaria</t>
  </si>
  <si>
    <t>CONC 1884</t>
  </si>
  <si>
    <t>LOS LAPACHOS S.A. S/ NOTIFICACION ART. 9 DE LA LEY 27.442</t>
  </si>
  <si>
    <t>Autoriza Art.14 a) Ley 27.442</t>
  </si>
  <si>
    <t>RESOL-2024-64-APN-SC#MEC</t>
  </si>
  <si>
    <t>IF-2024-12165053-APN-CNDC#MEC</t>
  </si>
  <si>
    <t>servicio de emisión de tarjetas de crédito y servicio de procesamiento
transaccional</t>
  </si>
  <si>
    <t>Vertical</t>
  </si>
  <si>
    <t>CONC 1846</t>
  </si>
  <si>
    <t>PACKAGING INVESTMENTS HOLDINGS (PIH) B.V. Y PACKAGING INVESTMENTS NETHERLANDS (PIN) B.V. S/NOTIFICACIÓN ART. 9 DE LA LEY N° 27.442</t>
  </si>
  <si>
    <t>RESOL-2024-68-APN-SC#MEC</t>
  </si>
  <si>
    <t>IF-2024-13968582-APN-CNDC#MEC</t>
  </si>
  <si>
    <t xml:space="preserve">Pproducción y comercialización de envases de cartón corrugado/abastecimiento de papeles para corruga/r
 comercialización de cajas para los envases
«Bag-In-Box» </t>
  </si>
  <si>
    <t>Horizontal y Vertical</t>
  </si>
  <si>
    <t>CONC 1905</t>
  </si>
  <si>
    <t>PETROLERA ACONCAGUA ENERGIA S.A. S/ NOTIFICACION ART. 9 DE LA LEY 27.442</t>
  </si>
  <si>
    <t>RESOL-2024-69-APN-SC#MEC</t>
  </si>
  <si>
    <t>IF-2024-12167822-APN-CNDC#MEC</t>
  </si>
  <si>
    <t>Exploración y explotación de petróleo y gas natural,</t>
  </si>
  <si>
    <t>CONC 1913</t>
  </si>
  <si>
    <t>YPF S.A. S/NOTIFICACION ART. 9 DE LA LEY 27.442.</t>
  </si>
  <si>
    <t>RESOL-2024-67-APN-SC#MEC</t>
  </si>
  <si>
    <t>IF-2024-13965157-APN-CNDC#MEC</t>
  </si>
  <si>
    <t>Exploración y producción de petróleo y gas natural</t>
  </si>
  <si>
    <t>CONC 1915</t>
  </si>
  <si>
    <t>TOTAL AUSTRAL S.A. -SUCURSAL ARGENTINA- S/NOTIFICACION ART. 9 DE LA LEY 27.442.</t>
  </si>
  <si>
    <t>RESOL-2024-66-APN-SC#MEC</t>
  </si>
  <si>
    <t>IF-2024-13969597-APN-CNDC#MEC</t>
  </si>
  <si>
    <t>Exploración y explotación de petróleo y gas natural</t>
  </si>
  <si>
    <t>CONC 1931</t>
  </si>
  <si>
    <t>ALBERTO DANIEL PIZZI S/NOTIFICACIÓN ART. 9 DE LA LEY N° 27.442</t>
  </si>
  <si>
    <t>RESOL-2024-71-APN-SC#MEC</t>
  </si>
  <si>
    <t>IF-2024-13966884-APN-CNDC#MEC</t>
  </si>
  <si>
    <t>Provisión de servicios de seguridad y vigilancia de bienes y personas realizado a través de guardias especializados, con o sin interacción de sistemas electrónicos de seguridad y de acceso, monitoreo y alarmas.</t>
  </si>
  <si>
    <t>Conglomerado</t>
  </si>
  <si>
    <t>CONC 1845</t>
  </si>
  <si>
    <t>ALBAUGH, LLC S/NOTIFICACIÓN ART. 9 DE LA LEY 27.442</t>
  </si>
  <si>
    <t>RESOL-2024-78-APN-SC#MEC</t>
  </si>
  <si>
    <t>IF-2024-14504726-APN-CNDC#MEC</t>
  </si>
  <si>
    <t>Comercialización de  agroquímicos: herbicidas selectivos, insecticidas y fungicidas.</t>
  </si>
  <si>
    <t>CONC 1914</t>
  </si>
  <si>
    <t>PAN AMERICAN ENERGY, S.L., SUCURSAL ARGENTINA S/NOTIFICACION ART. 9 DE LA LEY 27.442.</t>
  </si>
  <si>
    <t>RESOL-2024-82-APN-SC#MEC</t>
  </si>
  <si>
    <t>IF-2024-18548153-APN-CNDC#MEC</t>
  </si>
  <si>
    <t>mercados de exploración y explotación de gas y petróleo, ambos con alcance naciona</t>
  </si>
  <si>
    <t>Horizontal</t>
  </si>
  <si>
    <t>CONC 1927</t>
  </si>
  <si>
    <t>RICARDO ALEJANDRO TORRES, GERARDO RUBÉN TABAKMAN Y OTROS S/NOTIFICACIÓN ART.9 DE LA LEY 27.442</t>
  </si>
  <si>
    <t>RESOL-2024-84-APN-SC#MEC</t>
  </si>
  <si>
    <t>IF-2024-18550952-APN-CNDC#MEC</t>
  </si>
  <si>
    <t>Fabricación de productos elaborados a partir de tableros de fibras de madera duros o hardboard conocido como chapadur; así como la fabricación de muebles de madera (escritorios, vanitorys, mesas de luz, escritorios, placares, entre otros).</t>
  </si>
  <si>
    <t>CONC 1923</t>
  </si>
  <si>
    <t>EVONIK METILATOS S.A. S/ NOTIFICACION ART. 9 DE LA LEY 27.442.</t>
  </si>
  <si>
    <t>RESOL-2024-96-APN-SC#MEC</t>
  </si>
  <si>
    <t>IF-2024-24910844-APN-CNDC#MEC</t>
  </si>
  <si>
    <t>Industria cosmética</t>
  </si>
  <si>
    <t>CONC 1924</t>
  </si>
  <si>
    <t>ULANDS S.A. S/ NOTIFICACION ART. 9 DE LA LEY 27.442</t>
  </si>
  <si>
    <t>Autoriza Art.14 a) con Multa Art.55 inc. d) Ley 27.442</t>
  </si>
  <si>
    <t>RESOL-2024-99-APN-SC#MEC</t>
  </si>
  <si>
    <t>IF-2024-27246246-APN-CNDC#MEC</t>
  </si>
  <si>
    <t>tierras con destino a explotación agropecuaria</t>
  </si>
  <si>
    <t>CONC 1928</t>
  </si>
  <si>
    <t>GLOBANT ESPAÑA S.A. y SOFTWARE PRODUCT CREATION S.L. S/NOTIFICACIÓN ART.9 DE LA LEY 27.442</t>
  </si>
  <si>
    <t>RESOL-2024-105-APN-SC#MEC</t>
  </si>
  <si>
    <t>IF-2024-29028905-APN-CNDC#MEC</t>
  </si>
  <si>
    <t>Sservicios TI, particularmente en los segmentos de (i) desarrollo de programas para clientes e (ii) integración de sistemas //Agencia creativa multidisciplinaria e integral
que opera dentro del mercado de publicidad y
marketing digital</t>
  </si>
  <si>
    <t>CONC 1935</t>
  </si>
  <si>
    <t>TOTAL ENERGIES SE, VIENTOS SOLUTIONS SL Y GREENWIND S.A. S/NOTIFICACION ART. 9 DE LA LEY N° 27.442</t>
  </si>
  <si>
    <t>RESOL-2024-109-APN-SC#MEC</t>
  </si>
  <si>
    <t>IF-2024-26750559-APN-CNDC#MEC</t>
  </si>
  <si>
    <t>Generación de energía eléctrica y potencia instalada</t>
  </si>
  <si>
    <t>CONC 1840</t>
  </si>
  <si>
    <t>THERMO FISHER SCIENTIFIC INC. S/ NOTIFICACION ART. 9 DE LA LEY 27.442</t>
  </si>
  <si>
    <t>RESOL-2024-113-APN-SC#MEC</t>
  </si>
  <si>
    <t>IF-2024-26750839-APN-CNDC#MEC</t>
  </si>
  <si>
    <t>Servicio de ensayos clínicos, “aguas arriba” y servicio de apoyo a los ensayos clínicos, “aguas abajo”</t>
  </si>
  <si>
    <t>PROSUM</t>
  </si>
  <si>
    <t>CONC 1944 (PROSUM)</t>
  </si>
  <si>
    <t>GLOBANT ESPAÑA S.A. Y GUT AGENCY S.R.L. S/ NOTIFICACIÓN ART.9 DE LA LEY 27.442</t>
  </si>
  <si>
    <t>DISFC-2024-30-APN-CNDC#MEC</t>
  </si>
  <si>
    <t>IF-2024-32148225-APN-DNCE#CNDC</t>
  </si>
  <si>
    <t>Servicios de publicidad y marketing digital</t>
  </si>
  <si>
    <t>CONC 1951 (PROSUM)</t>
  </si>
  <si>
    <t>PUMA SPORTS ARGENTINA S.A S/ NOTIFICACION ART. 9 DE LA LEY 27.442</t>
  </si>
  <si>
    <t>DISFC-2024-29-APN-CNDC#MEC</t>
  </si>
  <si>
    <t>IF-2024-32144017-APN-DNCE#CNDC</t>
  </si>
  <si>
    <t>Alquiler de inmuebles (unidades funcionales, unidades complementarias y cocheras), en particular, de oficinas de tipo “clase A</t>
  </si>
  <si>
    <t>CONC 1718</t>
  </si>
  <si>
    <t>CEFAS S.A., GRUPO CALIDRA S.A. DE C.V. E INVERSIONES DEL SAN JUAN S/NOTIFICACION ART. 9 DE LA LEY N° 27.442</t>
  </si>
  <si>
    <t>RESOL-2024-2-APN-SIYC#MEC</t>
  </si>
  <si>
    <t>IF-2024-26749748-APN-CNDC#MEC</t>
  </si>
  <si>
    <t>extracción, explotación y/o comercialización de: piedra caliza; cales vivas e hidratadas cálcicas para uso industrial; cal hidratada cálcica para la construcción; y cales vivas dolomíticas.</t>
  </si>
  <si>
    <t>CONC 1808</t>
  </si>
  <si>
    <t>PIGMENTS SPAIN S.L.U. S/ NOTIFICACION ART. 9 DE LA LEY 27.442</t>
  </si>
  <si>
    <t>RESOL-2024-5-APN-SIYC#MEC</t>
  </si>
  <si>
    <t>IF-2024-29589425-APN-CNDC#MEC</t>
  </si>
  <si>
    <t>Comercialización de Fritas &amp; Esmaltes;  comercialización de Colores de Alta Calidad y;  comercialización de Tintas Digitales (incluida en la categoría de Colores de Alta Calidad) y la
comercialización de insumos, “aguas arriba” (caolín y corindón, que constituyen productos
intermedios en la cadena de valor de producción de revestimientos para baldosas cerámicas, y cuya oferta es exclusivamente importada) y la fabricación de F&amp;E por parte de la empresa
objeto, “aguas abajo</t>
  </si>
  <si>
    <t>CONC 1885</t>
  </si>
  <si>
    <t>FRONTERA MINERALS S.A.U. S/ NOTIFICACION ART. 9 DE LA LEY 27.442</t>
  </si>
  <si>
    <t>RESOL-2024-8-APN-SIYC#MEC</t>
  </si>
  <si>
    <t>IF-2024-32241132-APN-CNDC#MEC</t>
  </si>
  <si>
    <t>Etapas de exploración y explotación de litio</t>
  </si>
  <si>
    <t>CONC. 1953 (PROSUM)</t>
  </si>
  <si>
    <t>“GRUPO ST S.A. Y OTROS S/NOTIFICACIÓN ART. 9 DE LA LEY N° 27.442 (CONC 1953)”</t>
  </si>
  <si>
    <t>DISFC-2024-35-APN-CNDC#MEC</t>
  </si>
  <si>
    <t>IF-2024-34477506-APN-CNDC#MEC</t>
  </si>
  <si>
    <t>mercados de seguros: 1) Combinado familiar, 2) Robo y riesgos similares, 3) Otros riesgos patrimoniales, 4) Salud, 5) Vida Colectivo, 6) Vida saldo deudor, 7) Accidentes Personales colectivos y 8) Accidentes personales individuales//// servicios auxialiares de la activiad aseguroadora y comercializacion de seguros</t>
  </si>
  <si>
    <t>CONC 1877</t>
  </si>
  <si>
    <t>EUGENIA AGUSTINA CERDÁ DE ROSSI Y STAMBOULIAN S/NOTIFICACIÓN ART.9 DE LA LEY 27.442.</t>
  </si>
  <si>
    <t>RESOL-2024-15-APN-SIYC#MEC</t>
  </si>
  <si>
    <t>IF-2024-29593462-APN-CNDC%MEC</t>
  </si>
  <si>
    <t>servicios de laboratorio de análisis clínico y ensayo clínico de investigación en el ámbito de la Ciudad Autónoma de Buenos Aires.</t>
  </si>
  <si>
    <t>Conglomerado y Horizontal</t>
  </si>
  <si>
    <t>CONC 1892</t>
  </si>
  <si>
    <t>PROENER S.A.U. S/NOTIFICACION ART. 9 DE LA LEY 27.442.</t>
  </si>
  <si>
    <t>RESOL-2024-34-APN-SIYC#MEC</t>
  </si>
  <si>
    <t>IF-2024-34545835-APN-CNDC#MEC</t>
  </si>
  <si>
    <t>actividad forestal que consiste en la plantación de distintas especies de árboles en terrenos propios</t>
  </si>
  <si>
    <t>CONC 1934</t>
  </si>
  <si>
    <t>PAMPA ENERGIA S.A. Y TOTAL AUSTRAL S.A. S/ NOTIFICACION ART. 9 DE LA LEY 27.442.</t>
  </si>
  <si>
    <t>RESOL-2024-35-APN-SIYC#MEC</t>
  </si>
  <si>
    <t>IF-2024-40484291-APN-CNDC#MEC</t>
  </si>
  <si>
    <t>exploración y explotación de petróleo y gas natural</t>
  </si>
  <si>
    <t>CONC 1869</t>
  </si>
  <si>
    <t>COMPAGNIE DE SAINT-GOBAIN S.A. S/ NOTIFICACION ART. 9 DE LA LEY 27.442</t>
  </si>
  <si>
    <t>RESOL-2024-46-APN-SIYC#MEC</t>
  </si>
  <si>
    <t xml:space="preserve">	IF-2024-32238635-APN-CNDC#MEC/IF-2024-46990396-APN-CNDC#MEC</t>
  </si>
  <si>
    <t>comercialización de productos impermeabilizantes, en particular membranas sólidas</t>
  </si>
  <si>
    <t>CONC 1882</t>
  </si>
  <si>
    <t>MIRGOR S.A.C.I.F.I.A. Y OUTOKUMPU FORTINOX S.A. S/NOTIFICACIÓN ART.9 DE LA LEY 27.442</t>
  </si>
  <si>
    <t>RESOL-2024-70-APN-SIYC#MEC</t>
  </si>
  <si>
    <t>IF-2024-34540077-APN-CNDC#MEC</t>
  </si>
  <si>
    <t>Importación, fraccionamiento, procesamiento y comercialización de aceros para la industria (aceros inoxidables, aceros especiales y de alta resistencia</t>
  </si>
  <si>
    <t>CONC 1867</t>
  </si>
  <si>
    <t>GERARDO LUIS BARTOLOMÉ, IGNACIO MARIO BARTOLOMÉ Y OTRO S/NOTIFICACIÓN ART.9 DE LA LEY 27.442</t>
  </si>
  <si>
    <t>RESOL-2024-81-APN-SIYC#MEC</t>
  </si>
  <si>
    <t>IF-2024-45677270-APN-CNDC#MEC</t>
  </si>
  <si>
    <t>mercado de tierras para uso agrícola y en los mercados de producción de grano de maíz, trigo y soja.</t>
  </si>
  <si>
    <t>CONC 1920</t>
  </si>
  <si>
    <t>BIOSIDUS S.A.U. S/ NOTIFICACION ART. 9 DE LA LEY 27.442.</t>
  </si>
  <si>
    <t>RESOL-2024-83-APN-SIYC#MEC</t>
  </si>
  <si>
    <t>IF-2024-47625380-APN-CNDC#MEC</t>
  </si>
  <si>
    <t>principio activo somatropina, conocida también como la hormona del crecimiento</t>
  </si>
  <si>
    <t>CONC 1873</t>
  </si>
  <si>
    <t>ENERFLEX LTD S/NOTIFICACION ART. 9 DE LA LEY 27.442.</t>
  </si>
  <si>
    <t>RESOL-2024-95-APN-SIYC#MEC</t>
  </si>
  <si>
    <t>IF-2024-47625859-APN-CNDC#MEC</t>
  </si>
  <si>
    <t>servicios de operación y apoyo (“O&amp;A”) y de postventa (“SPV”) a empresas de la industria de petróleo y gas relacionadas a la etapa de producción upstream y midstream.</t>
  </si>
  <si>
    <t>CONC 1932</t>
  </si>
  <si>
    <t>YPF S.A. Y COMPAÑIA GENERAL DE COMBUSTIBLES S.A., S/NOTIFICACION ART. 9 DE LA LEY 27.442.</t>
  </si>
  <si>
    <t>RESOL-2024-94-APN-SIYC#MEC</t>
  </si>
  <si>
    <t>IF-2024-45680842-APN-CNDC#MEC</t>
  </si>
  <si>
    <t>exploración y explotación de petróleo y gas</t>
  </si>
  <si>
    <t>CONC 1832</t>
  </si>
  <si>
    <t>ETHICAL PHARMA SOCIEDAD ANONIMA, MARAUSTRALIS S.A. Y KIMBELL S.A. S/ NOTIFICACION ART. 9 DE LA LEY 27.442</t>
  </si>
  <si>
    <t>RESOL-2024-101-APN-SIYC#MEC</t>
  </si>
  <si>
    <t>IF-2024-47626986-APN-CNDC#MEC</t>
  </si>
  <si>
    <t>leches para bebés y comercialización de suplementos
dietarios. Distribución de especialidades medicinales</t>
  </si>
  <si>
    <t>CONC 1890</t>
  </si>
  <si>
    <t>URENT S.A. S/ NOTIFICACION ART. 9 DE LA LEY 27.442</t>
  </si>
  <si>
    <t>RESOL-2024-105-APN-SIYC#MEC</t>
  </si>
  <si>
    <t>IF-2024-40484403-APN-CNDC#MEC</t>
  </si>
  <si>
    <t>mercado de espacios logísticos destinados al depósito y almacenamiento de bienes en el ámbito de lo que se conoce como AMBA</t>
  </si>
  <si>
    <t>CONC. 1939 (PROSUM)</t>
  </si>
  <si>
    <t>FORAIN S.A. S/ NOTIFICACION ART. 9 DE LA LEY 27.442</t>
  </si>
  <si>
    <t>DISFC-2024-59-APN-CNDC#MEC</t>
  </si>
  <si>
    <t>IF-2024-54360048-APN-DNCE#CNDC</t>
  </si>
  <si>
    <t>mercado de provisión de alimentos y de gestión de establecimientos</t>
  </si>
  <si>
    <t>CONC 1942 (PROSUM)</t>
  </si>
  <si>
    <t>SUDAMERICANA HOLDING S.A. S/ NOTIFICACION ART. 9 DE LA LEY 27.442</t>
  </si>
  <si>
    <t>DISFC-2024-60-APN-CNDC#MEC</t>
  </si>
  <si>
    <t>IF-2024-57776738-APN-DR#CNDC</t>
  </si>
  <si>
    <t>mercados de seguros de (i) Combinado familiar, (ii) Integral de Comercio, (iii) Robo y riesgos similares, (iv) otros riegos patrimoniales (compra protegida, desempleo, bicicletas, entre otros), (v) Vida Individual, (vi) Vida Colectivo, (vii) Accidentes Personales y (viii) Mascota</t>
  </si>
  <si>
    <t>CONC 1962 (PROSUM)</t>
  </si>
  <si>
    <t>DISFC-2024-61-APN-CNDC#MEC</t>
  </si>
  <si>
    <t>IF-2024-50439368-APN-DNCE#CNDC</t>
  </si>
  <si>
    <t>actividad inmobiliaria</t>
  </si>
  <si>
    <t>CONC 1965 (PROSUM)</t>
  </si>
  <si>
    <t>DISFC-2024-58-APN-CNDC#MEC</t>
  </si>
  <si>
    <t>IF-2024-54372067-APN-DNCE#CNDC</t>
  </si>
  <si>
    <t>comercialización de productos de limpieza como lavandina, limpiadores de grandes superficies, suplementos para lavandería, ambientadores, aerosoles desinfectantes, insecticidas, utensilios de limpieza, toallitas húmedas, entre otros</t>
  </si>
  <si>
    <t>CONC 1917</t>
  </si>
  <si>
    <t>PAN AMERICAN SUR S.A. S/NOTIFICACIÓN ART. 9 DE LA LEY N° 27.442</t>
  </si>
  <si>
    <t>RESOL-2024-118-APN-SIYC#MEC</t>
  </si>
  <si>
    <t>IF-2024-54539040-APN-CNDC#MEC</t>
  </si>
  <si>
    <t>generación de energía eléctrica - actividad de producción y comercialización de gas natural, aguas
arriba, y la actividad de generación de energía eléctrica de origen
térmico, aguas abajo</t>
  </si>
  <si>
    <t>CONC 1921</t>
  </si>
  <si>
    <t>CAPEX S.A. Y TRAFIGURA ARGENTINA S.A S/ NOTIFICACION ART. 9 DE LA LEY 24.772.</t>
  </si>
  <si>
    <t>RESOL-2024-121-APN-SIYC#MEC</t>
  </si>
  <si>
    <t>IF-2024-56252042-APN-CNDC#MEC</t>
  </si>
  <si>
    <t>CONC 1940</t>
  </si>
  <si>
    <t>UNILEVER DE ARGENTINA S.A. S/ NOTIFICACION ART. 9 DE LA LEY 27.442</t>
  </si>
  <si>
    <t>RESOL-2024-122-APN-SIYC#MEC</t>
  </si>
  <si>
    <t>IF-2024-56271024-APN-CNDC#MEC</t>
  </si>
  <si>
    <t>mercado de espacios logísticos destinados al depósito y almacenamiento de bienes en el ámbito del Área Metropolitana de Buenos Aires (“AMBA”)</t>
  </si>
  <si>
    <t>CONC 1911</t>
  </si>
  <si>
    <t>KONINKLIJKE DSM N.V. Y FIRMENICH INTERNATIONAL SA S/NOTIFICACIÓN ART. 9 DE LA LEY N° 27.442</t>
  </si>
  <si>
    <t>RESOL-2024-125-APN-SIYC#MEC</t>
  </si>
  <si>
    <t>IF-2024-56270137-APN-CNDC#MEC</t>
  </si>
  <si>
    <t>sabores, químicos aromáticos, ingredientes salados, vitamina B6, omegas y provisión de premezclas para alimentos</t>
  </si>
  <si>
    <t>Horizontal, Vertical y Conglomerado</t>
  </si>
  <si>
    <t>CONC 1857</t>
  </si>
  <si>
    <t>BAKELITE US HOLDCO, INC S/NOTIFICACIÓN ART.9 DE LA LEY 27.442.</t>
  </si>
  <si>
    <t>RESOL-2024-131-APN-SIYC#MEC</t>
  </si>
  <si>
    <t>IF-2024-59929004-APN-CNDC#MEC</t>
  </si>
  <si>
    <t xml:space="preserve">comercialización de resinas fenólicas </t>
  </si>
  <si>
    <t>CONC 1925</t>
  </si>
  <si>
    <t>UNILEVER DE ARGENTINA S.A. S/NOTIFICACIÓN ART. 9 DE LA LEY 27.442</t>
  </si>
  <si>
    <t>RESOL-2024-134-APN-SIYC#MEC</t>
  </si>
  <si>
    <t>IF-2024-59929580-APN-CNDC#MEC</t>
  </si>
  <si>
    <t>mercado de espacios logísticos destinados al depósito y almacenamiento de bienes en el ámbito del Área Metropolitana de Buenos Aires (en adelante “AMBA”).</t>
  </si>
  <si>
    <t>CONC 1901 (P)</t>
  </si>
  <si>
    <t>GLENCORE INTERNATIONAL AG S/NOTIFICACION ART. 9 DE LA LEY 27.442.</t>
  </si>
  <si>
    <t>RESOL-2024-142-APN-SIYC#MEC</t>
  </si>
  <si>
    <t>IF-2024-62740270-APN-CNDC#MEC</t>
  </si>
  <si>
    <t>desarrollo y operación de minas a cielo abierto (actividad minera de extracción de
concentrado cobre y, en menor medida, en la obtención del molibdeno como subproducto
(podrían incluso incorporarse minerales como el oro y la plata en las actividades solapadas)</t>
  </si>
  <si>
    <t>CONC 1949 (PROSUM)</t>
  </si>
  <si>
    <t>COMPAÑÍA MINERA AGUILAR POTASIO S.A. S/ NOTIFICACIÓN ART.9 DE LA LEY 27.442</t>
  </si>
  <si>
    <t>DISFC-2024-73-APN-CNDC#MEC</t>
  </si>
  <si>
    <t>IF-2024-62666571-APN-DNCE#CNDC</t>
  </si>
  <si>
    <t>exploración y explotación de litio, potasio y boro</t>
  </si>
  <si>
    <t>CONC 1830 (P)</t>
  </si>
  <si>
    <t>COMPAÑÍA MULTIMODAL LOGÍSTICA S.A. S/ NOTIFICACION ART. 9 DE LA LEY 27.442</t>
  </si>
  <si>
    <t>RESOL-2024-158-APN-SIYC#MEC</t>
  </si>
  <si>
    <t>IF-2024-62734922-APN-CNDC#MEC</t>
  </si>
  <si>
    <t>servicio de transporte refrigerado de medicamentos;  servicio
de paquetería,   y  servicio de transporte de cargas genera</t>
  </si>
  <si>
    <t>CONC 1907 (P)</t>
  </si>
  <si>
    <t>GESTAMP AUTOMOCION, S.A. S/ NOTIFICACION ART. 9 DE LA LEY 27.442.</t>
  </si>
  <si>
    <t>RESOL-2024-157-APN-SIYC#MEC</t>
  </si>
  <si>
    <t>IF-2024-62733254-APN-CNDC#MEC</t>
  </si>
  <si>
    <t>fabricación y comercialización de autopartes</t>
  </si>
  <si>
    <t>CONC 1848 (P)</t>
  </si>
  <si>
    <t>TERFTALICOS INDUSTRIA E PARTICIPACOES LTDA. S/ NOTIFICACION ART. 9 DE LA LEY 27.442</t>
  </si>
  <si>
    <t>RESOL-2024-163-APN-SIYC#MEC</t>
  </si>
  <si>
    <t>IF-2024-66942952-APN-CNDC#MEC</t>
  </si>
  <si>
    <t>comercialización de i) surfactantes no-iónicos,  ii) monoetilenglicol (“MEG”) y iii) etanolaminas (“EOA”).</t>
  </si>
  <si>
    <t>CONC 1918 (P)</t>
  </si>
  <si>
    <t>SHELL ARGENTINA S.A., EQUINOR ARGENTINA S.A.U., VISTA ENERGY ARGENTINA S.A.U. S/ NOTIFICACION ART. 9 DE LA LEY 27442.</t>
  </si>
  <si>
    <t>RESOL-2024-164-APN-SIYC#MEC</t>
  </si>
  <si>
    <t>IF-2024-64901394-APN-CNDC#MEC</t>
  </si>
  <si>
    <t>extracción de petróleo y transporte de petroleo</t>
  </si>
  <si>
    <t>CONC 1937 (P) (PROSUM)</t>
  </si>
  <si>
    <t>Genclore International AG y Pan American Silver Corp. S/NOTIFICACIÓN ART. 9 DE LA LEY N° 27.442</t>
  </si>
  <si>
    <t>DISFC-2024-95-APN-CNDC#MEC</t>
  </si>
  <si>
    <t>IF-2024-77790244-APN-DNCE#CNDC</t>
  </si>
  <si>
    <t xml:space="preserve">desarrollo y operación de minas a cielo abierto (actividad minera de extracción de
concentrado cobre y, en menor medida, en la obtención del molibdeno como subproducto
</t>
  </si>
  <si>
    <t>CONC 1963 (P) (PROSUM)</t>
  </si>
  <si>
    <t>DISFC-2024-97-APN-CNDC#MEC</t>
  </si>
  <si>
    <t>IF-2024-77776555-APN-DNCE#CNDC</t>
  </si>
  <si>
    <t>Alquiler y comercialización de copiadoras, impresoras láser, facsímiles y equipos de ingeniería marca Xerox.</t>
  </si>
  <si>
    <t>CONC 1945 (PROSUM)</t>
  </si>
  <si>
    <t>TECHENERGY LITHIUM CANADA INC S/NOTIFICACION ART. 9 DE LA LEY 27.442</t>
  </si>
  <si>
    <t>DISFC-2024-104-APN-CNDC#MEC</t>
  </si>
  <si>
    <t>IF-2024-80371385-APN-DNCE#CNDC</t>
  </si>
  <si>
    <t>Actividad minera de litio</t>
  </si>
  <si>
    <t>CONC 1985 (PROSUM)</t>
  </si>
  <si>
    <t>DISFC-2024-103-APN-CNDC#MEC</t>
  </si>
  <si>
    <t>IF-2024-80375004-APN-DNCE#CNDC</t>
  </si>
  <si>
    <t>Producción y comercialización de productos para la higiene de tocador, medicinales, odontológicos, químicos y cosméticos.</t>
  </si>
  <si>
    <t>CONC 1899 (P)</t>
  </si>
  <si>
    <t>ADIUM PHARMA S.A. S/NOTIFICACIÓN ART.9 DE LA LEY 27.442</t>
  </si>
  <si>
    <t>RESOL-2024-198-APN-SIYC#MEC</t>
  </si>
  <si>
    <t>IF-2024-78079649-APN-CNDC#MEC</t>
  </si>
  <si>
    <t>mercado de medicamentos, específicamente en los inhibidores de la bomba de protones (A2B2)</t>
  </si>
  <si>
    <t>CONC 1964 (P)</t>
  </si>
  <si>
    <t>RESOL-2024-207-APN-SIYC#MEC</t>
  </si>
  <si>
    <t>IF-2024-72617153-APN-CNDC#MEC</t>
  </si>
  <si>
    <t>comercialización de detergentes lavavajillas para lavado a mano y de detergentes y jabones para lavar la ropa tanto líquidos como en polvo.</t>
  </si>
  <si>
    <t>CONC 1980 (PROSUM)</t>
  </si>
  <si>
    <t>DISFC-2024-107-APN-CNDC#MEC</t>
  </si>
  <si>
    <t>IF-2024-83333483-APN-DNCE#CNDC</t>
  </si>
  <si>
    <t>actividad de faena4 y despostado5 de ganado bovino, de la cual se obtiene la carne in natura6 , (ii) la venta de carne in natura (a través del comercio minorista) y (iii) la comercialización de los desperdicios cárnicos derivados de la faena de ganado bovino. También : i) la actividad de feedlot o engorde de ganado a corral, aguas arriba, por parte del
grupo adquirente, y la actividad de faena y despostado de ganado bovino, aguas abajo, por
parte del frigorífico objeto, ii) la faena y despostado realizados por los frigoríficos del grupo
adquirente, aguas arriba, y la venta (minorista) de carne in natura por parte de la objeto, aguas
abajo, iii) la faena y despostado realizados por el frigorífico Objeto, aguas arriba, y la venta
(minorista) de carne in natura por parte del grupo adquirente, aguas abajo, y iv) la
comercialización de desperdicios, aguas arriba, por parte del frigorífico objeto, y la
elaboración y comercialización de subproductos, grasas y aceites de origen animal por parte
de la empresa DIAMOND PROTEIN S.A., del lado adquirente, aguas abajo</t>
  </si>
  <si>
    <t>CONC 1895 (P)</t>
  </si>
  <si>
    <t>FERRING B.V. S/ NOTIFICACION ART. 9 DE LA LEY 27.442</t>
  </si>
  <si>
    <t>RESOL-2024-210-APN-SIYC#MEC</t>
  </si>
  <si>
    <t>IF-2024-83427330-APN-CNDC#MEC</t>
  </si>
  <si>
    <t>producción de gonadotrofinas (hCG y hMG), hormonas presentes en la orina de mujeres embarazadas o menopáusicas</t>
  </si>
  <si>
    <t>CONC 1947 (P)</t>
  </si>
  <si>
    <t>GLYCINEMAX S.A. S/ NOTIFICACION ART. 9 DE LA LEY 27.442</t>
  </si>
  <si>
    <t>RESOL-2024-216-APN-SIYC#MEC</t>
  </si>
  <si>
    <t>IF-2024-80475289-APN-CNDC#MEC</t>
  </si>
  <si>
    <t xml:space="preserve">mercado de tierras para uso agrícola, y los mercados de producción de semillas y granos, aguas abajo. </t>
  </si>
  <si>
    <t>CONC 1978 (P)</t>
  </si>
  <si>
    <t>No sujeta a notificación (Art.9 Ley 27.442)</t>
  </si>
  <si>
    <t>RESOL-2024-215-APN-SIYC#MEC</t>
  </si>
  <si>
    <t>IF-2024-80446250-APN-CNDC#MEC</t>
  </si>
  <si>
    <t>reorganización societaria que no encuadra en el artículo 7° de la Ley 27.442.</t>
  </si>
  <si>
    <t>CONC 1897 (P)</t>
  </si>
  <si>
    <t>LITHOS ENERGIA S.A S/ NOTIFICACION ART. 9 DE LA LEY 27.442.</t>
  </si>
  <si>
    <t>RESOL-2024-232-APN-SIYC#MEC</t>
  </si>
  <si>
    <t>IF-2024-83429194-APN-CNDC#MEC</t>
  </si>
  <si>
    <t>actividad minera de litio.</t>
  </si>
  <si>
    <t>CONC 1909 (P)</t>
  </si>
  <si>
    <t>SAVENCIA FROMAGE &amp; DAIRY INTERNATIONAL S.A.S. S/NOTIFICACION ART. 9 DE LA LEY 27.442.</t>
  </si>
  <si>
    <t>RESOL-2024-233-APN-SIYC#MEC</t>
  </si>
  <si>
    <t>IF-2024-80436215-APN-CNDC#MEC</t>
  </si>
  <si>
    <t>leche larga vida , leche en polvo, leche chocolatada, dulce de leche, yogur, manteca, crema de leche y quesos (blandos, semiduros, duros, untables, azules y rallados) compra
de leche a tambos, mercado de sueros, mercado de producción y
comercialización de la crema de leche a granel</t>
  </si>
  <si>
    <t>CONC 1898 (P)</t>
  </si>
  <si>
    <t>LI3 ENERGY HOLDING S.L. S/NOTIFICACIÓN ART.9 DE LA LEY 27.442</t>
  </si>
  <si>
    <t>RESOL-2024-235-APN-SIYC#MEC</t>
  </si>
  <si>
    <t>IF-2024-83545128-APN-CNDC#MEC</t>
  </si>
  <si>
    <t>CONC 1971 (P)</t>
  </si>
  <si>
    <t>RESOL-2024-240-APN-SIYC#MEC</t>
  </si>
  <si>
    <t>IF-2024-87695018-APN-CNDC#MEC</t>
  </si>
  <si>
    <t>mercado de generación de energía eléctrica y potencia instalada</t>
  </si>
  <si>
    <t>CONC 1983 (PROSUM)</t>
  </si>
  <si>
    <t>DISFC-2024-113-APN-CNDC#MEC</t>
  </si>
  <si>
    <t>IF-2024-86958459-APN-DNCE#CNDC</t>
  </si>
  <si>
    <t>Suministro de electricidad y alquiler de generadores (y equipos de energía temporal relacionados)</t>
  </si>
  <si>
    <t>CONC 1815 (P)</t>
  </si>
  <si>
    <t>INGREDION ARGENTINA S.R.L. Y ARCOR S.A.I.C S/NOTIFICACIÓN ART 9 LEY N.° 27442</t>
  </si>
  <si>
    <t>Subordina Art.14 b) Ley 27.442</t>
  </si>
  <si>
    <t>RESOL-2024-261-APN-SIYC#MEC</t>
  </si>
  <si>
    <t>IF-2024-93950467-APN-CNDC#MEC</t>
  </si>
  <si>
    <t>Molienda húmeda de maiz y sus derivados.</t>
  </si>
  <si>
    <t>CONC 1969 (P)</t>
  </si>
  <si>
    <t>RESOL-2024-262-APN-SIYC#MEC</t>
  </si>
  <si>
    <t>IF-2024-93905640-APN-CNDC#MEC</t>
  </si>
  <si>
    <t>Mercado de servicios de agente de administración de productos de inversión colectiva (“AAPIC”)</t>
  </si>
  <si>
    <t>CONC 1883 (P)</t>
  </si>
  <si>
    <t>COMPAÑIA CERVECERIAS UNIDAS ARGENTINA S.A. Y HOLDING INTERNATIONALE DE BOISSONS S.A.S. S/NOTIFICACIÓN ART.9 DE LA LEY 27.442</t>
  </si>
  <si>
    <t>RESOL-2024-278-APN-SIYC#MEC</t>
  </si>
  <si>
    <t>IF-2024-98779491-APN-CNDC#MEC</t>
  </si>
  <si>
    <t>Mercado de bebidas con alcohol y sin alcohol</t>
  </si>
  <si>
    <t>CONC 1970 (PROSUM)</t>
  </si>
  <si>
    <t>DISFC-2024-122-APN-CNDC#MEC</t>
  </si>
  <si>
    <t>IF-2024-95735863-APN-DNCE#CNDC</t>
  </si>
  <si>
    <t>provisión de equipos, productos y servicios de perforación utilizados por la industria minera en la etapa de extracción.</t>
  </si>
  <si>
    <t>CONC 1855 (P)</t>
  </si>
  <si>
    <t>EUGENIA AGUSTINA CERDÁ DE ROSSI S/NOTIFICACION ART.9 DE LA LEY 27.442.</t>
  </si>
  <si>
    <t>RESOL-2024-280-APN-SIYC#MEC</t>
  </si>
  <si>
    <t>IF-2024-95858670-APN-CNDC#MEC</t>
  </si>
  <si>
    <t>servicios de laboratorio de análisis clínicos y de ensayos clínicos de investigación.</t>
  </si>
  <si>
    <t>CONC 1968 (P)</t>
  </si>
  <si>
    <t>RESOL-2024-282-APN-SIYC#MEC</t>
  </si>
  <si>
    <t>IF-2024-98778845-APN-CNDC#MEC</t>
  </si>
  <si>
    <t>servicios de agente de liquidación y compensación (“ALyC”) y los servicios de agente de colocación y distribución integral de fondos comunes de inversión (“ACyDI”)</t>
  </si>
  <si>
    <t>CONC 1906 (P)</t>
  </si>
  <si>
    <t>MIRGOR S.A.C.I.F.I.A. Y SAUCECO S.A. S/NOTIFICACIÓN ART. 9 DE LA LEY 27.442</t>
  </si>
  <si>
    <t>RESOL-2024-324-APN-SIYC#MEC</t>
  </si>
  <si>
    <t>IF-2024-98775760-APN-CNDC#MEC</t>
  </si>
  <si>
    <t xml:space="preserve">producción y comercialización de granos de maíz y trigo + mercado
de tierras para uso agrícola, aguas arriba, y los mercados de producción de granos, aguas
abajo. </t>
  </si>
  <si>
    <t>CONC 1946 (P)</t>
  </si>
  <si>
    <t>BANCO MACRO S.A. S/NOTIFICACION ART. 9 DE LA LEY 27.442.</t>
  </si>
  <si>
    <t>RESOL-2024-326-APN-SIYC#MEC</t>
  </si>
  <si>
    <t>IF-2024-105617539-APN-CNDC#MEC</t>
  </si>
  <si>
    <t>Servicios bancarios, administradoras de fondos comunes de inversión, y agentes de liquidación y compensación.</t>
  </si>
  <si>
    <t>CONC 1908 (P)</t>
  </si>
  <si>
    <t>PAN AMERICAN SILVER CORP S/ NOTIFICACION ART. 9 DE LA LEY 27.442</t>
  </si>
  <si>
    <t>RESOL-2024-327-APN-SIYC#MEC</t>
  </si>
  <si>
    <t>IF-2024-98776502-APN-CNDC#MEC</t>
  </si>
  <si>
    <t>mercado de oro y plata sin refinal a nivel mundial</t>
  </si>
  <si>
    <t>CONC 1987 (P)</t>
  </si>
  <si>
    <t>RESOL-2024-341-APN-SIYC#MEC</t>
  </si>
  <si>
    <t>IF-2024-102031824-APN-CNDC#MEC</t>
  </si>
  <si>
    <t>CONC 1739 (P)</t>
  </si>
  <si>
    <t>NATURA &amp; CO HOLDING S.A. Y AVON PRODUCTS, INC. S/NOTIFICACION ART. 9 DE LA LEY N° 27.442</t>
  </si>
  <si>
    <t>RESOL-2024-362-APN-SIYC#MEC</t>
  </si>
  <si>
    <t>IF-2024-80540114-APN-CNDC#MEC</t>
  </si>
  <si>
    <t>comercialización de productos de belleza y cuidado personal</t>
  </si>
  <si>
    <t>CONC 1910 (P)</t>
  </si>
  <si>
    <t>Y-LUZ INVERSORA S.A.U S/NOTIFICACION ART. 9 DE LA LEY 27.442.</t>
  </si>
  <si>
    <t>RESOL-2024-381-APN-SIYC#MEC</t>
  </si>
  <si>
    <t>IF-2024-113197303-APN-CNDC#MEC</t>
  </si>
  <si>
    <t>l mercado de generación de energía eléctrica y potencia instalada</t>
  </si>
  <si>
    <t>CONC 1852 (P)</t>
  </si>
  <si>
    <t>FRESENIUS KABI AG S/NOTIFICACIÓN ART.9 DE LA LEY 27.442.</t>
  </si>
  <si>
    <t>RESOL-2024-385-APN-SIYC#MEC</t>
  </si>
  <si>
    <t>IF-2024-113114090-APN-CNDC#MEC</t>
  </si>
  <si>
    <t>mercado de medicamentos biosimilares</t>
  </si>
  <si>
    <t>CONC 1973 (P)</t>
  </si>
  <si>
    <t>RESOL-2024-387-APN-SIYC#MEC</t>
  </si>
  <si>
    <t>IF-2024-105620373-APN-CNDC#MEC</t>
  </si>
  <si>
    <t>mercado de seguros de personas: i) vida colectivo, ii) vida individual, iii) vida saldo deudor, iv) sepelio colectivo, v) accidentes personales colectivo, vi) accidentes personales individual y vii) salud, todos ellos de alcance nacional</t>
  </si>
  <si>
    <t>CONC 1933 (P)</t>
  </si>
  <si>
    <t>BANCO SANTANDER ARGENTINA S.A. S/NOTIFICACION ART. 9 DE LA LEY 27.442.</t>
  </si>
  <si>
    <t>RESOL-2024-391-APN-SIYC#MEC</t>
  </si>
  <si>
    <t>IF-2024-105616393-APN-CNDC#MEC</t>
  </si>
  <si>
    <t xml:space="preserve">(i) Servicios financieros de emisión de tarjetas de crédito; (ii) Servicios financieros relacionados con el otorgamiento de préstamos y; (iii) Servicios de comercialización de seguros, específicamente en el segmento de agentes institorios de seguros.// servicio de otorgamiento de
seguros por parte de las empresas afectadas por el comprador, aguas arriba y, la
comercialización de seguros en el segmento de agentes institorios de seguros provisto por
CARTASUR, aguas abajo. </t>
  </si>
  <si>
    <t>CONC 1986 (P)</t>
  </si>
  <si>
    <t>RESOL-2024-392-APN-SIYC#MEC</t>
  </si>
  <si>
    <t>IF-2024-110709279-APN-CNDC#MEC</t>
  </si>
  <si>
    <t>mercados de exploración y explotación de gas y petróleo, ambos con alcance nacional.</t>
  </si>
  <si>
    <t>CONC 1879 (P)</t>
  </si>
  <si>
    <t>CIRO HOLDING S.A. S/NOTIFICACION ART. 9 DE LA LEY 27.442.</t>
  </si>
  <si>
    <t>RESOL-2024-396-APN-SIYC#MEC</t>
  </si>
  <si>
    <t>IF-2024-116247362-APN-CNDC#MEC</t>
  </si>
  <si>
    <t>actividad financiera</t>
  </si>
  <si>
    <t>CONC 1851 (P)</t>
  </si>
  <si>
    <t>MIRGOR S.A.C.I.F.I.A. Y HOLDCAR S.A. S/ NOTIFICACIÓN ART. 9 DE LA LEY 27.442</t>
  </si>
  <si>
    <t>RESOL-2024-408-APN-SIYC#MEC</t>
  </si>
  <si>
    <t>IF-2024-116246481-APN-CNDC#MEC</t>
  </si>
  <si>
    <t>comercialización de sistemas de audio multimedia (también llamados sistemas de autorradio o de “infotainment”) para la industria automotriz</t>
  </si>
  <si>
    <t>CONC 1941 (P)</t>
  </si>
  <si>
    <t>GDM ARGENTINA S.A. S/NOTIFICACION ART. 9 DE LA LEY 27.442</t>
  </si>
  <si>
    <t>RESOL-2024-409-APN-SIYC#MEC</t>
  </si>
  <si>
    <t>IF-2024-116246674-APN-CNDC#MEC</t>
  </si>
  <si>
    <t>Actividades de I+D de variedades de trigo</t>
  </si>
  <si>
    <t>CONC 1930 (P)</t>
  </si>
  <si>
    <t>FCA Automobiles Argentina S.A. Y SURAMERICANA DE PLÁSTICOS SOPLADOS S.A. S/NOTIFICACIÓN ART. 9 DE LA LEY N° 27.442</t>
  </si>
  <si>
    <t>RESOL-2024-427-APN-SIYC#MEC</t>
  </si>
  <si>
    <t>IF-2024-119660408-APN-CNDC#MEC</t>
  </si>
  <si>
    <t xml:space="preserve">producción de tanques plásticos de combustible y la fabricación y venta de vehículos automotores </t>
  </si>
  <si>
    <t>CONC 1988 (P)</t>
  </si>
  <si>
    <t>RESOL-2024-435-APN-SIYC#MEC</t>
  </si>
  <si>
    <t>IF-2024-122071740-APN-CNDC#MEC</t>
  </si>
  <si>
    <t>Mercado de semillas de maíz</t>
  </si>
  <si>
    <t>CONC 1957 (P)</t>
  </si>
  <si>
    <t>RESOL-2024-445-APN-SIYC#MEC</t>
  </si>
  <si>
    <t>IF-2024-113196947-APN-CNDC#MEC</t>
  </si>
  <si>
    <t xml:space="preserve"> Actividad minera de litio</t>
  </si>
  <si>
    <t>CONC 1876 (P)</t>
  </si>
  <si>
    <t>AI MONREDO (NETHERLANDS) B.V. S/ NOTIFICACION ART. 9 DE LA LEY 27442.</t>
  </si>
  <si>
    <t>RESOL-2024-447-APN-SIYC#MEC</t>
  </si>
  <si>
    <t>IF-2024-125330256-APN-CNDC#MEC</t>
  </si>
  <si>
    <t>servicios de desarrollo de software y la venta de productos propios,
soluciones como servicios y servicios</t>
  </si>
  <si>
    <t>CONC 1976 (PROSUM)</t>
  </si>
  <si>
    <t>DISFC-2024-149-APN-CNDC#MEC</t>
  </si>
  <si>
    <t>IF-2024-130682168-APN-DNCE#CNDC</t>
  </si>
  <si>
    <t>a comercialización de productos bajo el ATC3 – A11A (“Polivitamínicos con minerales”) bajo los productos 102 MUJER y MARATHON// distribución de especialidades medicinales</t>
  </si>
  <si>
    <t>CONC 1847 (P)</t>
  </si>
  <si>
    <t>TIMBER SERVICIOS EMPRESARIALES S.A. S/ NOTIFICACION ART. 9 DE LA LEY 27.442.</t>
  </si>
  <si>
    <t>RESOL-2024-479-APN-SIYC#MEC</t>
  </si>
  <si>
    <t>IF-2024-127885324-APN-CNDC#MEC</t>
  </si>
  <si>
    <t>materias primas: óxido
de cerio, óxido de molibdeno, carbono de potasio, carbono de sodio, pentóxido de vanadio,
wollastonita, óxido de zircon ///productos intermedios para baldosas de cerámica; (i) Fritas &amp; Esmaltes, (ii) Colores de Alta Calidad (incluye tintas digitales), y (iii) Colores de Baja Calidad (Colores de masa)</t>
  </si>
  <si>
    <t>CONC 1926 (P)</t>
  </si>
  <si>
    <t>SOCIEDAD COMERCIAL DEL PLATA S.A. S/ NOTIFICACION ART. 9 DE LA LEY 27.442</t>
  </si>
  <si>
    <t>RESOL-2024-481-APN-SIYC#MEC</t>
  </si>
  <si>
    <t>IF-2024-122069553-APN-CNDC#MEC</t>
  </si>
  <si>
    <t>la operación notificada es una reorganización societaria</t>
  </si>
  <si>
    <t>CONC 1936</t>
  </si>
  <si>
    <t>TOTALENERGIES SE Y TOTAL EREN HOLDING S/NOTIFICACIÓN ART.9 DE LA LEY 27.442</t>
  </si>
  <si>
    <t>Autoriza Art.14 a) Ley 27.442 con Multa Art.46 inc. d) Ley 25.156</t>
  </si>
  <si>
    <t>RESOL-2024-487-APN-SIYC#MEC</t>
  </si>
  <si>
    <t>IF-2024-133248634-APN-CNDC#MEC</t>
  </si>
  <si>
    <t>Desarrollo, generación y comercialización de energía eólica y solar</t>
  </si>
  <si>
    <t>CONC 1954 (PROSUM)</t>
  </si>
  <si>
    <t>ASPAREL S.A. Y VIRIDIA COMPANY S.A. S/ NOTIFICACION ART. 9 DE LA LEY 27.442.</t>
  </si>
  <si>
    <t>DISFC-2024-154-APN-CNDC#MEC</t>
  </si>
  <si>
    <t>IF-2024-130686485-APN-DNCE#CNDC</t>
  </si>
  <si>
    <t xml:space="preserve"> comercialización de
calzado de uso recreativo</t>
  </si>
  <si>
    <t>CONC 1982 (PROSUM)</t>
  </si>
  <si>
    <t>DISFC-2024-155-APN-CNDC#MEC</t>
  </si>
  <si>
    <t>IF-2024-135983542-APN-DNCE#CNDC</t>
  </si>
  <si>
    <t xml:space="preserve">comercialización de los productos de la molienda de soja (aceite crudo, harinas y pellet de soja); y ii) en la elaboración y comercialización de alimentos balanceados. y iii) originación y el acopio de
granos,  —aguas arriba— y la molienda de soja,  —aguas
abajo. </t>
  </si>
  <si>
    <t>CONC 1929 (P)</t>
  </si>
  <si>
    <t>FCA AUTOMOBILES ARGENTINA S.A S/NOTIFICACION ART. 9 DE LA LEY 27.442.</t>
  </si>
  <si>
    <t>RESOL-2025-2-APN-SIYC#MEC</t>
  </si>
  <si>
    <t>IF-2024-133248701-APN-CNDC#MEC</t>
  </si>
  <si>
    <t>la provisión de servicios de mantenimiento y reparación de autos livianos, en la comercialización minorista de repuestos independientes, y en la comercialización minorista de lubricantes y anticongelantes, -- la actividad de comercialización
minorista de los repuestos del mercado de repuestos independientes (IAM en su sigla en inglés,
Independent After Market), mercado aguas arriba y los servicios de mantenimiento y reparación
, mercado aguas abajo.</t>
  </si>
  <si>
    <t>CONC 1782 (P)</t>
  </si>
  <si>
    <t xml:space="preserve">“INTERNATIONAL POWER S.A. y SANTA BÁRBARA INVERSORA S.P.A. S/NOTIFICACION ART. 9 DE LA LEY N° 27.442 (CONC 1782 )”.  </t>
  </si>
  <si>
    <t>RESOL-2025-6-APN-SIYC#MEC</t>
  </si>
  <si>
    <t>IF-2024-136082009-APN-CNDC#MEC</t>
  </si>
  <si>
    <t xml:space="preserve">transporte y distribución de gas natural  y la comercialización de gas </t>
  </si>
  <si>
    <t>CONC 1916  (P)</t>
  </si>
  <si>
    <t>PROENER S.A.U., EMPRESAS VERDES ARGENTINA S.A. Y OTROS S/NOTIFICACIÓN ART.9 DE LA LEY 27.442</t>
  </si>
  <si>
    <t>RESOL-2025-7-APN-SIYC#MEC</t>
  </si>
  <si>
    <t>IF-2024-136082272-APN-CNDC#MEC</t>
  </si>
  <si>
    <t>actividad forestal, específicamente en la plantación de eucaliptos y pino en la  Provincia de Corrientes, (ii) Provincias de Entre Ríos y Corrientes y, (iii) Nacional.</t>
  </si>
  <si>
    <t>CONC 1956  (P)</t>
  </si>
  <si>
    <t>RESOL-2025-8-APN-SIYC#MEC</t>
  </si>
  <si>
    <t>IF-2025-00975471-APN-CNDC#MEC</t>
  </si>
  <si>
    <t>explotación de litio (mediante el proceso de extracción de salmueras de litio) y en la elaboración de carbonato de litio, un compuesto de litio// actividad de explotación de litio, aguas arriba, y la elaboración de carbonato de litio, aguas abajo,  procesado,</t>
  </si>
  <si>
    <t>CONC 1902  (P)</t>
  </si>
  <si>
    <t>PROENER S.A.U. Y ENEL GENERACION COSTANERA S.A. S/NOTIFICACION ART. 9 DE LA LEY 27.442.</t>
  </si>
  <si>
    <t>RESOL-2025-10-APN-SIYC#MEC</t>
  </si>
  <si>
    <t>IF-2024-139493364-APN-CNDC#M</t>
  </si>
  <si>
    <t>CONC 1903 (P)</t>
  </si>
  <si>
    <t>CORTEVA INC. S/NOTIFICACION ART. 9 DE LA LEY 27.442.</t>
  </si>
  <si>
    <t>RESOL-2025-14-APN-SIYC#MEC</t>
  </si>
  <si>
    <t>IF-2025-00469765-APN-CNDC#MEC</t>
  </si>
  <si>
    <t>Comercializacion de productos fotosanitarios - Coadyudantes</t>
  </si>
  <si>
    <t>CONC 1959 (P)</t>
  </si>
  <si>
    <t>Archivo porque deviene abstracta por no
suponer un cambio de control duradero en el tiempo</t>
  </si>
  <si>
    <t>RESOL-2025-15-APN-SIYC#MEC</t>
  </si>
  <si>
    <t>IF-2025-00600314-APN-CNDC#MEC</t>
  </si>
  <si>
    <t>aceite envasado de girasol, de soja y sus mezclas.</t>
  </si>
  <si>
    <t>CONC 840</t>
  </si>
  <si>
    <t>“IBERIA LINEAS AÉREAS DE ESPAÑA S.A. Y BRITISH AIRWAYS PIC S/ NOTIFICACIÓN ART. 8 LEY 25.156 (Conc. Nº 840)”.</t>
  </si>
  <si>
    <t>Archivo porque deviene abstracta el análisis del fondo de la
cuestión, en cumplimiento de la manda judicial.</t>
  </si>
  <si>
    <t>RESOL-2025-39-APN-SIYC#MEC</t>
  </si>
  <si>
    <t>IF-2024-122070888-APN-CNDC#MEC</t>
  </si>
  <si>
    <t>lineas aereas</t>
  </si>
  <si>
    <t>CONC 1990 (P)</t>
  </si>
  <si>
    <t>RESOL-2025-41-APN-SIYC#MEC</t>
  </si>
  <si>
    <t>IF-2025-11064403-APN-CNDC#MEC</t>
  </si>
  <si>
    <t>mercado de especialidades medicinales; específicamente, en los ATC3: C08A - Antagónicos del calcio y ATC3: C09B - Inhibidores de la enzima convertidora de la angiotensina (ECA) y combinaciones (antihipertensivos, antianginosos y diuréticos).  Distribución de
especialidades medicinales</t>
  </si>
  <si>
    <t>DP 138</t>
  </si>
  <si>
    <t>“GEORGALOS HNOS S.A.I.C.A. Y ALIMESA S.A.  S/DILIGENCIA PRELIMINAR CUMPLIMIENTO ART 10 LEY 27.442”.</t>
  </si>
  <si>
    <t>Archivo (Art. 9 de la Ley 27.442)</t>
  </si>
  <si>
    <t>RESOL-2025-43-APN-SIYC#MEC</t>
  </si>
  <si>
    <t>IF-2024-133248558-APN-CNDC#MEC</t>
  </si>
  <si>
    <t>Elaboración y comercialización de productos alimenticios</t>
  </si>
  <si>
    <t>DP 117</t>
  </si>
  <si>
    <t>GIGACABLE S.A Y RIOVISION S.A S/ DILIGENCIA PRELIMINAR CUMPLIMIENTO ART. 10 DE LA LEY 27.442</t>
  </si>
  <si>
    <t>RESOL-2025-53-APN-SIYC#MEC</t>
  </si>
  <si>
    <t>IF-2024-136080793-APN-CNDC#MEC</t>
  </si>
  <si>
    <t>Tv paga</t>
  </si>
  <si>
    <t xml:space="preserve">CONC. 1872 </t>
  </si>
  <si>
    <t>“LG STREAM S.à.r.l. S/NOTIFICACIÓN ART 9 DE LA LEY 27.442 (CONC.1872)".</t>
  </si>
  <si>
    <t>RESOL-2025-59-APN-SIYC#MEC</t>
  </si>
  <si>
    <t>IF-2025-18918635-APN-CNDC#MEC</t>
  </si>
  <si>
    <t>Comercialización y distribución de gas natural</t>
  </si>
  <si>
    <t>CONC 1943 (P)</t>
  </si>
  <si>
    <t>“PROENER S.A.U., CORDILLERA SOLAR VIII S.A. Y SCATEC EQUINOR SOLUTIONS ARGENTINA S.A. S/NOTIFICACIÓN ART. 9 DE LA LEY 27.442 (CONC.1943)”.</t>
  </si>
  <si>
    <t>RESOL-2025-57-APN-SIYC#MEC</t>
  </si>
  <si>
    <t>IF-2025-19080135-APN-CNDC#MEC</t>
  </si>
  <si>
    <t>mercado de generación de energía eléctrica y potencia instalada, especificamente, generación de energía eléctrica de fuentes renovables</t>
  </si>
  <si>
    <t>CONC 1993 (P)</t>
  </si>
  <si>
    <t>RESOL-2025-58-APN-SIYC#MEC</t>
  </si>
  <si>
    <t>IF-2025-16622375-APN-CNDC#MEC</t>
  </si>
  <si>
    <t>Exploración y producción de hidrocarburos</t>
  </si>
  <si>
    <t>Otros</t>
  </si>
  <si>
    <t>CONC.2025 (INC)</t>
  </si>
  <si>
    <t>“Inc. Conc. 2025 - Sobre medidas preliminares”, “TELECOM ARGENTINA S.A. S/NOTIFICACIÓN ART 9 LEY N.° 27.442”.</t>
  </si>
  <si>
    <t>Adopta medidas (Art.44 Ley 27.442)</t>
  </si>
  <si>
    <t>RESOL-2025-63-APN-SIYC#MEC</t>
  </si>
  <si>
    <t>IF-2025-29930069-APN-CNDC#MEC</t>
  </si>
  <si>
    <t>mercado de servicios TIC/ telefonia móvil, acceso a internet, telefonia fija, televisión paga</t>
  </si>
  <si>
    <t>CONC 1490</t>
  </si>
  <si>
    <t>BRINK'S ARGENTINA S.A. Y ADOLFO RUBEN MATEUS S/NOTIFICACION ART. 8 DE LA LEY 25.156</t>
  </si>
  <si>
    <t>Autoriza Art.13 a) Ley 25.156</t>
  </si>
  <si>
    <t>RESOL-2025-89-APN-SIYC#MEC</t>
  </si>
  <si>
    <t>IF-2024-139494875-APN-CNDC#MEC</t>
  </si>
  <si>
    <t>Tansporte de caudales</t>
  </si>
  <si>
    <t>CONC 1967 (P)</t>
  </si>
  <si>
    <t>RESOL-2025-113-APN-SIYC#MEC</t>
  </si>
  <si>
    <t>IF-2025-36497182-APN-CNDC#MEC</t>
  </si>
  <si>
    <t>actividad de faena y despostado de ganado bovino, de la cual se obtiene la carne in natura, la venta de carne in natura y  la comercialización de los desperdicios cárnicos derivados de la faena de ganado bovino (subproductos y menudencias).  : i) la faena y despostado realizados por el frigorífico del grupo adquirente, aguas arriba, y la venta de carne in natura por parte de la empresa objeto, aguas abajo; ii) la faena y despostado realizados por el frigorífico objeto, aguas arriba, y la venta de carne in natura por parte del grupo adquirente, aguas abajo; y iii) la comercialización de carne in natura, aguas arriba, por parte del frigorífico objeto, y la elaboración y comercialización de productos cárnicos procesados (hamburguesas y medallones de carne vacuna</t>
  </si>
  <si>
    <t>CONC 2001</t>
  </si>
  <si>
    <t>DISF-2025-26-APN-CNDC#MEC</t>
  </si>
  <si>
    <t>IF-2025-38105928-APN-CNDC#MEC</t>
  </si>
  <si>
    <t>mercado de desarrollo inmobiliario y construcción privada.</t>
  </si>
  <si>
    <t>CONC 2003 (P)</t>
  </si>
  <si>
    <t>RESOL-2025-114-APN-SIYC#MEC</t>
  </si>
  <si>
    <t>IF-2025-36501408-APN-CNDC#MEC</t>
  </si>
  <si>
    <t>servicios de agente de liquidación y compensación (“ALyC”)</t>
  </si>
  <si>
    <t>CONC 2009 (P)</t>
  </si>
  <si>
    <t>RESOL-2025-112-APN-SIYC#MEC</t>
  </si>
  <si>
    <t>mercado de exploración y explotación de petróleo</t>
  </si>
  <si>
    <t>OPI</t>
  </si>
  <si>
    <t>OPI 377</t>
  </si>
  <si>
    <t>PAN AMERICAN ENERGY SL E YPF S.A. S/OPINION CONSULTIVA ART. 10º DE LA LEY 27.442 (OPI 377)”</t>
  </si>
  <si>
    <t>Dispone que nose encuentra sujeta Art. 9 Ley 27442</t>
  </si>
  <si>
    <t>RESOL-2025-137-APN-SIYC#MEC</t>
  </si>
  <si>
    <t>IF-2025-45513212-APN-CNDC#MEC</t>
  </si>
  <si>
    <t>CONC. 1991</t>
  </si>
  <si>
    <t xml:space="preserve">“ROEMMERS S.A.I.C.F. S/NOTIFICACIÓN ART. 9 DE LA LEY N° 27.442”. </t>
  </si>
  <si>
    <t>RESOL-2025-167-APN-SIYC#MEC</t>
  </si>
  <si>
    <t>IF-2025-54424777-APN-CNDC#MEC</t>
  </si>
  <si>
    <t>mercado de especialidades medicinales ATC 3 N05A</t>
  </si>
  <si>
    <t>CONC. 1958</t>
  </si>
  <si>
    <t>Dictamen - Autoriza Art.14 a) Ley 27.442</t>
  </si>
  <si>
    <t>RESOL-2025-182-APN-SIYC#MEC</t>
  </si>
  <si>
    <t>IF-2025-48554977-APN-CNDC#MEC</t>
  </si>
  <si>
    <t xml:space="preserve">producción y  comercialización de enzimas para alimentos y bebidas. </t>
  </si>
  <si>
    <t>CONC. 2012</t>
  </si>
  <si>
    <t>RESOL-2025-183-APN-SIYC#MEC</t>
  </si>
  <si>
    <t>IF-2025-54425130-APN-CNDC#MEC</t>
  </si>
  <si>
    <t xml:space="preserve"> producción de hidrocarburos</t>
  </si>
  <si>
    <t>DP 133</t>
  </si>
  <si>
    <t>“FISERV INC. Y ORANGE DATA S.A. S/DILIGENCIA PRELIMINAR CUMPLIMIENTO ART 10 LEY 27.442”.</t>
  </si>
  <si>
    <t>Archivo (Art. 11 de la Ley 27.442)</t>
  </si>
  <si>
    <t>RESOL-2025-184-APN-SIYC#MEC</t>
  </si>
  <si>
    <t>IF-2025-08216458-APN-CNDC#MEC</t>
  </si>
  <si>
    <t>OPI 371</t>
  </si>
  <si>
    <t>“BRINK’S ARGENTINA S.A. S/ OPINION CONSULTIVA ART. 10º DE LA LEY 27.442 (OPI 371)”</t>
  </si>
  <si>
    <t>No Sujeta a Notificación Art.9 Ley 27.442</t>
  </si>
  <si>
    <t>RESOL-2025-185-APN-SIYC#MEC</t>
  </si>
  <si>
    <t>IF-2025-48555398-APN-CNDC#MEC</t>
  </si>
  <si>
    <t>Condicionada</t>
  </si>
  <si>
    <t>CONC. 1850</t>
  </si>
  <si>
    <t>“AT&amp;T INC. Y DISCOVERY INC. S/NOTIFICACIÓN ART.9 DE LA LEY 27.442 (CONC.1850)”</t>
  </si>
  <si>
    <t xml:space="preserve"> Dictamen - Subordina Art.14 b) Ley 27442</t>
  </si>
  <si>
    <t>RESOL-2025-240-APN-SIYC#MEC</t>
  </si>
  <si>
    <t>IF-2025-54736838-APN-CNDC#MEC</t>
  </si>
  <si>
    <t xml:space="preserve"> Producción y comercialización (licenciamiento) mayorista de señales de TV, la venta de espacios publicitarios y iii) el licenciamiento de
derechos de propiedad intelectual para fabricantes de productos de consumo (merchandising y video juegos), y iv) el suministro minorista de servicios de TV, a través de plataformas OTT
mediante SVOD. </t>
  </si>
  <si>
    <t>Horizontal y Vertical con efectos de cartera</t>
  </si>
  <si>
    <t>CONC 2017</t>
  </si>
  <si>
    <t>DISFC-2025-37-APN-CNDC#MEC</t>
  </si>
  <si>
    <t>IF-2025-64293939-APN-DNCE#CNDC</t>
  </si>
  <si>
    <t>mercados de exploración y explotación de petróleo y gas natural</t>
  </si>
  <si>
    <t>CONC 2026</t>
  </si>
  <si>
    <t>DISFC-2025-38-APN-CNDC#MEC</t>
  </si>
  <si>
    <t>IF-2025-64350843-APN-CNDC#MEC</t>
  </si>
  <si>
    <t>Desarrollo y distribución de dispositivos
médicos para ortopedia. Servicios Inmobiliarios</t>
  </si>
  <si>
    <t>CONC 2016</t>
  </si>
  <si>
    <t>DISFC-2025-41-APN-CNDC#MEC</t>
  </si>
  <si>
    <t>IF-2025-68580411-APN-DNCE#CNDC</t>
  </si>
  <si>
    <t>Horizontal + vertical</t>
  </si>
  <si>
    <t>CONC. 1998</t>
  </si>
  <si>
    <t>RESOL-2025-279-APN-SIYC#MEC</t>
  </si>
  <si>
    <t>IF-2025-68509279-APN-CNDC#MEC</t>
  </si>
  <si>
    <t>mercado de prestación de servicios financieros a través del mercado de capitales, dado que los servicios de Agentes de Liquidación y Compensación (ALyCs) brindados por la empresa absorbente, son necesarios para la correcta ejecución de las actividades de los agentes de negociación.</t>
  </si>
  <si>
    <t>CONC. 1999</t>
  </si>
  <si>
    <t xml:space="preserve">“LOS LAPACHOS S.A. S/NOTIFICACIÓN ART. 9 DE LA LEY N° 27.442 (CONC. 1999)”. </t>
  </si>
  <si>
    <t>RESOL-2025-283-APN-SIYC#MEC</t>
  </si>
  <si>
    <t>IF-2025-54424428-APN-CNDC%MEC </t>
  </si>
  <si>
    <t>Aseguradora de riesgos del trabajo que ofrece cobertura para accidentes laborales</t>
  </si>
  <si>
    <t>CONC 2028</t>
  </si>
  <si>
    <t>Disposición - Autoriza Art.14 a) Ley 27.442</t>
  </si>
  <si>
    <t>DISFC-2025-44-APN-CNDC#MEC</t>
  </si>
  <si>
    <t>IF-2025-72657529-APN-DNCE#NDC</t>
  </si>
  <si>
    <t>mercado de generación de energía eléctrica y potencia instalada/demanda de energía eléctrica
por parte de las distribuidoras (EDERSA, EDET y EJESA) a las generadoras</t>
  </si>
  <si>
    <t>CONC 2013</t>
  </si>
  <si>
    <t>DISFC-2025-45-APN-CNDC#MEC</t>
  </si>
  <si>
    <t>IF-2025-74106759-APN-DNCE#CNDC</t>
  </si>
  <si>
    <t>Provisión del servicio de Organización de Desarrollo y Fabricación por Contrato (CDMO) de Productos Farmacéuticos de Dosificación Terminada (FDP) para el desarrollo y fabricación de productos para las industrias farmacéutica, biotecnológica y de la salud del consumidor</t>
  </si>
  <si>
    <t>OPI 372</t>
  </si>
  <si>
    <t>"VMOS S.A. S/SOLICITUD OPINION CONSULTIVA ART. 10 LEY 27.442. (OPI. 372)" y sus acumulados: expediente EX-2025-25804408- -APN-DR#CNDC, caratulado “SHELL ARGENTINA S.A. S/ OPINION CONSULTIVA ART. 10º DE LA LEY 27.442 (OPI 378)”; expediente EX-2025-26650178-   -APN-DR#CNDC, caratulado “CHEVRON ARGENTINA S.R.L. S/ OPINION CONSULTIVA ART. 10º DE LA LEY 27.442 (OPI 379)”, y expediente EX-2025-70494328-   -APN-DR#CNDC, caratulado “TECPETROL S.A. S/ OPINION CONSULTIVA ART. 10º DE LA LEY 27.442” (OPI 382)”</t>
  </si>
  <si>
    <t>Dictamen - No Sujeta a Notificación</t>
  </si>
  <si>
    <t>RESOL-2025-292-APN-SIYC#MEC</t>
  </si>
  <si>
    <t>IF-2025-78386794-APN-CNDC#MEC</t>
  </si>
  <si>
    <t>CONC. 2011</t>
  </si>
  <si>
    <t>RESOL-2025-294-APN-SIYC#MEC</t>
  </si>
  <si>
    <t>IF-2025-78355416-APN-CNDC#MEC</t>
  </si>
  <si>
    <t>mercados de exploración y explotación de gas y petróleo, ambos con alcance nacional //
el mercado de exploración y explotación de petróleo y gas y el servicio de transporte por
oleoducto y  la exploración y explotación de petróleo y gas y la producción de gas licuado de petróleo (“GLP”)</t>
  </si>
  <si>
    <t>CONC 1981</t>
  </si>
  <si>
    <t>CONC 2034</t>
  </si>
  <si>
    <t>DISFC-2025-52-APN-CNDC#MEC</t>
  </si>
  <si>
    <t>IF-2025-80764584-APN-DNCE#CNDC</t>
  </si>
  <si>
    <t>mercados de servicios de gestión de cargas internacionales aérea y marítima. // Servicios de agenciamiento o gestión de cargas (freight forwarding services) (aguas
arriba), y transporte vial de cargas domésticas (aguas abajo)</t>
  </si>
  <si>
    <t>CONC 1995</t>
  </si>
  <si>
    <t>DISFC-2025-53-APN-CNDC#MEC</t>
  </si>
  <si>
    <t>IF-2025-80756713-APN-DNCE#CNDC</t>
  </si>
  <si>
    <t>mercado de servicios de leasing seco (dry-lease) de aviones.</t>
  </si>
  <si>
    <t>CONC 2036</t>
  </si>
  <si>
    <t>DISFC-2025-55-APN-CNDC#MEC</t>
  </si>
  <si>
    <t>IF-2025-80757342-APN-DNCE#CNDC</t>
  </si>
  <si>
    <t>Desarrollo de sofware apliicado al comercio electronico</t>
  </si>
  <si>
    <t>CONC 2022</t>
  </si>
  <si>
    <t>DISFC-2025-56-APN-CNDC#MEC</t>
  </si>
  <si>
    <t>IF-2025-86462675-APN-DNCE#CNDC</t>
  </si>
  <si>
    <t>comercialización minorista en supermercados e hipermercados y  mercado de abastecimiento de productos</t>
  </si>
  <si>
    <t>CONC 2024</t>
  </si>
  <si>
    <t>Dictamen - Archivo Art.9 Ley 27.442</t>
  </si>
  <si>
    <t>RESOL-2025-310-APN-SIYC#MEC</t>
  </si>
  <si>
    <t>IF-2025-79447305-APN-CNDC#MEC</t>
  </si>
  <si>
    <t>actividades vinculadas a la producción y comercialización de azúcar y derivados.</t>
  </si>
  <si>
    <t>OPI 375</t>
  </si>
  <si>
    <t>“CERRO VANGUARDIA S.A. S/ SOLICITUD DE OPINIÓN CONSULTIVA ART. 10 DE LA LEY 27.442”</t>
  </si>
  <si>
    <t>Dictamen - NO Sujeta a notificación (artículo 9° de la Ley 27.442)</t>
  </si>
  <si>
    <t>RESOL-2025-312-APN-SIYC#MEC</t>
  </si>
  <si>
    <t>IF-2025-86606206-APN-CNDC#MEC</t>
  </si>
  <si>
    <t>servicios mineros</t>
  </si>
  <si>
    <t>OPI 370</t>
  </si>
  <si>
    <t>"FARMAOYTE S.A. S/SOLICITUD DE OPINIÓN CONSULTIVA ART. 10 DE LA LEY 27.442” (OPI 370</t>
  </si>
  <si>
    <t>RESOL-2025-323-APN-SIYC#MEC</t>
  </si>
  <si>
    <t>IF-2025-86606411-APN-CNDC#MEC</t>
  </si>
  <si>
    <t>Mercado de mandatarias de contratos de salud y sanatoriales</t>
  </si>
  <si>
    <t>OPI 373</t>
  </si>
  <si>
    <t>"LITION ENERGY HOLDING ARGENTINA S.A.U. Y LITHOS ENERGIA S/SOLICITUD DE OPINION CONSULTIVA ART. 10 DE LA LEY 27.442. (OPI 373)"</t>
  </si>
  <si>
    <t>RESOL-2025-331-APN-SIYC#MEC</t>
  </si>
  <si>
    <t>IF-2025-86647383-APN-CNDC#MEC</t>
  </si>
  <si>
    <t>CONC 2027</t>
  </si>
  <si>
    <t>DISFC-2025-67-APN-CNDC#MEC</t>
  </si>
  <si>
    <t>IF-2025-91795626-APN-DNCE#CNDC</t>
  </si>
  <si>
    <t>actividad minera de litio</t>
  </si>
  <si>
    <t>CONC 2033</t>
  </si>
  <si>
    <t>DISFC-2025-66-APN-CNDC#MEC</t>
  </si>
  <si>
    <t>IF-2025-91795973-APN-DNCE#CNDC</t>
  </si>
  <si>
    <t>CONC 2031</t>
  </si>
  <si>
    <t>DISFC-2025-73-APN-CNDC#MEC</t>
  </si>
  <si>
    <t>IF-2025-95328675-APN-DNCE#CNDC</t>
  </si>
  <si>
    <t>CONC 2021</t>
  </si>
  <si>
    <t>DISFC-2025-75-APN-CNDC#MEC</t>
  </si>
  <si>
    <t>IF-2025-95419059-APN-DNCE#CNDC</t>
  </si>
  <si>
    <t>mercados de exploración y explotación de petróleo y gas natural,</t>
  </si>
  <si>
    <t>CONC. 1922</t>
  </si>
  <si>
    <t>"KONINKLIJKE BUNGE B.V. Y REG OVERSEAS HOLDINGS B.V. S/NOTIFICACIÓN ART. 9 DE LA LEY N.° 27.442" (CONC.1922)”</t>
  </si>
  <si>
    <t>RESOL-2025-335-APN-SIYC#MEC</t>
  </si>
  <si>
    <t>IF-2025-91693444-APN-CNDC#MEC</t>
  </si>
  <si>
    <t xml:space="preserve">procesamiento de 
oleaginosas para la producción de aceites y harinas proteicas para la alimentación animal //cultivo de camelina. </t>
  </si>
  <si>
    <t>CONC 2007</t>
  </si>
  <si>
    <t>CONC. 1992</t>
  </si>
  <si>
    <t>RESOL-2025-370-APN-SIYC#MEC</t>
  </si>
  <si>
    <t>IF-2025-104112603-APN-CNDC#MEC</t>
  </si>
  <si>
    <t>mercados de especialidades medicinales, específicamente, en la comercialización de productos bajo los ATC3; (i) C05B - Antivaricosos tópicos, (ii) C05C - Antivaricosos sistémicos, (iii) G02X - Otros productos ginecológicos y (iv) M02A - Productos tópicos para el dolor articular y muscular// a distribución de especialidades medicinales</t>
  </si>
  <si>
    <t>CONC 2048</t>
  </si>
  <si>
    <t>Disposición - Autoriza (artículo 14, inc. (a), de la Ley 27.442)</t>
  </si>
  <si>
    <t>DISFC-2025-85-APN-CNDC#MEC</t>
  </si>
  <si>
    <t>IF-2025-107383552-APN-DNCE#CNDC</t>
  </si>
  <si>
    <t>CONC. 1886</t>
  </si>
  <si>
    <t>“CONC 1886 - VITERRA ARGENTINA S.A. S/NOTIFICACION ART. 9 DE LA LEY 27.442”</t>
  </si>
  <si>
    <t>RESOL-2025-381-APN-SIYC#MEC</t>
  </si>
  <si>
    <t>IF-2025-107560862-APN-CNDC#MEC</t>
  </si>
  <si>
    <t>molienda de oleaginosas, en particular de soja y girasol, lo que abarca la producción de aceites crudos y harinas, pellets y expellers de soja y girasol /actividades de originación de granos y
acopio— aguas arriba— y de refinación y comercialización de aceite refinado de soja y girasol; la
producción de biodiesel; y la elaboración de alimentos balanceados para animales —aguas
abajo—</t>
  </si>
  <si>
    <t>CONC. 1938</t>
  </si>
  <si>
    <t>"Swiss Medical S.A. y Participaciones Médicas S.A. S/NOTIFICACIÓN ART. 9 DE LA LEY N° 27.442 (CONC.1938)"</t>
  </si>
  <si>
    <t>RESOL-2025-388-APN-SIYC#MEC</t>
  </si>
  <si>
    <t>IF-2025-107426191-APN-CNDC#MEC</t>
  </si>
  <si>
    <t xml:space="preserve">mercado de prestación de servicios sanatoriales,   Y medicina prepaga (Emp) </t>
  </si>
  <si>
    <t>CONC. 1948</t>
  </si>
  <si>
    <t>“CIRO HOLDING S.A. E IKANI S.A. S/NOTIFICACIÓN ART.9 DE LA LEY 27.442 (CONC.1948)”</t>
  </si>
  <si>
    <t>RESOL-2025-389-APN-SIYC#MEC</t>
  </si>
  <si>
    <t xml:space="preserve">IF-2025-106447674-APN-CNDC#MEC </t>
  </si>
  <si>
    <t xml:space="preserve"> servicios de medicina prepaga y prestación de servicios sanatoriales especializadas en cardiología</t>
  </si>
  <si>
    <t>CONC. 1972</t>
  </si>
  <si>
    <t>Dictamen - Autoriza Art.14 a) con Multa art.55 inc,d) Ley 27.442</t>
  </si>
  <si>
    <t>RESOL-2025-383-APN-SIYC#MEC</t>
  </si>
  <si>
    <t>IF-2025-107429670-APN-CNDC#MEC</t>
  </si>
  <si>
    <t>comercialización de recubrimientos para infraestructuras</t>
  </si>
  <si>
    <t>OPI 376</t>
  </si>
  <si>
    <t>"BANCO SANTANDER S.A. S/ OPINION CONSULTIVA ART. 10º DE LA LEY 27.442 (OPI 376)”</t>
  </si>
  <si>
    <t>Dictamen - No Sujeta a Notificación (Art...</t>
  </si>
  <si>
    <t>RESOL-2025-384-APN-SIYC#MEC</t>
  </si>
  <si>
    <t>IF-2025-108995859-APN-CNDC#MEC</t>
  </si>
  <si>
    <t>CONC 2029</t>
  </si>
  <si>
    <t>DISFC-2025-91-APN-CNDC#MEC</t>
  </si>
  <si>
    <t>IF-2025-110360075-APN-DNCE#CNDC</t>
  </si>
  <si>
    <t>exploracion y explotación de petroléo y transporte de hidrocarburos</t>
  </si>
  <si>
    <t>Horizontal +vertical preexis</t>
  </si>
  <si>
    <t>CONC 2035</t>
  </si>
  <si>
    <t>DISFC-2025-92-APN-CNDC#MEC</t>
  </si>
  <si>
    <t>IF-2025-110145964-APN-DNCE#CNDC</t>
  </si>
  <si>
    <t>producción y comercialización de hormigón// la producción y comercialización de cemento
Portland, aguas arriba, la producción y
comercialización de hormigón elaborado, aguas abajo// a
producción y comercialización de agregados pétreos, aguas arriba,</t>
  </si>
  <si>
    <t>CONC. 2006</t>
  </si>
  <si>
    <t>RESOL-2025-426-APN-SIYC#MEC</t>
  </si>
  <si>
    <t>IF-2025-110311607-APN-CNDC#MEC</t>
  </si>
  <si>
    <t>producción y comercialización mayorista de aires acondicionados, // actividad de comercialización de electrodomésticos a consumidores finales en las tiendas</t>
  </si>
  <si>
    <t>CONC 2041</t>
  </si>
  <si>
    <t>Disposición- Autoriza Art.14 a) Ley 27.442</t>
  </si>
  <si>
    <t>DISFC-2025-97-APN-CNDC#MEC</t>
  </si>
  <si>
    <t>IF-2025-120745707-APN-DNCE#CNDC</t>
  </si>
  <si>
    <t>mercados de exploración y explotación de petróleo y gas natura</t>
  </si>
  <si>
    <t>CONC 2045</t>
  </si>
  <si>
    <t>Disposición- Autoriza Art.14 a) Ley 27.443</t>
  </si>
  <si>
    <t>DISFC-2025-98-APN-CNDC#MEC</t>
  </si>
  <si>
    <t>IF-2025-120206481-APN-DNCE#CNDC</t>
  </si>
  <si>
    <t>CONC. 1977</t>
  </si>
  <si>
    <t>RESOL-2025-474-APN-SIYC#MEC</t>
  </si>
  <si>
    <t>IF-2025-121689167-APN-CNDC#MEC</t>
  </si>
  <si>
    <t>Sistemas de Propulsión de automóviles</t>
  </si>
  <si>
    <t>CONC. 2023</t>
  </si>
  <si>
    <t>RESOL-2025-475-APN-SIYC#MEC</t>
  </si>
  <si>
    <t>IF-2025-121203513-APN-CNDC#MEC</t>
  </si>
  <si>
    <t>provisión de servicios de financiación para la adquisición de vehículos// e intermediación de fondos para concesionarios
de automotores aguas arriba y actividad de financiamiento a concesionarios aguas abajo// provisión de seguros patrimoniales aguas arriba, y la
financiación para la adquisición de vehículos, aguas abajo</t>
  </si>
  <si>
    <t>INC. CONC. 2025</t>
  </si>
  <si>
    <t>Inc. Conc. 2025 – SOMBRA y otro s/presentación”, en autos principales EX-2025-22498026- -APN-DR#CNDC, caratulado: “TELECOM ARGENTINA S.A. S/NOTIFICACIÓN ART 9 LEY N.° 27.442”</t>
  </si>
  <si>
    <t>Dictamen - Rechaza planteos</t>
  </si>
  <si>
    <t>RESOL-2025-477-APN-SIYC#MEC</t>
  </si>
  <si>
    <t>IF-2025-101222645-APN-DNCE#CNDC</t>
  </si>
  <si>
    <t>Telecomunicaciones</t>
  </si>
  <si>
    <t>CONC. 1994</t>
  </si>
  <si>
    <t>RESOL-2025-479-APN-SIYC#MEC</t>
  </si>
  <si>
    <t>IF-2025-123185138-APN-CNDC#MEC</t>
  </si>
  <si>
    <t>servicios prestados a la industria del petróleo y gas, en particular, la comercialización de venta de bombas (extracción)/ explosivos comerciales y detonadores// a provisión de productos, equipamiento y servicios para perforación, y
la venta de bolas de acero para molienda</t>
  </si>
  <si>
    <t>CONC 2050</t>
  </si>
  <si>
    <t>DISFC-2025-101-APN-CNDC#MEC</t>
  </si>
  <si>
    <t>IF-2025-123753732-APN-DNCE#CNDC</t>
  </si>
  <si>
    <t>Fabricación y distribución de envases de vidrio para la industria vitivinícola y olivícola.</t>
  </si>
  <si>
    <t>OPI 380</t>
  </si>
  <si>
    <t>“TETHER INVESTMENTS S.A. de C.V. S/ OPINION CONSULTIVA ART. 10º DE LA LEY 27.442” (OPI 380)</t>
  </si>
  <si>
    <t>Dictamen - No sujeta a notificación</t>
  </si>
  <si>
    <t>RESOL-2025-485-APN-SIYC#MEC</t>
  </si>
  <si>
    <t>IF-2025-120998769-APN-CNDC#MEC</t>
  </si>
  <si>
    <t>provisión de activos digitales</t>
  </si>
  <si>
    <t>OPI 388</t>
  </si>
  <si>
    <t xml:space="preserve"> “ENERGÍA ARGENTINA S.A. S/ OPINION CONSULTIVA ART. 10º DE LA LEY 27.442” (OPI 388)”</t>
  </si>
  <si>
    <t>Reso - No sujeta a notificación</t>
  </si>
  <si>
    <t>RESFC-2025-1-APN-TDC#ANC</t>
  </si>
  <si>
    <t>RE-2025-134554814-APN-SCE#ANC</t>
  </si>
  <si>
    <t>servicio público de transporte de energía eléctrica en alta tensión</t>
  </si>
  <si>
    <t>CONC. 2060 (PROSUM)</t>
  </si>
  <si>
    <t>Disposición PROSUM SCE- Autoriza Art.14 a) Ley 27.442</t>
  </si>
  <si>
    <t>DI-2025-2-APN-SCE#ANC</t>
  </si>
  <si>
    <t>IF-2025-134710610-APN-DNCE#CNDC</t>
  </si>
  <si>
    <t xml:space="preserve">el mercado de tierras para uso agrícola-ganadero y en (ii) la actividad de cría y recría de ganado de bovino/// la actividad de cría/recría  aguas arriba, y la actividad de feedlot o engorde de ganado bovino a corral, aguas abajo, y (ii) el mercado de tierras de uso agro-ganadero, aguas arriba, y la producción de soja, aguas abajo. 
</t>
  </si>
  <si>
    <t>CONC. 2062 (PROSUM)</t>
  </si>
  <si>
    <t>DI-2025-3-APN-SCE#ANC</t>
  </si>
  <si>
    <t xml:space="preserve">IF-2025-135710524-APN-DNCE-CNDC </t>
  </si>
  <si>
    <t>Producción de papeles de impresión y escritura, papeles tissue y pulpa de mercado de eucaliptus.</t>
  </si>
  <si>
    <t>CONC. 2063 (PROSUM)</t>
  </si>
  <si>
    <t>DI-2025-4-APN-SCE#ANC</t>
  </si>
  <si>
    <t>IF-2025-135990130-APN-DNCE#CNDC</t>
  </si>
  <si>
    <t>mercado de tierras para uso agrícola-ganadero</t>
  </si>
  <si>
    <t>CONC. 2065 (PROSUM)</t>
  </si>
  <si>
    <t>DI-2025-5-APN-SCE#ANC</t>
  </si>
  <si>
    <t>IF-2025-136076963-APN-DNCE#CNDC</t>
  </si>
  <si>
    <t>CONC. 1989 (PROSUM)</t>
  </si>
  <si>
    <t>DI-2025-6-APN-SCE#ANC</t>
  </si>
  <si>
    <t>IF-2025-137001993-APN-DNCE#CNDC</t>
  </si>
  <si>
    <t>mercado inmobiliario de locación de espacios comerciales de venta minorista o retail de productos y servicios.</t>
  </si>
  <si>
    <t xml:space="preserve">CONC. 1984 </t>
  </si>
  <si>
    <t>"FIDEICOMISO FARMAPLUS I Y FIDEICOMISO MANU SEGURA S/ NOTIFICACIÓN ART. 9 DE LA LEY 27.442" (CONC.1984)</t>
  </si>
  <si>
    <t>Dictamen- Autoriza Art.14 a) Ley 27.442</t>
  </si>
  <si>
    <t>RESFC-2025-3-APN-TDC#ANC</t>
  </si>
  <si>
    <t>RE-2025-137410610-APN-SCE#ANC</t>
  </si>
  <si>
    <t>mercados de comercialización minorista de medicamentos, productos de perfumería e higiene personal en farmacias, y venta al por mayor en droguerías.</t>
  </si>
  <si>
    <t>CONC 2030</t>
  </si>
  <si>
    <t>OPI 386</t>
  </si>
  <si>
    <t>“DASS SUAREZ S.A. S/ OPINION CONSULTIVA ART. 10º DE LA LEY 27.442 (OPI 386)”</t>
  </si>
  <si>
    <t>RESFC-2025-2-APN-TDC#ANC</t>
  </si>
  <si>
    <t xml:space="preserve">RE-2025-138475684-APN-SCE#ANC </t>
  </si>
  <si>
    <t>fabricación de calzados deportivos en Coronel Suarez, Provincia de Buenos Aires,</t>
  </si>
  <si>
    <t>CONC. 1919</t>
  </si>
  <si>
    <t>Dictamen SCE- Autoriza Art.14 a) Ley 27.442</t>
  </si>
  <si>
    <t>RESFC-2025-6-APN-TDC#ANC</t>
  </si>
  <si>
    <t>RE-2025-139782355-APN-SCE#ANC</t>
  </si>
  <si>
    <t>la molienda de soja, que abarca la producción de aceite crudo de soja y de harinas y/o pellets de cáscara de soja; (ii) la producción de lecitina cruda de soja; (iii) la producción de oleínas; (iv) la producción de biodiesel; y (v) la producción de glicerina cruda de soja //la actividad de molienda de soja,
donde se verifican solapamientos, y la actividad de originación de granos //la elaboración de aceite, harinas
de soja, pellets de cáscara de soja y oleínas y la
elaboración de alimentos balanceados para animales</t>
  </si>
  <si>
    <t>OPI 381</t>
  </si>
  <si>
    <t>“Y.P.F. S.A. y Fomento Minero de Santa Cruz Sociedad del Estado S/ OPINION CONSULTIVA ART. 10º DE LA LEY 27.442 (OPI 381)”</t>
  </si>
  <si>
    <t>Dictamen  SCE - No Sujeta a Notificación</t>
  </si>
  <si>
    <t>RESFC-2025-4-APN-TDC#ANC</t>
  </si>
  <si>
    <t>RE-2025-139751933-APN-SCE#ANC</t>
  </si>
  <si>
    <t>CONC. 2054</t>
  </si>
  <si>
    <t>RESFC-2025-5-APN-TDC#ANC</t>
  </si>
  <si>
    <t xml:space="preserve">RE-2025-139768829-APN-SCE%ANC </t>
  </si>
  <si>
    <t>servicios a empresas petroleras orientados al desarrollo, estimulación, mantenimiento y eventual abandono de pozos petroleros.</t>
  </si>
  <si>
    <t>CONC. 1996 (PROSUM)</t>
  </si>
  <si>
    <t>DI-2025-11-APN-SCE#ANC</t>
  </si>
  <si>
    <t>IF-2025-140331621-APN-DNCE#CNDC</t>
  </si>
  <si>
    <t>actividad de elaboración de productos planos de acero procesados y derivados y la comercialización o reventa</t>
  </si>
  <si>
    <t>CONC. 2042 (PROSUM)</t>
  </si>
  <si>
    <t>DI-2025-10-APN-SCE#ANC</t>
  </si>
  <si>
    <t>IF-2025-140290170-APN-DNCE#CNDC</t>
  </si>
  <si>
    <t>Provisión de servicios de desarrollo y fabricación por contrato (CDMO) para el desarrollo de dossiers enfocados en el desarrollo, la fabricación por contrato, el acondicionamiento y la concesión de licencias de medicamentos genéricos complejos en forma farmacéutica terminada o Productos Farmacéuticos de Dosificación Terminada (FDP) e ingredientes farmacéuticos activos (APIs).</t>
  </si>
  <si>
    <t>CONC. 2051 (PROSUM)</t>
  </si>
  <si>
    <t>DI-2025-12-APN-SCE#ANC</t>
  </si>
  <si>
    <t>IF-2025-140658311-APN-DNCE#CNDC</t>
  </si>
  <si>
    <t>Fabricación y comercialización de sistemas de calefacción, ventilación y aire acondicionado (“sistemas HVAC”) residenciales y comerciales livianos.</t>
  </si>
  <si>
    <t>CONC. 1997 (PROSUM)</t>
  </si>
  <si>
    <t>DI-2025-16-APN-SCE#ANC</t>
  </si>
  <si>
    <t>IF-2025-141492019-APN-DNCE#CNDC</t>
  </si>
  <si>
    <t>producción y comercialización de productos planos de acero procesados y derivados</t>
  </si>
  <si>
    <t>CONC. 2039 (PROSUM)</t>
  </si>
  <si>
    <t>DI-2025-18-APN-SCE#ANC</t>
  </si>
  <si>
    <t>IF-2025-141624716-APN-DNCE#CNDC</t>
  </si>
  <si>
    <t>prestación de servicios de faena y desposte de ganado bovino, y (ii) la industrialización y comercialización mayorista de desperdicios cárnicos derivados de la faena de ganado bovino (subproductos y menudencias) // la actividad de engorde, aguas arriba, y los servicios de faena y despostado
que brindan los frigoríficos  aguas abajo; y (ii)
los servicios de faena y desposte  y
, aguas arriba, y la venta de carne in natura, aguas abajo</t>
  </si>
  <si>
    <t>CONC 2053 (PROSUM)</t>
  </si>
  <si>
    <t>DI-2025-17-APN-SCE#ANC</t>
  </si>
  <si>
    <t xml:space="preserve">IF-2025-141551801-APN-DNCE#CNDC </t>
  </si>
  <si>
    <t>dministración de fondos comunes de inversión (“FCI”)</t>
  </si>
  <si>
    <t>OPI 383</t>
  </si>
  <si>
    <t>“BUNGE ARGENTINA S.A. Y RENOPACK S.A. S/ OPINION CONSULTIVA ART. 10º DE LA LEY 27.442 (OPI 383)”</t>
  </si>
  <si>
    <t>RESFC-2025-8-APN-TDC#ANC</t>
  </si>
  <si>
    <t>RE-2025-141636671-APN-SCE#ANC</t>
  </si>
  <si>
    <t>CONC. 2070 (PROSUM)</t>
  </si>
  <si>
    <t>DI-2025-15-APN-SCE#ANC</t>
  </si>
  <si>
    <t>IF-2025-141302294-APN-DNCE#CNDC</t>
  </si>
  <si>
    <t>distribución minorista de combustibles</t>
  </si>
  <si>
    <t xml:space="preserve">CONC. 2072 (PROSUM) </t>
  </si>
  <si>
    <t>DI-2025-14-APN-SCE#ANC</t>
  </si>
  <si>
    <t>IF-2025-141303182-APN-DNCE#CNDC</t>
  </si>
  <si>
    <t>CONC. 2004</t>
  </si>
  <si>
    <t>Resolución TDC - Artículo 14 Inc. a), de la Ley 27.442.</t>
  </si>
  <si>
    <t>RESFC-2025-11-APN-TDC#ANC</t>
  </si>
  <si>
    <t>RE-2025-142016922-APN-SCE%ANC</t>
  </si>
  <si>
    <t>suministro de materiales no tejidos</t>
  </si>
  <si>
    <t>OPI 385</t>
  </si>
  <si>
    <t>“BML Inversora S.A.U. S/ OPINION CONSULTIVA ART. 10º DE LA LEY 27.442” (OPI 385)”</t>
  </si>
  <si>
    <t>Dictamen SCE - Sujeta a notificación ( Art. 9° de la Ley 27.442)</t>
  </si>
  <si>
    <t>RESFC-2025-9-APN-TDC#ANC</t>
  </si>
  <si>
    <t>RE-2025-141594903-APN-SCE%ANC</t>
  </si>
  <si>
    <t>CONC. 848</t>
  </si>
  <si>
    <t>Resolución TDC - Artículo 13, inc. a), de la Ley 25.156.</t>
  </si>
  <si>
    <t>RESFC-2025-10-APN-TDC#ANC</t>
  </si>
  <si>
    <t>RE-2025-142041137-APN-SCE#ANC</t>
  </si>
  <si>
    <t>fabricación y venta de medicamentos</t>
  </si>
  <si>
    <t>CONC. 2058 (PROSUM)</t>
  </si>
  <si>
    <t>DI-2025-24-APN-SCE#ANC</t>
  </si>
  <si>
    <t xml:space="preserve">IF-2025-142935559-APN-DNCE#CNDC </t>
  </si>
  <si>
    <t>Planificación y ejecución en el mercado eléctrico a través del mantenimiento de estaciones transformadoras, líneas de media y alta tensión y centros de control</t>
  </si>
  <si>
    <t>CONC. 2037</t>
  </si>
  <si>
    <t>Resolución TDC | Artículo 14, inc. a), Ley 27.442</t>
  </si>
  <si>
    <t>RESFC-2026-1-APN-TDC#ANC</t>
  </si>
  <si>
    <t>RE-2025-144258842-APN-SCE%ANC</t>
  </si>
  <si>
    <t>fabricación y comercialización de azúcar (crudo y común tipo “A) Y fabricación y comercialización de productos derivados de dicha actividad (melaza,
bagazo, cachaza y ceniza)//la producción y comercialización de azúcar y la elaboración de bebidas sin alcohol azucarada</t>
  </si>
  <si>
    <t>CONC. 2064 (PROSUM)</t>
  </si>
  <si>
    <t>DI-2026-1-APN-SCE#ANC</t>
  </si>
  <si>
    <t>IF-2026-00414367-APN-DNCE#CNDC</t>
  </si>
  <si>
    <t xml:space="preserve">actividad de sociedad de garantía recíproca (SGR) que otorgan avales y garantías a MiPyMEs </t>
  </si>
  <si>
    <t>CONC. 1966</t>
  </si>
  <si>
    <t>RESFC-2026-4-APN-TDC#ANC</t>
  </si>
  <si>
    <t>RE-2026-03891250-APN-SCE#ANC</t>
  </si>
  <si>
    <t>comercialización de determinados productos de agricultura de precisión (Sistemas de guiado, Tecnología GNSS, Unidades de control electrónico, Terminales y pantallas), aguas arriba, y la comercialización de maquinaria agrícola// comercialización de maquinaria agrícola en general</t>
  </si>
  <si>
    <t>OPI 390</t>
  </si>
  <si>
    <t>“PIONEER HI-BRED INTERNATIONAL, INC. ("PIONEER") Y BP PRODUCTS NORTH AMERICA INC. S/ OPINION CONSULTIVA ART. 10º DE LA LEY 27.442 (OPI 390).”</t>
  </si>
  <si>
    <t>Resolución TDC | Art. 10, primer párrafo, Ley 27.442 | no notificar]</t>
  </si>
  <si>
    <t>RESFC-2026-5-APN-TDC#ANC</t>
  </si>
  <si>
    <t>RE-2026-04367576-APN-SCE#ANC</t>
  </si>
  <si>
    <t>comercialización oleaginosa derivada de cultivos específicos que será utilizada para la producción de biocombustible para aviación</t>
  </si>
  <si>
    <t>CONC. 2082 (PROSUM)</t>
  </si>
  <si>
    <t>DI-2026-4-APN-SCE#ANC</t>
  </si>
  <si>
    <t>IF-2026-04916592-APN-DNCE#CNDC</t>
  </si>
  <si>
    <t>mercados de exploración y explotación de gas natural, aguas arriba, y el de generación de energía eléctrica, aguas abajo</t>
  </si>
  <si>
    <t>CONC. 2005</t>
  </si>
  <si>
    <t>RESFC-2026-8-APN-TDC#ANC</t>
  </si>
  <si>
    <t>RE-2026-05449376-APN-SCE%ANC</t>
  </si>
  <si>
    <t>insumos y servicios petroleros prestados  los mercados de exploración y explotación de petróleo, por un lado, y de gas natural</t>
  </si>
  <si>
    <t>CONC. 2043</t>
  </si>
  <si>
    <t>RESFC-2026-7-APN-TDC#ANC</t>
  </si>
  <si>
    <t>RE-2026-05101047-APN-SCE#ANC</t>
  </si>
  <si>
    <t xml:space="preserve">comercialización de vehículos comerciales ligeros entre las concesionarias </t>
  </si>
  <si>
    <t>CONC. 2018 (PROSUM)</t>
  </si>
  <si>
    <t>DI-2026-8-APN-SCE#ANC</t>
  </si>
  <si>
    <t>IF-2026-07171565-APN-DNCE#CNDC</t>
  </si>
  <si>
    <t>(i) servicios de perforación en tierra y (ii) servicios de plataforma de perforación//  los servicios de plataforma
de perforación aguas arriba y los servicios de perforación en tierra aguas abajo</t>
  </si>
  <si>
    <t>CONC. 2076 (PROSUM)</t>
  </si>
  <si>
    <t>DI-2026-7-APN-SCE#ANC</t>
  </si>
  <si>
    <t>IF-2026-07163373-APN-DNCE#CNDC</t>
  </si>
  <si>
    <t>mercados de exploración y explotación de petróleo y gas</t>
  </si>
  <si>
    <t>CONC. 1860</t>
  </si>
  <si>
    <t>“CONC.1860 – GEORGALOS HNOS. S.A.I.C.A. S/ NOTIFICACIÓN ART. 9 DE LA LEY N.° 27.442”.</t>
  </si>
  <si>
    <t>Resolución TDC | Artículo 14, inc. b), Ley 27.442</t>
  </si>
  <si>
    <t>RESFC-2026-9-APN-TDC#ANC</t>
  </si>
  <si>
    <t>RE-2026-07652024-APN-SCE#ANC</t>
  </si>
  <si>
    <t xml:space="preserve">producción y comercialización de postres de maní y caramelos blandos// procesamiento integral del maní 
(aguas arriba) con la producción de postres de maní y chocolates (aguas abajo) y (ii) producción de envases flexibles  aguas arriba, con la producción de postres de maní
y chocolates, aguas abajo. </t>
  </si>
  <si>
    <t>CONC. 1726</t>
  </si>
  <si>
    <t>“CONC. 1726 GARRUCHOS S.A. Y GRUPO BENICIO S.A. S/ NOTIFICACIÓN ART. 9 DE LA LEY N° 27.442”</t>
  </si>
  <si>
    <t>Resolución TDC [archivo]</t>
  </si>
  <si>
    <t>RESFC-2026-11-APN-TDC#ANC</t>
  </si>
  <si>
    <t>RE-2026-08442477-APN-SCE#ANC</t>
  </si>
  <si>
    <t>Ingenio azucarero</t>
  </si>
  <si>
    <t>CONC. 2010</t>
  </si>
  <si>
    <t>“GRUPO FINANCIERO GALICIA S.A. S/ NOTIFICACION ART. 9 DE LA LEY 27.442” (CONC. 2010</t>
  </si>
  <si>
    <t>RESFC-2026-12-APN-TDC#ANC</t>
  </si>
  <si>
    <t>RE-2026-08430093-APN-SCE%ANC</t>
  </si>
  <si>
    <t>entidades bancarias, agentes de colocación y distribución integral de fondos comunes de inversión, y proveedoras de seguros.</t>
  </si>
  <si>
    <t>CONC. 2038 (PROSUM)</t>
  </si>
  <si>
    <t>"PETROLEOS SUDAMERICANOS S.A. S/ NOTIFICACION ART. 9 DE LA LEY 27.442." (CONC. 2038</t>
  </si>
  <si>
    <t>RESFC-2026-10-APN-TDC#ANC</t>
  </si>
  <si>
    <t>RE-2026-07667674-APN-SCE%ANC</t>
  </si>
  <si>
    <t>CONC. 1952</t>
  </si>
  <si>
    <t>"ENCOMPASS DIGITAL MEDIA HOLDINGS, LLC S/NOTIFICACIÓN ART. 9 DE LA LEY N.º 27.442 (CONC. 1952)".</t>
  </si>
  <si>
    <t>RESFC-2026-13-APN-TDC#ANC</t>
  </si>
  <si>
    <t>RE-2026-09598043-APN-SCE%ANC</t>
  </si>
  <si>
    <t>servicios tecnológicos altamente especializados, que abarcan desde la infraestructura satelital y terrestre hasta la edición y distribución de contenido multimedia</t>
  </si>
  <si>
    <t>CONC. 2020 (PROSUM)</t>
  </si>
  <si>
    <t>"PECOM SERVICIOS ENERGIA S.A.U (Campamento Central – Cañadón Perdido) S/NOTIFICACION ART. 9 DE LA LEY 27.442”.</t>
  </si>
  <si>
    <t>DI-2026-15-APN-SCE#ANC</t>
  </si>
  <si>
    <t>IF-2026-12134699-APN-DNCE%CNDC</t>
  </si>
  <si>
    <t xml:space="preserve">mercados de exploración y explotación de petróleo crudo y gas natural//insumos y servicios petroleros prestados </t>
  </si>
  <si>
    <t>CONC. 2083 (PROSUM)</t>
  </si>
  <si>
    <t>“EDISON HOLDING S.A. (ALICURÁ Y CERROS COLORADOS) S.A. S/NOTIFICACIÓN ART.9 DE LA LEY 27.442 (CONC. 2083)”</t>
  </si>
  <si>
    <t>DI-2026-14-APN-SCE#ANC</t>
  </si>
  <si>
    <t>IF-2026-11993228-APN-DNCE%CNDC</t>
  </si>
  <si>
    <t>CONC. 1974</t>
  </si>
  <si>
    <t>"HOLCIM ARGENTINA S.A. S/ NOTIFICACIÓN ART. 9 DE LA LEY 27.442" (CONC.1974)</t>
  </si>
  <si>
    <t>RESFC-2026-15-APN-TDC#ANC</t>
  </si>
  <si>
    <t>RE-2026-12179901-APN-SCE%ANC</t>
  </si>
  <si>
    <t>fabricación y comercialización de cemento Portland , aguas arriba, y la fabricación y comercialización de premoldeados de hormigón , aguas abajo.</t>
  </si>
  <si>
    <t>OPI 387</t>
  </si>
  <si>
    <t>“LA RURAL SA S/ OPINION CONSULTIVA ART. 10º DE LA LEY 27.442 (OPI 387)”</t>
  </si>
  <si>
    <t>Resolución TDC | Art. 10, primer párrafo, Ley 27.442</t>
  </si>
  <si>
    <t>RESFC-2026-14-APN-TDC#ANC</t>
  </si>
  <si>
    <t>RE-2026-11961524-APN-SCE%ANC</t>
  </si>
  <si>
    <t>INC. I. CONC. 1663</t>
  </si>
  <si>
    <t>“INC. I CONC. 1663 – INCIDENTE DE CUMPLIMIENTO DE ORDEN DE DESINVERSIÓN CONC 1663”.</t>
  </si>
  <si>
    <t>Inc. Conc. 1663 - Disposición TDC</t>
  </si>
  <si>
    <t>DISFC-2026-6-APN-TDC#ANC</t>
  </si>
  <si>
    <t>RE-2026-12701098-APN-SCE%ANC</t>
  </si>
  <si>
    <t xml:space="preserve">provisión de oxígeno líquido </t>
  </si>
  <si>
    <t xml:space="preserve">OPI 389 </t>
  </si>
  <si>
    <t>“CO DESARROLLO S.A. y LATAM INVERSORES S.A. S/ OPINION CONSULTIVA ART. 10º DE LA LEY 27.442 (OPI 389)”</t>
  </si>
  <si>
    <t>Resolución TDC | Art. 10, primer párrafo, Ley 27.442 | [Ordena notificar]</t>
  </si>
  <si>
    <t>RESFC-2026-2-APN-TDC#ANC</t>
  </si>
  <si>
    <t>RE-2026-02053848-APN-SCE#ANC</t>
  </si>
  <si>
    <t>fabricación de transformadores y autotransformadores de potencia para el sistema eléctrico de alta y extra alta tensión</t>
  </si>
  <si>
    <t>CONC. 2002</t>
  </si>
  <si>
    <t>"CROWN POINT ENERGÍA S.A. S/ NOTIFICACIÓN ART. 9 DE LA LEY 27.442" (CONC.2002).</t>
  </si>
  <si>
    <t>RESFC-2026-16-APN-TDC#ANC</t>
  </si>
  <si>
    <t>RE-2026-17035517-APN-SCE#ANC</t>
  </si>
  <si>
    <t>mercados de exploración y explotación de petróleo y de gas natural</t>
  </si>
  <si>
    <t>CONC. 2059 (PROSUM)</t>
  </si>
  <si>
    <t>"CENTRAL PUERTO S.A. S/NOTIFICACIÓN ART.9 DE LA LEY 27.442" (CONC.2059).</t>
  </si>
  <si>
    <t>DI-2026-18-APN-SCE#ANC</t>
  </si>
  <si>
    <t>IF-2026-17860370-APN-DNCE#CNDC</t>
  </si>
  <si>
    <t>CONC. 2008 (PROSUM)</t>
  </si>
  <si>
    <t>"IRSA INVERSIONES Y REPRESENTACIONES SOCIEDAD ANÓNIMA S/ NOTIFICACIÓN ART. 9 DE LA LEY 27.442 (CONC. 2008)"</t>
  </si>
  <si>
    <t>DI-2026-19-APN-SCE#ANC</t>
  </si>
  <si>
    <t>IF-2026-20638121-APN-DNCE#CNDC</t>
  </si>
  <si>
    <t>mercado inmobiliario de locación de espacios comerciales en centros comerciales o shopping centers</t>
  </si>
  <si>
    <t>CONC. 2089 (PROSUM)</t>
  </si>
  <si>
    <t>"EDISON LAS MADERAS S.A. S/ NOTIFICACIÓN ART. 9 DE LA LEY 27.442” (CONC 2089).</t>
  </si>
  <si>
    <t>DI-2026-20-APN-SCE#ANC</t>
  </si>
  <si>
    <t>IF-2026-20714479-APN-DNCE#CNDC</t>
  </si>
  <si>
    <t>CONC. 2084 (PROSUM)</t>
  </si>
  <si>
    <t>“LAVENDER DUTCH BIDCO B.V. S/ NOTIFICACIÓN ART. 9 DE LA LEY 27.442 (CONC. 2084)”.</t>
  </si>
  <si>
    <t>DI-2026-21-APN-SCE#ANC</t>
  </si>
  <si>
    <t>IF-2026-21277416-APN-DNCE#CNDC</t>
  </si>
  <si>
    <t>fabricación, comercialización y distribución de productos de limpieza e higiene para el hogar, relacionados con: (i) cuidado del aire, (ii) cuidado de superficies, (iii) cuidado de la ropa y (iv) control de plagas (en adelante, “Negocio Essential Home”)</t>
  </si>
  <si>
    <t>CONC. 2056 (PROSUM)</t>
  </si>
  <si>
    <t>"VISTA ENERGY S.A.B. DE C.V. Y AR ENERGY RESOURCES S.A. S/NOTIFICACIÓN ART.9 DE LA LEY 27.442 (CONC 2056)”</t>
  </si>
  <si>
    <t>DI-2026-23-APN-SCE#ANC</t>
  </si>
  <si>
    <t>IF-2026-25294207-APN-DNC#CNDC</t>
  </si>
  <si>
    <t>INC. 1663</t>
  </si>
  <si>
    <t>“INC. I CONC. 1663 – INCIDENTE DE CUMPLIMIENTO DE ORDEN DE DESINVERSIÓN CONC 1663”</t>
  </si>
  <si>
    <t>Inc. I - Conc. 1663 | Disposición TDC | Art. 66 y 67, Ley 27.442</t>
  </si>
  <si>
    <t>DISFC-2026-9-APN-TDC#ANC</t>
  </si>
  <si>
    <t>RE-2026-25367099-APN-SCE#ANC</t>
  </si>
  <si>
    <t>Oxigeno líquido</t>
  </si>
  <si>
    <t>Conglomerado con efectos de cartera</t>
  </si>
  <si>
    <t>OPI 391</t>
  </si>
  <si>
    <t>"Santa Fe Bio S.A. S/ OPINION CONSULTIVA ART. 10º DE LA LEY 27.442" (OPI 391).</t>
  </si>
  <si>
    <t>RESFC-2026-18-APN-TDC#ANC</t>
  </si>
  <si>
    <t>RE2026-24344291-APN-SCE#ANC</t>
  </si>
  <si>
    <t>Disposición TDC | Arts. 66 y 67, Ley 27.442</t>
  </si>
  <si>
    <t>DISFC-2026-10-APN-TDC#ANC</t>
  </si>
  <si>
    <t>RE-2026-26448018-APN-SCE#ANC</t>
  </si>
  <si>
    <t>CONC. 1960</t>
  </si>
  <si>
    <t>“ETHICAL PHARMA SOCIEDAD ANONIMA Y TUTEUR S.A.C.I.F.I.A. S/NOTIFICACIÓN ART.9 DE LA LEY 27.442 (CONC. 1960)”.</t>
  </si>
  <si>
    <t>Resolución TDC | Art. 14, inc. a), Ley 27.442</t>
  </si>
  <si>
    <t>RESFC-2026-20-APN-TDC#ANC</t>
  </si>
  <si>
    <t>RE-2026-25952781-APN-SCE#ANC</t>
  </si>
  <si>
    <t xml:space="preserve">comercialización de productos bajo los siguientes ATC3: (i) A11A - Polivitamínicos con minerales; (ii) N03A – Antiepilépticos; (iii) V06D - Otros nutrientes; (iv) M05B - Reguladores del calcio óseo y (v) L04A - Inmunosupresores//distribución de especialidades medicinales // fabricación y comercialización de
productos de laboratorio, sustancias químicas medicinales y productos botánicos </t>
  </si>
  <si>
    <t>DISFC-2026-11-APN-TDC#ANC</t>
  </si>
  <si>
    <t>RE-2026-25781778-APN-SCE#ANC</t>
  </si>
  <si>
    <t>CONC. 2032</t>
  </si>
  <si>
    <t>“LATAM
AIRLINES GROUP S.A. S/ NOTIFICACIÓN ART. 9 DE LA LEY 27.442” (CONC. 2032)</t>
  </si>
  <si>
    <t>RESFC-2026-21-APN-TDC#ANC</t>
  </si>
  <si>
    <t>RE-2026-30447690-APN-SCE#ANC</t>
  </si>
  <si>
    <t>servicio de transporte aéreo internacional de pasajeros y servicio de transporte aéreo internacional de carga.</t>
  </si>
  <si>
    <t>CONC. 2014</t>
  </si>
  <si>
    <t>"BROOKFIELD RENEWABLE HOLDINGS SAS S/ NOTIFICACIÓN ART. 9 DE LA LEY 27.442" (CONC. 2014).</t>
  </si>
  <si>
    <t>RESFC-2026-22-APN-TDC#ANC</t>
  </si>
  <si>
    <t>RE-2026-31266008-APN-SCE#ANC</t>
  </si>
  <si>
    <t>generación de energía eléctrica y potencia instalada// servicios a la industria de energía nuclear y de generación de energía eléctrica y
componentes de infraestructura eléctrica</t>
  </si>
  <si>
    <t>CONC. 2073 (PROSUM)</t>
  </si>
  <si>
    <t>“PATAGONIA RESOURCES S.A. S/NOTIFICACIÓN ART 9 LEY N.° 27442 (CONC 2073).”</t>
  </si>
  <si>
    <t>DI-2026-27-APN-SCE#ANC</t>
  </si>
  <si>
    <t xml:space="preserve"> IF-2026-32556460-APNDNCE#CNDC</t>
  </si>
  <si>
    <t>CONC. 2077 (PROSUM)</t>
  </si>
  <si>
    <t>"Roch Proyectos S.A. S/NOTIFICACIÓN ART 9 LEY N.º 27.442" (CONC. 2077).</t>
  </si>
  <si>
    <t>DI-2026-28-APN-SCE#ANC</t>
  </si>
  <si>
    <t>IF-2026-32660759- APN-DNCE#CNDC</t>
  </si>
  <si>
    <t>CONC. 1780</t>
  </si>
  <si>
    <t>"WADE S.A. S/ NOTIFICACIÓN ART. 9 LEY N.º 27.442 (CONC. 1780)"</t>
  </si>
  <si>
    <t>Disposición TDC | Arts. 9°, 55, inc. d), 66, 67, 79 y 84, Ley 27.442</t>
  </si>
  <si>
    <t>DISFC-2026-12-APN-TDC#ANC</t>
  </si>
  <si>
    <t>RE-2026-35221715-APN-SCE#ANC</t>
  </si>
  <si>
    <t>mercado de carne aviar</t>
  </si>
  <si>
    <t>CONC. 1979</t>
  </si>
  <si>
    <t>“WADE S.A. (CRESTA ROJA) S/NOTIFICACION ART. 9 DE LA LEY N° 27.442 (CONC. 1979)”</t>
  </si>
  <si>
    <t>RESFC-2026-23-APN-TDC#ANC</t>
  </si>
  <si>
    <t xml:space="preserve">RE-2026-35208515-APN-SCE#ANC </t>
  </si>
  <si>
    <t>producción, procesamiento o elaboración y comercialización de carne aviar y sus subproductos,  (i) carne aviar —incluye pollo fresco entero y trozado—; (ii) menudencias y subproductos de pollo; y (iii) productos procesados elaborados a partir de carne aviar (precocidos, prefritos, congelados, etc/ producción de carne aviar.</t>
  </si>
  <si>
    <t>CONC. 1864</t>
  </si>
  <si>
    <t>“TYSON INTERNATIONAL HOLDING COMPANY S/ NOTIFICACIÓN ART. 9 DE LA LEY 27.442” (CONC. 1864).</t>
  </si>
  <si>
    <t>RESFC-2026-24-APN-TDC#ANC</t>
  </si>
  <si>
    <t>RE-2026-36368699-APN-SCE%ANC</t>
  </si>
  <si>
    <t>CONC. 2075 (PROSUM)</t>
  </si>
  <si>
    <t>“CLEAR PETROLEUM S.A. S/NOTIFICACIÓN ART.9 DE LA LEY 27.442 (CONC 2075).”</t>
  </si>
  <si>
    <t>DI-2026-29-APN-SCE#ANC</t>
  </si>
  <si>
    <t>IF-2026-36265062-APN-DNCE#CNDC</t>
  </si>
  <si>
    <t>provisión de los servicios petroleros, aguas arriba, y los mercados de exploración y explotación de petróleo, por un lado, y de gas natural, por otro, ambos aguas abajo.</t>
  </si>
  <si>
    <t>VERIFICAR: la fuente repite DI-2026-29 en la CONC 2040 (15/05/2026). La decisión dice 'Resolución TDC' pero el número es una disposición de la SCE.</t>
  </si>
  <si>
    <t>CONC. 2052 (PROSUM)</t>
  </si>
  <si>
    <t>“PINNACLE MEDIA VENTURES LLC; PINNACLE MEDIA VENTURES II LLC Y PINNACLE MEDIA VENTURES III LLC (“PINNACLE MEDIA S/ NOTIFICACIÓN ART. 9 DE LA LEY 27.442 (CONC 2052)”</t>
  </si>
  <si>
    <t>Disposición Prosum SCE  Artículo 14, inc. a), Ley 27.442</t>
  </si>
  <si>
    <t>DI-2026-34-APN-SCE#ANC</t>
  </si>
  <si>
    <t>IF-2026-38451154-APN-DNCE%CNDC</t>
  </si>
  <si>
    <t>Distribución de películas</t>
  </si>
  <si>
    <t>CONC. 2057</t>
  </si>
  <si>
    <t>"ERIS LLC y CABO VIRGENES S.A. S/ NOTIFICACIÓN ART. 9 DE LA LEY 27.442" (CONC. 2057)</t>
  </si>
  <si>
    <t>Resolución TDC | Art. 14, inc. a), y 55, inc. d), Ley 27.442</t>
  </si>
  <si>
    <t>RESFC-2026-25-APN-TDC#ANC</t>
  </si>
  <si>
    <t>RE2026-37941706-APN-SCE#ANC</t>
  </si>
  <si>
    <t>pesca del langostino para exportación</t>
  </si>
  <si>
    <t>CONC. 2061 (PROSUM)</t>
  </si>
  <si>
    <t>"IRSA INVERSIONES Y REPRESENTACIONES SOCIEDAD ANÓNIMA (AL OESTE SHOPPING) S/ NOTIFICACIÓN ART. 9 DE LA LEY 27.442" (CONC. 2061).</t>
  </si>
  <si>
    <t>DI-2026-35-APN-SCE#ANC</t>
  </si>
  <si>
    <t>IF-2026-38562933-APN-DNCE#CNDC</t>
  </si>
  <si>
    <t>locación de espacios comerciales en centros
comerciales o shoppings centers</t>
  </si>
  <si>
    <t>OPI 393</t>
  </si>
  <si>
    <t>“Pan American Sur S.A. S/ OPINION CONSULTIVA ART. 10º DE LA LEY 27.442 (OPI 393)”</t>
  </si>
  <si>
    <t>RESFC-2026-26-APN-TDC#ANC</t>
  </si>
  <si>
    <t>RE-2026-38474314-APN-SCE#ANC</t>
  </si>
  <si>
    <t xml:space="preserve">producción de gas natural </t>
  </si>
  <si>
    <t>CONC. 2098 (PROSUM)</t>
  </si>
  <si>
    <t>"APOLLO CAPITAL MANAGEMENT L.P S/ NOTIFICACIÓN ART. 9 DE LA LEY 27.442" (CONC 2098).</t>
  </si>
  <si>
    <t>DI-2026-36-APN-SCE#ANC</t>
  </si>
  <si>
    <t>IF-2026-39039366-APN-DNCE#CNDC</t>
  </si>
  <si>
    <t>productos de vidrio plano para la construcción y la industria automotriz</t>
  </si>
  <si>
    <t xml:space="preserve">CONC. 2074 </t>
  </si>
  <si>
    <t>NEXO INC. S/ NOTIFICACIÓN ART 9 LEY N.º 27.442" (CONC. 2074)</t>
  </si>
  <si>
    <t>Resolución TDC | Arts. 7º y 9º, Ley 27.442. Archivo</t>
  </si>
  <si>
    <t>RESFC-2026-27-APN-TDC#ANC</t>
  </si>
  <si>
    <t>RE2026-39584251-APN-SCE#ANC</t>
  </si>
  <si>
    <t>servicios de activos virtuales (PSAV's)</t>
  </si>
  <si>
    <t>CONC. 2044 (PROSUM)</t>
  </si>
  <si>
    <t>"DF ENTERTAINMENT S.A. S/ NOTIFICACIÓN ART. 9 DE LA LEY 27.442" (CONC. 2044)</t>
  </si>
  <si>
    <t>DI-2026-39-APN-SCE#ANC</t>
  </si>
  <si>
    <t>IF-2026-40725412-APN-DNCE#CNDC</t>
  </si>
  <si>
    <t xml:space="preserve">mercado de servicios de venta de entradas para evento/ mercado de gestión de recintos de capacidad intermedia en AMBA // Promocion de eventos en vivo </t>
  </si>
  <si>
    <t>CONC. 2087 (PROSUM)</t>
  </si>
  <si>
    <t>“BML INVERSORA S.A.U. Y BML ENERGÍA S.A. S/ NOTIFICACIÓN ART. 9 DE LA LEY 27.442 (CONC 2087)”.</t>
  </si>
  <si>
    <t>DI-2026-38-APN-SCE#ANC</t>
  </si>
  <si>
    <t>IF-2026-40559916-APN-DNCE#CNDC</t>
  </si>
  <si>
    <t>CONC. 2080 (PROSUM)</t>
  </si>
  <si>
    <t xml:space="preserve">“BML Inversora S.A.U. (ORAZUL) S/ NOTIFICACIÓN ART. 9 DE LA LEY 27.442 (CONC 2080)”.  </t>
  </si>
  <si>
    <t>DI-2026-40-APN-SCE#ANC</t>
  </si>
  <si>
    <t>IF-2026-41041175-APN-DNCE#CNDC</t>
  </si>
  <si>
    <t>CONC. 2055</t>
  </si>
  <si>
    <t>"NEWSAN S.A. Y NEW PGA S.R.L. S/ NOTIFICACIÓN ART. 9 DE LA LEY 27.442" (CONC. 2055).</t>
  </si>
  <si>
    <t>RESFC-2026-28-APN-TDC#ANC</t>
  </si>
  <si>
    <t>RE-2026-41672702-APN-SCE#ANC</t>
  </si>
  <si>
    <t>Industria de artículos de tocador, cosméticos y perfumería</t>
  </si>
  <si>
    <t>CONC. 1961</t>
  </si>
  <si>
    <t>"CMA CGM S.A. Y BOLLORÉ LOGISTICS SE S/ NOTIFICACIÓN ART. 9 DE LA LEY 27.442" (CONC.1961)</t>
  </si>
  <si>
    <t>RESFC-2026-31-APN-TDC#ANC</t>
  </si>
  <si>
    <t>RE-2026-44873805-APN-SCEANC</t>
  </si>
  <si>
    <t>servicios de agenciamiento o gestión de cargas// transporte marítimo de línea regular de contenedores/actividades de provisión de
agenciamiento/actividad de contratos logísticos</t>
  </si>
  <si>
    <t>CONC. 2000</t>
  </si>
  <si>
    <t>CMA CGM S.A. Y_x000D_
GEFCO S.A. S/ NOTIFICACIÓN ART. 9 DE LA LEY 27.442 (CONC. 2000).</t>
  </si>
  <si>
    <t>Resolución TDC | Arts. 14 y 55, inc. d), Ley 27.442</t>
  </si>
  <si>
    <t>RESFC-2026-30-APN-TDC#ANC</t>
  </si>
  <si>
    <t>RE-2026-44870332-APN-SCE#ANC</t>
  </si>
  <si>
    <t>servicios de agenciamiento o gestión de cargas y el de servicios de logística de contratos//transporte marítimo de línea de contenedores</t>
  </si>
  <si>
    <t>CONC. 2040 (PROSUM)</t>
  </si>
  <si>
    <t>“GROBOCOPATEL HERMANOS SOCIEDAD ANONIMA S/ NOTIFICACION ART. 9 DE LA LEY N° 27.442” (CONC.2040).</t>
  </si>
  <si>
    <t>IF-2026-48939882-APN-DNCE-CNDC</t>
  </si>
  <si>
    <t>mercados de: (i) tierras para uso agrícola-ganadero; (ii) producción de soja; (iii) producción de maíz y (iv) producción de trigo/// (i) tierras aptas para uso agrícola-ganadero, aguas arriba, y producción de soja, maíz y
trigo, aguas abajo; (ii) tierras aptas para uso agrícola-ganadero, aguas arriba, y cría y
recría de ganado bovino, aguas abajo; (iii) la producción de soja, maíz y trigo , aguas arriba, y el acondicionamiento y acopio, aguas abajo; y (iv) la producción de soja, maíz y trigo, aguas arriba, y la comercialización y exportación de granos , aguas abajo</t>
  </si>
  <si>
    <t>VERIFICAR: la fuente le asigna DI-2026-29, el mismo número que a la CONC 2075 (10/04/2026). Por la numeración correlativa encaja con la 2075.</t>
  </si>
  <si>
    <t>CONC. 2106 (PROSUM)</t>
  </si>
  <si>
    <t>“CABO VÍRGENES S.A. S/ NOTIFICACIÓN ART. 9 DE LA LEY 27.442".</t>
  </si>
  <si>
    <t>DI-2026-54-APN-SCE#ANC</t>
  </si>
  <si>
    <t>IF-2026-48966350-APN-DNCE-CNDC</t>
  </si>
  <si>
    <t>actividad de pesca del langostino para exportación.</t>
  </si>
  <si>
    <t xml:space="preserve">OPI 384 </t>
  </si>
  <si>
    <t>"BANCO DE SAN JUAN S.A., NUEVO BANCO DE SANTA FE S.A. Y NUEVO BANCO DE ENTRE RÍOS S.A. S/ OPINION CONSULTIVA ART. 10º DE LA LEY 27.442 (OPI 384)"</t>
  </si>
  <si>
    <t>RESFC-2026-32-APN-TDC#ANC</t>
  </si>
  <si>
    <t>RE-2026-49994789-APN-SCE#ANC</t>
  </si>
  <si>
    <t>CONC. 2071</t>
  </si>
  <si>
    <t>“IOCHPE-MAXION AUSTRIA GMBH S/ NOTIFICACIÓN ART. 9 DE LA LEY 27.442 (CONC 2071).”</t>
  </si>
  <si>
    <t>RESFC-2026-33-APN-TDC#ANC</t>
  </si>
  <si>
    <t xml:space="preserve">RE-2026-50469286-APN-SCE#ANC </t>
  </si>
  <si>
    <t>fabricación y comercialización de ruedas de aluminio para vehículos de pasajeros y vehículos comerciales livianos.</t>
  </si>
  <si>
    <t>CONC. 2099 (PROSUM)</t>
  </si>
  <si>
    <t>“LITHOS DESARROLLOS MINEROS S.A. S/ NOTIFICACIÓN ART. 9 DE LA LEY 27.442” (CONC 2099)</t>
  </si>
  <si>
    <t>Resolución TDC | Arts. 7º y 9º, Ley 27.442</t>
  </si>
  <si>
    <t>RESFC-2026-34-APN-TDC#ANC</t>
  </si>
  <si>
    <t>RE-2026-50862701-APN-SCE#ANC</t>
  </si>
  <si>
    <t>actividad minera</t>
  </si>
  <si>
    <t>CONC. 2109 (PROSUM)</t>
  </si>
  <si>
    <t xml:space="preserve">CONTINENTAL RESOURCES ARGENTINA S.A.U. S/ NOTIFICACIÓN ART. 9 DE LA LEY 27.442 (CONC 2109).  </t>
  </si>
  <si>
    <t>DI-2026-60-APN-SCE#ANC</t>
  </si>
  <si>
    <t>IF-2026-52450920-APN-DNCE-CNDC</t>
  </si>
  <si>
    <t xml:space="preserve"> mercados de exploración y explotación de petróleo y gas</t>
  </si>
  <si>
    <t xml:space="preserve">CONC. 2047 </t>
  </si>
  <si>
    <t>"BUENOS AIRES SERVICIOS DE SALUD (BASA) S.A. UTE S/ NOTIFICACIÓN ART. 9 DE LA LEY 27.442" (CONC. 2047).</t>
  </si>
  <si>
    <t>RESFC-2026-36-APN-TDC#ANC</t>
  </si>
  <si>
    <t>RE-2026-53538340-APN-SCE#ANC</t>
  </si>
  <si>
    <t>actividad de prestación de servicios sanatoriales/  provisión de servicios sanatoriales y la provisión de
servicios de medicina prepaga //  (Provisión de mantenimiento de
máquinas y equipamiento médico
(MEDICAMENTUM)
Prestación de servicios sanatoriales.
Distribución de medicamentos en el
canal institucional u hospitalario
(GRUPO SUD LATIN)
Prestación de servicios sanatoriales.
Elaboración de productos
farmacéuticos (KILAB) Prestación de servicios sanatoriales.
Prestación de servicios de diálisis
(BEQUEM) Prestación de servicios sanatoriales.
Producción y comercialización de
insumos para diálisis (BEQUEM) Prestación de servicios sanatoriales.)</t>
  </si>
  <si>
    <t>OPI 392</t>
  </si>
  <si>
    <t>"BUNGE ARGENTINA S.A. S/ OPINION CONSULTIVA ART. 10º DE LA LEY 27.442" (OPI 392).</t>
  </si>
  <si>
    <t>RESFC-2026-35-APN-TDC#ANC</t>
  </si>
  <si>
    <t>RE-2026-53436085-APN-SCE#ANC</t>
  </si>
  <si>
    <t>Mercado de granos y semillas</t>
  </si>
  <si>
    <t>CONC. 2101</t>
  </si>
  <si>
    <t>"SOCIEDAD ANÓNIMA IMPORTADORA Y EXPORTADORA DE LA PATAGONIA S/ NOTIFICACIÓN ART. 9 DE LA LEY 27.442" (CONC. 2101)</t>
  </si>
  <si>
    <t>RESFC-2026-37-APN-TDC#ANC</t>
  </si>
  <si>
    <t>RE-2026-54577487-APN-SCE#ANC</t>
  </si>
  <si>
    <t>la comercialización minorista en hipermercados y supermercados; y el mercado de abastecimiento minorista/actividades “aguas arriba” de
provisión de servicios logísticos y de transporte de mercaderías; frigorífico; corte de
fiambres y quesos y actividad de panificación, con la comercialización minorista “aguas
abajo” dado que estos productos y servicios son provistos de manera exclusiva a centros de
distribución, locales y clientes de LA ANÓNIMA.</t>
  </si>
  <si>
    <t>CONC. 2049 (PROSUM)</t>
  </si>
  <si>
    <t>“MOLINOS FLORENCIA S.A.U. y TIENDAS GOURMET S.A.U. S/ NOTIFICACIÓN ART. 9 DE LA LEY 27.442 (CONC. 2049)”</t>
  </si>
  <si>
    <t>DI-2026-64-APN-SCE#ANC</t>
  </si>
  <si>
    <t>IF-2026-58351499-APN-DNCE%CNDC</t>
  </si>
  <si>
    <t xml:space="preserve">elaboración y comercialización de panificados congelados / administración de franquicias que comercializan panificados// (i) molienda de trigo y elaboración de harinas de trigo y subproductos y elaboración de pan
y panificados industriales.
(ii) molienda de trigo y elaboración de harinas de trigo y subproductos, 
y elaboración y comercialización de panificados congelados
(iii) elaboración y comercialización de panificados congelados, y venta al por menor de pan y productos de panadería, 
(iv) elaboración y comercialización de panificados congelados, y administración de franquicias que comercializan panificados,
 (v) elaboración de pan y panificados industriales, y administración de franquicias que comercializan panificados, </t>
  </si>
  <si>
    <t>CONC. 2102 (PROSUM)</t>
  </si>
  <si>
    <t>"YPF S.A. Y PLUSPETROL S.A. S/ NOTIFICACIÓN ART. 9 DE LA LEY 27.442" (CONC 2102)</t>
  </si>
  <si>
    <t>DI-2026-63-APN-SCE#ANC</t>
  </si>
  <si>
    <t>IF-2026-58200051-APN-DNCE%CNDC</t>
  </si>
  <si>
    <t>CONC. 2107 (PROSUM)</t>
  </si>
  <si>
    <t>"VISTA ENERGY S.A.U S/ NOTIFICACIÓN ART. 9 DE LA LEY 27.442" (CONC 2107).</t>
  </si>
  <si>
    <t>DI-2026-65-APN-SCE#ANC</t>
  </si>
  <si>
    <t>IF-2026-58820787-APN-DNCE#CNDC</t>
  </si>
  <si>
    <t>CONC. 2066 (PROSUM)</t>
  </si>
  <si>
    <t>"Swiss Medical S.A. S/ Notificación Art. 9 de la ley 27.442" (CONC. 2066)</t>
  </si>
  <si>
    <t>DI-2026-66-APN-SCE#ANC</t>
  </si>
  <si>
    <t>IF-2026-60426716-APN-DNCE#CNDC</t>
  </si>
  <si>
    <t xml:space="preserve">el servicio de análisis clínicos, de baja, mediana y alta complejidad  Y el servicio de diagnóstico por // Servicio de medicina
prepaga, , aguas arriba, y servicio de análisis clínicos, de
baja, mediana y alta complejidad, en laboratorio.
 aguas abajo; y servicio de diagnóstico por imágenes,
</t>
  </si>
  <si>
    <t>CONC. 2079</t>
  </si>
  <si>
    <t>"Agro Inversora Argentina S.A. y Asociación de Cooperativas Argentinas Cooperativa Limitada S/NOTIFICACION ART. 9 DE LA LEY N° 27.442” (CONC. 2079).</t>
  </si>
  <si>
    <t>RESFC-2026-39-APN-TDC#ANC</t>
  </si>
  <si>
    <t>RE-2026-61341322-APN-SCE#ANC</t>
  </si>
  <si>
    <t>actividad de fabricación y comercialización de fertilizantes nitrogenados,, aguas arriba, y la actividad agrícola, aguas abajo. // comercialización de fertilizantes fosfatados  aguas arriba, y actividad agrícola por parte  y ii) comercialización de los demás fertilizantes  aguas arriba, y actividad agrícola, aguas abajo.</t>
  </si>
  <si>
    <t>CONC. 2078</t>
  </si>
  <si>
    <t>"SIEGFRIED S.A. (TELPRES) S/ NOTIFICACION ART. 9 DE LA LEY N° 27.442" (CONC. 2078).</t>
  </si>
  <si>
    <t>RESFC-2026-40-APN-TDC#ANC</t>
  </si>
  <si>
    <t>RE-2026-61728141-APN-SCE#ANC</t>
  </si>
  <si>
    <t>comercialización de productos del ATC3 C09C, “Antagonistas de la angiotensina II, monofármacos” /distribución de especialidades medicinales/ elaboración y comercialización de
principios activos o ingredientes farmacéuticos activos (IFAs)</t>
  </si>
  <si>
    <t>CONC. 2086 (PROSUM)</t>
  </si>
  <si>
    <t>“Co Desarrollo S.A. y Latam Inversiones S.A. (INTERSERVI S.A., NOROESTE CONSTRUCTORA S.A.) S/ NOTIFICACIÓN ART. 9 DE LA LEY 27.442 (CONC 2086)”</t>
  </si>
  <si>
    <t>DI-2026-69-APN-SCE#ANC</t>
  </si>
  <si>
    <t>IF-2026-62216349-APN-DNCE-CNDC</t>
  </si>
  <si>
    <t>mercado de fabricación de transformadores de energía eléctrica de alta y extra alta tensión, aguas arriba, y los servicios públicos de transporte de energía eléctrica por distribución troncal, aguas abajo.</t>
  </si>
  <si>
    <t>CONC. 2110 (PROSUM)</t>
  </si>
  <si>
    <t>"PECOM SERVICIOS ENERGÍA S.A.U. Y SAN BENITO UPSTREAM S.A.U S/ NOTIFICACIÓN ART. 9 DE LA LEY 27.442" (CONC 2110).</t>
  </si>
  <si>
    <t>DI-2026-70-APN-SCE#ANC</t>
  </si>
  <si>
    <t>IF-2026-63090991-APN-DNCE#CNDC</t>
  </si>
  <si>
    <t>CONC. 1955</t>
  </si>
  <si>
    <t>WELL BEING S.A. S/ NOTIFICACION ART. 9 DE LA LEY 27.442” (CONC. 1955).</t>
  </si>
  <si>
    <t>Resolución TDC | Art. 14, Ley 27.442</t>
  </si>
  <si>
    <t>RESFC-2026-41-APN-TDC#ANC</t>
  </si>
  <si>
    <t>RE2026-61845764-APN-SCE#ANC</t>
  </si>
  <si>
    <t>prestación de servicios de diálisis —segmentada en hemodiálisis (“HD”) y diálisis peritoneal (“DP”) / fabricación y comercialización de productos para
diálisis y de servicios de mantenimiento de equipos</t>
  </si>
  <si>
    <t>CONC. 2123 (PROSUM)</t>
  </si>
  <si>
    <t>"AKZO NOBEL N.V. Y DE AXALTA COATING SYSTEMS LTD. S/ NOTIFICACIÓN ART. 9 DE LA LEY 27.442" (CONC 2123).</t>
  </si>
  <si>
    <t>DI-2026-71-APN-SCE#ANC</t>
  </si>
  <si>
    <t>IF-2026-64162525-APN-DNCE#CNDC</t>
  </si>
  <si>
    <t>comercialización de revestimientos de alto rendimiento, particularmente, en revestimientos de repintado automotor y revestimientos en polvo</t>
  </si>
  <si>
    <t>CONC. 2122 (PROSUM)</t>
  </si>
  <si>
    <t>"RUBÉN L. CHERÑAJOVSKY Y PATAGONIA PESQUERA S.A.U. S/ NOTIFICACIÓN ART. 9 DE LA LEY 27.442" (CONC 2122)</t>
  </si>
  <si>
    <t>DI-2026-72-APN-SCE#ANC</t>
  </si>
  <si>
    <t>IF-2026-65752706-APN-DNCE#CNDC</t>
  </si>
  <si>
    <t>captura, procesamiento y/o comercialización de especies marítimas</t>
  </si>
  <si>
    <t>CONC. 2126 (PROSUM)</t>
  </si>
  <si>
    <t>GLORIA FOODS S/NOTIFICACIÓN ART.9 DE LA LEY 27.442   (CONC 2126)</t>
  </si>
  <si>
    <t>DI-2026-75-APN-SCE#ANC</t>
  </si>
  <si>
    <t>IF-2026-67184444-APN-DNCE#CNDC</t>
  </si>
  <si>
    <t>(i) compra de leche a tambos, (ii) crema de leche a granel, (iii) leche en polvo, (iv) manteca, (v) queso semiduro, todos ellos considerados de cobertura geográfica nacional//crema de leche a granel, aguas arriba y manteca y grasa anhidra de leche, aguas abajo</t>
  </si>
  <si>
    <t>CONC. 2091</t>
  </si>
  <si>
    <t>“AZORRA AVIATION HOLDINGS, LLC S/ NOTIFICACIÓN ART. 9 DE LA LEY 27.442”.</t>
  </si>
  <si>
    <t>Resolución TDC | Art. 14, inc. a), y 55 inc. d), Ley 27.442</t>
  </si>
  <si>
    <t>RESFC-2026-43-APN-TDC#ANC</t>
  </si>
  <si>
    <t>RE-2026-69225369-APN-SCE#ANC</t>
  </si>
  <si>
    <t>mercado de servicios de leasing seco (dry-lease) de aviones</t>
  </si>
  <si>
    <t>CONC. 2019</t>
  </si>
  <si>
    <t>"DEUTSCHE LUFTHANSA AG S/ NOTIFICACIÓN ART. 9 DE LA LEY 27.442" (CONC.2019)</t>
  </si>
  <si>
    <t>RESFC-2026-44-APN-TDC#ANC</t>
  </si>
  <si>
    <t>RE-2026-70136010-APN-SCE#ANC</t>
  </si>
  <si>
    <t>(i) servicio de transporte aéreo internacional de pasajeros y (ii) servicio de transporte aéreo internacional de carga// (i) servicios de
entrenamiento de vuelo, aguas arriba, y transporte
aéreo internacional de pasajeros y de carga, aguas abajo, (ii) servicios
de MRO, aguas arriba, y transporte aéreo internacional
de pasajeros y de carga, aguas abajo,  (iii) servicios IT, aguas arriba, y transporte aéreo internacional de pasajeros y de
carga, aguas abajo.</t>
  </si>
  <si>
    <t>CONC. 2129 (PROSUM)</t>
  </si>
  <si>
    <t>"CABO VIRGENES S.A. (SEA FRESH S.A Y BUQUE SANTIAGO I) S/NOTIFICACIÓN ART.9 DE LA LEY 27.442" (CONC 2129)</t>
  </si>
  <si>
    <t>DI-2026-78-APN-SCE#ANC</t>
  </si>
  <si>
    <t>IF-2026-70517678-APNDNCE#CNDC</t>
  </si>
  <si>
    <t>mercado de pesca del langostino para exportación</t>
  </si>
  <si>
    <t>CONC. 2120 (PROSUM)</t>
  </si>
  <si>
    <t>HORIZON MERGER SUB, INC. Y EQT FUND MANAGEMENT S.à.r.l S/ NOTIFICACIÓN ART. 9 DE LA LEY 27.442" (CONC 2120).</t>
  </si>
  <si>
    <t>DI-2026-79-APN-SCE#ANC</t>
  </si>
  <si>
    <t>IF-2026-70948464-APN-DNCE#CNDC</t>
  </si>
  <si>
    <t xml:space="preserve">Generación de energía eléctrica </t>
  </si>
  <si>
    <t>CONC. 2100 (PROSUM)</t>
  </si>
  <si>
    <t>"PATAGONIA ENERGY S.A. S/ NOTIFICACIÓN ART. 9 DE LA LEY 27.442 (CONC 2100)”</t>
  </si>
  <si>
    <t>RESFC-2026-45-APN-TDC#ANC</t>
  </si>
  <si>
    <t>RE-2026-72447351-APN-SCE#ANC</t>
  </si>
  <si>
    <t>Exploración y explotación de hidrocarburos</t>
  </si>
  <si>
    <t>CONC. 2112/2113/2114 (PROSUM)</t>
  </si>
  <si>
    <t>"PETERSEN PROYECTOS INMOBILIARIOS S.A. S/ NOTIFICACIÓN ART. 9 DE LA LEY 27.442" (CONC. 2112) y sus acumulados EX-2026- 52471058- -APN-DR#CNDC, caratulado “BANCO DE SAN JUAN S.A., NUEVO BANCO DE SANTA FE S.A. Y NUEVO BANCO DE ENTRE RÍOS S.A.S/ NOTIFICACIÓN ART. 9 DE LA LEY 27.442" (CONC. 2113)” y EX-2026-52479445- -APN-DR#CNDC, caratulado "TERRA INVESTMENT S.A. Y CORBLAIR S.A/ NOTIFICACIÓN ART. 9 DE LA LEY 27.442" (CONC. 2114)</t>
  </si>
  <si>
    <t>RESFC-2026-46-APN-TDC#ANC</t>
  </si>
  <si>
    <t>RE-2026-72865963-APN-SCE%ANC</t>
  </si>
  <si>
    <t>mercado de edificios destinados a oficinas</t>
  </si>
  <si>
    <t>CONC. 2124 (PROSUM)</t>
  </si>
  <si>
    <t>IRSA INVERSIONES Y REPRESENTACIONES
SOCIEDAD ANÓNIMA (TIENDA LOS GALLEGOS S.A.) S/ NOTIFICACIÓN ART. 9 DE LA LEY 27.442 (CON.2124)</t>
  </si>
  <si>
    <t>DI-2026-82-APN-SCE#ANC</t>
  </si>
  <si>
    <t>IF-2026-74916371-APN-DNCE#CNDC</t>
  </si>
  <si>
    <t>desarrollo, explotación y administración de shoppings centers</t>
  </si>
  <si>
    <t>CONC. 2133 (PROSUM)</t>
  </si>
  <si>
    <t>ENI
ARGENTINA LNG B.V. Y XRG ARG LIMITED S/ NOTIFICACIÓN ART. 9 DE LA LEY 27.442  (CONC 2133).</t>
  </si>
  <si>
    <t>DI-2026-83-APN-SCE#ANC</t>
  </si>
  <si>
    <t>IF-2026-75566650-APN-DNCE#CNDC</t>
  </si>
  <si>
    <t>mercado de exploración y explotación de petróleo y gas</t>
  </si>
  <si>
    <t>CONC. 2104 (PROSUM)</t>
  </si>
  <si>
    <t>"PAN AMERICAN ENERGY, S.L., SUC. ARG. Y TANGO ENERGY ARGENTINA S.A., S/NOTIFICACIÓN ART.9 DE LA LEY 27.442" (CONC. 2104).</t>
  </si>
  <si>
    <t>Resolución TDC | Art. 7º y 9º, Ley 27.442</t>
  </si>
  <si>
    <t>RESFC-2026-49-APN-TDC#ANC</t>
  </si>
  <si>
    <t>RE-2026-77038806-APN-SCE#ANC</t>
  </si>
  <si>
    <t>CONC. 2139 (PROSUM)</t>
  </si>
  <si>
    <t>"CABO VÍRGENES S.A. (FOOD PARTNERS PATAGONIA S.A.) S/ NOTIFICACIÓN ART.9 DE LA LEY 27.442" (CONC.2139)</t>
  </si>
  <si>
    <t>DI-2026-85-APN-SCE#ANC</t>
  </si>
  <si>
    <t>IF-2026-77492072-APN-DNCE#CNDC</t>
  </si>
  <si>
    <t>actividad de pesca del langostino para exportación // actividad de pesca de langostino, aguas arriba, y  procesamiento de langostino, aguas abajo.</t>
  </si>
  <si>
    <t>CONC. 2093 (PROSUM)</t>
  </si>
  <si>
    <t>"NOBLEZA CAPITAL S.A. Y QUALITY INVEST S.A. S/ NOTIFICACIÓN ART. 9 DE LA LEY 27.442" (CONC 2093).</t>
  </si>
  <si>
    <t>DI-2026-86-APN-SCE#ANC</t>
  </si>
  <si>
    <t>IF-2026-77884144-APN-DNCE#CNDC</t>
  </si>
  <si>
    <t>inversiones, desarrollos y actividades inmobiliarias</t>
  </si>
  <si>
    <t>CONC. 2111 (PROSUM)</t>
  </si>
  <si>
    <t>"CHS DE ARGENTINA S.A.S/ NOTIFICACIÓN ART. 9 DE LA LEY 27.442 (CONC 2111)”.</t>
  </si>
  <si>
    <t>RESFC-2026-50-APN-TDC#ANC</t>
  </si>
  <si>
    <t>RE-2026-78194363-APN-SCE%ANC</t>
  </si>
  <si>
    <t>Productos agricolas</t>
  </si>
  <si>
    <t>VERIFICAR: RESFC-2026-50 figura firmada el 14/08/2026 en RESO FIRMADAS 2026 v2 y el 13/08/2026 en RESOLUCIONES AGOSTO 2026. Se dejó el 14/08.</t>
  </si>
  <si>
    <t>CONC. 2128 (PROSUM)</t>
  </si>
  <si>
    <t>"PECOM SERVICIOS ENERGÍA S.A.U. Y SAN BENITO UPSTREAM S.A.U. S/ NOTIFICACIÓN ART. 9 DE LA LEY 27.442" (CONC 2128).</t>
  </si>
  <si>
    <t>DI-2026-88-APN-SCE#ANC</t>
  </si>
  <si>
    <t>IF-2026-78760940-APN-DNCE-CNDC</t>
  </si>
  <si>
    <t>CONC. 2137 (PROSUM)</t>
  </si>
  <si>
    <t>BROOKFIELD ASSET MANAGEMENT LTD. S/NOTIFICACIÓN ART.9 DE LA LEY 27.442 (CONC 2137)</t>
  </si>
  <si>
    <t>DI-2026-89-APN-SCE#ANC</t>
  </si>
  <si>
    <t>IF-2026-78760522-APN-DNCE#CNDC</t>
  </si>
  <si>
    <t>Leasing seco de aviones</t>
  </si>
  <si>
    <t>CONC.2095</t>
  </si>
  <si>
    <t>“IAG CARGO LIMITED Y OTROS S/ NOTIFICACIÓN ART. 9 DE LA LEY 27.442 (CONC. 2095)”</t>
  </si>
  <si>
    <t>RESFC-2026-52-APN-TDC#ANC</t>
  </si>
  <si>
    <t>RE-2026-83965850-APN-SCE%ANC</t>
  </si>
  <si>
    <t>servicio de transporte aéreo de carga desde y hacia Argentina, a lo largo de diversas rutas</t>
  </si>
  <si>
    <t>N_Expediente</t>
  </si>
  <si>
    <t>Resuelto</t>
  </si>
  <si>
    <t>9/4/25 partes piden prorroga. El 25/4/25 prórroga x 5 dias</t>
  </si>
  <si>
    <t xml:space="preserve">EX-2024-110951912-   -APN-DR#CNDC
</t>
  </si>
  <si>
    <t>BUENOS AIRES SERVICIOS DE SALUD (BASA) S.A. UTE S/SOLICITUD DE OPINION CONSULTIVA ART. 10 DE LA LEY 27.442. ” (OPI 368)</t>
  </si>
  <si>
    <t>TENEMOS DICTAMEN PARA CIRCULAR- 10 dias: 20/05/2025
15 días:    27/05/2025</t>
  </si>
  <si>
    <t>OPI 368</t>
  </si>
  <si>
    <t>Observada el 25/04/2025</t>
  </si>
  <si>
    <t>EX-2024-122871991-   -APN-DR#CNDC</t>
  </si>
  <si>
    <t xml:space="preserve"> FARMAOYTE S.A. S/SOLICITUD DE OPINION CONSULTIVA ART. 10 DE LA LEY 27.442 ” (OPI 370)</t>
  </si>
  <si>
    <t>SOTO</t>
  </si>
  <si>
    <t>TENEMOS DICTAMEN PARA CIRCULAR 10 días: 20/5/2025
15 días: 27/5/2025</t>
  </si>
  <si>
    <t>EX-2024-126070135- -APN-DR#CNDC</t>
  </si>
  <si>
    <t>"BRINK’S ARGENTINA S.A. S/ OPINION CONSULTIVA ART. 10º DE LA LEY 27.442 (OPI 371)".</t>
  </si>
  <si>
    <t xml:space="preserve">Circula desde el 3/4 - Los 10 días 14/05 Los 15 días  21/05 </t>
  </si>
  <si>
    <t>En análisis</t>
  </si>
  <si>
    <t>present de partes del 22/04/25</t>
  </si>
  <si>
    <t>EX-2024-139539345- -APN-DR#CNDC</t>
  </si>
  <si>
    <t>VMOS S.A. S/SOLICITUD OPINION CONSULTIVA ART. 10 LEY 27.442. (OPI. 372)</t>
  </si>
  <si>
    <t>EX-2024-140875835- -APN-DR#CNDC</t>
  </si>
  <si>
    <t xml:space="preserve"> LITION ENERGY HOLDING ARGENTINA S.A.U. Y LITHOS ENERGÍA S/SOLICITUD DE OPINIÓN CONSULTIVA ART. 10 DE LA LEY 27.442. (OPI. 373)</t>
  </si>
  <si>
    <t>12/5 PASÓ A CIRCULAR NUEVAMENTE 10 dìas vencen el 23/5/25 15 dias vencen el 30/5/2025</t>
  </si>
  <si>
    <t>present del 28/4 pero ya salio la obs sigue observada</t>
  </si>
  <si>
    <t>EX-2024-142741070-   -APN-DR#CNDC</t>
  </si>
  <si>
    <t>MOLINOS AGRO S.A. S/SOLICITUD DE OPINION CONSULTIVA ART. 10 DE LA LEY 27.442. (OPI. 374)</t>
  </si>
  <si>
    <t>dictamen circula desde 10/4/2025</t>
  </si>
  <si>
    <t>OPI 374</t>
  </si>
  <si>
    <t>present. Del 15/4/25</t>
  </si>
  <si>
    <t xml:space="preserve">EX-2025-00740811-   -APN-DR#CNDC
</t>
  </si>
  <si>
    <t xml:space="preserve"> CERRO VANGUARDIA S.A. S/SOLICITUD DE OPINION CONSULTIVA ART. 10 DE LA LEY 27.442. (OPI. 375)".
</t>
  </si>
  <si>
    <t>Observada el 24/4/25</t>
  </si>
  <si>
    <t>EX-2025-21370000- -APN-DR#CNDC</t>
  </si>
  <si>
    <t>BANCO SANTANDER S.A. S/ OPINION CONSULTIVA ART. 10º DE LA LEY 27.442</t>
  </si>
  <si>
    <t>FLORES</t>
  </si>
  <si>
    <t>EX-2025-21880905- -APN-DR#CNDC</t>
  </si>
  <si>
    <t>PAN AMERICAN ENERGY SL E YPF S.A. S/ OPINION CONSULTIVA ART. 10º DE LA LEY 27.442.</t>
  </si>
  <si>
    <t>Dictamen desde 3/4/2025 -- 10 dias vencen el 29/4/25
15 dias vencen el 8/5/25</t>
  </si>
  <si>
    <t>RELACION CON OPI 372. present del 19/3/2025. Pv del 25/3/25 se acumula a la opi 372</t>
  </si>
  <si>
    <t>EX-2025-25804408- -APN-DR#CNDC</t>
  </si>
  <si>
    <t>SHELL ARGENTINA S.A. S/ OPINION CONSULTIVA ART. 10º DE LA LEY 27.442 ” (OPI 378)</t>
  </si>
  <si>
    <t>OPI 378</t>
  </si>
  <si>
    <t>RELACION CON OPI 372. pv se acumula a la opi 372 el 25/3/2025</t>
  </si>
  <si>
    <t>EX-2025-26650178-   -APN-DR#CNDC</t>
  </si>
  <si>
    <t xml:space="preserve"> CHEVRON ARGENTINA S.R.L. S/ OPINION CONSULTIVA ART. 10º DE LA LEY 27.442. ” (OPI 379)</t>
  </si>
  <si>
    <t>OPI 379</t>
  </si>
  <si>
    <t>EX-2025-46434001- -APN-DR#CNDC</t>
  </si>
  <si>
    <t>"Tether Investments S.A. de C.V. S/ OPINION CONSULTIVA ART. 10º DE LA LEY 27.442” (OPI 380)</t>
  </si>
  <si>
    <t>Instruccion</t>
  </si>
  <si>
    <t>EX-2025-63923480- -APN-DR#CNDC</t>
  </si>
  <si>
    <t>" Y.P.F. S.A. Y FOMENTO MINERO DE  SANTA CRUZ SOCIEDAD DEL  ESTADO S/ OPINION CONSULTIVA ART. 10º DE LA LEY 27.442” (OPI 381)"</t>
  </si>
  <si>
    <t>OPI 382</t>
  </si>
  <si>
    <t>OPI 384</t>
  </si>
  <si>
    <t>OPI 389</t>
  </si>
  <si>
    <t>EX-2019-49044591-APN-DGD#MPYT</t>
  </si>
  <si>
    <t>ADMINISTRATIVE PROCESSING CENTER S.A. S/ CONSULTA INTERPRETACIÓN LEY 25.156</t>
  </si>
  <si>
    <t>OPI 229</t>
  </si>
  <si>
    <t>apelada. Firmada resol apel el 22/12/2022.  ¨Proyecto memo por REX tema apelación opi y efecto denegado y abre queja (11/10/2023)</t>
  </si>
  <si>
    <t>EX-2022-13631557--APN-DR#CNDC</t>
  </si>
  <si>
    <t>MIRGOR S.A.C.I.F.I.A. S/ OPINION CONSULTIVA ART. 10º DE LA LEY 27.442 (OPI 343)"</t>
  </si>
  <si>
    <t>OPI 343</t>
  </si>
  <si>
    <t>Estado</t>
  </si>
  <si>
    <t>Abogado 1°</t>
  </si>
  <si>
    <t>Abogado 2°</t>
  </si>
  <si>
    <t>Economista 1°</t>
  </si>
  <si>
    <t>Economista 2°</t>
  </si>
  <si>
    <t xml:space="preserve">DP </t>
  </si>
  <si>
    <t>EX-2024-40291758- -APN-DGDMDP#MEC</t>
  </si>
  <si>
    <t>DP.131 - DIGITAL PLAY S.A. S/DILIGENCIA PRELIMINAR CUMPLIMIENTO ART 10 LEY
27.442</t>
  </si>
  <si>
    <t>DP 131</t>
  </si>
  <si>
    <t>dispo rel hechos firmada el 31/1/2025</t>
  </si>
  <si>
    <t>EX-2024-56170540- -APN-DGDMDP#MEC</t>
  </si>
  <si>
    <t>DP.139 - LITHIUM AMERICAN CORP. Y MILLENNIAL LITHIUM CORP. S/DILIGENCIA PRELIMINAR CUMPLIMIENTO ART 10 LEY 27.442.</t>
  </si>
  <si>
    <t>DP 139</t>
  </si>
  <si>
    <t>DISPO REL HECHOS FIRMADA EL 4/12/2024</t>
  </si>
  <si>
    <t>EX-2024-119577485- -APN-DGDMDP#MEC</t>
  </si>
  <si>
    <t>VITERRA ARGENTINA S.A. S/DILIGENCIA PRELIMINAR CUMPLIMIENTO ART 10 LEY 27.442.</t>
  </si>
  <si>
    <t>DP 140</t>
  </si>
  <si>
    <t>EX-2024--127652647 -APN-DGDMDP#MEC</t>
  </si>
  <si>
    <t xml:space="preserve">DP. 141 - MICROSOFT Y ACTIVISION BLIZZARD S/DILIGENCIA PRELIMINAR CUMPLIMIENTO ART. 10 LEY 27.442
</t>
  </si>
  <si>
    <t>DP 141</t>
  </si>
  <si>
    <t>dispo rel hechos firmada el 19/12/24. 11/4/2025 pide info a PETERSEN</t>
  </si>
  <si>
    <t>EX-2024--127742916- APN-DGDMDP#MEC</t>
  </si>
  <si>
    <t xml:space="preserve">DP. 142 - PETERSEN S.A. S/DILIGENCIA PRELIMINAR CUMPLIMIENTO ART. 10 LEY 27.442
</t>
  </si>
  <si>
    <t>ROSOSKA</t>
  </si>
  <si>
    <t>DP 142</t>
  </si>
  <si>
    <t>dispo rel hechos firmada el 2/1/2025. 13/3/25 ap y pide info</t>
  </si>
  <si>
    <t>EX-2024-135824562- -APN-DGDMDP#MEC</t>
  </si>
  <si>
    <t>DP.144 - GRUB S.A. S/DILIGENCIA PRELIMINAR CUMPLIMIENTO ART. 10 LEY 27.442.</t>
  </si>
  <si>
    <t>DP 144</t>
  </si>
  <si>
    <t>EX-2024-141734734- -APN-DGDMDP#MEC</t>
  </si>
  <si>
    <t>DP. 145 - THE CARLYLE GROUP, INC S/DILIGENCIA PRELIMINAR CUMPLIMIENTO ART. 10 LEY 27.442.</t>
  </si>
  <si>
    <t>DP 145</t>
  </si>
  <si>
    <t>EX-2017-22435551- -APN-DDYME#MP</t>
  </si>
  <si>
    <t>FERNANDO MARTÍN GIMÉNEZ Y TRANSPORTES UNIDOS DEL SUD S.R.L. S/ DILIGENCIA PRELIMINAR CUMPLIMIENTO ARTÍCULO 8° LEY N° 25.156</t>
  </si>
  <si>
    <t>Dictamen de archivo desde 2024</t>
  </si>
  <si>
    <t>DP 105</t>
  </si>
  <si>
    <t>EX-2024-56141679- -APN-DGDMDP#MEC</t>
  </si>
  <si>
    <t>DP. 137 - COCOS CAPITAL S.A. Y ALAMERICA SOCIEDAD GERENTE DE FONDOS DE INVERSIÓN S.A. S/DILIGENCIA PRELIMINAR CUMPLIMIENTO ART. 10 LEY 27.442.</t>
  </si>
  <si>
    <t>Dictamen de archivo desde 26/2/2025</t>
  </si>
  <si>
    <t>DP 137</t>
  </si>
  <si>
    <t>S01:0026074/2012</t>
  </si>
  <si>
    <t>“CATEDRAL ALTA PATAGONIA S.A. S/ DILIGENCIA PRELIMINAR CUMPLIMIENTO ARTÍCULO 8° LEY N° 25.156 (DP. N° 77)</t>
  </si>
  <si>
    <t>DP 77</t>
  </si>
  <si>
    <t>Estados — concentraciones</t>
  </si>
  <si>
    <t>Estados — OPIs</t>
  </si>
  <si>
    <t>Estados — DP</t>
  </si>
  <si>
    <t>Tipo de trámite</t>
  </si>
  <si>
    <t>Pendiente de presentación</t>
  </si>
  <si>
    <t>Observado</t>
  </si>
  <si>
    <t>IT circulando</t>
  </si>
  <si>
    <t>Para resolución</t>
  </si>
  <si>
    <t>Relación de hechos</t>
  </si>
  <si>
    <t>Relación de hechos - prueba</t>
  </si>
  <si>
    <t>Acumulado</t>
  </si>
  <si>
    <t>Desistida</t>
  </si>
  <si>
    <t>CONC. 2130</t>
  </si>
  <si>
    <t>CONC. 2067</t>
  </si>
  <si>
    <t>CONC. 2135</t>
  </si>
  <si>
    <t>CONC. 2117</t>
  </si>
  <si>
    <t>CONC. 2138</t>
  </si>
  <si>
    <t>EX-2026-83951234- -APN-DR#CNDC</t>
  </si>
  <si>
    <t>" VISA INTERNATIONAL ASSOCIATION SERVICES S/NOTIFICACIÓN ART.9 DE LA LEY 27.442 (VISA OPEN CONNECT LIMITED) " (CONC 2146)</t>
  </si>
  <si>
    <t>EX-2026-85429159- -APN-DR#CNDC</t>
  </si>
  <si>
    <t> TRANSMISIÓN ELECTRICA S.A. S/NOTIFICACIÓN ART.9 DE LA LEY 27.442 (COMPAÑIA INVERSORA EN TRANSMISIÓN ELECTRICA CITELEC S.A.) " (CONC 2147)</t>
  </si>
  <si>
    <t>EX-2026-86532662-APN-DR#CNDC</t>
  </si>
  <si>
    <t>  LATAM DOWNSTREAM HOLDINGS LTD S/NOTIFICACIÓN ART.9 DE LA LEY 27.442  " (CONC 2148)</t>
  </si>
  <si>
    <t>EX-2026-87042955-APN-DR#CNDC</t>
  </si>
  <si>
    <t>" JOSÉ MARÍA LARROCA S/NOTIFICACIÓN ART.9 DE LA LEY 27.442 " (CONC 2149)</t>
  </si>
  <si>
    <t>EX-2026-88644548- -APN-DR#CNDC</t>
  </si>
  <si>
    <t>" INGENIOS DEL NORTE S.A. Y SANTIAGO BLAQUIER S/NOTIFICACIÓN ART.9 DE LA LEY 27.442 " (CONC 2150)</t>
  </si>
  <si>
    <t>EX-2026-91135233- -APN-DR#CNDC</t>
  </si>
  <si>
    <t>" OCP NUTRICORPS S.A. Y KAES PHOSPHATE HOLDINGS, LLC S/NOTIFICACIÓN ART.9 DE LA LEY 27.442 " (CONC 2151)</t>
  </si>
  <si>
    <t>2152</t>
  </si>
  <si>
    <t>EX-2026-91829918- -APN-DR#CNDC</t>
  </si>
  <si>
    <t>"LABORATORIOS ROWE S.R.L. Y MEGA PHARMA HOLDING URUGUAY S.A. S/NOTIFICACIÓN ART.9 DE LA LEY 27.442 " (CONC 2152)</t>
  </si>
  <si>
    <t>EX-2026-92531501-APN-DR#CNDC</t>
  </si>
  <si>
    <t>" BANCO PATAGONIA S.A. S/NOTIFICACIÓN ART.9 DE LA LEY 27.442 " (CONC 2153)</t>
  </si>
  <si>
    <t>2153</t>
  </si>
  <si>
    <t>CONC.2090</t>
  </si>
  <si>
    <t>"BANCO MACRO S.A. S/NOTIFICACIÓN ART.9 DE LA LEY 27.442” (CONC 2090).</t>
  </si>
  <si>
    <t>CONC.2145</t>
  </si>
  <si>
    <t>"FORWARD S.A.R.L S/ NOTIFICACIÓN ART. 9 DE LA LEY 27.442" (CONC 2145)</t>
  </si>
  <si>
    <t>DI-2026-100-APN-SCE#ANC</t>
  </si>
  <si>
    <t>IF-2026-95901652-APN-DNCE#CNDC</t>
  </si>
  <si>
    <t>mercado de aguas y bebidas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</si>
</sst>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mm:ss"/>
    <numFmt numFmtId="165" formatCode="dd/mm/yyyy"/>
    <numFmt numFmtId="166" formatCode="0.0"/>
  </numFmts>
  <fonts count="13" x14ac:knownFonts="1">
    <font>
      <sz val="11"/>
      <color theme="1"/>
      <name val="Calibri"/>
      <family val="2"/>
      <scheme val="minor"/>
    </font>
    <font>
      <sz val="11"/>
      <name val="Calibri"/>
      <family val="2"/>
    </font>
    <font>
      <sz val="10"/>
      <name val="Calibri Light"/>
      <family val="2"/>
      <scheme val="major"/>
    </font>
    <font>
      <sz val="10"/>
      <name val="Arial"/>
      <family val="2"/>
    </font>
    <font>
      <sz val="11"/>
      <color theme="1"/>
      <name val="Calibri"/>
      <family val="2"/>
      <scheme val="minor"/>
    </font>
    <font>
      <sz val="11"/>
      <color rgb="FF000000"/>
      <name val="Arial"/>
      <family val="2"/>
    </font>
    <font>
      <u/>
      <sz val="11"/>
      <color theme="1"/>
      <name val="Calibri"/>
      <family val="2"/>
      <scheme val="minor"/>
    </font>
    <font>
      <b/>
      <sz val="11"/>
      <color rgb="FFFFFFFF"/>
      <name val="Calibri"/>
      <family val="2"/>
    </font>
    <font>
      <b/>
      <sz val="14"/>
      <color rgb="FFFFFFFF"/>
      <name val="Calibri"/>
      <family val="2"/>
    </font>
    <font>
      <b/>
      <sz val="10"/>
      <color rgb="FFFFFFFF"/>
      <name val="Calibri"/>
      <family val="2"/>
    </font>
    <font>
      <b/>
      <sz val="10"/>
      <name val="Calibri"/>
      <family val="2"/>
    </font>
    <font>
      <sz val="10"/>
      <name val="Calibri"/>
      <family val="2"/>
    </font>
    <font>
      <i/>
      <sz val="8"/>
      <color rgb="FF808080"/>
      <name val="Calibri"/>
      <family val="2"/>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indexed="44"/>
        <bgColor indexed="64"/>
      </patternFill>
    </fill>
    <fill>
      <patternFill patternType="solid">
        <fgColor rgb="FFFFFFCC"/>
      </patternFill>
    </fill>
    <fill>
      <patternFill patternType="solid">
        <fgColor rgb="FFFFF2CC"/>
      </patternFill>
    </fill>
    <fill>
      <patternFill patternType="solid">
        <fgColor rgb="FFFFF2CC"/>
      </patternFill>
    </fill>
    <fill>
      <patternFill patternType="solid">
        <fgColor rgb="FFFCE4D6"/>
      </patternFill>
    </fill>
    <fill>
      <patternFill patternType="solid">
        <fgColor rgb="FF2E75B6"/>
      </patternFill>
    </fill>
    <fill>
      <patternFill patternType="solid">
        <fgColor rgb="FF1F4E79"/>
      </patternFill>
    </fill>
    <fill>
      <patternFill patternType="solid">
        <fgColor rgb="FFDCE6F1"/>
      </patternFill>
    </fill>
    <fill>
      <patternFill patternType="solid">
        <fgColor rgb="FFF2F2F2"/>
      </patternFill>
    </fill>
    <fill>
      <patternFill patternType="solid">
        <fgColor rgb="FFE2EFDA"/>
      </patternFill>
    </fill>
    <fill>
      <patternFill patternType="solid">
        <fgColor rgb="FFFCE4E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medium">
        <color indexed="64"/>
      </left>
      <right/>
      <top style="medium">
        <color indexed="64"/>
      </top>
      <bottom style="medium">
        <color indexed="64"/>
      </bottom>
      <diagonal/>
    </border>
    <border>
      <left style="thin">
        <color rgb="FFBFBFBF"/>
      </left>
      <right style="medium">
        <color indexed="64"/>
      </right>
      <top style="medium">
        <color indexed="64"/>
      </top>
      <bottom style="medium">
        <color indexed="64"/>
      </bottom>
      <diagonal/>
    </border>
  </borders>
  <cellStyleXfs count="4">
    <xf numFmtId="0" fontId="0" fillId="0" borderId="0"/>
    <xf numFmtId="0" fontId="4" fillId="5" borderId="3"/>
    <xf numFmtId="0" fontId="3" fillId="0" borderId="0"/>
    <xf numFmtId="0" fontId="4" fillId="0" borderId="0"/>
  </cellStyleXfs>
  <cellXfs count="62">
    <xf numFmtId="0" fontId="0" fillId="0" borderId="0" xfId="0"/>
    <xf numFmtId="0" fontId="1" fillId="0" borderId="1" xfId="0" applyFont="1" applyBorder="1" applyAlignment="1">
      <alignment horizontal="center" vertical="center" wrapText="1"/>
    </xf>
    <xf numFmtId="14" fontId="1" fillId="0" borderId="1" xfId="0" applyNumberFormat="1" applyFont="1" applyBorder="1" applyAlignment="1">
      <alignment horizontal="center" vertical="center" wrapText="1"/>
    </xf>
    <xf numFmtId="0" fontId="0" fillId="0" borderId="1" xfId="0" applyBorder="1" applyAlignment="1">
      <alignment horizontal="center"/>
    </xf>
    <xf numFmtId="14"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xf>
    <xf numFmtId="0" fontId="1" fillId="0" borderId="1" xfId="0" applyFont="1" applyBorder="1" applyAlignment="1">
      <alignment horizontal="center" wrapText="1"/>
    </xf>
    <xf numFmtId="0" fontId="1" fillId="0" borderId="1" xfId="0" applyFont="1" applyBorder="1" applyAlignment="1">
      <alignment vertical="center" wrapText="1"/>
    </xf>
    <xf numFmtId="0" fontId="0" fillId="0" borderId="1" xfId="0" applyBorder="1" applyAlignment="1">
      <alignment horizontal="center" wrapText="1"/>
    </xf>
    <xf numFmtId="14" fontId="1" fillId="3" borderId="1"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wrapText="1"/>
    </xf>
    <xf numFmtId="14" fontId="2" fillId="4" borderId="2" xfId="0" applyNumberFormat="1" applyFont="1" applyFill="1" applyBorder="1" applyAlignment="1">
      <alignment horizontal="center" vertical="center" wrapText="1"/>
    </xf>
    <xf numFmtId="0" fontId="1" fillId="0" borderId="4" xfId="0" applyFont="1" applyBorder="1" applyAlignment="1">
      <alignment horizontal="center" vertical="center" wrapText="1"/>
    </xf>
    <xf numFmtId="14" fontId="0" fillId="0" borderId="0" xfId="0" applyNumberFormat="1"/>
    <xf numFmtId="14" fontId="0" fillId="2" borderId="0" xfId="0" applyNumberFormat="1" applyFill="1"/>
    <xf numFmtId="0" fontId="0" fillId="2" borderId="0" xfId="0" applyFill="1"/>
    <xf numFmtId="1" fontId="0" fillId="0" borderId="0" xfId="0" applyNumberFormat="1"/>
    <xf numFmtId="0" fontId="0" fillId="6" borderId="0" xfId="0" applyFill="1"/>
    <xf numFmtId="14" fontId="0" fillId="6" borderId="0" xfId="0" applyNumberFormat="1" applyFill="1"/>
    <xf numFmtId="0" fontId="6" fillId="0" borderId="0" xfId="0" applyFont="1"/>
    <xf numFmtId="49" fontId="0" fillId="2" borderId="0" xfId="0" applyNumberFormat="1" applyFill="1"/>
    <xf numFmtId="49" fontId="0" fillId="0" borderId="0" xfId="0" applyNumberFormat="1"/>
    <xf numFmtId="49" fontId="6" fillId="0" borderId="0" xfId="0" applyNumberFormat="1" applyFont="1"/>
    <xf numFmtId="14" fontId="0" fillId="7" borderId="0" xfId="0" applyNumberFormat="1" applyFill="1"/>
    <xf numFmtId="49" fontId="6" fillId="7" borderId="0" xfId="0" applyNumberFormat="1" applyFont="1" applyFill="1"/>
    <xf numFmtId="0" fontId="9" fillId="9" borderId="5" xfId="0" applyFont="1" applyFill="1" applyBorder="1" applyAlignment="1">
      <alignment horizontal="left"/>
    </xf>
    <xf numFmtId="0" fontId="9" fillId="9" borderId="5" xfId="0" applyFont="1" applyFill="1" applyBorder="1" applyAlignment="1">
      <alignment horizontal="center"/>
    </xf>
    <xf numFmtId="0" fontId="10" fillId="0" borderId="5" xfId="0" applyFont="1" applyBorder="1" applyAlignment="1">
      <alignment horizontal="left" indent="1"/>
    </xf>
    <xf numFmtId="0" fontId="11" fillId="0" borderId="5" xfId="0" applyFont="1" applyBorder="1" applyAlignment="1">
      <alignment horizontal="left" indent="1"/>
    </xf>
    <xf numFmtId="1" fontId="11" fillId="0" borderId="5" xfId="0" applyNumberFormat="1" applyFont="1" applyBorder="1" applyAlignment="1">
      <alignment horizontal="center"/>
    </xf>
    <xf numFmtId="0" fontId="10" fillId="11" borderId="5" xfId="0" applyFont="1" applyFill="1" applyBorder="1" applyAlignment="1">
      <alignment horizontal="left" indent="1"/>
    </xf>
    <xf numFmtId="1" fontId="10" fillId="11" borderId="5" xfId="0" applyNumberFormat="1" applyFont="1" applyFill="1" applyBorder="1" applyAlignment="1">
      <alignment horizontal="center"/>
    </xf>
    <xf numFmtId="0" fontId="10" fillId="12" borderId="5" xfId="0" applyFont="1" applyFill="1" applyBorder="1" applyAlignment="1">
      <alignment horizontal="left" indent="1"/>
    </xf>
    <xf numFmtId="1" fontId="10" fillId="12" borderId="5" xfId="0" applyNumberFormat="1" applyFont="1" applyFill="1" applyBorder="1" applyAlignment="1">
      <alignment horizontal="center"/>
    </xf>
    <xf numFmtId="0" fontId="10" fillId="13" borderId="5" xfId="0" applyFont="1" applyFill="1" applyBorder="1" applyAlignment="1">
      <alignment horizontal="left" indent="1"/>
    </xf>
    <xf numFmtId="1" fontId="10" fillId="13" borderId="5" xfId="0" applyNumberFormat="1" applyFont="1" applyFill="1" applyBorder="1" applyAlignment="1">
      <alignment horizontal="center"/>
    </xf>
    <xf numFmtId="0" fontId="7" fillId="9" borderId="0" xfId="0" applyFont="1" applyFill="1"/>
    <xf numFmtId="0" fontId="0" fillId="14" borderId="0" xfId="0" applyFill="1"/>
    <xf numFmtId="0" fontId="5" fillId="7" borderId="0" xfId="0" applyFont="1" applyFill="1" applyAlignment="1">
      <alignment horizontal="center" vertical="center" wrapText="1"/>
    </xf>
    <xf numFmtId="49" fontId="0" fillId="7" borderId="0" xfId="0" applyNumberFormat="1" applyFill="1"/>
    <xf numFmtId="14" fontId="0" fillId="8" borderId="0" xfId="0" applyNumberFormat="1" applyFill="1"/>
    <xf numFmtId="0" fontId="0" fillId="7" borderId="0" xfId="0" applyFill="1"/>
    <xf numFmtId="49" fontId="0" fillId="8" borderId="0" xfId="0" applyNumberFormat="1" applyFill="1"/>
    <xf numFmtId="0" fontId="0" fillId="8" borderId="1" xfId="0" applyFill="1" applyBorder="1"/>
    <xf numFmtId="0" fontId="0" fillId="8" borderId="0" xfId="0" applyFill="1"/>
    <xf numFmtId="165" fontId="10" fillId="0" borderId="5" xfId="0" applyNumberFormat="1" applyFont="1" applyBorder="1" applyAlignment="1">
      <alignment horizontal="center"/>
    </xf>
    <xf numFmtId="165" fontId="11" fillId="0" borderId="5" xfId="0" applyNumberFormat="1" applyFont="1" applyBorder="1" applyAlignment="1">
      <alignment horizontal="center"/>
    </xf>
    <xf numFmtId="165" fontId="0" fillId="7" borderId="0" xfId="0" applyNumberFormat="1" applyFill="1"/>
    <xf numFmtId="0" fontId="0" fillId="0" borderId="0" xfId="0"/>
    <xf numFmtId="166" fontId="11" fillId="0" borderId="5" xfId="0" applyNumberFormat="1" applyFont="1" applyBorder="1" applyAlignment="1">
      <alignment horizontal="center"/>
    </xf>
    <xf numFmtId="166" fontId="0" fillId="0" borderId="0" xfId="0" applyNumberFormat="1"/>
    <xf numFmtId="164" fontId="0" fillId="7" borderId="0" xfId="0" applyNumberFormat="1" applyFill="1"/>
    <xf numFmtId="0" fontId="0" fillId="0" borderId="0" xfId="0"/>
    <xf numFmtId="166" fontId="11" fillId="0" borderId="6" xfId="0" applyNumberFormat="1" applyFont="1" applyBorder="1" applyAlignment="1">
      <alignment horizontal="center"/>
    </xf>
    <xf numFmtId="0" fontId="0" fillId="2" borderId="7" xfId="0" applyFill="1" applyBorder="1"/>
    <xf numFmtId="0" fontId="11" fillId="2" borderId="8" xfId="0" applyNumberFormat="1" applyFont="1" applyFill="1" applyBorder="1" applyAlignment="1">
      <alignment horizontal="center"/>
    </xf>
    <xf numFmtId="0" fontId="12" fillId="0" borderId="0" xfId="0" applyFont="1"/>
    <xf numFmtId="0" fontId="0" fillId="0" borderId="0" xfId="0"/>
    <xf numFmtId="0" fontId="8" fillId="10" borderId="0" xfId="0" applyFont="1" applyFill="1" applyAlignment="1">
      <alignment horizontal="center" vertical="center"/>
    </xf>
  </cellXfs>
  <cellStyles count="4">
    <cellStyle name="Normal" xfId="0" builtinId="0"/>
    <cellStyle name="Normal 2" xfId="2" xr:uid="{00000000-0005-0000-0000-000002000000}"/>
    <cellStyle name="Normal 3" xfId="3" xr:uid="{00000000-0005-0000-0000-000003000000}"/>
    <cellStyle name="Notas 2" xfId="1" xr:uid="{00000000-0005-0000-0000-000001000000}"/>
  </cellStyles>
  <dxfs count="7">
    <dxf>
      <fill>
        <patternFill patternType="solid">
          <fgColor rgb="FFFFF2CC"/>
        </patternFill>
      </fill>
    </dxf>
    <dxf>
      <font>
        <color rgb="FF9C0006"/>
      </font>
      <fill>
        <patternFill patternType="solid">
          <fgColor rgb="FFF4CCCC"/>
        </patternFill>
      </fill>
    </dxf>
    <dxf>
      <fill>
        <patternFill patternType="solid">
          <fgColor rgb="FFFCE4D6"/>
        </patternFill>
      </fill>
    </dxf>
    <dxf>
      <fill>
        <patternFill patternType="solid">
          <fgColor rgb="FFFFF2CC"/>
        </patternFill>
      </fill>
    </dxf>
    <dxf>
      <font>
        <color rgb="FF9C0006"/>
      </font>
      <fill>
        <patternFill patternType="solid">
          <fgColor rgb="FFF4CCCC"/>
        </patternFill>
      </fill>
    </dxf>
    <dxf>
      <fill>
        <patternFill patternType="solid">
          <fgColor rgb="FFFCE4D6"/>
        </patternFill>
      </fill>
    </dxf>
    <dxf>
      <font>
        <b/>
      </font>
      <fill>
        <patternFill patternType="solid">
          <fgColor rgb="FFFCE4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GB"/>
              <a:t>FIRMADAS POR TIPO DE TRÁMITE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110-4323-A4DB-C347F319078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110-4323-A4DB-C347F319078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110-4323-A4DB-C347F319078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110-4323-A4DB-C347F319078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110-4323-A4DB-C347F319078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C110-4323-A4DB-C347F31907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General!$B$38:$B$43</c:f>
              <c:strCache>
                <c:ptCount val="6"/>
                <c:pt idx="0">
                  <c:v>   Ordinaria</c:v>
                </c:pt>
                <c:pt idx="1">
                  <c:v>   DP</c:v>
                </c:pt>
                <c:pt idx="2">
                  <c:v>   Otros</c:v>
                </c:pt>
                <c:pt idx="3">
                  <c:v>   PROSUM</c:v>
                </c:pt>
                <c:pt idx="4">
                  <c:v>   OPI</c:v>
                </c:pt>
                <c:pt idx="5">
                  <c:v>   Condicionada</c:v>
                </c:pt>
              </c:strCache>
            </c:strRef>
          </c:cat>
          <c:val>
            <c:numRef>
              <c:f>General!$C$38:$C$43</c:f>
              <c:numCache>
                <c:formatCode>0</c:formatCode>
                <c:ptCount val="6"/>
                <c:pt idx="0">
                  <c:v>31</c:v>
                </c:pt>
                <c:pt idx="1">
                  <c:v>0</c:v>
                </c:pt>
                <c:pt idx="2">
                  <c:v>4</c:v>
                </c:pt>
                <c:pt idx="3">
                  <c:v>51</c:v>
                </c:pt>
                <c:pt idx="4">
                  <c:v>7</c:v>
                </c:pt>
                <c:pt idx="5">
                  <c:v>1</c:v>
                </c:pt>
              </c:numCache>
            </c:numRef>
          </c:val>
          <c:extLst>
            <c:ext xmlns:c16="http://schemas.microsoft.com/office/drawing/2014/chart" uri="{C3380CC4-5D6E-409C-BE32-E72D297353CC}">
              <c16:uniqueId val="{00000000-55A7-4BB5-B175-B816CCFCF2D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AR"/>
        </a:p>
      </c:txPr>
    </c:legend>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GB"/>
              <a:t>ANTIGUEDAD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AR"/>
        </a:p>
      </c:txPr>
    </c:title>
    <c:autoTitleDeleted val="0"/>
    <c:plotArea>
      <c:layout/>
      <c:barChart>
        <c:barDir val="bar"/>
        <c:grouping val="clustered"/>
        <c:varyColors val="0"/>
        <c:ser>
          <c:idx val="0"/>
          <c:order val="0"/>
          <c:tx>
            <c:strRef>
              <c:f>General!$B$46</c:f>
              <c:strCache>
                <c:ptCount val="1"/>
                <c:pt idx="0">
                  <c:v>Resolución — promedio histórico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General!$C$46</c:f>
              <c:numCache>
                <c:formatCode>0.0</c:formatCode>
                <c:ptCount val="1"/>
                <c:pt idx="0">
                  <c:v>13.200358422939074</c:v>
                </c:pt>
              </c:numCache>
            </c:numRef>
          </c:val>
          <c:extLst>
            <c:ext xmlns:c16="http://schemas.microsoft.com/office/drawing/2014/chart" uri="{C3380CC4-5D6E-409C-BE32-E72D297353CC}">
              <c16:uniqueId val="{00000000-CC1C-479A-8303-DFD915CFD8D2}"/>
            </c:ext>
          </c:extLst>
        </c:ser>
        <c:ser>
          <c:idx val="1"/>
          <c:order val="1"/>
          <c:tx>
            <c:strRef>
              <c:f>General!$B$47</c:f>
              <c:strCache>
                <c:ptCount val="1"/>
                <c:pt idx="0">
                  <c:v>Resolución — promedio año en curso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General!$C$47</c:f>
              <c:numCache>
                <c:formatCode>0.0</c:formatCode>
                <c:ptCount val="1"/>
                <c:pt idx="0">
                  <c:v>9.8663120567375895</c:v>
                </c:pt>
              </c:numCache>
            </c:numRef>
          </c:val>
          <c:extLst>
            <c:ext xmlns:c16="http://schemas.microsoft.com/office/drawing/2014/chart" uri="{C3380CC4-5D6E-409C-BE32-E72D297353CC}">
              <c16:uniqueId val="{00000001-CC1C-479A-8303-DFD915CFD8D2}"/>
            </c:ext>
          </c:extLst>
        </c:ser>
        <c:ser>
          <c:idx val="2"/>
          <c:order val="2"/>
          <c:tx>
            <c:strRef>
              <c:f>General!$B$48</c:f>
              <c:strCache>
                <c:ptCount val="1"/>
                <c:pt idx="0">
                  <c:v>Antigüedad del stock activo</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General!$C$48</c:f>
              <c:numCache>
                <c:formatCode>0.0</c:formatCode>
                <c:ptCount val="1"/>
                <c:pt idx="0">
                  <c:v>38.29388888888888</c:v>
                </c:pt>
              </c:numCache>
            </c:numRef>
          </c:val>
          <c:extLst>
            <c:ext xmlns:c16="http://schemas.microsoft.com/office/drawing/2014/chart" uri="{C3380CC4-5D6E-409C-BE32-E72D297353CC}">
              <c16:uniqueId val="{00000002-CC1C-479A-8303-DFD915CFD8D2}"/>
            </c:ext>
          </c:extLst>
        </c:ser>
        <c:ser>
          <c:idx val="3"/>
          <c:order val="3"/>
          <c:tx>
            <c:strRef>
              <c:f>General!$B$49</c:f>
              <c:strCache>
                <c:ptCount val="1"/>
                <c:pt idx="0">
                  <c:v>Antigüedad — caso más viejo en trámite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f>General!$C$49</c:f>
              <c:numCache>
                <c:formatCode>0.0</c:formatCode>
                <c:ptCount val="1"/>
                <c:pt idx="0">
                  <c:v>163.53333333333333</c:v>
                </c:pt>
              </c:numCache>
            </c:numRef>
          </c:val>
          <c:extLst>
            <c:ext xmlns:c16="http://schemas.microsoft.com/office/drawing/2014/chart" uri="{C3380CC4-5D6E-409C-BE32-E72D297353CC}">
              <c16:uniqueId val="{00000003-CC1C-479A-8303-DFD915CFD8D2}"/>
            </c:ext>
          </c:extLst>
        </c:ser>
        <c:dLbls>
          <c:showLegendKey val="0"/>
          <c:showVal val="0"/>
          <c:showCatName val="0"/>
          <c:showSerName val="0"/>
          <c:showPercent val="0"/>
          <c:showBubbleSize val="0"/>
        </c:dLbls>
        <c:gapWidth val="115"/>
        <c:overlap val="-20"/>
        <c:axId val="706334351"/>
        <c:axId val="911694879"/>
      </c:barChart>
      <c:catAx>
        <c:axId val="706334351"/>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911694879"/>
        <c:crosses val="autoZero"/>
        <c:auto val="1"/>
        <c:lblAlgn val="ctr"/>
        <c:lblOffset val="100"/>
        <c:noMultiLvlLbl val="0"/>
      </c:catAx>
      <c:valAx>
        <c:axId val="911694879"/>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06334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342900</xdr:colOff>
      <xdr:row>32</xdr:row>
      <xdr:rowOff>33337</xdr:rowOff>
    </xdr:from>
    <xdr:to>
      <xdr:col>15</xdr:col>
      <xdr:colOff>38100</xdr:colOff>
      <xdr:row>46</xdr:row>
      <xdr:rowOff>33337</xdr:rowOff>
    </xdr:to>
    <xdr:graphicFrame macro="">
      <xdr:nvGraphicFramePr>
        <xdr:cNvPr id="2" name="Gráfico 1">
          <a:extLst>
            <a:ext uri="{FF2B5EF4-FFF2-40B4-BE49-F238E27FC236}">
              <a16:creationId xmlns:a16="http://schemas.microsoft.com/office/drawing/2014/main" id="{0175710A-E053-4234-9C9E-229210C929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285750</xdr:colOff>
      <xdr:row>46</xdr:row>
      <xdr:rowOff>166687</xdr:rowOff>
    </xdr:from>
    <xdr:to>
      <xdr:col>14</xdr:col>
      <xdr:colOff>590550</xdr:colOff>
      <xdr:row>61</xdr:row>
      <xdr:rowOff>14287</xdr:rowOff>
    </xdr:to>
    <xdr:graphicFrame macro="">
      <xdr:nvGraphicFramePr>
        <xdr:cNvPr id="3" name="Gráfico 2">
          <a:extLst>
            <a:ext uri="{FF2B5EF4-FFF2-40B4-BE49-F238E27FC236}">
              <a16:creationId xmlns:a16="http://schemas.microsoft.com/office/drawing/2014/main" id="{FED71946-AE41-4710-B1DE-7A25E7D36E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mordelon.crabdance.com:2359/cxxc/usr_vistaprevia.asp?IdMov=33435" TargetMode="External"/><Relationship Id="rId13" Type="http://schemas.openxmlformats.org/officeDocument/2006/relationships/hyperlink" Target="http://mordelon.crabdance.com:2359/cxxc/usr_vistaprevia.asp?IdMov=33756" TargetMode="External"/><Relationship Id="rId18" Type="http://schemas.openxmlformats.org/officeDocument/2006/relationships/hyperlink" Target="http://mordelon.crabdance.com:2359/cxxc/usr_vistaprevia.asp?IdMov=34898" TargetMode="External"/><Relationship Id="rId26" Type="http://schemas.openxmlformats.org/officeDocument/2006/relationships/hyperlink" Target="http://mordelon.crabdance.com:2359/cxxc/usr_vistaprevia.asp?IdMov=33099" TargetMode="External"/><Relationship Id="rId3" Type="http://schemas.openxmlformats.org/officeDocument/2006/relationships/hyperlink" Target="http://mordelon.crabdance.com:2359/cxxc/usr_vistaprevia.asp?IdMov=33433" TargetMode="External"/><Relationship Id="rId21" Type="http://schemas.openxmlformats.org/officeDocument/2006/relationships/hyperlink" Target="http://mordelon.crabdance.com:2359/cxxc/usr_vistaprevia.asp?IdMov=34900" TargetMode="External"/><Relationship Id="rId7" Type="http://schemas.openxmlformats.org/officeDocument/2006/relationships/hyperlink" Target="http://mordelon.crabdance.com:2359/cxxc/usr_vistaprevia.asp?IdMov=33418" TargetMode="External"/><Relationship Id="rId12" Type="http://schemas.openxmlformats.org/officeDocument/2006/relationships/hyperlink" Target="http://mordelon.crabdance.com:2359/cxxc/usr_vistaprevia.asp?IdMov=33515" TargetMode="External"/><Relationship Id="rId17" Type="http://schemas.openxmlformats.org/officeDocument/2006/relationships/hyperlink" Target="http://mordelon.crabdance.com:2359/cxxc/usr_vistaprevia.asp?IdMov=33893" TargetMode="External"/><Relationship Id="rId25" Type="http://schemas.openxmlformats.org/officeDocument/2006/relationships/hyperlink" Target="http://mordelon.crabdance.com:2359/cxxc/usr_vistaprevia.asp?IdMov=33736" TargetMode="External"/><Relationship Id="rId2" Type="http://schemas.openxmlformats.org/officeDocument/2006/relationships/hyperlink" Target="http://mordelon.crabdance.com:2359/cxxc/usr_vistaprevia.asp?IdMov=33091" TargetMode="External"/><Relationship Id="rId16" Type="http://schemas.openxmlformats.org/officeDocument/2006/relationships/hyperlink" Target="http://mordelon.crabdance.com:2359/cxxc/usr_vistaprevia.asp?IdMov=34807" TargetMode="External"/><Relationship Id="rId20" Type="http://schemas.openxmlformats.org/officeDocument/2006/relationships/hyperlink" Target="http://mordelon.crabdance.com:2359/cxxc/usr_vistaprevia.asp?IdMov=33518" TargetMode="External"/><Relationship Id="rId1" Type="http://schemas.openxmlformats.org/officeDocument/2006/relationships/hyperlink" Target="http://mordelon.crabdance.com:2359/cxxc/usr_vistaprevia.asp?IdMov=33402" TargetMode="External"/><Relationship Id="rId6" Type="http://schemas.openxmlformats.org/officeDocument/2006/relationships/hyperlink" Target="http://mordelon.crabdance.com:2359/cxxc/usr_vistaprevia.asp?IdMov=33100" TargetMode="External"/><Relationship Id="rId11" Type="http://schemas.openxmlformats.org/officeDocument/2006/relationships/hyperlink" Target="http://mordelon.crabdance.com:2359/cxxc/usr_vistaprevia.asp?IdMov=33419" TargetMode="External"/><Relationship Id="rId24" Type="http://schemas.openxmlformats.org/officeDocument/2006/relationships/hyperlink" Target="http://mordelon.crabdance.com:2359/cxxc/usr_vistaprevia.asp?IdMov=34903" TargetMode="External"/><Relationship Id="rId5" Type="http://schemas.openxmlformats.org/officeDocument/2006/relationships/hyperlink" Target="http://mordelon.crabdance.com:2359/cxxc/usr_vistaprevia.asp?IdMov=33400" TargetMode="External"/><Relationship Id="rId15" Type="http://schemas.openxmlformats.org/officeDocument/2006/relationships/hyperlink" Target="http://mordelon.crabdance.com:2359/cxxc/usr_vistaprevia.asp?IdMov=33598" TargetMode="External"/><Relationship Id="rId23" Type="http://schemas.openxmlformats.org/officeDocument/2006/relationships/hyperlink" Target="http://mordelon.crabdance.com:2359/cxxc/usr_vistaprevia.asp?IdMov=35885" TargetMode="External"/><Relationship Id="rId28" Type="http://schemas.openxmlformats.org/officeDocument/2006/relationships/hyperlink" Target="http://mordelon.crabdance.com:2359/cxxc/usr_vistaprevia.asp?IdMov=43224" TargetMode="External"/><Relationship Id="rId10" Type="http://schemas.openxmlformats.org/officeDocument/2006/relationships/hyperlink" Target="http://mordelon.crabdance.com:2359/cxxc/usr_vistaprevia.asp?IdMov=33432" TargetMode="External"/><Relationship Id="rId19" Type="http://schemas.openxmlformats.org/officeDocument/2006/relationships/hyperlink" Target="http://mordelon.crabdance.com:2359/cxxc/usr_vistaprevia.asp?IdMov=33522" TargetMode="External"/><Relationship Id="rId4" Type="http://schemas.openxmlformats.org/officeDocument/2006/relationships/hyperlink" Target="http://mordelon.crabdance.com:2359/cxxc/usr_vistaprevia.asp?IdMov=33500" TargetMode="External"/><Relationship Id="rId9" Type="http://schemas.openxmlformats.org/officeDocument/2006/relationships/hyperlink" Target="http://mordelon.crabdance.com:2359/cxxc/usr_vistaprevia.asp?IdMov=33298" TargetMode="External"/><Relationship Id="rId14" Type="http://schemas.openxmlformats.org/officeDocument/2006/relationships/hyperlink" Target="http://mordelon.crabdance.com:2359/cxxc/usr_vistaprevia.asp?IdMov=33558" TargetMode="External"/><Relationship Id="rId22" Type="http://schemas.openxmlformats.org/officeDocument/2006/relationships/hyperlink" Target="http://mordelon.crabdance.com:2359/cxxc/usr_vistaprevia.asp?IdMov=34901" TargetMode="External"/><Relationship Id="rId27" Type="http://schemas.openxmlformats.org/officeDocument/2006/relationships/hyperlink" Target="http://mordelon.crabdance.com:2359/cxxc/usr_vistaprevia.asp?IdMov=4322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F72"/>
  <sheetViews>
    <sheetView showGridLines="0" workbookViewId="0">
      <pane ySplit="2" topLeftCell="A3" activePane="bottomLeft" state="frozen"/>
      <selection pane="bottomLeft" activeCell="C38" sqref="C38"/>
    </sheetView>
  </sheetViews>
  <sheetFormatPr baseColWidth="10" defaultColWidth="9.140625" defaultRowHeight="15" x14ac:dyDescent="0.25"/>
  <cols>
    <col min="1" max="1" width="3" style="51" customWidth="1"/>
    <col min="2" max="2" width="46" style="51" customWidth="1"/>
    <col min="3" max="3" width="14" style="51" customWidth="1"/>
    <col min="4" max="4" width="7.85546875" style="51" bestFit="1" customWidth="1"/>
    <col min="5" max="5" width="5" style="51" bestFit="1" customWidth="1"/>
  </cols>
  <sheetData>
    <row r="2" spans="2:6" ht="26.1" customHeight="1" x14ac:dyDescent="0.25">
      <c r="B2" s="61" t="s">
        <v>0</v>
      </c>
      <c r="C2" s="61"/>
      <c r="D2" s="61"/>
      <c r="E2" s="61"/>
      <c r="F2" s="61"/>
    </row>
    <row r="4" spans="2:6" ht="18" customHeight="1" x14ac:dyDescent="0.25">
      <c r="B4" s="28" t="s">
        <v>1</v>
      </c>
      <c r="C4" s="29" t="s">
        <v>2</v>
      </c>
    </row>
    <row r="5" spans="2:6" x14ac:dyDescent="0.25">
      <c r="B5" s="30" t="s">
        <v>3</v>
      </c>
      <c r="C5" s="48">
        <f ca="1">TODAY()</f>
        <v>46296</v>
      </c>
    </row>
    <row r="6" spans="2:6" x14ac:dyDescent="0.25">
      <c r="B6" s="31" t="s">
        <v>4</v>
      </c>
      <c r="C6" s="49">
        <f ca="1">DATE(YEAR($C$5),MONTH($C$5),1)</f>
        <v>46296</v>
      </c>
    </row>
    <row r="7" spans="2:6" x14ac:dyDescent="0.25">
      <c r="B7" s="31" t="s">
        <v>5</v>
      </c>
      <c r="C7" s="49">
        <f ca="1">EDATE($C$6,-1)</f>
        <v>46266</v>
      </c>
    </row>
    <row r="8" spans="2:6" x14ac:dyDescent="0.25">
      <c r="B8" s="31" t="s">
        <v>6</v>
      </c>
      <c r="C8" s="49">
        <f ca="1">DATE(YEAR($C$5),FLOOR((MONTH($C$5)-1)/3,1)*3+1,1)</f>
        <v>46296</v>
      </c>
    </row>
    <row r="9" spans="2:6" x14ac:dyDescent="0.25">
      <c r="B9" s="31" t="s">
        <v>7</v>
      </c>
      <c r="C9" s="49">
        <f ca="1">DATE(YEAR($C$5),1,1)</f>
        <v>46023</v>
      </c>
    </row>
    <row r="11" spans="2:6" ht="18" customHeight="1" x14ac:dyDescent="0.25">
      <c r="B11" s="28" t="s">
        <v>8</v>
      </c>
      <c r="C11" s="29" t="s">
        <v>9</v>
      </c>
    </row>
    <row r="12" spans="2:6" x14ac:dyDescent="0.25">
      <c r="B12" s="31" t="s">
        <v>10</v>
      </c>
      <c r="C12" s="32">
        <f>COUNTIF(evol_conc!$A:$A,"Pendiente de presentación")</f>
        <v>0</v>
      </c>
    </row>
    <row r="13" spans="2:6" x14ac:dyDescent="0.25">
      <c r="B13" s="31" t="s">
        <v>11</v>
      </c>
      <c r="C13" s="32">
        <f>COUNTIF(evol_conc!$A:$A,"Observado")</f>
        <v>0</v>
      </c>
    </row>
    <row r="14" spans="2:6" x14ac:dyDescent="0.25">
      <c r="B14" s="31" t="s">
        <v>12</v>
      </c>
      <c r="C14" s="32">
        <f>COUNTIF(evol_conc!$A:$A,"En análisis")</f>
        <v>0</v>
      </c>
    </row>
    <row r="15" spans="2:6" x14ac:dyDescent="0.25">
      <c r="B15" s="31" t="s">
        <v>13</v>
      </c>
      <c r="C15" s="32">
        <f>COUNTIF(evol_conc!$A:$A,"En instrucción")</f>
        <v>35</v>
      </c>
    </row>
    <row r="16" spans="2:6" x14ac:dyDescent="0.25">
      <c r="B16" s="31" t="s">
        <v>14</v>
      </c>
      <c r="C16" s="32">
        <f>COUNTIF(evol_conc!$A:$A,"Suspendida")</f>
        <v>6</v>
      </c>
    </row>
    <row r="17" spans="2:3" x14ac:dyDescent="0.25">
      <c r="B17" s="31" t="s">
        <v>15</v>
      </c>
      <c r="C17" s="32">
        <f>COUNTIF(evol_conc!$A:$A,"IT circulando")</f>
        <v>0</v>
      </c>
    </row>
    <row r="18" spans="2:3" x14ac:dyDescent="0.25">
      <c r="B18" s="31" t="s">
        <v>16</v>
      </c>
      <c r="C18" s="32">
        <f>COUNTIF(evol_conc!$A:$A,"Para resolución")</f>
        <v>0</v>
      </c>
    </row>
    <row r="19" spans="2:3" x14ac:dyDescent="0.25">
      <c r="B19" s="31" t="s">
        <v>17</v>
      </c>
      <c r="C19" s="32">
        <f>COUNTIF(evol_conc!$A:$A,"TDC")</f>
        <v>4</v>
      </c>
    </row>
    <row r="20" spans="2:3" x14ac:dyDescent="0.25">
      <c r="B20" s="31" t="s">
        <v>18</v>
      </c>
      <c r="C20" s="32">
        <f>COUNTIF(evol_conc!$A:$A,"Firmada")</f>
        <v>165</v>
      </c>
    </row>
    <row r="21" spans="2:3" x14ac:dyDescent="0.25">
      <c r="B21" s="31" t="s">
        <v>19</v>
      </c>
      <c r="C21" s="32">
        <f>COUNTIF(evol_conc!$A:$A,"Subordinada en cumplimiento")</f>
        <v>5</v>
      </c>
    </row>
    <row r="22" spans="2:3" x14ac:dyDescent="0.25">
      <c r="B22" s="31" t="s">
        <v>20</v>
      </c>
      <c r="C22" s="32">
        <f>COUNTIF(evol_conc!$A:$A,"Apelada")</f>
        <v>10</v>
      </c>
    </row>
    <row r="23" spans="2:3" x14ac:dyDescent="0.25">
      <c r="B23" s="31" t="s">
        <v>21</v>
      </c>
      <c r="C23" s="32">
        <f>COUNTIF(evol_conc!$A:$A,"Acumulado")</f>
        <v>0</v>
      </c>
    </row>
    <row r="24" spans="2:3" x14ac:dyDescent="0.25">
      <c r="B24" s="31" t="s">
        <v>22</v>
      </c>
      <c r="C24" s="32">
        <f>COUNTIF(evol_conc!$A:$A,"Archivo")</f>
        <v>1</v>
      </c>
    </row>
    <row r="25" spans="2:3" x14ac:dyDescent="0.25">
      <c r="B25" s="31" t="s">
        <v>23</v>
      </c>
      <c r="C25" s="32">
        <f>COUNTIF(evol_conc!$A:$A,"Desistida")</f>
        <v>0</v>
      </c>
    </row>
    <row r="26" spans="2:3" x14ac:dyDescent="0.25">
      <c r="B26" s="33" t="s">
        <v>24</v>
      </c>
      <c r="C26" s="34">
        <f>$C$12+$C$13+$C$14+$C$15+$C$16+$C$17+$C$18+$C$19</f>
        <v>45</v>
      </c>
    </row>
    <row r="27" spans="2:3" x14ac:dyDescent="0.25">
      <c r="B27" s="35" t="s">
        <v>25</v>
      </c>
      <c r="C27" s="36">
        <f>$C$20+$C$21+$C$22+$C$23+$C$24+$C$25</f>
        <v>181</v>
      </c>
    </row>
    <row r="29" spans="2:3" ht="18" customHeight="1" x14ac:dyDescent="0.25">
      <c r="B29" s="28" t="s">
        <v>26</v>
      </c>
      <c r="C29" s="29" t="s">
        <v>27</v>
      </c>
    </row>
    <row r="30" spans="2:3" x14ac:dyDescent="0.25">
      <c r="B30" s="31" t="s">
        <v>28</v>
      </c>
      <c r="C30" s="32">
        <f ca="1">COUNTIFS(firmadas!$F:$F,"&gt;="&amp;$C$5-30,firmadas!$F:$F,"&lt;="&amp;$C$5)</f>
        <v>7</v>
      </c>
    </row>
    <row r="31" spans="2:3" x14ac:dyDescent="0.25">
      <c r="B31" s="31" t="s">
        <v>29</v>
      </c>
      <c r="C31" s="32">
        <f ca="1">COUNTIFS(firmadas!$F:$F,"&gt;="&amp;$C$6,firmadas!$F:$F,"&lt;="&amp;$C$5)</f>
        <v>1</v>
      </c>
    </row>
    <row r="32" spans="2:3" x14ac:dyDescent="0.25">
      <c r="B32" s="31" t="s">
        <v>30</v>
      </c>
      <c r="C32" s="32">
        <f ca="1">COUNTIFS(firmadas!$F:$F,"&gt;="&amp;$C$7,firmadas!$F:$F,"&lt;"&amp;$C$6)</f>
        <v>6</v>
      </c>
    </row>
    <row r="33" spans="2:4" x14ac:dyDescent="0.25">
      <c r="B33" s="31" t="s">
        <v>31</v>
      </c>
      <c r="C33" s="32">
        <f ca="1">COUNTIFS(firmadas!$F:$F,"&gt;="&amp;$C$8,firmadas!$F:$F,"&lt;="&amp;$C$5)</f>
        <v>1</v>
      </c>
    </row>
    <row r="34" spans="2:4" x14ac:dyDescent="0.25">
      <c r="B34" s="37" t="s">
        <v>32</v>
      </c>
      <c r="C34" s="38">
        <f ca="1">COUNTIFS(firmadas!$F:$F,"&gt;="&amp;$C$9,firmadas!$F:$F,"&lt;="&amp;$C$5)</f>
        <v>94</v>
      </c>
    </row>
    <row r="35" spans="2:4" x14ac:dyDescent="0.25">
      <c r="B35" s="35" t="s">
        <v>33</v>
      </c>
      <c r="C35" s="36">
        <f>COUNT(firmadas!$F:$F)</f>
        <v>279</v>
      </c>
    </row>
    <row r="37" spans="2:4" ht="18" customHeight="1" x14ac:dyDescent="0.25">
      <c r="B37" s="28" t="s">
        <v>34</v>
      </c>
      <c r="C37" s="29" t="s">
        <v>32</v>
      </c>
      <c r="D37" s="29" t="s">
        <v>35</v>
      </c>
    </row>
    <row r="38" spans="2:4" x14ac:dyDescent="0.25">
      <c r="B38" s="31" t="s">
        <v>36</v>
      </c>
      <c r="C38" s="32">
        <f ca="1">COUNTIFS(firmadas!$A:$A,"Ordinaria",firmadas!$F:$F,"&gt;="&amp;$C$9)</f>
        <v>31</v>
      </c>
      <c r="D38" s="32">
        <f>COUNTIF(firmadas!$A:$A,"Ordinaria")</f>
        <v>90</v>
      </c>
    </row>
    <row r="39" spans="2:4" x14ac:dyDescent="0.25">
      <c r="B39" s="31" t="s">
        <v>37</v>
      </c>
      <c r="C39" s="32">
        <f ca="1">COUNTIFS(firmadas!$A:$A,"DP",firmadas!$F:$F,"&gt;="&amp;$C$9)</f>
        <v>0</v>
      </c>
      <c r="D39" s="32">
        <f>COUNTIF(firmadas!$A:$A,"DP")</f>
        <v>3</v>
      </c>
    </row>
    <row r="40" spans="2:4" x14ac:dyDescent="0.25">
      <c r="B40" s="31" t="s">
        <v>38</v>
      </c>
      <c r="C40" s="32">
        <f ca="1">COUNTIFS(firmadas!$A:$A,"Otros",firmadas!$F:$F,"&gt;="&amp;$C$9)</f>
        <v>4</v>
      </c>
      <c r="D40" s="32">
        <f>COUNTIF(firmadas!$A:$A,"Otros")</f>
        <v>6</v>
      </c>
    </row>
    <row r="41" spans="2:4" x14ac:dyDescent="0.25">
      <c r="B41" s="31" t="s">
        <v>39</v>
      </c>
      <c r="C41" s="32">
        <f ca="1">COUNTIFS(firmadas!$A:$A,"PROSUM",firmadas!$F:$F,"&gt;="&amp;$C$9)</f>
        <v>51</v>
      </c>
      <c r="D41" s="32">
        <f>COUNTIF(firmadas!$A:$A,"PROSUM")</f>
        <v>155</v>
      </c>
    </row>
    <row r="42" spans="2:4" x14ac:dyDescent="0.25">
      <c r="B42" s="31" t="s">
        <v>40</v>
      </c>
      <c r="C42" s="32">
        <f ca="1">COUNTIFS(firmadas!$A:$A,"OPI",firmadas!$F:$F,"&gt;="&amp;$C$9)</f>
        <v>7</v>
      </c>
      <c r="D42" s="32">
        <f>COUNTIF(firmadas!$A:$A,"OPI")</f>
        <v>20</v>
      </c>
    </row>
    <row r="43" spans="2:4" x14ac:dyDescent="0.25">
      <c r="B43" s="31" t="s">
        <v>41</v>
      </c>
      <c r="C43" s="32">
        <f ca="1">COUNTIFS(firmadas!$A:$A,"Condicionada",firmadas!$F:$F,"&gt;="&amp;$C$9)</f>
        <v>1</v>
      </c>
      <c r="D43" s="32">
        <f>COUNTIF(firmadas!$A:$A,"Condicionada")</f>
        <v>2</v>
      </c>
    </row>
    <row r="45" spans="2:4" ht="18" customHeight="1" x14ac:dyDescent="0.25">
      <c r="B45" s="28" t="s">
        <v>42</v>
      </c>
      <c r="C45" s="29" t="s">
        <v>43</v>
      </c>
    </row>
    <row r="46" spans="2:4" x14ac:dyDescent="0.25">
      <c r="B46" s="31" t="s">
        <v>44</v>
      </c>
      <c r="C46" s="52">
        <f>IFERROR(AVERAGEIFS(firmadas!$L:$L,firmadas!$C:$C,"&lt;&gt;SI",firmadas!$L:$L,"&gt;0"),"")</f>
        <v>13.200358422939074</v>
      </c>
    </row>
    <row r="47" spans="2:4" x14ac:dyDescent="0.25">
      <c r="B47" s="31" t="s">
        <v>45</v>
      </c>
      <c r="C47" s="52">
        <f ca="1">IFERROR(AVERAGEIFS(firmadas!$L:$L,firmadas!$C:$C,"&lt;&gt;SI",firmadas!$L:$L,"&gt;0",firmadas!$F:$F,"&gt;="&amp;$C$9),"")</f>
        <v>9.8663120567375895</v>
      </c>
    </row>
    <row r="48" spans="2:4" ht="15.75" thickBot="1" x14ac:dyDescent="0.3">
      <c r="B48" s="31" t="s">
        <v>46</v>
      </c>
      <c r="C48" s="52">
        <f ca="1">IFERROR(AVERAGEIFS(evol_conc!$N:$N,evol_conc!$H:$H,"",evol_conc!$B:$B,"&lt;&gt;SI",evol_conc!$N:$N,"&gt;0"),"")</f>
        <v>38.29388888888888</v>
      </c>
    </row>
    <row r="49" spans="2:5" ht="15.75" thickBot="1" x14ac:dyDescent="0.3">
      <c r="B49" s="31" t="s">
        <v>47</v>
      </c>
      <c r="C49" s="56">
        <f ca="1">IFERROR(_xlfn.MAXIFS(evol_conc!$N$2:$N$2000,evol_conc!$H$2:$H$2000,"",evol_conc!$N$2:$N$2000,"&gt;0"),"")</f>
        <v>163.53333333333333</v>
      </c>
      <c r="D49" s="57" t="s">
        <v>409</v>
      </c>
      <c r="E49" s="58">
        <f ca="1">IFERROR(INDEX(evol_conc!$D$2:$D$2000,MATCH(1,INDEX((evol_conc!$H$2:$H$2000="")*(evol_conc!$N$2:$N$2000&gt;0)*(evol_conc!$N$2:$N$2000=_xlfn.MAXIFS(evol_conc!$N$2:$N$2000,evol_conc!$H$2:$H$2000,"",evol_conc!$N$2:$N$2000,"&gt;0")),0),0)),"")</f>
        <v>1064</v>
      </c>
    </row>
    <row r="51" spans="2:5" ht="18" customHeight="1" x14ac:dyDescent="0.25">
      <c r="B51" s="28" t="s">
        <v>48</v>
      </c>
      <c r="C51" s="29" t="s">
        <v>49</v>
      </c>
      <c r="D51" s="29" t="s">
        <v>50</v>
      </c>
    </row>
    <row r="52" spans="2:5" x14ac:dyDescent="0.25">
      <c r="B52" s="31" t="s">
        <v>10</v>
      </c>
      <c r="C52" s="32">
        <f>COUNTIF(OPIs!$C:$C,"Pendiente de presentación")</f>
        <v>0</v>
      </c>
      <c r="D52" s="32">
        <f>COUNTIF(DP!$C:$C,"Pendiente de presentación")</f>
        <v>0</v>
      </c>
    </row>
    <row r="53" spans="2:5" x14ac:dyDescent="0.25">
      <c r="B53" s="31" t="s">
        <v>11</v>
      </c>
      <c r="C53" s="32">
        <f>COUNTIF(OPIs!$C:$C,"Observado")</f>
        <v>0</v>
      </c>
      <c r="D53" s="32">
        <f>COUNTIF(DP!$C:$C,"Observado")</f>
        <v>0</v>
      </c>
    </row>
    <row r="54" spans="2:5" x14ac:dyDescent="0.25">
      <c r="B54" s="31" t="s">
        <v>12</v>
      </c>
      <c r="C54" s="32">
        <f>COUNTIF(OPIs!$C:$C,"En análisis")</f>
        <v>18</v>
      </c>
      <c r="D54" s="32">
        <f>COUNTIF(DP!$C:$C,"En análisis")</f>
        <v>9</v>
      </c>
    </row>
    <row r="55" spans="2:5" x14ac:dyDescent="0.25">
      <c r="B55" s="31" t="s">
        <v>13</v>
      </c>
      <c r="C55" s="32">
        <f>COUNTIF(OPIs!$C:$C,"En instrucción")</f>
        <v>0</v>
      </c>
      <c r="D55" s="32">
        <f>COUNTIF(DP!$C:$C,"En instrucción")</f>
        <v>0</v>
      </c>
    </row>
    <row r="56" spans="2:5" x14ac:dyDescent="0.25">
      <c r="B56" s="31" t="s">
        <v>14</v>
      </c>
      <c r="C56" s="32">
        <f>COUNTIF(OPIs!$C:$C,"Suspendida")</f>
        <v>0</v>
      </c>
      <c r="D56" s="32">
        <f>COUNTIF(DP!$C:$C,"Suspendida")</f>
        <v>0</v>
      </c>
    </row>
    <row r="57" spans="2:5" x14ac:dyDescent="0.25">
      <c r="B57" s="31" t="s">
        <v>51</v>
      </c>
      <c r="C57" s="32" t="str">
        <f>""</f>
        <v/>
      </c>
      <c r="D57" s="32">
        <f>COUNTIF(DP!$C:$C,"Relación de hechos")</f>
        <v>0</v>
      </c>
    </row>
    <row r="58" spans="2:5" x14ac:dyDescent="0.25">
      <c r="B58" s="31" t="s">
        <v>52</v>
      </c>
      <c r="C58" s="32" t="str">
        <f>""</f>
        <v/>
      </c>
      <c r="D58" s="32">
        <f>COUNTIF(DP!$C:$C,"Relación de hechos - prueba")</f>
        <v>0</v>
      </c>
    </row>
    <row r="59" spans="2:5" x14ac:dyDescent="0.25">
      <c r="B59" s="31" t="s">
        <v>16</v>
      </c>
      <c r="C59" s="32">
        <f>COUNTIF(OPIs!$C:$C,"Para resolución")</f>
        <v>0</v>
      </c>
      <c r="D59" s="32">
        <f>COUNTIF(DP!$C:$C,"Para resolución")</f>
        <v>0</v>
      </c>
    </row>
    <row r="60" spans="2:5" x14ac:dyDescent="0.25">
      <c r="B60" s="31" t="s">
        <v>53</v>
      </c>
      <c r="C60" s="32">
        <f>COUNTIF(OPIs!$C:$C,"Resuelto")</f>
        <v>4</v>
      </c>
      <c r="D60" s="32">
        <f>COUNTIF(DP!$C:$C,"Resuelto")</f>
        <v>0</v>
      </c>
    </row>
    <row r="61" spans="2:5" x14ac:dyDescent="0.25">
      <c r="B61" s="31" t="s">
        <v>20</v>
      </c>
      <c r="C61" s="32">
        <f>COUNTIF(OPIs!$C:$C,"Apelada")</f>
        <v>2</v>
      </c>
      <c r="D61" s="32">
        <f>COUNTIF(DP!$C:$C,"Apelada")</f>
        <v>1</v>
      </c>
    </row>
    <row r="62" spans="2:5" x14ac:dyDescent="0.25">
      <c r="B62" s="31" t="s">
        <v>21</v>
      </c>
      <c r="C62" s="32">
        <f>COUNTIF(OPIs!$C:$C,"Acumulado")</f>
        <v>0</v>
      </c>
      <c r="D62" s="32">
        <f>COUNTIF(DP!$C:$C,"Acumulado")</f>
        <v>0</v>
      </c>
    </row>
    <row r="63" spans="2:5" x14ac:dyDescent="0.25">
      <c r="B63" s="31" t="s">
        <v>22</v>
      </c>
      <c r="C63" s="32">
        <f>COUNTIF(OPIs!$C:$C,"Archivo")</f>
        <v>0</v>
      </c>
      <c r="D63" s="32">
        <f>COUNTIF(DP!$C:$C,"Archivo")</f>
        <v>0</v>
      </c>
    </row>
    <row r="64" spans="2:5" x14ac:dyDescent="0.25">
      <c r="B64" s="31" t="s">
        <v>23</v>
      </c>
      <c r="C64" s="32">
        <f>COUNTIF(OPIs!$C:$C,"Desistida")</f>
        <v>0</v>
      </c>
      <c r="D64" s="32">
        <f>COUNTIF(DP!$C:$C,"Desistida")</f>
        <v>0</v>
      </c>
    </row>
    <row r="65" spans="2:4" x14ac:dyDescent="0.25">
      <c r="B65" s="33" t="s">
        <v>54</v>
      </c>
      <c r="C65" s="34">
        <f>COUNTA(OPIs!$C$2:$C$2000)-COUNTIF(OPIs!$C:$C,"Resuelto")-COUNTIF(OPIs!$C:$C,"Archivo")-COUNTIF(OPIs!$C:$C,"Desistida")-COUNTIF(OPIs!$C:$C,"Acumulado")</f>
        <v>20</v>
      </c>
      <c r="D65" s="34">
        <f>COUNTA(DP!$C$2:$C$2000)-COUNTIF(DP!$C:$C,"Resuelto")-COUNTIF(DP!$C:$C,"Archivo")-COUNTIF(DP!$C:$C,"Desistida")-COUNTIF(DP!$C:$C,"Acumulado")</f>
        <v>10</v>
      </c>
    </row>
    <row r="67" spans="2:4" ht="18" customHeight="1" x14ac:dyDescent="0.25">
      <c r="B67" s="28" t="s">
        <v>55</v>
      </c>
      <c r="C67" s="29" t="s">
        <v>9</v>
      </c>
    </row>
    <row r="68" spans="2:4" x14ac:dyDescent="0.25">
      <c r="B68" s="31" t="s">
        <v>56</v>
      </c>
      <c r="C68" s="32">
        <f ca="1">SUMPRODUCT((evol_conc!$Q$2:$Q$1000&lt;&gt;"")*(evol_conc!$Q$2:$Q$1000&lt;&gt;"OK"))</f>
        <v>11</v>
      </c>
    </row>
    <row r="69" spans="2:4" x14ac:dyDescent="0.25">
      <c r="B69" s="31" t="s">
        <v>57</v>
      </c>
      <c r="C69" s="32">
        <f ca="1">SUMPRODUCT((firmadas!$O$2:$O$1000&lt;&gt;"")*(firmadas!$O$2:$O$1000&lt;&gt;"OK"))</f>
        <v>14</v>
      </c>
    </row>
    <row r="70" spans="2:4" x14ac:dyDescent="0.25">
      <c r="B70" s="31" t="s">
        <v>58</v>
      </c>
      <c r="C70" s="32">
        <f>COUNTIF(firmadas!$C:$C,"SI")+COUNTIF(evol_conc!$B:$B,"SI")</f>
        <v>0</v>
      </c>
    </row>
    <row r="72" spans="2:4" x14ac:dyDescent="0.25">
      <c r="B72" s="59" t="s">
        <v>59</v>
      </c>
      <c r="C72" s="60"/>
      <c r="D72" s="60"/>
    </row>
  </sheetData>
  <mergeCells count="2">
    <mergeCell ref="B72:D72"/>
    <mergeCell ref="B2:F2"/>
  </mergeCells>
  <conditionalFormatting sqref="C68:C69">
    <cfRule type="cellIs" dxfId="6" priority="1" operator="greaterThan">
      <formula>0</formula>
    </cfRule>
  </conditionalFormatting>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1000"/>
  <sheetViews>
    <sheetView tabSelected="1" zoomScale="120" zoomScaleNormal="120" workbookViewId="0">
      <pane ySplit="1" topLeftCell="A214" activePane="bottomLeft" state="frozen"/>
      <selection activeCell="C238" sqref="C238"/>
      <selection pane="bottomLeft" activeCell="O220" sqref="O220"/>
    </sheetView>
  </sheetViews>
  <sheetFormatPr baseColWidth="10" defaultColWidth="9.140625" defaultRowHeight="18" customHeight="1" x14ac:dyDescent="0.25"/>
  <cols>
    <col min="1" max="1" width="18.7109375" style="51" bestFit="1" customWidth="1"/>
    <col min="3" max="3" width="8.42578125" style="51" bestFit="1" customWidth="1"/>
    <col min="4" max="4" width="9.140625" style="24" customWidth="1"/>
    <col min="5" max="5" width="6.42578125" style="51" customWidth="1"/>
    <col min="7" max="7" width="13.7109375" style="16" bestFit="1" customWidth="1"/>
    <col min="8" max="8" width="14.140625" style="16" bestFit="1" customWidth="1"/>
    <col min="10" max="10" width="5.42578125" style="51" customWidth="1"/>
    <col min="11" max="11" width="5" style="51" customWidth="1"/>
    <col min="12" max="12" width="15.42578125" style="51" bestFit="1" customWidth="1"/>
    <col min="16" max="16" width="11.140625" style="51" bestFit="1" customWidth="1"/>
    <col min="17" max="17" width="34" style="51" customWidth="1"/>
    <col min="19" max="19" width="40" style="51" customWidth="1"/>
    <col min="20" max="20" width="13" style="51" hidden="1" customWidth="1"/>
  </cols>
  <sheetData>
    <row r="1" spans="1:20" ht="18" customHeight="1" x14ac:dyDescent="0.25">
      <c r="A1" s="18" t="s">
        <v>60</v>
      </c>
      <c r="B1" s="18" t="s">
        <v>61</v>
      </c>
      <c r="C1" s="18" t="s">
        <v>62</v>
      </c>
      <c r="D1" s="23" t="s">
        <v>63</v>
      </c>
      <c r="E1" s="18" t="s">
        <v>64</v>
      </c>
      <c r="F1" s="18" t="s">
        <v>65</v>
      </c>
      <c r="G1" s="17" t="s">
        <v>66</v>
      </c>
      <c r="H1" s="17" t="s">
        <v>67</v>
      </c>
      <c r="I1" s="18" t="s">
        <v>68</v>
      </c>
      <c r="J1" s="18" t="s">
        <v>69</v>
      </c>
      <c r="K1" s="18" t="s">
        <v>70</v>
      </c>
      <c r="L1" s="18" t="s">
        <v>71</v>
      </c>
      <c r="M1" s="18" t="s">
        <v>72</v>
      </c>
      <c r="N1" s="18" t="s">
        <v>73</v>
      </c>
      <c r="O1" s="18" t="s">
        <v>74</v>
      </c>
      <c r="P1" t="s">
        <v>75</v>
      </c>
      <c r="Q1" t="s">
        <v>76</v>
      </c>
      <c r="R1" t="s">
        <v>77</v>
      </c>
      <c r="S1" t="s">
        <v>78</v>
      </c>
      <c r="T1" t="s">
        <v>79</v>
      </c>
    </row>
    <row r="2" spans="1:20" ht="18" customHeight="1" x14ac:dyDescent="0.25">
      <c r="A2" t="s">
        <v>80</v>
      </c>
      <c r="C2" t="s">
        <v>62</v>
      </c>
      <c r="D2" s="24" t="s">
        <v>81</v>
      </c>
      <c r="F2" t="s">
        <v>82</v>
      </c>
      <c r="G2" s="16">
        <v>40428</v>
      </c>
      <c r="H2" s="16">
        <v>46017</v>
      </c>
      <c r="I2" s="16"/>
      <c r="J2" s="16"/>
      <c r="M2" t="s">
        <v>83</v>
      </c>
      <c r="N2" s="53">
        <f t="shared" ref="N2:N65" ca="1" si="0">IF($G2="","",(IF($H2="",TODAY(),$H2)-$G2)/30)</f>
        <v>186.3</v>
      </c>
      <c r="P2" s="47" t="str">
        <f ca="1">IF(TRIM(SUBSTITUTE(($C2&amp;" "&amp;$D2),CHAR(160)," "))="","",IFERROR(IF(ISNUMBER(SEARCH("INC",($C2&amp;" "&amp;$D2))),"INC",IF(ISNUMBER(SEARCH("OPI",($C2&amp;" "&amp;$D2))),"OPI",IF(ISNUMBER(SEARCH("DP",($C2&amp;" "&amp;$D2))),"DP","CONC")))&amp;" "&amp;TEXT(LOOKUP(9.99E+307,--MID(SUBSTITUTE(($C2&amp;" "&amp;$D2),CHAR(160)," "),SUMPRODUCT(MIN(FIND({0,1,2,3,4,5,6,7,8,9},SUBSTITUTE(($C2&amp;" "&amp;$D2),CHAR(160)," ")&amp;"0123456789"))),ROW(INDIRECT("1:6")))),"0"),"SIN NUMERO"))</f>
        <v>CONC 848</v>
      </c>
      <c r="Q2" t="str">
        <f ca="1">IF($P2="","",IF(LEFT(UPPER($S2),9)="VERIFICAR","VERIFICAR",IF($A2="","SIN ESTADO",IF(AND($A2="Firmada",$H2=""),"FALTA FECHA DE FIRMA",IF(N($T2)=0,IF(AND(ISNUMBER($H2),$H2&gt;=DATE(2024,1,1)),"FALTA EN FIRMADAS","OK"),IF(OR($A2="Pendiente de presentación",$A2="Observado",$A2="En análisis",$A2="En instrucción",$A2="Suspendida",$A2="IT circulando",$A2="Para resolución",$A2="TDC"),"ABIERTA PERO ESTÁ EN FIRMADAS",IF($H2&lt;&gt;INDEX(firmadas!$F:$F,$T2),"FIRMA DISTINTA EN firmadas ("&amp;IF(INDEX(firmadas!$F:$F,$T2)="","vacía",DAY(INDEX(firmadas!$F:$F,$T2))&amp;"/"&amp;MONTH(INDEX(firmadas!$F:$F,$T2))&amp;"/"&amp;YEAR(INDEX(firmadas!$F:$F,$T2)))&amp;")",IF($G2&lt;&gt;INDEX(firmadas!$E:$E,$T2),"INGRESO DISTINTO EN firmadas ("&amp;IF(INDEX(firmadas!$E:$E,$T2)="","vacía",DAY(INDEX(firmadas!$E:$E,$T2))&amp;"/"&amp;MONTH(INDEX(firmadas!$E:$E,$T2))&amp;"/"&amp;YEAR(INDEX(firmadas!$E:$E,$T2)))&amp;")","OK"))))))))</f>
        <v>OK</v>
      </c>
      <c r="T2">
        <f ca="1">IF($P2="","",IFERROR(MATCH($P2,firmadas!$N:$N,0),IFERROR(MATCH("*/"&amp;MID($P2,FIND(" ",$P2)+1,9)&amp;"*",firmadas!$B:$B,0),0)))</f>
        <v>185</v>
      </c>
    </row>
    <row r="3" spans="1:20" ht="18" customHeight="1" x14ac:dyDescent="0.25">
      <c r="A3" s="44" t="s">
        <v>84</v>
      </c>
      <c r="C3" s="44" t="s">
        <v>62</v>
      </c>
      <c r="D3" s="42">
        <v>1064</v>
      </c>
      <c r="E3" s="44" t="s">
        <v>85</v>
      </c>
      <c r="F3" s="44" t="s">
        <v>86</v>
      </c>
      <c r="G3" s="26">
        <v>41390</v>
      </c>
      <c r="I3" s="44" t="s">
        <v>87</v>
      </c>
      <c r="J3" s="44" t="s">
        <v>88</v>
      </c>
      <c r="M3" s="44" t="s">
        <v>83</v>
      </c>
      <c r="N3" s="53">
        <f t="shared" ca="1" si="0"/>
        <v>163.53333333333333</v>
      </c>
      <c r="P3" s="47" t="str">
        <f ca="1">IF(TRIM(SUBSTITUTE(($C3&amp;" "&amp;$D3),CHAR(160)," "))="","",IFERROR(IF(ISNUMBER(SEARCH("INC",($C3&amp;" "&amp;$D3))),"INC",IF(ISNUMBER(SEARCH("OPI",($C3&amp;" "&amp;$D3))),"OPI",IF(ISNUMBER(SEARCH("DP",($C3&amp;" "&amp;$D3))),"DP","CONC")))&amp;" "&amp;TEXT(LOOKUP(9.99E+307,--MID(SUBSTITUTE(($C3&amp;" "&amp;$D3),CHAR(160)," "),SUMPRODUCT(MIN(FIND({0,1,2,3,4,5,6,7,8,9},SUBSTITUTE(($C3&amp;" "&amp;$D3),CHAR(160)," ")&amp;"0123456789"))),ROW(INDIRECT("1:6")))),"0"),"SIN NUMERO"))</f>
        <v>CONC 1064</v>
      </c>
      <c r="Q3" t="str">
        <f ca="1">IF($P3="","",IF(LEFT(UPPER($S3),9)="VERIFICAR","VERIFICAR",IF($A3="","SIN ESTADO",IF(AND($A3="Firmada",$H3=""),"FALTA FECHA DE FIRMA",IF(N($T3)=0,IF(AND(ISNUMBER($H3),$H3&gt;=DATE(2024,1,1)),"FALTA EN FIRMADAS","OK"),IF(OR($A3="Pendiente de presentación",$A3="Observado",$A3="En análisis",$A3="En instrucción",$A3="Suspendida",$A3="IT circulando",$A3="Para resolución",$A3="TDC"),"ABIERTA PERO ESTÁ EN FIRMADAS",IF($H3&lt;&gt;INDEX(firmadas!$F:$F,$T3),"FIRMA DISTINTA EN firmadas ("&amp;IF(INDEX(firmadas!$F:$F,$T3)="","vacía",DAY(INDEX(firmadas!$F:$F,$T3))&amp;"/"&amp;MONTH(INDEX(firmadas!$F:$F,$T3))&amp;"/"&amp;YEAR(INDEX(firmadas!$F:$F,$T3)))&amp;")",IF($G3&lt;&gt;INDEX(firmadas!$E:$E,$T3),"INGRESO DISTINTO EN firmadas ("&amp;IF(INDEX(firmadas!$E:$E,$T3)="","vacía",DAY(INDEX(firmadas!$E:$E,$T3))&amp;"/"&amp;MONTH(INDEX(firmadas!$E:$E,$T3))&amp;"/"&amp;YEAR(INDEX(firmadas!$E:$E,$T3)))&amp;")","OK"))))))))</f>
        <v>OK</v>
      </c>
      <c r="R3" s="44" t="s">
        <v>89</v>
      </c>
      <c r="T3">
        <f ca="1">IF($P3="","",IFERROR(MATCH($P3,firmadas!$N:$N,0),IFERROR(MATCH("*/"&amp;MID($P3,FIND(" ",$P3)+1,9)&amp;"*",firmadas!$B:$B,0),0)))</f>
        <v>0</v>
      </c>
    </row>
    <row r="4" spans="1:20" ht="18" customHeight="1" x14ac:dyDescent="0.25">
      <c r="A4" s="40"/>
      <c r="C4" s="44" t="s">
        <v>90</v>
      </c>
      <c r="D4" s="27">
        <v>748</v>
      </c>
      <c r="E4" s="44" t="s">
        <v>91</v>
      </c>
      <c r="F4" s="44" t="s">
        <v>92</v>
      </c>
      <c r="G4" s="16">
        <v>41814</v>
      </c>
      <c r="I4" s="44" t="s">
        <v>93</v>
      </c>
      <c r="J4" s="44" t="s">
        <v>94</v>
      </c>
      <c r="K4" s="44" t="s">
        <v>95</v>
      </c>
      <c r="L4" s="44" t="s">
        <v>96</v>
      </c>
      <c r="M4" s="44" t="s">
        <v>83</v>
      </c>
      <c r="N4" s="53">
        <f t="shared" ca="1" si="0"/>
        <v>149.4</v>
      </c>
      <c r="O4" s="44" t="s">
        <v>97</v>
      </c>
      <c r="P4" s="47" t="str">
        <f ca="1">IF(TRIM(SUBSTITUTE(($C4&amp;" "&amp;$D4),CHAR(160)," "))="","",IFERROR(IF(ISNUMBER(SEARCH("INC",($C4&amp;" "&amp;$D4))),"INC",IF(ISNUMBER(SEARCH("OPI",($C4&amp;" "&amp;$D4))),"OPI",IF(ISNUMBER(SEARCH("DP",($C4&amp;" "&amp;$D4))),"DP","CONC")))&amp;" "&amp;TEXT(LOOKUP(9.99E+307,--MID(SUBSTITUTE(($C4&amp;" "&amp;$D4),CHAR(160)," "),SUMPRODUCT(MIN(FIND({0,1,2,3,4,5,6,7,8,9},SUBSTITUTE(($C4&amp;" "&amp;$D4),CHAR(160)," ")&amp;"0123456789"))),ROW(INDIRECT("1:6")))),"0"),"SIN NUMERO"))</f>
        <v>CONC 748</v>
      </c>
      <c r="Q4" t="str">
        <f ca="1">IF($P4="","",IF(LEFT(UPPER($S4),9)="VERIFICAR","VERIFICAR",IF($A4="","SIN ESTADO",IF(AND($A4="Firmada",$H4=""),"FALTA FECHA DE FIRMA",IF(N($T4)=0,IF(AND(ISNUMBER($H4),$H4&gt;=DATE(2024,1,1)),"FALTA EN FIRMADAS","OK"),IF(OR($A4="Pendiente de presentación",$A4="Observado",$A4="En análisis",$A4="En instrucción",$A4="Suspendida",$A4="IT circulando",$A4="Para resolución",$A4="TDC"),"ABIERTA PERO ESTÁ EN FIRMADAS",IF($H4&lt;&gt;INDEX(firmadas!$F:$F,$T4),"FIRMA DISTINTA EN firmadas ("&amp;IF(INDEX(firmadas!$F:$F,$T4)="","vacía",DAY(INDEX(firmadas!$F:$F,$T4))&amp;"/"&amp;MONTH(INDEX(firmadas!$F:$F,$T4))&amp;"/"&amp;YEAR(INDEX(firmadas!$F:$F,$T4)))&amp;")",IF($G4&lt;&gt;INDEX(firmadas!$E:$E,$T4),"INGRESO DISTINTO EN firmadas ("&amp;IF(INDEX(firmadas!$E:$E,$T4)="","vacía",DAY(INDEX(firmadas!$E:$E,$T4))&amp;"/"&amp;MONTH(INDEX(firmadas!$E:$E,$T4))&amp;"/"&amp;YEAR(INDEX(firmadas!$E:$E,$T4)))&amp;")","OK"))))))))</f>
        <v>SIN ESTADO</v>
      </c>
      <c r="T4">
        <f ca="1">IF($P4="","",IFERROR(MATCH($P4,firmadas!$N:$N,0),IFERROR(MATCH("*/"&amp;MID($P4,FIND(" ",$P4)+1,9)&amp;"*",firmadas!$B:$B,0),0)))</f>
        <v>0</v>
      </c>
    </row>
    <row r="5" spans="1:20" ht="18" customHeight="1" x14ac:dyDescent="0.25">
      <c r="A5" s="44" t="s">
        <v>84</v>
      </c>
      <c r="C5" s="44" t="s">
        <v>62</v>
      </c>
      <c r="D5" s="42">
        <v>1166</v>
      </c>
      <c r="E5" s="44" t="s">
        <v>98</v>
      </c>
      <c r="F5" s="44" t="s">
        <v>99</v>
      </c>
      <c r="G5" s="26">
        <v>41894</v>
      </c>
      <c r="I5" s="44" t="s">
        <v>87</v>
      </c>
      <c r="J5" s="44" t="s">
        <v>88</v>
      </c>
      <c r="M5" s="44" t="s">
        <v>83</v>
      </c>
      <c r="N5" s="53">
        <f t="shared" ca="1" si="0"/>
        <v>146.73333333333332</v>
      </c>
      <c r="P5" s="47" t="str">
        <f ca="1">IF(TRIM(SUBSTITUTE(($C5&amp;" "&amp;$D5),CHAR(160)," "))="","",IFERROR(IF(ISNUMBER(SEARCH("INC",($C5&amp;" "&amp;$D5))),"INC",IF(ISNUMBER(SEARCH("OPI",($C5&amp;" "&amp;$D5))),"OPI",IF(ISNUMBER(SEARCH("DP",($C5&amp;" "&amp;$D5))),"DP","CONC")))&amp;" "&amp;TEXT(LOOKUP(9.99E+307,--MID(SUBSTITUTE(($C5&amp;" "&amp;$D5),CHAR(160)," "),SUMPRODUCT(MIN(FIND({0,1,2,3,4,5,6,7,8,9},SUBSTITUTE(($C5&amp;" "&amp;$D5),CHAR(160)," ")&amp;"0123456789"))),ROW(INDIRECT("1:6")))),"0"),"SIN NUMERO"))</f>
        <v>CONC 1166</v>
      </c>
      <c r="Q5" t="str">
        <f ca="1">IF($P5="","",IF(LEFT(UPPER($S5),9)="VERIFICAR","VERIFICAR",IF($A5="","SIN ESTADO",IF(AND($A5="Firmada",$H5=""),"FALTA FECHA DE FIRMA",IF(N($T5)=0,IF(AND(ISNUMBER($H5),$H5&gt;=DATE(2024,1,1)),"FALTA EN FIRMADAS","OK"),IF(OR($A5="Pendiente de presentación",$A5="Observado",$A5="En análisis",$A5="En instrucción",$A5="Suspendida",$A5="IT circulando",$A5="Para resolución",$A5="TDC"),"ABIERTA PERO ESTÁ EN FIRMADAS",IF($H5&lt;&gt;INDEX(firmadas!$F:$F,$T5),"FIRMA DISTINTA EN firmadas ("&amp;IF(INDEX(firmadas!$F:$F,$T5)="","vacía",DAY(INDEX(firmadas!$F:$F,$T5))&amp;"/"&amp;MONTH(INDEX(firmadas!$F:$F,$T5))&amp;"/"&amp;YEAR(INDEX(firmadas!$F:$F,$T5)))&amp;")",IF($G5&lt;&gt;INDEX(firmadas!$E:$E,$T5),"INGRESO DISTINTO EN firmadas ("&amp;IF(INDEX(firmadas!$E:$E,$T5)="","vacía",DAY(INDEX(firmadas!$E:$E,$T5))&amp;"/"&amp;MONTH(INDEX(firmadas!$E:$E,$T5))&amp;"/"&amp;YEAR(INDEX(firmadas!$E:$E,$T5)))&amp;")","OK"))))))))</f>
        <v>OK</v>
      </c>
      <c r="R5" s="44" t="s">
        <v>89</v>
      </c>
      <c r="T5">
        <f ca="1">IF($P5="","",IFERROR(MATCH($P5,firmadas!$N:$N,0),IFERROR(MATCH("*/"&amp;MID($P5,FIND(" ",$P5)+1,9)&amp;"*",firmadas!$B:$B,0),0)))</f>
        <v>0</v>
      </c>
    </row>
    <row r="6" spans="1:20" ht="18" customHeight="1" x14ac:dyDescent="0.25">
      <c r="A6" s="44" t="s">
        <v>100</v>
      </c>
      <c r="C6" s="44" t="s">
        <v>62</v>
      </c>
      <c r="D6" s="42">
        <v>1169</v>
      </c>
      <c r="E6" s="44" t="s">
        <v>101</v>
      </c>
      <c r="F6" s="44" t="s">
        <v>102</v>
      </c>
      <c r="G6" s="26">
        <v>41914</v>
      </c>
      <c r="I6" s="44" t="s">
        <v>103</v>
      </c>
      <c r="J6" s="44" t="s">
        <v>88</v>
      </c>
      <c r="K6" s="44" t="s">
        <v>96</v>
      </c>
      <c r="L6" s="44" t="s">
        <v>104</v>
      </c>
      <c r="M6" s="44" t="s">
        <v>83</v>
      </c>
      <c r="N6" s="53">
        <f t="shared" ca="1" si="0"/>
        <v>146.06666666666666</v>
      </c>
      <c r="P6" s="47" t="str">
        <f ca="1">IF(TRIM(SUBSTITUTE(($C6&amp;" "&amp;$D6),CHAR(160)," "))="","",IFERROR(IF(ISNUMBER(SEARCH("INC",($C6&amp;" "&amp;$D6))),"INC",IF(ISNUMBER(SEARCH("OPI",($C6&amp;" "&amp;$D6))),"OPI",IF(ISNUMBER(SEARCH("DP",($C6&amp;" "&amp;$D6))),"DP","CONC")))&amp;" "&amp;TEXT(LOOKUP(9.99E+307,--MID(SUBSTITUTE(($C6&amp;" "&amp;$D6),CHAR(160)," "),SUMPRODUCT(MIN(FIND({0,1,2,3,4,5,6,7,8,9},SUBSTITUTE(($C6&amp;" "&amp;$D6),CHAR(160)," ")&amp;"0123456789"))),ROW(INDIRECT("1:6")))),"0"),"SIN NUMERO"))</f>
        <v>CONC 1169</v>
      </c>
      <c r="Q6" t="str">
        <f ca="1">IF($P6="","",IF(LEFT(UPPER($S6),9)="VERIFICAR","VERIFICAR",IF($A6="","SIN ESTADO",IF(AND($A6="Firmada",$H6=""),"FALTA FECHA DE FIRMA",IF(N($T6)=0,IF(AND(ISNUMBER($H6),$H6&gt;=DATE(2024,1,1)),"FALTA EN FIRMADAS","OK"),IF(OR($A6="Pendiente de presentación",$A6="Observado",$A6="En análisis",$A6="En instrucción",$A6="Suspendida",$A6="IT circulando",$A6="Para resolución",$A6="TDC"),"ABIERTA PERO ESTÁ EN FIRMADAS",IF($H6&lt;&gt;INDEX(firmadas!$F:$F,$T6),"FIRMA DISTINTA EN firmadas ("&amp;IF(INDEX(firmadas!$F:$F,$T6)="","vacía",DAY(INDEX(firmadas!$F:$F,$T6))&amp;"/"&amp;MONTH(INDEX(firmadas!$F:$F,$T6))&amp;"/"&amp;YEAR(INDEX(firmadas!$F:$F,$T6)))&amp;")",IF($G6&lt;&gt;INDEX(firmadas!$E:$E,$T6),"INGRESO DISTINTO EN firmadas ("&amp;IF(INDEX(firmadas!$E:$E,$T6)="","vacía",DAY(INDEX(firmadas!$E:$E,$T6))&amp;"/"&amp;MONTH(INDEX(firmadas!$E:$E,$T6))&amp;"/"&amp;YEAR(INDEX(firmadas!$E:$E,$T6)))&amp;")","OK"))))))))</f>
        <v>OK</v>
      </c>
      <c r="R6" s="44" t="s">
        <v>105</v>
      </c>
      <c r="T6">
        <f ca="1">IF($P6="","",IFERROR(MATCH($P6,firmadas!$N:$N,0),IFERROR(MATCH("*/"&amp;MID($P6,FIND(" ",$P6)+1,9)&amp;"*",firmadas!$B:$B,0),0)))</f>
        <v>0</v>
      </c>
    </row>
    <row r="7" spans="1:20" ht="18" customHeight="1" x14ac:dyDescent="0.25">
      <c r="A7" s="40"/>
      <c r="C7" s="44" t="s">
        <v>62</v>
      </c>
      <c r="D7" s="42">
        <v>998</v>
      </c>
      <c r="E7" s="44" t="s">
        <v>106</v>
      </c>
      <c r="F7" s="44" t="s">
        <v>107</v>
      </c>
      <c r="G7" s="16">
        <v>41949</v>
      </c>
      <c r="I7" s="44" t="s">
        <v>93</v>
      </c>
      <c r="M7" s="44" t="s">
        <v>83</v>
      </c>
      <c r="N7" s="53">
        <f t="shared" ca="1" si="0"/>
        <v>144.9</v>
      </c>
      <c r="P7" s="47" t="str">
        <f ca="1">IF(TRIM(SUBSTITUTE(($C7&amp;" "&amp;$D7),CHAR(160)," "))="","",IFERROR(IF(ISNUMBER(SEARCH("INC",($C7&amp;" "&amp;$D7))),"INC",IF(ISNUMBER(SEARCH("OPI",($C7&amp;" "&amp;$D7))),"OPI",IF(ISNUMBER(SEARCH("DP",($C7&amp;" "&amp;$D7))),"DP","CONC")))&amp;" "&amp;TEXT(LOOKUP(9.99E+307,--MID(SUBSTITUTE(($C7&amp;" "&amp;$D7),CHAR(160)," "),SUMPRODUCT(MIN(FIND({0,1,2,3,4,5,6,7,8,9},SUBSTITUTE(($C7&amp;" "&amp;$D7),CHAR(160)," ")&amp;"0123456789"))),ROW(INDIRECT("1:6")))),"0"),"SIN NUMERO"))</f>
        <v>CONC 998</v>
      </c>
      <c r="Q7" t="str">
        <f ca="1">IF($P7="","",IF(LEFT(UPPER($S7),9)="VERIFICAR","VERIFICAR",IF($A7="","SIN ESTADO",IF(AND($A7="Firmada",$H7=""),"FALTA FECHA DE FIRMA",IF(N($T7)=0,IF(AND(ISNUMBER($H7),$H7&gt;=DATE(2024,1,1)),"FALTA EN FIRMADAS","OK"),IF(OR($A7="Pendiente de presentación",$A7="Observado",$A7="En análisis",$A7="En instrucción",$A7="Suspendida",$A7="IT circulando",$A7="Para resolución",$A7="TDC"),"ABIERTA PERO ESTÁ EN FIRMADAS",IF($H7&lt;&gt;INDEX(firmadas!$F:$F,$T7),"FIRMA DISTINTA EN firmadas ("&amp;IF(INDEX(firmadas!$F:$F,$T7)="","vacía",DAY(INDEX(firmadas!$F:$F,$T7))&amp;"/"&amp;MONTH(INDEX(firmadas!$F:$F,$T7))&amp;"/"&amp;YEAR(INDEX(firmadas!$F:$F,$T7)))&amp;")",IF($G7&lt;&gt;INDEX(firmadas!$E:$E,$T7),"INGRESO DISTINTO EN firmadas ("&amp;IF(INDEX(firmadas!$E:$E,$T7)="","vacía",DAY(INDEX(firmadas!$E:$E,$T7))&amp;"/"&amp;MONTH(INDEX(firmadas!$E:$E,$T7))&amp;"/"&amp;YEAR(INDEX(firmadas!$E:$E,$T7)))&amp;")","OK"))))))))</f>
        <v>SIN ESTADO</v>
      </c>
      <c r="T7">
        <f ca="1">IF($P7="","",IFERROR(MATCH($P7,firmadas!$N:$N,0),IFERROR(MATCH("*/"&amp;MID($P7,FIND(" ",$P7)+1,9)&amp;"*",firmadas!$B:$B,0),0)))</f>
        <v>0</v>
      </c>
    </row>
    <row r="8" spans="1:20" ht="18" customHeight="1" x14ac:dyDescent="0.25">
      <c r="A8" s="44" t="s">
        <v>84</v>
      </c>
      <c r="C8" s="44" t="s">
        <v>62</v>
      </c>
      <c r="D8" s="42">
        <v>1493</v>
      </c>
      <c r="E8" s="44" t="s">
        <v>108</v>
      </c>
      <c r="F8" s="44" t="s">
        <v>109</v>
      </c>
      <c r="G8" s="26">
        <v>42833</v>
      </c>
      <c r="I8" s="44" t="s">
        <v>110</v>
      </c>
      <c r="J8" s="44" t="s">
        <v>111</v>
      </c>
      <c r="K8" s="44" t="s">
        <v>104</v>
      </c>
      <c r="L8" s="44" t="s">
        <v>112</v>
      </c>
      <c r="M8" s="44" t="s">
        <v>83</v>
      </c>
      <c r="N8" s="53">
        <f t="shared" ca="1" si="0"/>
        <v>115.43333333333334</v>
      </c>
      <c r="P8" s="47" t="str">
        <f ca="1">IF(TRIM(SUBSTITUTE(($C8&amp;" "&amp;$D8),CHAR(160)," "))="","",IFERROR(IF(ISNUMBER(SEARCH("INC",($C8&amp;" "&amp;$D8))),"INC",IF(ISNUMBER(SEARCH("OPI",($C8&amp;" "&amp;$D8))),"OPI",IF(ISNUMBER(SEARCH("DP",($C8&amp;" "&amp;$D8))),"DP","CONC")))&amp;" "&amp;TEXT(LOOKUP(9.99E+307,--MID(SUBSTITUTE(($C8&amp;" "&amp;$D8),CHAR(160)," "),SUMPRODUCT(MIN(FIND({0,1,2,3,4,5,6,7,8,9},SUBSTITUTE(($C8&amp;" "&amp;$D8),CHAR(160)," ")&amp;"0123456789"))),ROW(INDIRECT("1:6")))),"0"),"SIN NUMERO"))</f>
        <v>CONC 1493</v>
      </c>
      <c r="Q8" t="str">
        <f ca="1">IF($P8="","",IF(LEFT(UPPER($S8),9)="VERIFICAR","VERIFICAR",IF($A8="","SIN ESTADO",IF(AND($A8="Firmada",$H8=""),"FALTA FECHA DE FIRMA",IF(N($T8)=0,IF(AND(ISNUMBER($H8),$H8&gt;=DATE(2024,1,1)),"FALTA EN FIRMADAS","OK"),IF(OR($A8="Pendiente de presentación",$A8="Observado",$A8="En análisis",$A8="En instrucción",$A8="Suspendida",$A8="IT circulando",$A8="Para resolución",$A8="TDC"),"ABIERTA PERO ESTÁ EN FIRMADAS",IF($H8&lt;&gt;INDEX(firmadas!$F:$F,$T8),"FIRMA DISTINTA EN firmadas ("&amp;IF(INDEX(firmadas!$F:$F,$T8)="","vacía",DAY(INDEX(firmadas!$F:$F,$T8))&amp;"/"&amp;MONTH(INDEX(firmadas!$F:$F,$T8))&amp;"/"&amp;YEAR(INDEX(firmadas!$F:$F,$T8)))&amp;")",IF($G8&lt;&gt;INDEX(firmadas!$E:$E,$T8),"INGRESO DISTINTO EN firmadas ("&amp;IF(INDEX(firmadas!$E:$E,$T8)="","vacía",DAY(INDEX(firmadas!$E:$E,$T8))&amp;"/"&amp;MONTH(INDEX(firmadas!$E:$E,$T8))&amp;"/"&amp;YEAR(INDEX(firmadas!$E:$E,$T8)))&amp;")","OK"))))))))</f>
        <v>OK</v>
      </c>
      <c r="R8" s="44" t="s">
        <v>89</v>
      </c>
      <c r="T8">
        <f ca="1">IF($P8="","",IFERROR(MATCH($P8,firmadas!$N:$N,0),IFERROR(MATCH("*/"&amp;MID($P8,FIND(" ",$P8)+1,9)&amp;"*",firmadas!$B:$B,0),0)))</f>
        <v>0</v>
      </c>
    </row>
    <row r="9" spans="1:20" ht="18" customHeight="1" x14ac:dyDescent="0.25">
      <c r="A9" s="40"/>
      <c r="C9" s="44" t="s">
        <v>62</v>
      </c>
      <c r="D9" s="42">
        <v>1457</v>
      </c>
      <c r="E9" s="44" t="s">
        <v>113</v>
      </c>
      <c r="F9" s="44" t="s">
        <v>114</v>
      </c>
      <c r="G9" s="26">
        <v>42852</v>
      </c>
      <c r="I9" s="44" t="s">
        <v>115</v>
      </c>
      <c r="J9" s="44" t="s">
        <v>111</v>
      </c>
      <c r="M9" s="44" t="s">
        <v>83</v>
      </c>
      <c r="N9" s="53">
        <f t="shared" ca="1" si="0"/>
        <v>114.8</v>
      </c>
      <c r="P9" s="47" t="str">
        <f ca="1">IF(TRIM(SUBSTITUTE(($C9&amp;" "&amp;$D9),CHAR(160)," "))="","",IFERROR(IF(ISNUMBER(SEARCH("INC",($C9&amp;" "&amp;$D9))),"INC",IF(ISNUMBER(SEARCH("OPI",($C9&amp;" "&amp;$D9))),"OPI",IF(ISNUMBER(SEARCH("DP",($C9&amp;" "&amp;$D9))),"DP","CONC")))&amp;" "&amp;TEXT(LOOKUP(9.99E+307,--MID(SUBSTITUTE(($C9&amp;" "&amp;$D9),CHAR(160)," "),SUMPRODUCT(MIN(FIND({0,1,2,3,4,5,6,7,8,9},SUBSTITUTE(($C9&amp;" "&amp;$D9),CHAR(160)," ")&amp;"0123456789"))),ROW(INDIRECT("1:6")))),"0"),"SIN NUMERO"))</f>
        <v>CONC 1457</v>
      </c>
      <c r="Q9" t="str">
        <f ca="1">IF($P9="","",IF(LEFT(UPPER($S9),9)="VERIFICAR","VERIFICAR",IF($A9="","SIN ESTADO",IF(AND($A9="Firmada",$H9=""),"FALTA FECHA DE FIRMA",IF(N($T9)=0,IF(AND(ISNUMBER($H9),$H9&gt;=DATE(2024,1,1)),"FALTA EN FIRMADAS","OK"),IF(OR($A9="Pendiente de presentación",$A9="Observado",$A9="En análisis",$A9="En instrucción",$A9="Suspendida",$A9="IT circulando",$A9="Para resolución",$A9="TDC"),"ABIERTA PERO ESTÁ EN FIRMADAS",IF($H9&lt;&gt;INDEX(firmadas!$F:$F,$T9),"FIRMA DISTINTA EN firmadas ("&amp;IF(INDEX(firmadas!$F:$F,$T9)="","vacía",DAY(INDEX(firmadas!$F:$F,$T9))&amp;"/"&amp;MONTH(INDEX(firmadas!$F:$F,$T9))&amp;"/"&amp;YEAR(INDEX(firmadas!$F:$F,$T9)))&amp;")",IF($G9&lt;&gt;INDEX(firmadas!$E:$E,$T9),"INGRESO DISTINTO EN firmadas ("&amp;IF(INDEX(firmadas!$E:$E,$T9)="","vacía",DAY(INDEX(firmadas!$E:$E,$T9))&amp;"/"&amp;MONTH(INDEX(firmadas!$E:$E,$T9))&amp;"/"&amp;YEAR(INDEX(firmadas!$E:$E,$T9)))&amp;")","OK"))))))))</f>
        <v>SIN ESTADO</v>
      </c>
      <c r="R9" s="44" t="s">
        <v>116</v>
      </c>
      <c r="T9">
        <f ca="1">IF($P9="","",IFERROR(MATCH($P9,firmadas!$N:$N,0),IFERROR(MATCH("*/"&amp;MID($P9,FIND(" ",$P9)+1,9)&amp;"*",firmadas!$B:$B,0),0)))</f>
        <v>0</v>
      </c>
    </row>
    <row r="10" spans="1:20" ht="18" customHeight="1" x14ac:dyDescent="0.25">
      <c r="A10" s="44" t="s">
        <v>100</v>
      </c>
      <c r="C10" s="44" t="s">
        <v>62</v>
      </c>
      <c r="D10" s="42">
        <v>1489</v>
      </c>
      <c r="E10" s="44" t="s">
        <v>117</v>
      </c>
      <c r="F10" s="44" t="s">
        <v>118</v>
      </c>
      <c r="G10" s="26">
        <v>42935</v>
      </c>
      <c r="I10" s="44" t="s">
        <v>103</v>
      </c>
      <c r="J10" s="44" t="s">
        <v>88</v>
      </c>
      <c r="K10" s="44" t="s">
        <v>104</v>
      </c>
      <c r="M10" s="44" t="s">
        <v>83</v>
      </c>
      <c r="N10" s="53">
        <f t="shared" ca="1" si="0"/>
        <v>112.03333333333333</v>
      </c>
      <c r="P10" s="47" t="str">
        <f ca="1">IF(TRIM(SUBSTITUTE(($C10&amp;" "&amp;$D10),CHAR(160)," "))="","",IFERROR(IF(ISNUMBER(SEARCH("INC",($C10&amp;" "&amp;$D10))),"INC",IF(ISNUMBER(SEARCH("OPI",($C10&amp;" "&amp;$D10))),"OPI",IF(ISNUMBER(SEARCH("DP",($C10&amp;" "&amp;$D10))),"DP","CONC")))&amp;" "&amp;TEXT(LOOKUP(9.99E+307,--MID(SUBSTITUTE(($C10&amp;" "&amp;$D10),CHAR(160)," "),SUMPRODUCT(MIN(FIND({0,1,2,3,4,5,6,7,8,9},SUBSTITUTE(($C10&amp;" "&amp;$D10),CHAR(160)," ")&amp;"0123456789"))),ROW(INDIRECT("1:6")))),"0"),"SIN NUMERO"))</f>
        <v>CONC 1489</v>
      </c>
      <c r="Q10" t="str">
        <f ca="1">IF($P10="","",IF(LEFT(UPPER($S10),9)="VERIFICAR","VERIFICAR",IF($A10="","SIN ESTADO",IF(AND($A10="Firmada",$H10=""),"FALTA FECHA DE FIRMA",IF(N($T10)=0,IF(AND(ISNUMBER($H10),$H10&gt;=DATE(2024,1,1)),"FALTA EN FIRMADAS","OK"),IF(OR($A10="Pendiente de presentación",$A10="Observado",$A10="En análisis",$A10="En instrucción",$A10="Suspendida",$A10="IT circulando",$A10="Para resolución",$A10="TDC"),"ABIERTA PERO ESTÁ EN FIRMADAS",IF($H10&lt;&gt;INDEX(firmadas!$F:$F,$T10),"FIRMA DISTINTA EN firmadas ("&amp;IF(INDEX(firmadas!$F:$F,$T10)="","vacía",DAY(INDEX(firmadas!$F:$F,$T10))&amp;"/"&amp;MONTH(INDEX(firmadas!$F:$F,$T10))&amp;"/"&amp;YEAR(INDEX(firmadas!$F:$F,$T10)))&amp;")",IF($G10&lt;&gt;INDEX(firmadas!$E:$E,$T10),"INGRESO DISTINTO EN firmadas ("&amp;IF(INDEX(firmadas!$E:$E,$T10)="","vacía",DAY(INDEX(firmadas!$E:$E,$T10))&amp;"/"&amp;MONTH(INDEX(firmadas!$E:$E,$T10))&amp;"/"&amp;YEAR(INDEX(firmadas!$E:$E,$T10)))&amp;")","OK"))))))))</f>
        <v>OK</v>
      </c>
      <c r="R10" s="44" t="s">
        <v>105</v>
      </c>
      <c r="T10">
        <f ca="1">IF($P10="","",IFERROR(MATCH($P10,firmadas!$N:$N,0),IFERROR(MATCH("*/"&amp;MID($P10,FIND(" ",$P10)+1,9)&amp;"*",firmadas!$B:$B,0),0)))</f>
        <v>0</v>
      </c>
    </row>
    <row r="11" spans="1:20" ht="18" customHeight="1" x14ac:dyDescent="0.25">
      <c r="A11" s="44" t="s">
        <v>84</v>
      </c>
      <c r="C11" s="44" t="s">
        <v>62</v>
      </c>
      <c r="D11" s="42">
        <v>1507</v>
      </c>
      <c r="E11" s="44" t="s">
        <v>119</v>
      </c>
      <c r="G11" s="26">
        <v>42983</v>
      </c>
      <c r="H11" s="16">
        <v>43280</v>
      </c>
      <c r="I11" s="44" t="s">
        <v>103</v>
      </c>
      <c r="M11" s="44" t="s">
        <v>83</v>
      </c>
      <c r="N11" s="53">
        <f t="shared" ca="1" si="0"/>
        <v>9.9</v>
      </c>
      <c r="P11" s="47" t="str">
        <f ca="1">IF(TRIM(SUBSTITUTE(($C11&amp;" "&amp;$D11),CHAR(160)," "))="","",IFERROR(IF(ISNUMBER(SEARCH("INC",($C11&amp;" "&amp;$D11))),"INC",IF(ISNUMBER(SEARCH("OPI",($C11&amp;" "&amp;$D11))),"OPI",IF(ISNUMBER(SEARCH("DP",($C11&amp;" "&amp;$D11))),"DP","CONC")))&amp;" "&amp;TEXT(LOOKUP(9.99E+307,--MID(SUBSTITUTE(($C11&amp;" "&amp;$D11),CHAR(160)," "),SUMPRODUCT(MIN(FIND({0,1,2,3,4,5,6,7,8,9},SUBSTITUTE(($C11&amp;" "&amp;$D11),CHAR(160)," ")&amp;"0123456789"))),ROW(INDIRECT("1:6")))),"0"),"SIN NUMERO"))</f>
        <v>CONC 1507</v>
      </c>
      <c r="Q11" t="str">
        <f ca="1">IF($P11="","",IF(LEFT(UPPER($S11),9)="VERIFICAR","VERIFICAR",IF($A11="","SIN ESTADO",IF(AND($A11="Firmada",$H11=""),"FALTA FECHA DE FIRMA",IF(N($T11)=0,IF(AND(ISNUMBER($H11),$H11&gt;=DATE(2024,1,1)),"FALTA EN FIRMADAS","OK"),IF(OR($A11="Pendiente de presentación",$A11="Observado",$A11="En análisis",$A11="En instrucción",$A11="Suspendida",$A11="IT circulando",$A11="Para resolución",$A11="TDC"),"ABIERTA PERO ESTÁ EN FIRMADAS",IF($H11&lt;&gt;INDEX(firmadas!$F:$F,$T11),"FIRMA DISTINTA EN firmadas ("&amp;IF(INDEX(firmadas!$F:$F,$T11)="","vacía",DAY(INDEX(firmadas!$F:$F,$T11))&amp;"/"&amp;MONTH(INDEX(firmadas!$F:$F,$T11))&amp;"/"&amp;YEAR(INDEX(firmadas!$F:$F,$T11)))&amp;")",IF($G11&lt;&gt;INDEX(firmadas!$E:$E,$T11),"INGRESO DISTINTO EN firmadas ("&amp;IF(INDEX(firmadas!$E:$E,$T11)="","vacía",DAY(INDEX(firmadas!$E:$E,$T11))&amp;"/"&amp;MONTH(INDEX(firmadas!$E:$E,$T11))&amp;"/"&amp;YEAR(INDEX(firmadas!$E:$E,$T11)))&amp;")","OK"))))))))</f>
        <v>OK</v>
      </c>
      <c r="R11" s="44" t="s">
        <v>89</v>
      </c>
      <c r="T11">
        <f ca="1">IF($P11="","",IFERROR(MATCH($P11,firmadas!$N:$N,0),IFERROR(MATCH("*/"&amp;MID($P11,FIND(" ",$P11)+1,9)&amp;"*",firmadas!$B:$B,0),0)))</f>
        <v>0</v>
      </c>
    </row>
    <row r="12" spans="1:20" ht="18" customHeight="1" x14ac:dyDescent="0.25">
      <c r="A12" s="44" t="s">
        <v>100</v>
      </c>
      <c r="C12" s="44" t="s">
        <v>62</v>
      </c>
      <c r="D12" s="42">
        <v>1543</v>
      </c>
      <c r="E12" s="44" t="s">
        <v>120</v>
      </c>
      <c r="F12" s="44" t="s">
        <v>121</v>
      </c>
      <c r="G12" s="26">
        <v>43046</v>
      </c>
      <c r="I12" s="44" t="s">
        <v>93</v>
      </c>
      <c r="M12" s="44" t="s">
        <v>83</v>
      </c>
      <c r="N12" s="53">
        <f t="shared" ca="1" si="0"/>
        <v>108.33333333333333</v>
      </c>
      <c r="P12" s="47" t="str">
        <f ca="1">IF(TRIM(SUBSTITUTE(($C12&amp;" "&amp;$D12),CHAR(160)," "))="","",IFERROR(IF(ISNUMBER(SEARCH("INC",($C12&amp;" "&amp;$D12))),"INC",IF(ISNUMBER(SEARCH("OPI",($C12&amp;" "&amp;$D12))),"OPI",IF(ISNUMBER(SEARCH("DP",($C12&amp;" "&amp;$D12))),"DP","CONC")))&amp;" "&amp;TEXT(LOOKUP(9.99E+307,--MID(SUBSTITUTE(($C12&amp;" "&amp;$D12),CHAR(160)," "),SUMPRODUCT(MIN(FIND({0,1,2,3,4,5,6,7,8,9},SUBSTITUTE(($C12&amp;" "&amp;$D12),CHAR(160)," ")&amp;"0123456789"))),ROW(INDIRECT("1:6")))),"0"),"SIN NUMERO"))</f>
        <v>CONC 1543</v>
      </c>
      <c r="Q12" t="str">
        <f ca="1">IF($P12="","",IF(LEFT(UPPER($S12),9)="VERIFICAR","VERIFICAR",IF($A12="","SIN ESTADO",IF(AND($A12="Firmada",$H12=""),"FALTA FECHA DE FIRMA",IF(N($T12)=0,IF(AND(ISNUMBER($H12),$H12&gt;=DATE(2024,1,1)),"FALTA EN FIRMADAS","OK"),IF(OR($A12="Pendiente de presentación",$A12="Observado",$A12="En análisis",$A12="En instrucción",$A12="Suspendida",$A12="IT circulando",$A12="Para resolución",$A12="TDC"),"ABIERTA PERO ESTÁ EN FIRMADAS",IF($H12&lt;&gt;INDEX(firmadas!$F:$F,$T12),"FIRMA DISTINTA EN firmadas ("&amp;IF(INDEX(firmadas!$F:$F,$T12)="","vacía",DAY(INDEX(firmadas!$F:$F,$T12))&amp;"/"&amp;MONTH(INDEX(firmadas!$F:$F,$T12))&amp;"/"&amp;YEAR(INDEX(firmadas!$F:$F,$T12)))&amp;")",IF($G12&lt;&gt;INDEX(firmadas!$E:$E,$T12),"INGRESO DISTINTO EN firmadas ("&amp;IF(INDEX(firmadas!$E:$E,$T12)="","vacía",DAY(INDEX(firmadas!$E:$E,$T12))&amp;"/"&amp;MONTH(INDEX(firmadas!$E:$E,$T12))&amp;"/"&amp;YEAR(INDEX(firmadas!$E:$E,$T12)))&amp;")","OK"))))))))</f>
        <v>OK</v>
      </c>
      <c r="R12" s="44" t="s">
        <v>105</v>
      </c>
      <c r="T12">
        <f ca="1">IF($P12="","",IFERROR(MATCH($P12,firmadas!$N:$N,0),IFERROR(MATCH("*/"&amp;MID($P12,FIND(" ",$P12)+1,9)&amp;"*",firmadas!$B:$B,0),0)))</f>
        <v>0</v>
      </c>
    </row>
    <row r="13" spans="1:20" ht="18" customHeight="1" x14ac:dyDescent="0.25">
      <c r="A13" s="44" t="s">
        <v>84</v>
      </c>
      <c r="C13" s="44" t="s">
        <v>62</v>
      </c>
      <c r="D13" s="42">
        <v>1637</v>
      </c>
      <c r="E13" s="44" t="s">
        <v>122</v>
      </c>
      <c r="F13" s="44" t="s">
        <v>123</v>
      </c>
      <c r="G13" s="26">
        <v>43248</v>
      </c>
      <c r="I13" s="44" t="s">
        <v>124</v>
      </c>
      <c r="M13" s="44" t="s">
        <v>83</v>
      </c>
      <c r="N13" s="53">
        <f t="shared" ca="1" si="0"/>
        <v>101.6</v>
      </c>
      <c r="P13" s="47" t="str">
        <f ca="1">IF(TRIM(SUBSTITUTE(($C13&amp;" "&amp;$D13),CHAR(160)," "))="","",IFERROR(IF(ISNUMBER(SEARCH("INC",($C13&amp;" "&amp;$D13))),"INC",IF(ISNUMBER(SEARCH("OPI",($C13&amp;" "&amp;$D13))),"OPI",IF(ISNUMBER(SEARCH("DP",($C13&amp;" "&amp;$D13))),"DP","CONC")))&amp;" "&amp;TEXT(LOOKUP(9.99E+307,--MID(SUBSTITUTE(($C13&amp;" "&amp;$D13),CHAR(160)," "),SUMPRODUCT(MIN(FIND({0,1,2,3,4,5,6,7,8,9},SUBSTITUTE(($C13&amp;" "&amp;$D13),CHAR(160)," ")&amp;"0123456789"))),ROW(INDIRECT("1:6")))),"0"),"SIN NUMERO"))</f>
        <v>CONC 1637</v>
      </c>
      <c r="Q13" t="str">
        <f ca="1">IF($P13="","",IF(LEFT(UPPER($S13),9)="VERIFICAR","VERIFICAR",IF($A13="","SIN ESTADO",IF(AND($A13="Firmada",$H13=""),"FALTA FECHA DE FIRMA",IF(N($T13)=0,IF(AND(ISNUMBER($H13),$H13&gt;=DATE(2024,1,1)),"FALTA EN FIRMADAS","OK"),IF(OR($A13="Pendiente de presentación",$A13="Observado",$A13="En análisis",$A13="En instrucción",$A13="Suspendida",$A13="IT circulando",$A13="Para resolución",$A13="TDC"),"ABIERTA PERO ESTÁ EN FIRMADAS",IF($H13&lt;&gt;INDEX(firmadas!$F:$F,$T13),"FIRMA DISTINTA EN firmadas ("&amp;IF(INDEX(firmadas!$F:$F,$T13)="","vacía",DAY(INDEX(firmadas!$F:$F,$T13))&amp;"/"&amp;MONTH(INDEX(firmadas!$F:$F,$T13))&amp;"/"&amp;YEAR(INDEX(firmadas!$F:$F,$T13)))&amp;")",IF($G13&lt;&gt;INDEX(firmadas!$E:$E,$T13),"INGRESO DISTINTO EN firmadas ("&amp;IF(INDEX(firmadas!$E:$E,$T13)="","vacía",DAY(INDEX(firmadas!$E:$E,$T13))&amp;"/"&amp;MONTH(INDEX(firmadas!$E:$E,$T13))&amp;"/"&amp;YEAR(INDEX(firmadas!$E:$E,$T13)))&amp;")","OK"))))))))</f>
        <v>OK</v>
      </c>
      <c r="R13" s="44" t="s">
        <v>89</v>
      </c>
      <c r="T13">
        <f ca="1">IF($P13="","",IFERROR(MATCH($P13,firmadas!$N:$N,0),IFERROR(MATCH("*/"&amp;MID($P13,FIND(" ",$P13)+1,9)&amp;"*",firmadas!$B:$B,0),0)))</f>
        <v>0</v>
      </c>
    </row>
    <row r="14" spans="1:20" ht="18" customHeight="1" x14ac:dyDescent="0.25">
      <c r="A14" s="40"/>
      <c r="C14" s="44" t="s">
        <v>62</v>
      </c>
      <c r="D14" s="42">
        <v>1663</v>
      </c>
      <c r="E14" s="44" t="s">
        <v>125</v>
      </c>
      <c r="F14" s="44" t="s">
        <v>126</v>
      </c>
      <c r="G14" s="26">
        <v>43412</v>
      </c>
      <c r="I14" s="44" t="s">
        <v>93</v>
      </c>
      <c r="J14" s="44" t="s">
        <v>103</v>
      </c>
      <c r="K14" s="44" t="s">
        <v>127</v>
      </c>
      <c r="M14" s="44" t="s">
        <v>83</v>
      </c>
      <c r="N14" s="53">
        <f t="shared" ca="1" si="0"/>
        <v>96.13333333333334</v>
      </c>
      <c r="O14" s="44" t="s">
        <v>128</v>
      </c>
      <c r="P14" s="47" t="str">
        <f ca="1">IF(TRIM(SUBSTITUTE(($C14&amp;" "&amp;$D14),CHAR(160)," "))="","",IFERROR(IF(ISNUMBER(SEARCH("INC",($C14&amp;" "&amp;$D14))),"INC",IF(ISNUMBER(SEARCH("OPI",($C14&amp;" "&amp;$D14))),"OPI",IF(ISNUMBER(SEARCH("DP",($C14&amp;" "&amp;$D14))),"DP","CONC")))&amp;" "&amp;TEXT(LOOKUP(9.99E+307,--MID(SUBSTITUTE(($C14&amp;" "&amp;$D14),CHAR(160)," "),SUMPRODUCT(MIN(FIND({0,1,2,3,4,5,6,7,8,9},SUBSTITUTE(($C14&amp;" "&amp;$D14),CHAR(160)," ")&amp;"0123456789"))),ROW(INDIRECT("1:6")))),"0"),"SIN NUMERO"))</f>
        <v>CONC 1663</v>
      </c>
      <c r="Q14" t="str">
        <f ca="1">IF($P14="","",IF(LEFT(UPPER($S14),9)="VERIFICAR","VERIFICAR",IF($A14="","SIN ESTADO",IF(AND($A14="Firmada",$H14=""),"FALTA FECHA DE FIRMA",IF(N($T14)=0,IF(AND(ISNUMBER($H14),$H14&gt;=DATE(2024,1,1)),"FALTA EN FIRMADAS","OK"),IF(OR($A14="Pendiente de presentación",$A14="Observado",$A14="En análisis",$A14="En instrucción",$A14="Suspendida",$A14="IT circulando",$A14="Para resolución",$A14="TDC"),"ABIERTA PERO ESTÁ EN FIRMADAS",IF($H14&lt;&gt;INDEX(firmadas!$F:$F,$T14),"FIRMA DISTINTA EN firmadas ("&amp;IF(INDEX(firmadas!$F:$F,$T14)="","vacía",DAY(INDEX(firmadas!$F:$F,$T14))&amp;"/"&amp;MONTH(INDEX(firmadas!$F:$F,$T14))&amp;"/"&amp;YEAR(INDEX(firmadas!$F:$F,$T14)))&amp;")",IF($G14&lt;&gt;INDEX(firmadas!$E:$E,$T14),"INGRESO DISTINTO EN firmadas ("&amp;IF(INDEX(firmadas!$E:$E,$T14)="","vacía",DAY(INDEX(firmadas!$E:$E,$T14))&amp;"/"&amp;MONTH(INDEX(firmadas!$E:$E,$T14))&amp;"/"&amp;YEAR(INDEX(firmadas!$E:$E,$T14)))&amp;")","OK"))))))))</f>
        <v>SIN ESTADO</v>
      </c>
      <c r="T14">
        <f ca="1">IF($P14="","",IFERROR(MATCH($P14,firmadas!$N:$N,0),IFERROR(MATCH("*/"&amp;MID($P14,FIND(" ",$P14)+1,9)&amp;"*",firmadas!$B:$B,0),0)))</f>
        <v>0</v>
      </c>
    </row>
    <row r="15" spans="1:20" ht="18" customHeight="1" x14ac:dyDescent="0.25">
      <c r="A15" s="44" t="s">
        <v>84</v>
      </c>
      <c r="C15" s="44" t="s">
        <v>62</v>
      </c>
      <c r="D15" s="42">
        <v>1675</v>
      </c>
      <c r="E15" s="44" t="s">
        <v>129</v>
      </c>
      <c r="F15" s="44" t="s">
        <v>130</v>
      </c>
      <c r="G15" s="26">
        <v>43474</v>
      </c>
      <c r="I15" s="44" t="s">
        <v>103</v>
      </c>
      <c r="J15" s="44" t="s">
        <v>88</v>
      </c>
      <c r="K15" s="44" t="s">
        <v>104</v>
      </c>
      <c r="M15" s="44" t="s">
        <v>83</v>
      </c>
      <c r="N15" s="53">
        <f t="shared" ca="1" si="0"/>
        <v>94.066666666666663</v>
      </c>
      <c r="P15" s="47" t="str">
        <f ca="1">IF(TRIM(SUBSTITUTE(($C15&amp;" "&amp;$D15),CHAR(160)," "))="","",IFERROR(IF(ISNUMBER(SEARCH("INC",($C15&amp;" "&amp;$D15))),"INC",IF(ISNUMBER(SEARCH("OPI",($C15&amp;" "&amp;$D15))),"OPI",IF(ISNUMBER(SEARCH("DP",($C15&amp;" "&amp;$D15))),"DP","CONC")))&amp;" "&amp;TEXT(LOOKUP(9.99E+307,--MID(SUBSTITUTE(($C15&amp;" "&amp;$D15),CHAR(160)," "),SUMPRODUCT(MIN(FIND({0,1,2,3,4,5,6,7,8,9},SUBSTITUTE(($C15&amp;" "&amp;$D15),CHAR(160)," ")&amp;"0123456789"))),ROW(INDIRECT("1:6")))),"0"),"SIN NUMERO"))</f>
        <v>CONC 1675</v>
      </c>
      <c r="Q15" t="str">
        <f ca="1">IF($P15="","",IF(LEFT(UPPER($S15),9)="VERIFICAR","VERIFICAR",IF($A15="","SIN ESTADO",IF(AND($A15="Firmada",$H15=""),"FALTA FECHA DE FIRMA",IF(N($T15)=0,IF(AND(ISNUMBER($H15),$H15&gt;=DATE(2024,1,1)),"FALTA EN FIRMADAS","OK"),IF(OR($A15="Pendiente de presentación",$A15="Observado",$A15="En análisis",$A15="En instrucción",$A15="Suspendida",$A15="IT circulando",$A15="Para resolución",$A15="TDC"),"ABIERTA PERO ESTÁ EN FIRMADAS",IF($H15&lt;&gt;INDEX(firmadas!$F:$F,$T15),"FIRMA DISTINTA EN firmadas ("&amp;IF(INDEX(firmadas!$F:$F,$T15)="","vacía",DAY(INDEX(firmadas!$F:$F,$T15))&amp;"/"&amp;MONTH(INDEX(firmadas!$F:$F,$T15))&amp;"/"&amp;YEAR(INDEX(firmadas!$F:$F,$T15)))&amp;")",IF($G15&lt;&gt;INDEX(firmadas!$E:$E,$T15),"INGRESO DISTINTO EN firmadas ("&amp;IF(INDEX(firmadas!$E:$E,$T15)="","vacía",DAY(INDEX(firmadas!$E:$E,$T15))&amp;"/"&amp;MONTH(INDEX(firmadas!$E:$E,$T15))&amp;"/"&amp;YEAR(INDEX(firmadas!$E:$E,$T15)))&amp;")","OK"))))))))</f>
        <v>OK</v>
      </c>
      <c r="R15" s="44" t="s">
        <v>89</v>
      </c>
      <c r="T15">
        <f ca="1">IF($P15="","",IFERROR(MATCH($P15,firmadas!$N:$N,0),IFERROR(MATCH("*/"&amp;MID($P15,FIND(" ",$P15)+1,9)&amp;"*",firmadas!$B:$B,0),0)))</f>
        <v>0</v>
      </c>
    </row>
    <row r="16" spans="1:20" ht="18" customHeight="1" x14ac:dyDescent="0.25">
      <c r="A16" s="44" t="s">
        <v>84</v>
      </c>
      <c r="C16" s="44" t="s">
        <v>62</v>
      </c>
      <c r="D16" s="42">
        <v>1692</v>
      </c>
      <c r="E16" s="44" t="s">
        <v>131</v>
      </c>
      <c r="F16" s="44" t="s">
        <v>132</v>
      </c>
      <c r="G16" s="26">
        <v>43543</v>
      </c>
      <c r="I16" s="44" t="s">
        <v>103</v>
      </c>
      <c r="K16" s="44" t="s">
        <v>133</v>
      </c>
      <c r="M16" s="44" t="s">
        <v>83</v>
      </c>
      <c r="N16" s="53">
        <f t="shared" ca="1" si="0"/>
        <v>91.766666666666666</v>
      </c>
      <c r="P16" s="47" t="str">
        <f ca="1">IF(TRIM(SUBSTITUTE(($C16&amp;" "&amp;$D16),CHAR(160)," "))="","",IFERROR(IF(ISNUMBER(SEARCH("INC",($C16&amp;" "&amp;$D16))),"INC",IF(ISNUMBER(SEARCH("OPI",($C16&amp;" "&amp;$D16))),"OPI",IF(ISNUMBER(SEARCH("DP",($C16&amp;" "&amp;$D16))),"DP","CONC")))&amp;" "&amp;TEXT(LOOKUP(9.99E+307,--MID(SUBSTITUTE(($C16&amp;" "&amp;$D16),CHAR(160)," "),SUMPRODUCT(MIN(FIND({0,1,2,3,4,5,6,7,8,9},SUBSTITUTE(($C16&amp;" "&amp;$D16),CHAR(160)," ")&amp;"0123456789"))),ROW(INDIRECT("1:6")))),"0"),"SIN NUMERO"))</f>
        <v>CONC 1692</v>
      </c>
      <c r="Q16" t="str">
        <f ca="1">IF($P16="","",IF(LEFT(UPPER($S16),9)="VERIFICAR","VERIFICAR",IF($A16="","SIN ESTADO",IF(AND($A16="Firmada",$H16=""),"FALTA FECHA DE FIRMA",IF(N($T16)=0,IF(AND(ISNUMBER($H16),$H16&gt;=DATE(2024,1,1)),"FALTA EN FIRMADAS","OK"),IF(OR($A16="Pendiente de presentación",$A16="Observado",$A16="En análisis",$A16="En instrucción",$A16="Suspendida",$A16="IT circulando",$A16="Para resolución",$A16="TDC"),"ABIERTA PERO ESTÁ EN FIRMADAS",IF($H16&lt;&gt;INDEX(firmadas!$F:$F,$T16),"FIRMA DISTINTA EN firmadas ("&amp;IF(INDEX(firmadas!$F:$F,$T16)="","vacía",DAY(INDEX(firmadas!$F:$F,$T16))&amp;"/"&amp;MONTH(INDEX(firmadas!$F:$F,$T16))&amp;"/"&amp;YEAR(INDEX(firmadas!$F:$F,$T16)))&amp;")",IF($G16&lt;&gt;INDEX(firmadas!$E:$E,$T16),"INGRESO DISTINTO EN firmadas ("&amp;IF(INDEX(firmadas!$E:$E,$T16)="","vacía",DAY(INDEX(firmadas!$E:$E,$T16))&amp;"/"&amp;MONTH(INDEX(firmadas!$E:$E,$T16))&amp;"/"&amp;YEAR(INDEX(firmadas!$E:$E,$T16)))&amp;")","OK"))))))))</f>
        <v>OK</v>
      </c>
      <c r="R16" s="44" t="s">
        <v>89</v>
      </c>
      <c r="T16">
        <f ca="1">IF($P16="","",IFERROR(MATCH($P16,firmadas!$N:$N,0),IFERROR(MATCH("*/"&amp;MID($P16,FIND(" ",$P16)+1,9)&amp;"*",firmadas!$B:$B,0),0)))</f>
        <v>0</v>
      </c>
    </row>
    <row r="17" spans="1:20" ht="18" customHeight="1" x14ac:dyDescent="0.25">
      <c r="A17" s="44" t="s">
        <v>100</v>
      </c>
      <c r="C17" s="44" t="s">
        <v>62</v>
      </c>
      <c r="D17" s="42">
        <v>1711</v>
      </c>
      <c r="E17" s="44" t="s">
        <v>134</v>
      </c>
      <c r="F17" s="44" t="s">
        <v>135</v>
      </c>
      <c r="G17" s="26">
        <v>43650</v>
      </c>
      <c r="I17" s="44" t="s">
        <v>87</v>
      </c>
      <c r="J17" s="44" t="s">
        <v>111</v>
      </c>
      <c r="K17" s="44" t="s">
        <v>96</v>
      </c>
      <c r="M17" s="44" t="s">
        <v>83</v>
      </c>
      <c r="N17" s="53">
        <f t="shared" ca="1" si="0"/>
        <v>88.2</v>
      </c>
      <c r="P17" s="47" t="str">
        <f ca="1">IF(TRIM(SUBSTITUTE(($C17&amp;" "&amp;$D17),CHAR(160)," "))="","",IFERROR(IF(ISNUMBER(SEARCH("INC",($C17&amp;" "&amp;$D17))),"INC",IF(ISNUMBER(SEARCH("OPI",($C17&amp;" "&amp;$D17))),"OPI",IF(ISNUMBER(SEARCH("DP",($C17&amp;" "&amp;$D17))),"DP","CONC")))&amp;" "&amp;TEXT(LOOKUP(9.99E+307,--MID(SUBSTITUTE(($C17&amp;" "&amp;$D17),CHAR(160)," "),SUMPRODUCT(MIN(FIND({0,1,2,3,4,5,6,7,8,9},SUBSTITUTE(($C17&amp;" "&amp;$D17),CHAR(160)," ")&amp;"0123456789"))),ROW(INDIRECT("1:6")))),"0"),"SIN NUMERO"))</f>
        <v>CONC 1711</v>
      </c>
      <c r="Q17" t="str">
        <f ca="1">IF($P17="","",IF(LEFT(UPPER($S17),9)="VERIFICAR","VERIFICAR",IF($A17="","SIN ESTADO",IF(AND($A17="Firmada",$H17=""),"FALTA FECHA DE FIRMA",IF(N($T17)=0,IF(AND(ISNUMBER($H17),$H17&gt;=DATE(2024,1,1)),"FALTA EN FIRMADAS","OK"),IF(OR($A17="Pendiente de presentación",$A17="Observado",$A17="En análisis",$A17="En instrucción",$A17="Suspendida",$A17="IT circulando",$A17="Para resolución",$A17="TDC"),"ABIERTA PERO ESTÁ EN FIRMADAS",IF($H17&lt;&gt;INDEX(firmadas!$F:$F,$T17),"FIRMA DISTINTA EN firmadas ("&amp;IF(INDEX(firmadas!$F:$F,$T17)="","vacía",DAY(INDEX(firmadas!$F:$F,$T17))&amp;"/"&amp;MONTH(INDEX(firmadas!$F:$F,$T17))&amp;"/"&amp;YEAR(INDEX(firmadas!$F:$F,$T17)))&amp;")",IF($G17&lt;&gt;INDEX(firmadas!$E:$E,$T17),"INGRESO DISTINTO EN firmadas ("&amp;IF(INDEX(firmadas!$E:$E,$T17)="","vacía",DAY(INDEX(firmadas!$E:$E,$T17))&amp;"/"&amp;MONTH(INDEX(firmadas!$E:$E,$T17))&amp;"/"&amp;YEAR(INDEX(firmadas!$E:$E,$T17)))&amp;")","OK"))))))))</f>
        <v>OK</v>
      </c>
      <c r="R17" s="44" t="s">
        <v>105</v>
      </c>
      <c r="T17">
        <f ca="1">IF($P17="","",IFERROR(MATCH($P17,firmadas!$N:$N,0),IFERROR(MATCH("*/"&amp;MID($P17,FIND(" ",$P17)+1,9)&amp;"*",firmadas!$B:$B,0),0)))</f>
        <v>0</v>
      </c>
    </row>
    <row r="18" spans="1:20" ht="18" customHeight="1" x14ac:dyDescent="0.25">
      <c r="A18" t="s">
        <v>80</v>
      </c>
      <c r="C18" s="44" t="s">
        <v>62</v>
      </c>
      <c r="D18" s="42">
        <v>1726</v>
      </c>
      <c r="E18" s="44" t="s">
        <v>136</v>
      </c>
      <c r="F18" s="44" t="s">
        <v>137</v>
      </c>
      <c r="G18" s="16">
        <v>43727</v>
      </c>
      <c r="H18" s="16">
        <v>46045</v>
      </c>
      <c r="I18" s="26" t="s">
        <v>103</v>
      </c>
      <c r="J18" s="26" t="s">
        <v>138</v>
      </c>
      <c r="K18" s="44" t="s">
        <v>96</v>
      </c>
      <c r="L18" s="44" t="s">
        <v>104</v>
      </c>
      <c r="M18" t="s">
        <v>83</v>
      </c>
      <c r="N18" s="53">
        <f t="shared" ca="1" si="0"/>
        <v>77.266666666666666</v>
      </c>
      <c r="P18" s="47" t="str">
        <f ca="1">IF(TRIM(SUBSTITUTE(($C18&amp;" "&amp;$D18),CHAR(160)," "))="","",IFERROR(IF(ISNUMBER(SEARCH("INC",($C18&amp;" "&amp;$D18))),"INC",IF(ISNUMBER(SEARCH("OPI",($C18&amp;" "&amp;$D18))),"OPI",IF(ISNUMBER(SEARCH("DP",($C18&amp;" "&amp;$D18))),"DP","CONC")))&amp;" "&amp;TEXT(LOOKUP(9.99E+307,--MID(SUBSTITUTE(($C18&amp;" "&amp;$D18),CHAR(160)," "),SUMPRODUCT(MIN(FIND({0,1,2,3,4,5,6,7,8,9},SUBSTITUTE(($C18&amp;" "&amp;$D18),CHAR(160)," ")&amp;"0123456789"))),ROW(INDIRECT("1:6")))),"0"),"SIN NUMERO"))</f>
        <v>CONC 1726</v>
      </c>
      <c r="Q18" t="str">
        <f ca="1">IF($P18="","",IF(LEFT(UPPER($S18),9)="VERIFICAR","VERIFICAR",IF($A18="","SIN ESTADO",IF(AND($A18="Firmada",$H18=""),"FALTA FECHA DE FIRMA",IF(N($T18)=0,IF(AND(ISNUMBER($H18),$H18&gt;=DATE(2024,1,1)),"FALTA EN FIRMADAS","OK"),IF(OR($A18="Pendiente de presentación",$A18="Observado",$A18="En análisis",$A18="En instrucción",$A18="Suspendida",$A18="IT circulando",$A18="Para resolución",$A18="TDC"),"ABIERTA PERO ESTÁ EN FIRMADAS",IF($H18&lt;&gt;INDEX(firmadas!$F:$F,$T18),"FIRMA DISTINTA EN firmadas ("&amp;IF(INDEX(firmadas!$F:$F,$T18)="","vacía",DAY(INDEX(firmadas!$F:$F,$T18))&amp;"/"&amp;MONTH(INDEX(firmadas!$F:$F,$T18))&amp;"/"&amp;YEAR(INDEX(firmadas!$F:$F,$T18)))&amp;")",IF($G18&lt;&gt;INDEX(firmadas!$E:$E,$T18),"INGRESO DISTINTO EN firmadas ("&amp;IF(INDEX(firmadas!$E:$E,$T18)="","vacía",DAY(INDEX(firmadas!$E:$E,$T18))&amp;"/"&amp;MONTH(INDEX(firmadas!$E:$E,$T18))&amp;"/"&amp;YEAR(INDEX(firmadas!$E:$E,$T18)))&amp;")","OK"))))))))</f>
        <v>OK</v>
      </c>
      <c r="R18" s="44" t="s">
        <v>105</v>
      </c>
      <c r="T18">
        <f ca="1">IF($P18="","",IFERROR(MATCH($P18,firmadas!$N:$N,0),IFERROR(MATCH("*/"&amp;MID($P18,FIND(" ",$P18)+1,9)&amp;"*",firmadas!$B:$B,0),0)))</f>
        <v>197</v>
      </c>
    </row>
    <row r="19" spans="1:20" ht="18" customHeight="1" x14ac:dyDescent="0.25">
      <c r="A19" s="44" t="s">
        <v>100</v>
      </c>
      <c r="C19" s="44" t="s">
        <v>62</v>
      </c>
      <c r="D19" s="42">
        <v>1736</v>
      </c>
      <c r="E19" s="44" t="s">
        <v>139</v>
      </c>
      <c r="F19" s="44" t="s">
        <v>140</v>
      </c>
      <c r="G19" s="26">
        <v>43809</v>
      </c>
      <c r="I19" s="44" t="s">
        <v>103</v>
      </c>
      <c r="J19" s="44" t="s">
        <v>88</v>
      </c>
      <c r="K19" s="44" t="s">
        <v>104</v>
      </c>
      <c r="L19" s="44" t="s">
        <v>96</v>
      </c>
      <c r="M19" s="44" t="s">
        <v>83</v>
      </c>
      <c r="N19" s="53">
        <f t="shared" ca="1" si="0"/>
        <v>82.9</v>
      </c>
      <c r="P19" s="47" t="str">
        <f ca="1">IF(TRIM(SUBSTITUTE(($C19&amp;" "&amp;$D19),CHAR(160)," "))="","",IFERROR(IF(ISNUMBER(SEARCH("INC",($C19&amp;" "&amp;$D19))),"INC",IF(ISNUMBER(SEARCH("OPI",($C19&amp;" "&amp;$D19))),"OPI",IF(ISNUMBER(SEARCH("DP",($C19&amp;" "&amp;$D19))),"DP","CONC")))&amp;" "&amp;TEXT(LOOKUP(9.99E+307,--MID(SUBSTITUTE(($C19&amp;" "&amp;$D19),CHAR(160)," "),SUMPRODUCT(MIN(FIND({0,1,2,3,4,5,6,7,8,9},SUBSTITUTE(($C19&amp;" "&amp;$D19),CHAR(160)," ")&amp;"0123456789"))),ROW(INDIRECT("1:6")))),"0"),"SIN NUMERO"))</f>
        <v>CONC 1736</v>
      </c>
      <c r="Q19" t="str">
        <f ca="1">IF($P19="","",IF(LEFT(UPPER($S19),9)="VERIFICAR","VERIFICAR",IF($A19="","SIN ESTADO",IF(AND($A19="Firmada",$H19=""),"FALTA FECHA DE FIRMA",IF(N($T19)=0,IF(AND(ISNUMBER($H19),$H19&gt;=DATE(2024,1,1)),"FALTA EN FIRMADAS","OK"),IF(OR($A19="Pendiente de presentación",$A19="Observado",$A19="En análisis",$A19="En instrucción",$A19="Suspendida",$A19="IT circulando",$A19="Para resolución",$A19="TDC"),"ABIERTA PERO ESTÁ EN FIRMADAS",IF($H19&lt;&gt;INDEX(firmadas!$F:$F,$T19),"FIRMA DISTINTA EN firmadas ("&amp;IF(INDEX(firmadas!$F:$F,$T19)="","vacía",DAY(INDEX(firmadas!$F:$F,$T19))&amp;"/"&amp;MONTH(INDEX(firmadas!$F:$F,$T19))&amp;"/"&amp;YEAR(INDEX(firmadas!$F:$F,$T19)))&amp;")",IF($G19&lt;&gt;INDEX(firmadas!$E:$E,$T19),"INGRESO DISTINTO EN firmadas ("&amp;IF(INDEX(firmadas!$E:$E,$T19)="","vacía",DAY(INDEX(firmadas!$E:$E,$T19))&amp;"/"&amp;MONTH(INDEX(firmadas!$E:$E,$T19))&amp;"/"&amp;YEAR(INDEX(firmadas!$E:$E,$T19)))&amp;")","OK"))))))))</f>
        <v>OK</v>
      </c>
      <c r="R19" s="44" t="s">
        <v>105</v>
      </c>
      <c r="T19">
        <f ca="1">IF($P19="","",IFERROR(MATCH($P19,firmadas!$N:$N,0),IFERROR(MATCH("*/"&amp;MID($P19,FIND(" ",$P19)+1,9)&amp;"*",firmadas!$B:$B,0),0)))</f>
        <v>0</v>
      </c>
    </row>
    <row r="20" spans="1:20" ht="18" customHeight="1" x14ac:dyDescent="0.25">
      <c r="A20" s="44" t="s">
        <v>141</v>
      </c>
      <c r="C20" s="44" t="s">
        <v>62</v>
      </c>
      <c r="D20" s="42">
        <v>1739</v>
      </c>
      <c r="E20" s="44" t="s">
        <v>142</v>
      </c>
      <c r="F20" s="44" t="s">
        <v>143</v>
      </c>
      <c r="G20" s="26">
        <v>43840</v>
      </c>
      <c r="H20" s="16">
        <v>45588</v>
      </c>
      <c r="I20" s="44" t="s">
        <v>103</v>
      </c>
      <c r="J20" s="44" t="s">
        <v>138</v>
      </c>
      <c r="K20" s="44" t="s">
        <v>127</v>
      </c>
      <c r="L20" s="44" t="s">
        <v>104</v>
      </c>
      <c r="M20" s="44" t="s">
        <v>83</v>
      </c>
      <c r="N20" s="53">
        <f t="shared" ca="1" si="0"/>
        <v>58.266666666666666</v>
      </c>
      <c r="P20" s="47" t="str">
        <f ca="1">IF(TRIM(SUBSTITUTE(($C20&amp;" "&amp;$D20),CHAR(160)," "))="","",IFERROR(IF(ISNUMBER(SEARCH("INC",($C20&amp;" "&amp;$D20))),"INC",IF(ISNUMBER(SEARCH("OPI",($C20&amp;" "&amp;$D20))),"OPI",IF(ISNUMBER(SEARCH("DP",($C20&amp;" "&amp;$D20))),"DP","CONC")))&amp;" "&amp;TEXT(LOOKUP(9.99E+307,--MID(SUBSTITUTE(($C20&amp;" "&amp;$D20),CHAR(160)," "),SUMPRODUCT(MIN(FIND({0,1,2,3,4,5,6,7,8,9},SUBSTITUTE(($C20&amp;" "&amp;$D20),CHAR(160)," ")&amp;"0123456789"))),ROW(INDIRECT("1:6")))),"0"),"SIN NUMERO"))</f>
        <v>CONC 1739</v>
      </c>
      <c r="Q20" t="str">
        <f ca="1">IF($P20="","",IF(LEFT(UPPER($S20),9)="VERIFICAR","VERIFICAR",IF($A20="","SIN ESTADO",IF(AND($A20="Firmada",$H20=""),"FALTA FECHA DE FIRMA",IF(N($T20)=0,IF(AND(ISNUMBER($H20),$H20&gt;=DATE(2024,1,1)),"FALTA EN FIRMADAS","OK"),IF(OR($A20="Pendiente de presentación",$A20="Observado",$A20="En análisis",$A20="En instrucción",$A20="Suspendida",$A20="IT circulando",$A20="Para resolución",$A20="TDC"),"ABIERTA PERO ESTÁ EN FIRMADAS",IF($H20&lt;&gt;INDEX(firmadas!$F:$F,$T20),"FIRMA DISTINTA EN firmadas ("&amp;IF(INDEX(firmadas!$F:$F,$T20)="","vacía",DAY(INDEX(firmadas!$F:$F,$T20))&amp;"/"&amp;MONTH(INDEX(firmadas!$F:$F,$T20))&amp;"/"&amp;YEAR(INDEX(firmadas!$F:$F,$T20)))&amp;")",IF($G20&lt;&gt;INDEX(firmadas!$E:$E,$T20),"INGRESO DISTINTO EN firmadas ("&amp;IF(INDEX(firmadas!$E:$E,$T20)="","vacía",DAY(INDEX(firmadas!$E:$E,$T20))&amp;"/"&amp;MONTH(INDEX(firmadas!$E:$E,$T20))&amp;"/"&amp;YEAR(INDEX(firmadas!$E:$E,$T20)))&amp;")","OK"))))))))</f>
        <v>OK</v>
      </c>
      <c r="R20" s="44" t="s">
        <v>144</v>
      </c>
      <c r="T20">
        <f ca="1">IF($P20="","",IFERROR(MATCH($P20,firmadas!$N:$N,0),IFERROR(MATCH("*/"&amp;MID($P20,FIND(" ",$P20)+1,9)&amp;"*",firmadas!$B:$B,0),0)))</f>
        <v>74</v>
      </c>
    </row>
    <row r="21" spans="1:20" ht="18" customHeight="1" x14ac:dyDescent="0.25">
      <c r="A21" s="44" t="s">
        <v>84</v>
      </c>
      <c r="C21" s="44" t="s">
        <v>145</v>
      </c>
      <c r="D21" s="42">
        <v>1753</v>
      </c>
      <c r="E21" s="44" t="s">
        <v>146</v>
      </c>
      <c r="F21" s="44" t="s">
        <v>147</v>
      </c>
      <c r="G21" s="26">
        <v>43951</v>
      </c>
      <c r="I21" s="44" t="s">
        <v>138</v>
      </c>
      <c r="J21" s="44" t="s">
        <v>111</v>
      </c>
      <c r="K21" s="44" t="s">
        <v>104</v>
      </c>
      <c r="M21" s="44" t="s">
        <v>83</v>
      </c>
      <c r="N21" s="53">
        <f t="shared" ca="1" si="0"/>
        <v>78.166666666666671</v>
      </c>
      <c r="P21" s="47" t="str">
        <f ca="1">IF(TRIM(SUBSTITUTE(($C21&amp;" "&amp;$D21),CHAR(160)," "))="","",IFERROR(IF(ISNUMBER(SEARCH("INC",($C21&amp;" "&amp;$D21))),"INC",IF(ISNUMBER(SEARCH("OPI",($C21&amp;" "&amp;$D21))),"OPI",IF(ISNUMBER(SEARCH("DP",($C21&amp;" "&amp;$D21))),"DP","CONC")))&amp;" "&amp;TEXT(LOOKUP(9.99E+307,--MID(SUBSTITUTE(($C21&amp;" "&amp;$D21),CHAR(160)," "),SUMPRODUCT(MIN(FIND({0,1,2,3,4,5,6,7,8,9},SUBSTITUTE(($C21&amp;" "&amp;$D21),CHAR(160)," ")&amp;"0123456789"))),ROW(INDIRECT("1:6")))),"0"),"SIN NUMERO"))</f>
        <v>CONC 1753</v>
      </c>
      <c r="Q21" t="str">
        <f ca="1">IF($P21="","",IF(LEFT(UPPER($S21),9)="VERIFICAR","VERIFICAR",IF($A21="","SIN ESTADO",IF(AND($A21="Firmada",$H21=""),"FALTA FECHA DE FIRMA",IF(N($T21)=0,IF(AND(ISNUMBER($H21),$H21&gt;=DATE(2024,1,1)),"FALTA EN FIRMADAS","OK"),IF(OR($A21="Pendiente de presentación",$A21="Observado",$A21="En análisis",$A21="En instrucción",$A21="Suspendida",$A21="IT circulando",$A21="Para resolución",$A21="TDC"),"ABIERTA PERO ESTÁ EN FIRMADAS",IF($H21&lt;&gt;INDEX(firmadas!$F:$F,$T21),"FIRMA DISTINTA EN firmadas ("&amp;IF(INDEX(firmadas!$F:$F,$T21)="","vacía",DAY(INDEX(firmadas!$F:$F,$T21))&amp;"/"&amp;MONTH(INDEX(firmadas!$F:$F,$T21))&amp;"/"&amp;YEAR(INDEX(firmadas!$F:$F,$T21)))&amp;")",IF($G21&lt;&gt;INDEX(firmadas!$E:$E,$T21),"INGRESO DISTINTO EN firmadas ("&amp;IF(INDEX(firmadas!$E:$E,$T21)="","vacía",DAY(INDEX(firmadas!$E:$E,$T21))&amp;"/"&amp;MONTH(INDEX(firmadas!$E:$E,$T21))&amp;"/"&amp;YEAR(INDEX(firmadas!$E:$E,$T21)))&amp;")","OK"))))))))</f>
        <v>OK</v>
      </c>
      <c r="R21" s="44" t="s">
        <v>148</v>
      </c>
      <c r="T21">
        <f ca="1">IF($P21="","",IFERROR(MATCH($P21,firmadas!$N:$N,0),IFERROR(MATCH("*/"&amp;MID($P21,FIND(" ",$P21)+1,9)&amp;"*",firmadas!$B:$B,0),0)))</f>
        <v>0</v>
      </c>
    </row>
    <row r="22" spans="1:20" ht="18" customHeight="1" x14ac:dyDescent="0.25">
      <c r="A22" s="44" t="s">
        <v>141</v>
      </c>
      <c r="C22" s="44" t="s">
        <v>145</v>
      </c>
      <c r="D22" s="42">
        <v>1773</v>
      </c>
      <c r="E22" s="44" t="s">
        <v>149</v>
      </c>
      <c r="F22" s="44" t="s">
        <v>150</v>
      </c>
      <c r="G22" s="26">
        <v>44134</v>
      </c>
      <c r="I22" s="44" t="s">
        <v>103</v>
      </c>
      <c r="J22" s="44" t="s">
        <v>124</v>
      </c>
      <c r="K22" s="44" t="s">
        <v>104</v>
      </c>
      <c r="L22" s="44" t="s">
        <v>151</v>
      </c>
      <c r="M22" s="44" t="s">
        <v>83</v>
      </c>
      <c r="N22" s="53">
        <f t="shared" ca="1" si="0"/>
        <v>72.066666666666663</v>
      </c>
      <c r="P22" s="47" t="str">
        <f ca="1">IF(TRIM(SUBSTITUTE(($C22&amp;" "&amp;$D22),CHAR(160)," "))="","",IFERROR(IF(ISNUMBER(SEARCH("INC",($C22&amp;" "&amp;$D22))),"INC",IF(ISNUMBER(SEARCH("OPI",($C22&amp;" "&amp;$D22))),"OPI",IF(ISNUMBER(SEARCH("DP",($C22&amp;" "&amp;$D22))),"DP","CONC")))&amp;" "&amp;TEXT(LOOKUP(9.99E+307,--MID(SUBSTITUTE(($C22&amp;" "&amp;$D22),CHAR(160)," "),SUMPRODUCT(MIN(FIND({0,1,2,3,4,5,6,7,8,9},SUBSTITUTE(($C22&amp;" "&amp;$D22),CHAR(160)," ")&amp;"0123456789"))),ROW(INDIRECT("1:6")))),"0"),"SIN NUMERO"))</f>
        <v>CONC 1773</v>
      </c>
      <c r="Q22" t="str">
        <f ca="1">IF($P22="","",IF(LEFT(UPPER($S22),9)="VERIFICAR","VERIFICAR",IF($A22="","SIN ESTADO",IF(AND($A22="Firmada",$H22=""),"FALTA FECHA DE FIRMA",IF(N($T22)=0,IF(AND(ISNUMBER($H22),$H22&gt;=DATE(2024,1,1)),"FALTA EN FIRMADAS","OK"),IF(OR($A22="Pendiente de presentación",$A22="Observado",$A22="En análisis",$A22="En instrucción",$A22="Suspendida",$A22="IT circulando",$A22="Para resolución",$A22="TDC"),"ABIERTA PERO ESTÁ EN FIRMADAS",IF($H22&lt;&gt;INDEX(firmadas!$F:$F,$T22),"FIRMA DISTINTA EN firmadas ("&amp;IF(INDEX(firmadas!$F:$F,$T22)="","vacía",DAY(INDEX(firmadas!$F:$F,$T22))&amp;"/"&amp;MONTH(INDEX(firmadas!$F:$F,$T22))&amp;"/"&amp;YEAR(INDEX(firmadas!$F:$F,$T22)))&amp;")",IF($G22&lt;&gt;INDEX(firmadas!$E:$E,$T22),"INGRESO DISTINTO EN firmadas ("&amp;IF(INDEX(firmadas!$E:$E,$T22)="","vacía",DAY(INDEX(firmadas!$E:$E,$T22))&amp;"/"&amp;MONTH(INDEX(firmadas!$E:$E,$T22))&amp;"/"&amp;YEAR(INDEX(firmadas!$E:$E,$T22)))&amp;")","OK"))))))))</f>
        <v>OK</v>
      </c>
      <c r="R22" s="44" t="s">
        <v>152</v>
      </c>
      <c r="T22">
        <f ca="1">IF($P22="","",IFERROR(MATCH($P22,firmadas!$N:$N,0),IFERROR(MATCH("*/"&amp;MID($P22,FIND(" ",$P22)+1,9)&amp;"*",firmadas!$B:$B,0),0)))</f>
        <v>0</v>
      </c>
    </row>
    <row r="23" spans="1:20" ht="18" customHeight="1" x14ac:dyDescent="0.25">
      <c r="A23" t="s">
        <v>80</v>
      </c>
      <c r="C23" s="44" t="s">
        <v>145</v>
      </c>
      <c r="D23" s="42">
        <v>1780</v>
      </c>
      <c r="E23" s="44" t="s">
        <v>153</v>
      </c>
      <c r="F23" s="44" t="s">
        <v>154</v>
      </c>
      <c r="G23" s="16">
        <v>44180</v>
      </c>
      <c r="H23" s="16">
        <v>46120</v>
      </c>
      <c r="I23" s="26" t="s">
        <v>93</v>
      </c>
      <c r="J23" s="26" t="s">
        <v>155</v>
      </c>
      <c r="K23" s="44" t="s">
        <v>127</v>
      </c>
      <c r="M23" t="s">
        <v>83</v>
      </c>
      <c r="N23" s="53">
        <f t="shared" ca="1" si="0"/>
        <v>64.666666666666671</v>
      </c>
      <c r="P23" s="47" t="str">
        <f ca="1">IF(TRIM(SUBSTITUTE(($C23&amp;" "&amp;$D23),CHAR(160)," "))="","",IFERROR(IF(ISNUMBER(SEARCH("INC",($C23&amp;" "&amp;$D23))),"INC",IF(ISNUMBER(SEARCH("OPI",($C23&amp;" "&amp;$D23))),"OPI",IF(ISNUMBER(SEARCH("DP",($C23&amp;" "&amp;$D23))),"DP","CONC")))&amp;" "&amp;TEXT(LOOKUP(9.99E+307,--MID(SUBSTITUTE(($C23&amp;" "&amp;$D23),CHAR(160)," "),SUMPRODUCT(MIN(FIND({0,1,2,3,4,5,6,7,8,9},SUBSTITUTE(($C23&amp;" "&amp;$D23),CHAR(160)," ")&amp;"0123456789"))),ROW(INDIRECT("1:6")))),"0"),"SIN NUMERO"))</f>
        <v>CONC 1780</v>
      </c>
      <c r="Q23" t="str">
        <f ca="1">IF($P23="","",IF(LEFT(UPPER($S23),9)="VERIFICAR","VERIFICAR",IF($A23="","SIN ESTADO",IF(AND($A23="Firmada",$H23=""),"FALTA FECHA DE FIRMA",IF(N($T23)=0,IF(AND(ISNUMBER($H23),$H23&gt;=DATE(2024,1,1)),"FALTA EN FIRMADAS","OK"),IF(OR($A23="Pendiente de presentación",$A23="Observado",$A23="En análisis",$A23="En instrucción",$A23="Suspendida",$A23="IT circulando",$A23="Para resolución",$A23="TDC"),"ABIERTA PERO ESTÁ EN FIRMADAS",IF($H23&lt;&gt;INDEX(firmadas!$F:$F,$T23),"FIRMA DISTINTA EN firmadas ("&amp;IF(INDEX(firmadas!$F:$F,$T23)="","vacía",DAY(INDEX(firmadas!$F:$F,$T23))&amp;"/"&amp;MONTH(INDEX(firmadas!$F:$F,$T23))&amp;"/"&amp;YEAR(INDEX(firmadas!$F:$F,$T23)))&amp;")",IF($G23&lt;&gt;INDEX(firmadas!$E:$E,$T23),"INGRESO DISTINTO EN firmadas ("&amp;IF(INDEX(firmadas!$E:$E,$T23)="","vacía",DAY(INDEX(firmadas!$E:$E,$T23))&amp;"/"&amp;MONTH(INDEX(firmadas!$E:$E,$T23))&amp;"/"&amp;YEAR(INDEX(firmadas!$E:$E,$T23)))&amp;")","OK"))))))))</f>
        <v>OK</v>
      </c>
      <c r="R23" s="44" t="s">
        <v>156</v>
      </c>
      <c r="T23">
        <f ca="1">IF($P23="","",IFERROR(MATCH($P23,firmadas!$N:$N,0),IFERROR(MATCH("*/"&amp;MID($P23,FIND(" ",$P23)+1,9)&amp;"*",firmadas!$B:$B,0),0)))</f>
        <v>222</v>
      </c>
    </row>
    <row r="24" spans="1:20" ht="18" customHeight="1" x14ac:dyDescent="0.25">
      <c r="A24" s="44" t="s">
        <v>84</v>
      </c>
      <c r="C24" s="44" t="s">
        <v>62</v>
      </c>
      <c r="D24" s="42">
        <v>1791</v>
      </c>
      <c r="E24" s="44" t="s">
        <v>157</v>
      </c>
      <c r="F24" s="44" t="s">
        <v>158</v>
      </c>
      <c r="G24" s="26">
        <v>44256</v>
      </c>
      <c r="I24" s="44" t="s">
        <v>115</v>
      </c>
      <c r="K24" s="44" t="s">
        <v>112</v>
      </c>
      <c r="M24" s="44" t="s">
        <v>83</v>
      </c>
      <c r="N24" s="53">
        <f t="shared" ca="1" si="0"/>
        <v>68</v>
      </c>
      <c r="P24" s="47" t="str">
        <f ca="1">IF(TRIM(SUBSTITUTE(($C24&amp;" "&amp;$D24),CHAR(160)," "))="","",IFERROR(IF(ISNUMBER(SEARCH("INC",($C24&amp;" "&amp;$D24))),"INC",IF(ISNUMBER(SEARCH("OPI",($C24&amp;" "&amp;$D24))),"OPI",IF(ISNUMBER(SEARCH("DP",($C24&amp;" "&amp;$D24))),"DP","CONC")))&amp;" "&amp;TEXT(LOOKUP(9.99E+307,--MID(SUBSTITUTE(($C24&amp;" "&amp;$D24),CHAR(160)," "),SUMPRODUCT(MIN(FIND({0,1,2,3,4,5,6,7,8,9},SUBSTITUTE(($C24&amp;" "&amp;$D24),CHAR(160)," ")&amp;"0123456789"))),ROW(INDIRECT("1:6")))),"0"),"SIN NUMERO"))</f>
        <v>CONC 1791</v>
      </c>
      <c r="Q24" t="str">
        <f ca="1">IF($P24="","",IF(LEFT(UPPER($S24),9)="VERIFICAR","VERIFICAR",IF($A24="","SIN ESTADO",IF(AND($A24="Firmada",$H24=""),"FALTA FECHA DE FIRMA",IF(N($T24)=0,IF(AND(ISNUMBER($H24),$H24&gt;=DATE(2024,1,1)),"FALTA EN FIRMADAS","OK"),IF(OR($A24="Pendiente de presentación",$A24="Observado",$A24="En análisis",$A24="En instrucción",$A24="Suspendida",$A24="IT circulando",$A24="Para resolución",$A24="TDC"),"ABIERTA PERO ESTÁ EN FIRMADAS",IF($H24&lt;&gt;INDEX(firmadas!$F:$F,$T24),"FIRMA DISTINTA EN firmadas ("&amp;IF(INDEX(firmadas!$F:$F,$T24)="","vacía",DAY(INDEX(firmadas!$F:$F,$T24))&amp;"/"&amp;MONTH(INDEX(firmadas!$F:$F,$T24))&amp;"/"&amp;YEAR(INDEX(firmadas!$F:$F,$T24)))&amp;")",IF($G24&lt;&gt;INDEX(firmadas!$E:$E,$T24),"INGRESO DISTINTO EN firmadas ("&amp;IF(INDEX(firmadas!$E:$E,$T24)="","vacía",DAY(INDEX(firmadas!$E:$E,$T24))&amp;"/"&amp;MONTH(INDEX(firmadas!$E:$E,$T24))&amp;"/"&amp;YEAR(INDEX(firmadas!$E:$E,$T24)))&amp;")","OK"))))))))</f>
        <v>OK</v>
      </c>
      <c r="R24" s="44" t="s">
        <v>89</v>
      </c>
      <c r="T24">
        <f ca="1">IF($P24="","",IFERROR(MATCH($P24,firmadas!$N:$N,0),IFERROR(MATCH("*/"&amp;MID($P24,FIND(" ",$P24)+1,9)&amp;"*",firmadas!$B:$B,0),0)))</f>
        <v>0</v>
      </c>
    </row>
    <row r="25" spans="1:20" ht="18" customHeight="1" x14ac:dyDescent="0.25">
      <c r="A25" s="44" t="s">
        <v>84</v>
      </c>
      <c r="C25" s="44" t="s">
        <v>62</v>
      </c>
      <c r="D25" s="42">
        <v>1803</v>
      </c>
      <c r="E25" s="44" t="s">
        <v>159</v>
      </c>
      <c r="F25" s="44" t="s">
        <v>160</v>
      </c>
      <c r="G25" s="26">
        <v>44335</v>
      </c>
      <c r="I25" s="44" t="s">
        <v>138</v>
      </c>
      <c r="J25" s="44" t="s">
        <v>115</v>
      </c>
      <c r="K25" s="44" t="s">
        <v>112</v>
      </c>
      <c r="M25" s="44" t="s">
        <v>83</v>
      </c>
      <c r="N25" s="53">
        <f t="shared" ca="1" si="0"/>
        <v>65.36666666666666</v>
      </c>
      <c r="P25" s="47" t="str">
        <f ca="1">IF(TRIM(SUBSTITUTE(($C25&amp;" "&amp;$D25),CHAR(160)," "))="","",IFERROR(IF(ISNUMBER(SEARCH("INC",($C25&amp;" "&amp;$D25))),"INC",IF(ISNUMBER(SEARCH("OPI",($C25&amp;" "&amp;$D25))),"OPI",IF(ISNUMBER(SEARCH("DP",($C25&amp;" "&amp;$D25))),"DP","CONC")))&amp;" "&amp;TEXT(LOOKUP(9.99E+307,--MID(SUBSTITUTE(($C25&amp;" "&amp;$D25),CHAR(160)," "),SUMPRODUCT(MIN(FIND({0,1,2,3,4,5,6,7,8,9},SUBSTITUTE(($C25&amp;" "&amp;$D25),CHAR(160)," ")&amp;"0123456789"))),ROW(INDIRECT("1:6")))),"0"),"SIN NUMERO"))</f>
        <v>CONC 1803</v>
      </c>
      <c r="Q25" t="str">
        <f ca="1">IF($P25="","",IF(LEFT(UPPER($S25),9)="VERIFICAR","VERIFICAR",IF($A25="","SIN ESTADO",IF(AND($A25="Firmada",$H25=""),"FALTA FECHA DE FIRMA",IF(N($T25)=0,IF(AND(ISNUMBER($H25),$H25&gt;=DATE(2024,1,1)),"FALTA EN FIRMADAS","OK"),IF(OR($A25="Pendiente de presentación",$A25="Observado",$A25="En análisis",$A25="En instrucción",$A25="Suspendida",$A25="IT circulando",$A25="Para resolución",$A25="TDC"),"ABIERTA PERO ESTÁ EN FIRMADAS",IF($H25&lt;&gt;INDEX(firmadas!$F:$F,$T25),"FIRMA DISTINTA EN firmadas ("&amp;IF(INDEX(firmadas!$F:$F,$T25)="","vacía",DAY(INDEX(firmadas!$F:$F,$T25))&amp;"/"&amp;MONTH(INDEX(firmadas!$F:$F,$T25))&amp;"/"&amp;YEAR(INDEX(firmadas!$F:$F,$T25)))&amp;")",IF($G25&lt;&gt;INDEX(firmadas!$E:$E,$T25),"INGRESO DISTINTO EN firmadas ("&amp;IF(INDEX(firmadas!$E:$E,$T25)="","vacía",DAY(INDEX(firmadas!$E:$E,$T25))&amp;"/"&amp;MONTH(INDEX(firmadas!$E:$E,$T25))&amp;"/"&amp;YEAR(INDEX(firmadas!$E:$E,$T25)))&amp;")","OK"))))))))</f>
        <v>OK</v>
      </c>
      <c r="R25" s="44" t="s">
        <v>89</v>
      </c>
      <c r="T25">
        <f ca="1">IF($P25="","",IFERROR(MATCH($P25,firmadas!$N:$N,0),IFERROR(MATCH("*/"&amp;MID($P25,FIND(" ",$P25)+1,9)&amp;"*",firmadas!$B:$B,0),0)))</f>
        <v>0</v>
      </c>
    </row>
    <row r="26" spans="1:20" ht="18" customHeight="1" x14ac:dyDescent="0.25">
      <c r="A26" s="44" t="s">
        <v>141</v>
      </c>
      <c r="C26" s="44" t="s">
        <v>145</v>
      </c>
      <c r="D26" s="42">
        <v>1815</v>
      </c>
      <c r="E26" s="44" t="s">
        <v>161</v>
      </c>
      <c r="F26" s="44" t="s">
        <v>162</v>
      </c>
      <c r="G26" s="26">
        <v>44413</v>
      </c>
      <c r="H26" s="16">
        <v>45540</v>
      </c>
      <c r="I26" s="44" t="s">
        <v>115</v>
      </c>
      <c r="J26" s="44" t="s">
        <v>138</v>
      </c>
      <c r="K26" s="44" t="s">
        <v>112</v>
      </c>
      <c r="M26" s="44" t="s">
        <v>83</v>
      </c>
      <c r="N26" s="53">
        <f t="shared" ca="1" si="0"/>
        <v>37.56666666666667</v>
      </c>
      <c r="P26" s="47" t="str">
        <f ca="1">IF(TRIM(SUBSTITUTE(($C26&amp;" "&amp;$D26),CHAR(160)," "))="","",IFERROR(IF(ISNUMBER(SEARCH("INC",($C26&amp;" "&amp;$D26))),"INC",IF(ISNUMBER(SEARCH("OPI",($C26&amp;" "&amp;$D26))),"OPI",IF(ISNUMBER(SEARCH("DP",($C26&amp;" "&amp;$D26))),"DP","CONC")))&amp;" "&amp;TEXT(LOOKUP(9.99E+307,--MID(SUBSTITUTE(($C26&amp;" "&amp;$D26),CHAR(160)," "),SUMPRODUCT(MIN(FIND({0,1,2,3,4,5,6,7,8,9},SUBSTITUTE(($C26&amp;" "&amp;$D26),CHAR(160)," ")&amp;"0123456789"))),ROW(INDIRECT("1:6")))),"0"),"SIN NUMERO"))</f>
        <v>CONC 1815</v>
      </c>
      <c r="Q26" t="str">
        <f ca="1">IF($P26="","",IF(LEFT(UPPER($S26),9)="VERIFICAR","VERIFICAR",IF($A26="","SIN ESTADO",IF(AND($A26="Firmada",$H26=""),"FALTA FECHA DE FIRMA",IF(N($T26)=0,IF(AND(ISNUMBER($H26),$H26&gt;=DATE(2024,1,1)),"FALTA EN FIRMADAS","OK"),IF(OR($A26="Pendiente de presentación",$A26="Observado",$A26="En análisis",$A26="En instrucción",$A26="Suspendida",$A26="IT circulando",$A26="Para resolución",$A26="TDC"),"ABIERTA PERO ESTÁ EN FIRMADAS",IF($H26&lt;&gt;INDEX(firmadas!$F:$F,$T26),"FIRMA DISTINTA EN firmadas ("&amp;IF(INDEX(firmadas!$F:$F,$T26)="","vacía",DAY(INDEX(firmadas!$F:$F,$T26))&amp;"/"&amp;MONTH(INDEX(firmadas!$F:$F,$T26))&amp;"/"&amp;YEAR(INDEX(firmadas!$F:$F,$T26)))&amp;")",IF($G26&lt;&gt;INDEX(firmadas!$E:$E,$T26),"INGRESO DISTINTO EN firmadas ("&amp;IF(INDEX(firmadas!$E:$E,$T26)="","vacía",DAY(INDEX(firmadas!$E:$E,$T26))&amp;"/"&amp;MONTH(INDEX(firmadas!$E:$E,$T26))&amp;"/"&amp;YEAR(INDEX(firmadas!$E:$E,$T26)))&amp;")","OK"))))))))</f>
        <v>OK</v>
      </c>
      <c r="R26" s="44" t="s">
        <v>163</v>
      </c>
      <c r="T26">
        <f ca="1">IF($P26="","",IFERROR(MATCH($P26,firmadas!$N:$N,0),IFERROR(MATCH("*/"&amp;MID($P26,FIND(" ",$P26)+1,9)&amp;"*",firmadas!$B:$B,0),0)))</f>
        <v>64</v>
      </c>
    </row>
    <row r="27" spans="1:20" ht="18" customHeight="1" x14ac:dyDescent="0.25">
      <c r="A27" s="44" t="s">
        <v>100</v>
      </c>
      <c r="C27" s="44" t="s">
        <v>145</v>
      </c>
      <c r="D27" s="42">
        <v>1820</v>
      </c>
      <c r="E27" s="44" t="s">
        <v>164</v>
      </c>
      <c r="F27" s="44" t="s">
        <v>165</v>
      </c>
      <c r="G27" s="26">
        <v>44440</v>
      </c>
      <c r="I27" s="44" t="s">
        <v>103</v>
      </c>
      <c r="J27" s="44" t="s">
        <v>88</v>
      </c>
      <c r="K27" s="44" t="s">
        <v>104</v>
      </c>
      <c r="M27" s="44" t="s">
        <v>83</v>
      </c>
      <c r="N27" s="53">
        <f t="shared" ca="1" si="0"/>
        <v>61.866666666666667</v>
      </c>
      <c r="P27" s="47" t="str">
        <f ca="1">IF(TRIM(SUBSTITUTE(($C27&amp;" "&amp;$D27),CHAR(160)," "))="","",IFERROR(IF(ISNUMBER(SEARCH("INC",($C27&amp;" "&amp;$D27))),"INC",IF(ISNUMBER(SEARCH("OPI",($C27&amp;" "&amp;$D27))),"OPI",IF(ISNUMBER(SEARCH("DP",($C27&amp;" "&amp;$D27))),"DP","CONC")))&amp;" "&amp;TEXT(LOOKUP(9.99E+307,--MID(SUBSTITUTE(($C27&amp;" "&amp;$D27),CHAR(160)," "),SUMPRODUCT(MIN(FIND({0,1,2,3,4,5,6,7,8,9},SUBSTITUTE(($C27&amp;" "&amp;$D27),CHAR(160)," ")&amp;"0123456789"))),ROW(INDIRECT("1:6")))),"0"),"SIN NUMERO"))</f>
        <v>CONC 1820</v>
      </c>
      <c r="Q27" t="str">
        <f ca="1">IF($P27="","",IF(LEFT(UPPER($S27),9)="VERIFICAR","VERIFICAR",IF($A27="","SIN ESTADO",IF(AND($A27="Firmada",$H27=""),"FALTA FECHA DE FIRMA",IF(N($T27)=0,IF(AND(ISNUMBER($H27),$H27&gt;=DATE(2024,1,1)),"FALTA EN FIRMADAS","OK"),IF(OR($A27="Pendiente de presentación",$A27="Observado",$A27="En análisis",$A27="En instrucción",$A27="Suspendida",$A27="IT circulando",$A27="Para resolución",$A27="TDC"),"ABIERTA PERO ESTÁ EN FIRMADAS",IF($H27&lt;&gt;INDEX(firmadas!$F:$F,$T27),"FIRMA DISTINTA EN firmadas ("&amp;IF(INDEX(firmadas!$F:$F,$T27)="","vacía",DAY(INDEX(firmadas!$F:$F,$T27))&amp;"/"&amp;MONTH(INDEX(firmadas!$F:$F,$T27))&amp;"/"&amp;YEAR(INDEX(firmadas!$F:$F,$T27)))&amp;")",IF($G27&lt;&gt;INDEX(firmadas!$E:$E,$T27),"INGRESO DISTINTO EN firmadas ("&amp;IF(INDEX(firmadas!$E:$E,$T27)="","vacía",DAY(INDEX(firmadas!$E:$E,$T27))&amp;"/"&amp;MONTH(INDEX(firmadas!$E:$E,$T27))&amp;"/"&amp;YEAR(INDEX(firmadas!$E:$E,$T27)))&amp;")","OK"))))))))</f>
        <v>OK</v>
      </c>
      <c r="R27" s="44" t="s">
        <v>105</v>
      </c>
      <c r="T27">
        <f ca="1">IF($P27="","",IFERROR(MATCH($P27,firmadas!$N:$N,0),IFERROR(MATCH("*/"&amp;MID($P27,FIND(" ",$P27)+1,9)&amp;"*",firmadas!$B:$B,0),0)))</f>
        <v>0</v>
      </c>
    </row>
    <row r="28" spans="1:20" ht="18" customHeight="1" x14ac:dyDescent="0.25">
      <c r="A28" s="44" t="s">
        <v>141</v>
      </c>
      <c r="C28" s="44" t="s">
        <v>62</v>
      </c>
      <c r="D28" s="42">
        <v>1850</v>
      </c>
      <c r="E28" s="44" t="s">
        <v>166</v>
      </c>
      <c r="F28" s="44" t="s">
        <v>167</v>
      </c>
      <c r="G28" s="26">
        <v>44664</v>
      </c>
      <c r="H28" s="16">
        <v>45826</v>
      </c>
      <c r="I28" s="44" t="s">
        <v>103</v>
      </c>
      <c r="K28" s="44" t="s">
        <v>133</v>
      </c>
      <c r="M28" s="44" t="s">
        <v>83</v>
      </c>
      <c r="N28" s="53">
        <f t="shared" ca="1" si="0"/>
        <v>38.733333333333334</v>
      </c>
      <c r="P28" s="47" t="str">
        <f ca="1">IF(TRIM(SUBSTITUTE(($C28&amp;" "&amp;$D28),CHAR(160)," "))="","",IFERROR(IF(ISNUMBER(SEARCH("INC",($C28&amp;" "&amp;$D28))),"INC",IF(ISNUMBER(SEARCH("OPI",($C28&amp;" "&amp;$D28))),"OPI",IF(ISNUMBER(SEARCH("DP",($C28&amp;" "&amp;$D28))),"DP","CONC")))&amp;" "&amp;TEXT(LOOKUP(9.99E+307,--MID(SUBSTITUTE(($C28&amp;" "&amp;$D28),CHAR(160)," "),SUMPRODUCT(MIN(FIND({0,1,2,3,4,5,6,7,8,9},SUBSTITUTE(($C28&amp;" "&amp;$D28),CHAR(160)," ")&amp;"0123456789"))),ROW(INDIRECT("1:6")))),"0"),"SIN NUMERO"))</f>
        <v>CONC 1850</v>
      </c>
      <c r="Q28" t="str">
        <f ca="1">IF($P28="","",IF(LEFT(UPPER($S28),9)="VERIFICAR","VERIFICAR",IF($A28="","SIN ESTADO",IF(AND($A28="Firmada",$H28=""),"FALTA FECHA DE FIRMA",IF(N($T28)=0,IF(AND(ISNUMBER($H28),$H28&gt;=DATE(2024,1,1)),"FALTA EN FIRMADAS","OK"),IF(OR($A28="Pendiente de presentación",$A28="Observado",$A28="En análisis",$A28="En instrucción",$A28="Suspendida",$A28="IT circulando",$A28="Para resolución",$A28="TDC"),"ABIERTA PERO ESTÁ EN FIRMADAS",IF($H28&lt;&gt;INDEX(firmadas!$F:$F,$T28),"FIRMA DISTINTA EN firmadas ("&amp;IF(INDEX(firmadas!$F:$F,$T28)="","vacía",DAY(INDEX(firmadas!$F:$F,$T28))&amp;"/"&amp;MONTH(INDEX(firmadas!$F:$F,$T28))&amp;"/"&amp;YEAR(INDEX(firmadas!$F:$F,$T28)))&amp;")",IF($G28&lt;&gt;INDEX(firmadas!$E:$E,$T28),"INGRESO DISTINTO EN firmadas ("&amp;IF(INDEX(firmadas!$E:$E,$T28)="","vacía",DAY(INDEX(firmadas!$E:$E,$T28))&amp;"/"&amp;MONTH(INDEX(firmadas!$E:$E,$T28))&amp;"/"&amp;YEAR(INDEX(firmadas!$E:$E,$T28)))&amp;")","OK"))))))))</f>
        <v>OK</v>
      </c>
      <c r="R28" s="44" t="s">
        <v>168</v>
      </c>
      <c r="T28">
        <f ca="1">IF($P28="","",IFERROR(MATCH($P28,firmadas!$N:$N,0),IFERROR(MATCH("*/"&amp;MID($P28,FIND(" ",$P28)+1,9)&amp;"*",firmadas!$B:$B,0),0)))</f>
        <v>119</v>
      </c>
    </row>
    <row r="29" spans="1:20" ht="18" customHeight="1" x14ac:dyDescent="0.25">
      <c r="A29" t="s">
        <v>141</v>
      </c>
      <c r="C29" s="44" t="s">
        <v>145</v>
      </c>
      <c r="D29" s="42">
        <v>1860</v>
      </c>
      <c r="E29" s="44" t="s">
        <v>169</v>
      </c>
      <c r="F29" s="44" t="s">
        <v>170</v>
      </c>
      <c r="G29" s="16">
        <v>44757</v>
      </c>
      <c r="H29" s="16">
        <v>46044</v>
      </c>
      <c r="I29" s="26" t="s">
        <v>93</v>
      </c>
      <c r="J29" s="26" t="s">
        <v>124</v>
      </c>
      <c r="K29" s="44" t="s">
        <v>104</v>
      </c>
      <c r="M29" t="s">
        <v>83</v>
      </c>
      <c r="N29" s="53">
        <f t="shared" ca="1" si="0"/>
        <v>42.9</v>
      </c>
      <c r="P29" s="47" t="str">
        <f ca="1">IF(TRIM(SUBSTITUTE(($C29&amp;" "&amp;$D29),CHAR(160)," "))="","",IFERROR(IF(ISNUMBER(SEARCH("INC",($C29&amp;" "&amp;$D29))),"INC",IF(ISNUMBER(SEARCH("OPI",($C29&amp;" "&amp;$D29))),"OPI",IF(ISNUMBER(SEARCH("DP",($C29&amp;" "&amp;$D29))),"DP","CONC")))&amp;" "&amp;TEXT(LOOKUP(9.99E+307,--MID(SUBSTITUTE(($C29&amp;" "&amp;$D29),CHAR(160)," "),SUMPRODUCT(MIN(FIND({0,1,2,3,4,5,6,7,8,9},SUBSTITUTE(($C29&amp;" "&amp;$D29),CHAR(160)," ")&amp;"0123456789"))),ROW(INDIRECT("1:6")))),"0"),"SIN NUMERO"))</f>
        <v>CONC 1860</v>
      </c>
      <c r="Q29" t="str">
        <f ca="1">IF($P29="","",IF(LEFT(UPPER($S29),9)="VERIFICAR","VERIFICAR",IF($A29="","SIN ESTADO",IF(AND($A29="Firmada",$H29=""),"FALTA FECHA DE FIRMA",IF(N($T29)=0,IF(AND(ISNUMBER($H29),$H29&gt;=DATE(2024,1,1)),"FALTA EN FIRMADAS","OK"),IF(OR($A29="Pendiente de presentación",$A29="Observado",$A29="En análisis",$A29="En instrucción",$A29="Suspendida",$A29="IT circulando",$A29="Para resolución",$A29="TDC"),"ABIERTA PERO ESTÁ EN FIRMADAS",IF($H29&lt;&gt;INDEX(firmadas!$F:$F,$T29),"FIRMA DISTINTA EN firmadas ("&amp;IF(INDEX(firmadas!$F:$F,$T29)="","vacía",DAY(INDEX(firmadas!$F:$F,$T29))&amp;"/"&amp;MONTH(INDEX(firmadas!$F:$F,$T29))&amp;"/"&amp;YEAR(INDEX(firmadas!$F:$F,$T29)))&amp;")",IF($G29&lt;&gt;INDEX(firmadas!$E:$E,$T29),"INGRESO DISTINTO EN firmadas ("&amp;IF(INDEX(firmadas!$E:$E,$T29)="","vacía",DAY(INDEX(firmadas!$E:$E,$T29))&amp;"/"&amp;MONTH(INDEX(firmadas!$E:$E,$T29))&amp;"/"&amp;YEAR(INDEX(firmadas!$E:$E,$T29)))&amp;")","OK"))))))))</f>
        <v>OK</v>
      </c>
      <c r="R29" s="44" t="s">
        <v>171</v>
      </c>
      <c r="T29">
        <f ca="1">IF($P29="","",IFERROR(MATCH($P29,firmadas!$N:$N,0),IFERROR(MATCH("*/"&amp;MID($P29,FIND(" ",$P29)+1,9)&amp;"*",firmadas!$B:$B,0),0)))</f>
        <v>196</v>
      </c>
    </row>
    <row r="30" spans="1:20" ht="18" customHeight="1" x14ac:dyDescent="0.25">
      <c r="A30" t="s">
        <v>80</v>
      </c>
      <c r="C30" s="44" t="s">
        <v>145</v>
      </c>
      <c r="D30" s="42">
        <v>1864</v>
      </c>
      <c r="E30" s="44" t="s">
        <v>172</v>
      </c>
      <c r="F30" s="44" t="s">
        <v>173</v>
      </c>
      <c r="G30" s="16">
        <v>44789</v>
      </c>
      <c r="H30" s="16">
        <v>46122</v>
      </c>
      <c r="I30" s="26" t="s">
        <v>93</v>
      </c>
      <c r="J30" s="16"/>
      <c r="K30" s="44" t="s">
        <v>127</v>
      </c>
      <c r="L30" s="44" t="s">
        <v>104</v>
      </c>
      <c r="M30" t="s">
        <v>83</v>
      </c>
      <c r="N30" s="53">
        <f t="shared" ca="1" si="0"/>
        <v>44.43333333333333</v>
      </c>
      <c r="P30" s="47" t="str">
        <f ca="1">IF(TRIM(SUBSTITUTE(($C30&amp;" "&amp;$D30),CHAR(160)," "))="","",IFERROR(IF(ISNUMBER(SEARCH("INC",($C30&amp;" "&amp;$D30))),"INC",IF(ISNUMBER(SEARCH("OPI",($C30&amp;" "&amp;$D30))),"OPI",IF(ISNUMBER(SEARCH("DP",($C30&amp;" "&amp;$D30))),"DP","CONC")))&amp;" "&amp;TEXT(LOOKUP(9.99E+307,--MID(SUBSTITUTE(($C30&amp;" "&amp;$D30),CHAR(160)," "),SUMPRODUCT(MIN(FIND({0,1,2,3,4,5,6,7,8,9},SUBSTITUTE(($C30&amp;" "&amp;$D30),CHAR(160)," ")&amp;"0123456789"))),ROW(INDIRECT("1:6")))),"0"),"SIN NUMERO"))</f>
        <v>CONC 1864</v>
      </c>
      <c r="Q30" t="str">
        <f ca="1">IF($P30="","",IF(LEFT(UPPER($S30),9)="VERIFICAR","VERIFICAR",IF($A30="","SIN ESTADO",IF(AND($A30="Firmada",$H30=""),"FALTA FECHA DE FIRMA",IF(N($T30)=0,IF(AND(ISNUMBER($H30),$H30&gt;=DATE(2024,1,1)),"FALTA EN FIRMADAS","OK"),IF(OR($A30="Pendiente de presentación",$A30="Observado",$A30="En análisis",$A30="En instrucción",$A30="Suspendida",$A30="IT circulando",$A30="Para resolución",$A30="TDC"),"ABIERTA PERO ESTÁ EN FIRMADAS",IF($H30&lt;&gt;INDEX(firmadas!$F:$F,$T30),"FIRMA DISTINTA EN firmadas ("&amp;IF(INDEX(firmadas!$F:$F,$T30)="","vacía",DAY(INDEX(firmadas!$F:$F,$T30))&amp;"/"&amp;MONTH(INDEX(firmadas!$F:$F,$T30))&amp;"/"&amp;YEAR(INDEX(firmadas!$F:$F,$T30)))&amp;")",IF($G30&lt;&gt;INDEX(firmadas!$E:$E,$T30),"INGRESO DISTINTO EN firmadas ("&amp;IF(INDEX(firmadas!$E:$E,$T30)="","vacía",DAY(INDEX(firmadas!$E:$E,$T30))&amp;"/"&amp;MONTH(INDEX(firmadas!$E:$E,$T30))&amp;"/"&amp;YEAR(INDEX(firmadas!$E:$E,$T30)))&amp;")","OK"))))))))</f>
        <v>OK</v>
      </c>
      <c r="R30" s="44" t="s">
        <v>105</v>
      </c>
      <c r="T30">
        <f ca="1">IF($P30="","",IFERROR(MATCH($P30,firmadas!$N:$N,0),IFERROR(MATCH("*/"&amp;MID($P30,FIND(" ",$P30)+1,9)&amp;"*",firmadas!$B:$B,0),0)))</f>
        <v>224</v>
      </c>
    </row>
    <row r="31" spans="1:20" ht="18" customHeight="1" x14ac:dyDescent="0.25">
      <c r="A31" t="s">
        <v>80</v>
      </c>
      <c r="C31" t="s">
        <v>62</v>
      </c>
      <c r="D31" s="24" t="s">
        <v>174</v>
      </c>
      <c r="F31" t="s">
        <v>175</v>
      </c>
      <c r="G31" s="16">
        <v>45079</v>
      </c>
      <c r="H31" s="16">
        <v>46008</v>
      </c>
      <c r="I31" s="16"/>
      <c r="J31" s="16"/>
      <c r="M31" t="s">
        <v>83</v>
      </c>
      <c r="N31" s="53">
        <f t="shared" ca="1" si="0"/>
        <v>30.966666666666665</v>
      </c>
      <c r="P31" s="47" t="str">
        <f ca="1">IF(TRIM(SUBSTITUTE(($C31&amp;" "&amp;$D31),CHAR(160)," "))="","",IFERROR(IF(ISNUMBER(SEARCH("INC",($C31&amp;" "&amp;$D31))),"INC",IF(ISNUMBER(SEARCH("OPI",($C31&amp;" "&amp;$D31))),"OPI",IF(ISNUMBER(SEARCH("DP",($C31&amp;" "&amp;$D31))),"DP","CONC")))&amp;" "&amp;TEXT(LOOKUP(9.99E+307,--MID(SUBSTITUTE(($C31&amp;" "&amp;$D31),CHAR(160)," "),SUMPRODUCT(MIN(FIND({0,1,2,3,4,5,6,7,8,9},SUBSTITUTE(($C31&amp;" "&amp;$D31),CHAR(160)," ")&amp;"0123456789"))),ROW(INDIRECT("1:6")))),"0"),"SIN NUMERO"))</f>
        <v>CONC 1919</v>
      </c>
      <c r="Q31" t="str">
        <f ca="1">IF($P31="","",IF(LEFT(UPPER($S31),9)="VERIFICAR","VERIFICAR",IF($A31="","SIN ESTADO",IF(AND($A31="Firmada",$H31=""),"FALTA FECHA DE FIRMA",IF(N($T31)=0,IF(AND(ISNUMBER($H31),$H31&gt;=DATE(2024,1,1)),"FALTA EN FIRMADAS","OK"),IF(OR($A31="Pendiente de presentación",$A31="Observado",$A31="En análisis",$A31="En instrucción",$A31="Suspendida",$A31="IT circulando",$A31="Para resolución",$A31="TDC"),"ABIERTA PERO ESTÁ EN FIRMADAS",IF($H31&lt;&gt;INDEX(firmadas!$F:$F,$T31),"FIRMA DISTINTA EN firmadas ("&amp;IF(INDEX(firmadas!$F:$F,$T31)="","vacía",DAY(INDEX(firmadas!$F:$F,$T31))&amp;"/"&amp;MONTH(INDEX(firmadas!$F:$F,$T31))&amp;"/"&amp;YEAR(INDEX(firmadas!$F:$F,$T31)))&amp;")",IF($G31&lt;&gt;INDEX(firmadas!$E:$E,$T31),"INGRESO DISTINTO EN firmadas ("&amp;IF(INDEX(firmadas!$E:$E,$T31)="","vacía",DAY(INDEX(firmadas!$E:$E,$T31))&amp;"/"&amp;MONTH(INDEX(firmadas!$E:$E,$T31))&amp;"/"&amp;YEAR(INDEX(firmadas!$E:$E,$T31)))&amp;")","OK"))))))))</f>
        <v>OK</v>
      </c>
      <c r="T31">
        <f ca="1">IF($P31="","",IFERROR(MATCH($P31,firmadas!$N:$N,0),IFERROR(MATCH("*/"&amp;MID($P31,FIND(" ",$P31)+1,9)&amp;"*",firmadas!$B:$B,0),0)))</f>
        <v>171</v>
      </c>
    </row>
    <row r="32" spans="1:20" ht="18" customHeight="1" x14ac:dyDescent="0.25">
      <c r="A32" t="s">
        <v>80</v>
      </c>
      <c r="C32" s="44" t="s">
        <v>145</v>
      </c>
      <c r="D32" s="42">
        <v>1952</v>
      </c>
      <c r="E32" s="44" t="s">
        <v>176</v>
      </c>
      <c r="F32" s="44" t="s">
        <v>177</v>
      </c>
      <c r="G32" s="16">
        <v>45272</v>
      </c>
      <c r="H32" s="16">
        <v>46050</v>
      </c>
      <c r="I32" s="26" t="s">
        <v>93</v>
      </c>
      <c r="J32" s="26" t="s">
        <v>103</v>
      </c>
      <c r="K32" s="44" t="s">
        <v>104</v>
      </c>
      <c r="M32" t="s">
        <v>83</v>
      </c>
      <c r="N32" s="53">
        <f t="shared" ca="1" si="0"/>
        <v>25.933333333333334</v>
      </c>
      <c r="P32" s="47" t="str">
        <f ca="1">IF(TRIM(SUBSTITUTE(($C32&amp;" "&amp;$D32),CHAR(160)," "))="","",IFERROR(IF(ISNUMBER(SEARCH("INC",($C32&amp;" "&amp;$D32))),"INC",IF(ISNUMBER(SEARCH("OPI",($C32&amp;" "&amp;$D32))),"OPI",IF(ISNUMBER(SEARCH("DP",($C32&amp;" "&amp;$D32))),"DP","CONC")))&amp;" "&amp;TEXT(LOOKUP(9.99E+307,--MID(SUBSTITUTE(($C32&amp;" "&amp;$D32),CHAR(160)," "),SUMPRODUCT(MIN(FIND({0,1,2,3,4,5,6,7,8,9},SUBSTITUTE(($C32&amp;" "&amp;$D32),CHAR(160)," ")&amp;"0123456789"))),ROW(INDIRECT("1:6")))),"0"),"SIN NUMERO"))</f>
        <v>CONC 1952</v>
      </c>
      <c r="Q32" t="str">
        <f ca="1">IF($P32="","",IF(LEFT(UPPER($S32),9)="VERIFICAR","VERIFICAR",IF($A32="","SIN ESTADO",IF(AND($A32="Firmada",$H32=""),"FALTA FECHA DE FIRMA",IF(N($T32)=0,IF(AND(ISNUMBER($H32),$H32&gt;=DATE(2024,1,1)),"FALTA EN FIRMADAS","OK"),IF(OR($A32="Pendiente de presentación",$A32="Observado",$A32="En análisis",$A32="En instrucción",$A32="Suspendida",$A32="IT circulando",$A32="Para resolución",$A32="TDC"),"ABIERTA PERO ESTÁ EN FIRMADAS",IF($H32&lt;&gt;INDEX(firmadas!$F:$F,$T32),"FIRMA DISTINTA EN firmadas ("&amp;IF(INDEX(firmadas!$F:$F,$T32)="","vacía",DAY(INDEX(firmadas!$F:$F,$T32))&amp;"/"&amp;MONTH(INDEX(firmadas!$F:$F,$T32))&amp;"/"&amp;YEAR(INDEX(firmadas!$F:$F,$T32)))&amp;")",IF($G32&lt;&gt;INDEX(firmadas!$E:$E,$T32),"INGRESO DISTINTO EN firmadas ("&amp;IF(INDEX(firmadas!$E:$E,$T32)="","vacía",DAY(INDEX(firmadas!$E:$E,$T32))&amp;"/"&amp;MONTH(INDEX(firmadas!$E:$E,$T32))&amp;"/"&amp;YEAR(INDEX(firmadas!$E:$E,$T32)))&amp;")","OK"))))))))</f>
        <v>OK</v>
      </c>
      <c r="T32">
        <f ca="1">IF($P32="","",IFERROR(MATCH($P32,firmadas!$N:$N,0),IFERROR(MATCH("*/"&amp;MID($P32,FIND(" ",$P32)+1,9)&amp;"*",firmadas!$B:$B,0),0)))</f>
        <v>200</v>
      </c>
    </row>
    <row r="33" spans="1:20" ht="18" customHeight="1" x14ac:dyDescent="0.25">
      <c r="A33" s="44" t="s">
        <v>319</v>
      </c>
      <c r="C33" s="44" t="s">
        <v>145</v>
      </c>
      <c r="D33" s="42">
        <v>1955</v>
      </c>
      <c r="E33" s="44" t="s">
        <v>178</v>
      </c>
      <c r="F33" s="44" t="s">
        <v>179</v>
      </c>
      <c r="G33" s="26">
        <v>45281</v>
      </c>
      <c r="H33" s="16">
        <v>46203</v>
      </c>
      <c r="I33" s="44" t="s">
        <v>115</v>
      </c>
      <c r="J33" s="44" t="s">
        <v>87</v>
      </c>
      <c r="K33" s="44" t="s">
        <v>127</v>
      </c>
      <c r="M33" s="44" t="s">
        <v>83</v>
      </c>
      <c r="N33" s="53">
        <f t="shared" ca="1" si="0"/>
        <v>30.733333333333334</v>
      </c>
      <c r="P33" s="47" t="str">
        <f ca="1">IF(TRIM(SUBSTITUTE(($C33&amp;" "&amp;$D33),CHAR(160)," "))="","",IFERROR(IF(ISNUMBER(SEARCH("INC",($C33&amp;" "&amp;$D33))),"INC",IF(ISNUMBER(SEARCH("OPI",($C33&amp;" "&amp;$D33))),"OPI",IF(ISNUMBER(SEARCH("DP",($C33&amp;" "&amp;$D33))),"DP","CONC")))&amp;" "&amp;TEXT(LOOKUP(9.99E+307,--MID(SUBSTITUTE(($C33&amp;" "&amp;$D33),CHAR(160)," "),SUMPRODUCT(MIN(FIND({0,1,2,3,4,5,6,7,8,9},SUBSTITUTE(($C33&amp;" "&amp;$D33),CHAR(160)," ")&amp;"0123456789"))),ROW(INDIRECT("1:6")))),"0"),"SIN NUMERO"))</f>
        <v>CONC 1955</v>
      </c>
      <c r="Q33" t="str">
        <f ca="1">IF($P33="","",IF(LEFT(UPPER($S33),9)="VERIFICAR","VERIFICAR",IF($A33="","SIN ESTADO",IF(AND($A33="Firmada",$H33=""),"FALTA FECHA DE FIRMA",IF(N($T33)=0,IF(AND(ISNUMBER($H33),$H33&gt;=DATE(2024,1,1)),"FALTA EN FIRMADAS","OK"),IF(OR($A33="Pendiente de presentación",$A33="Observado",$A33="En análisis",$A33="En instrucción",$A33="Suspendida",$A33="IT circulando",$A33="Para resolución",$A33="TDC"),"ABIERTA PERO ESTÁ EN FIRMADAS",IF($H33&lt;&gt;INDEX(firmadas!$F:$F,$T33),"FIRMA DISTINTA EN firmadas ("&amp;IF(INDEX(firmadas!$F:$F,$T33)="","vacía",DAY(INDEX(firmadas!$F:$F,$T33))&amp;"/"&amp;MONTH(INDEX(firmadas!$F:$F,$T33))&amp;"/"&amp;YEAR(INDEX(firmadas!$F:$F,$T33)))&amp;")",IF($G33&lt;&gt;INDEX(firmadas!$E:$E,$T33),"INGRESO DISTINTO EN firmadas ("&amp;IF(INDEX(firmadas!$E:$E,$T33)="","vacía",DAY(INDEX(firmadas!$E:$E,$T33))&amp;"/"&amp;MONTH(INDEX(firmadas!$E:$E,$T33))&amp;"/"&amp;YEAR(INDEX(firmadas!$E:$E,$T33)))&amp;")","OK"))))))))</f>
        <v>ABIERTA PERO ESTÁ EN FIRMADAS</v>
      </c>
      <c r="R33" s="44" t="s">
        <v>180</v>
      </c>
      <c r="T33">
        <f ca="1">IF($P33="","",IFERROR(MATCH($P33,firmadas!$N:$N,0),IFERROR(MATCH("*/"&amp;MID($P33,FIND(" ",$P33)+1,9)&amp;"*",firmadas!$B:$B,0),0)))</f>
        <v>255</v>
      </c>
    </row>
    <row r="34" spans="1:20" ht="18" customHeight="1" x14ac:dyDescent="0.25">
      <c r="A34" t="s">
        <v>80</v>
      </c>
      <c r="C34" t="s">
        <v>145</v>
      </c>
      <c r="D34" s="24" t="s">
        <v>181</v>
      </c>
      <c r="E34" t="s">
        <v>182</v>
      </c>
      <c r="F34" t="s">
        <v>183</v>
      </c>
      <c r="G34" s="16">
        <v>45302</v>
      </c>
      <c r="H34" s="16">
        <v>45684</v>
      </c>
      <c r="I34" s="16" t="s">
        <v>103</v>
      </c>
      <c r="J34" s="16" t="s">
        <v>88</v>
      </c>
      <c r="K34" t="s">
        <v>96</v>
      </c>
      <c r="L34" t="s">
        <v>112</v>
      </c>
      <c r="N34" s="53">
        <f t="shared" ca="1" si="0"/>
        <v>12.733333333333333</v>
      </c>
      <c r="P34" s="47" t="str">
        <f ca="1">IF(TRIM(SUBSTITUTE(($C34&amp;" "&amp;$D34),CHAR(160)," "))="","",IFERROR(IF(ISNUMBER(SEARCH("INC",($C34&amp;" "&amp;$D34))),"INC",IF(ISNUMBER(SEARCH("OPI",($C34&amp;" "&amp;$D34))),"OPI",IF(ISNUMBER(SEARCH("DP",($C34&amp;" "&amp;$D34))),"DP","CONC")))&amp;" "&amp;TEXT(LOOKUP(9.99E+307,--MID(SUBSTITUTE(($C34&amp;" "&amp;$D34),CHAR(160)," "),SUMPRODUCT(MIN(FIND({0,1,2,3,4,5,6,7,8,9},SUBSTITUTE(($C34&amp;" "&amp;$D34),CHAR(160)," ")&amp;"0123456789"))),ROW(INDIRECT("1:6")))),"0"),"SIN NUMERO"))</f>
        <v>CONC 1956</v>
      </c>
      <c r="Q34" t="str">
        <f ca="1">IF($P34="","",IF(LEFT(UPPER($S34),9)="VERIFICAR","VERIFICAR",IF($A34="","SIN ESTADO",IF(AND($A34="Firmada",$H34=""),"FALTA FECHA DE FIRMA",IF(N($T34)=0,IF(AND(ISNUMBER($H34),$H34&gt;=DATE(2024,1,1)),"FALTA EN FIRMADAS","OK"),IF(OR($A34="Pendiente de presentación",$A34="Observado",$A34="En análisis",$A34="En instrucción",$A34="Suspendida",$A34="IT circulando",$A34="Para resolución",$A34="TDC"),"ABIERTA PERO ESTÁ EN FIRMADAS",IF($H34&lt;&gt;INDEX(firmadas!$F:$F,$T34),"FIRMA DISTINTA EN firmadas ("&amp;IF(INDEX(firmadas!$F:$F,$T34)="","vacía",DAY(INDEX(firmadas!$F:$F,$T34))&amp;"/"&amp;MONTH(INDEX(firmadas!$F:$F,$T34))&amp;"/"&amp;YEAR(INDEX(firmadas!$F:$F,$T34)))&amp;")",IF($G34&lt;&gt;INDEX(firmadas!$E:$E,$T34),"INGRESO DISTINTO EN firmadas ("&amp;IF(INDEX(firmadas!$E:$E,$T34)="","vacía",DAY(INDEX(firmadas!$E:$E,$T34))&amp;"/"&amp;MONTH(INDEX(firmadas!$E:$E,$T34))&amp;"/"&amp;YEAR(INDEX(firmadas!$E:$E,$T34)))&amp;")","OK"))))))))</f>
        <v>OK</v>
      </c>
      <c r="T34">
        <f ca="1">IF($P34="","",IFERROR(MATCH($P34,firmadas!$N:$N,0),IFERROR(MATCH("*/"&amp;MID($P34,FIND(" ",$P34)+1,9)&amp;"*",firmadas!$B:$B,0),0)))</f>
        <v>96</v>
      </c>
    </row>
    <row r="35" spans="1:20" ht="18" customHeight="1" x14ac:dyDescent="0.25">
      <c r="A35" t="s">
        <v>80</v>
      </c>
      <c r="C35" t="s">
        <v>145</v>
      </c>
      <c r="D35" s="24" t="s">
        <v>184</v>
      </c>
      <c r="E35" t="s">
        <v>185</v>
      </c>
      <c r="F35" t="s">
        <v>186</v>
      </c>
      <c r="G35" s="16">
        <v>45308</v>
      </c>
      <c r="H35" s="16">
        <v>45628</v>
      </c>
      <c r="I35" s="16" t="s">
        <v>124</v>
      </c>
      <c r="J35" s="16" t="s">
        <v>187</v>
      </c>
      <c r="K35" t="s">
        <v>188</v>
      </c>
      <c r="L35" t="s">
        <v>112</v>
      </c>
      <c r="N35" s="53">
        <f t="shared" ca="1" si="0"/>
        <v>10.666666666666666</v>
      </c>
      <c r="P35" s="47" t="str">
        <f ca="1">IF(TRIM(SUBSTITUTE(($C35&amp;" "&amp;$D35),CHAR(160)," "))="","",IFERROR(IF(ISNUMBER(SEARCH("INC",($C35&amp;" "&amp;$D35))),"INC",IF(ISNUMBER(SEARCH("OPI",($C35&amp;" "&amp;$D35))),"OPI",IF(ISNUMBER(SEARCH("DP",($C35&amp;" "&amp;$D35))),"DP","CONC")))&amp;" "&amp;TEXT(LOOKUP(9.99E+307,--MID(SUBSTITUTE(($C35&amp;" "&amp;$D35),CHAR(160)," "),SUMPRODUCT(MIN(FIND({0,1,2,3,4,5,6,7,8,9},SUBSTITUTE(($C35&amp;" "&amp;$D35),CHAR(160)," ")&amp;"0123456789"))),ROW(INDIRECT("1:6")))),"0"),"SIN NUMERO"))</f>
        <v>CONC 1957</v>
      </c>
      <c r="Q35" t="str">
        <f ca="1">IF($P35="","",IF(LEFT(UPPER($S35),9)="VERIFICAR","VERIFICAR",IF($A35="","SIN ESTADO",IF(AND($A35="Firmada",$H35=""),"FALTA FECHA DE FIRMA",IF(N($T35)=0,IF(AND(ISNUMBER($H35),$H35&gt;=DATE(2024,1,1)),"FALTA EN FIRMADAS","OK"),IF(OR($A35="Pendiente de presentación",$A35="Observado",$A35="En análisis",$A35="En instrucción",$A35="Suspendida",$A35="IT circulando",$A35="Para resolución",$A35="TDC"),"ABIERTA PERO ESTÁ EN FIRMADAS",IF($H35&lt;&gt;INDEX(firmadas!$F:$F,$T35),"FIRMA DISTINTA EN firmadas ("&amp;IF(INDEX(firmadas!$F:$F,$T35)="","vacía",DAY(INDEX(firmadas!$F:$F,$T35))&amp;"/"&amp;MONTH(INDEX(firmadas!$F:$F,$T35))&amp;"/"&amp;YEAR(INDEX(firmadas!$F:$F,$T35)))&amp;")",IF($G35&lt;&gt;INDEX(firmadas!$E:$E,$T35),"INGRESO DISTINTO EN firmadas ("&amp;IF(INDEX(firmadas!$E:$E,$T35)="","vacía",DAY(INDEX(firmadas!$E:$E,$T35))&amp;"/"&amp;MONTH(INDEX(firmadas!$E:$E,$T35))&amp;"/"&amp;YEAR(INDEX(firmadas!$E:$E,$T35)))&amp;")","OK"))))))))</f>
        <v>OK</v>
      </c>
      <c r="T35">
        <f ca="1">IF($P35="","",IFERROR(MATCH($P35,firmadas!$N:$N,0),IFERROR(MATCH("*/"&amp;MID($P35,FIND(" ",$P35)+1,9)&amp;"*",firmadas!$B:$B,0),0)))</f>
        <v>85</v>
      </c>
    </row>
    <row r="36" spans="1:20" ht="18" customHeight="1" x14ac:dyDescent="0.25">
      <c r="A36" t="s">
        <v>80</v>
      </c>
      <c r="C36" t="s">
        <v>145</v>
      </c>
      <c r="D36" s="24" t="s">
        <v>189</v>
      </c>
      <c r="E36" t="s">
        <v>190</v>
      </c>
      <c r="F36" t="s">
        <v>191</v>
      </c>
      <c r="G36" s="16">
        <v>45327</v>
      </c>
      <c r="H36" s="16">
        <v>45812</v>
      </c>
      <c r="I36" s="16" t="s">
        <v>187</v>
      </c>
      <c r="J36" s="16" t="s">
        <v>155</v>
      </c>
      <c r="K36" t="s">
        <v>188</v>
      </c>
      <c r="L36" t="s">
        <v>112</v>
      </c>
      <c r="N36" s="53">
        <f t="shared" ca="1" si="0"/>
        <v>16.166666666666668</v>
      </c>
      <c r="P36" s="47" t="str">
        <f ca="1">IF(TRIM(SUBSTITUTE(($C36&amp;" "&amp;$D36),CHAR(160)," "))="","",IFERROR(IF(ISNUMBER(SEARCH("INC",($C36&amp;" "&amp;$D36))),"INC",IF(ISNUMBER(SEARCH("OPI",($C36&amp;" "&amp;$D36))),"OPI",IF(ISNUMBER(SEARCH("DP",($C36&amp;" "&amp;$D36))),"DP","CONC")))&amp;" "&amp;TEXT(LOOKUP(9.99E+307,--MID(SUBSTITUTE(($C36&amp;" "&amp;$D36),CHAR(160)," "),SUMPRODUCT(MIN(FIND({0,1,2,3,4,5,6,7,8,9},SUBSTITUTE(($C36&amp;" "&amp;$D36),CHAR(160)," ")&amp;"0123456789"))),ROW(INDIRECT("1:6")))),"0"),"SIN NUMERO"))</f>
        <v>CONC 1958</v>
      </c>
      <c r="Q36" t="str">
        <f ca="1">IF($P36="","",IF(LEFT(UPPER($S36),9)="VERIFICAR","VERIFICAR",IF($A36="","SIN ESTADO",IF(AND($A36="Firmada",$H36=""),"FALTA FECHA DE FIRMA",IF(N($T36)=0,IF(AND(ISNUMBER($H36),$H36&gt;=DATE(2024,1,1)),"FALTA EN FIRMADAS","OK"),IF(OR($A36="Pendiente de presentación",$A36="Observado",$A36="En análisis",$A36="En instrucción",$A36="Suspendida",$A36="IT circulando",$A36="Para resolución",$A36="TDC"),"ABIERTA PERO ESTÁ EN FIRMADAS",IF($H36&lt;&gt;INDEX(firmadas!$F:$F,$T36),"FIRMA DISTINTA EN firmadas ("&amp;IF(INDEX(firmadas!$F:$F,$T36)="","vacía",DAY(INDEX(firmadas!$F:$F,$T36))&amp;"/"&amp;MONTH(INDEX(firmadas!$F:$F,$T36))&amp;"/"&amp;YEAR(INDEX(firmadas!$F:$F,$T36)))&amp;")",IF($G36&lt;&gt;INDEX(firmadas!$E:$E,$T36),"INGRESO DISTINTO EN firmadas ("&amp;IF(INDEX(firmadas!$E:$E,$T36)="","vacía",DAY(INDEX(firmadas!$E:$E,$T36))&amp;"/"&amp;MONTH(INDEX(firmadas!$E:$E,$T36))&amp;"/"&amp;YEAR(INDEX(firmadas!$E:$E,$T36)))&amp;")","OK"))))))))</f>
        <v>OK</v>
      </c>
      <c r="T36">
        <f ca="1">IF($P36="","",IFERROR(MATCH($P36,firmadas!$N:$N,0),IFERROR(MATCH("*/"&amp;MID($P36,FIND(" ",$P36)+1,9)&amp;"*",firmadas!$B:$B,0),0)))</f>
        <v>115</v>
      </c>
    </row>
    <row r="37" spans="1:20" ht="18" customHeight="1" x14ac:dyDescent="0.25">
      <c r="A37" t="s">
        <v>80</v>
      </c>
      <c r="C37" t="s">
        <v>145</v>
      </c>
      <c r="D37" s="24" t="s">
        <v>192</v>
      </c>
      <c r="E37" t="s">
        <v>193</v>
      </c>
      <c r="F37" t="s">
        <v>194</v>
      </c>
      <c r="G37" s="16">
        <v>45336</v>
      </c>
      <c r="H37" s="16">
        <v>45707</v>
      </c>
      <c r="I37" s="16" t="s">
        <v>103</v>
      </c>
      <c r="J37" s="16" t="s">
        <v>187</v>
      </c>
      <c r="K37" t="s">
        <v>127</v>
      </c>
      <c r="L37" t="s">
        <v>104</v>
      </c>
      <c r="N37" s="53">
        <f t="shared" ca="1" si="0"/>
        <v>12.366666666666667</v>
      </c>
      <c r="P37" s="47" t="str">
        <f ca="1">IF(TRIM(SUBSTITUTE(($C37&amp;" "&amp;$D37),CHAR(160)," "))="","",IFERROR(IF(ISNUMBER(SEARCH("INC",($C37&amp;" "&amp;$D37))),"INC",IF(ISNUMBER(SEARCH("OPI",($C37&amp;" "&amp;$D37))),"OPI",IF(ISNUMBER(SEARCH("DP",($C37&amp;" "&amp;$D37))),"DP","CONC")))&amp;" "&amp;TEXT(LOOKUP(9.99E+307,--MID(SUBSTITUTE(($C37&amp;" "&amp;$D37),CHAR(160)," "),SUMPRODUCT(MIN(FIND({0,1,2,3,4,5,6,7,8,9},SUBSTITUTE(($C37&amp;" "&amp;$D37),CHAR(160)," ")&amp;"0123456789"))),ROW(INDIRECT("1:6")))),"0"),"SIN NUMERO"))</f>
        <v>CONC 1959</v>
      </c>
      <c r="Q37" t="str">
        <f ca="1">IF($P37="","",IF(LEFT(UPPER($S37),9)="VERIFICAR","VERIFICAR",IF($A37="","SIN ESTADO",IF(AND($A37="Firmada",$H37=""),"FALTA FECHA DE FIRMA",IF(N($T37)=0,IF(AND(ISNUMBER($H37),$H37&gt;=DATE(2024,1,1)),"FALTA EN FIRMADAS","OK"),IF(OR($A37="Pendiente de presentación",$A37="Observado",$A37="En análisis",$A37="En instrucción",$A37="Suspendida",$A37="IT circulando",$A37="Para resolución",$A37="TDC"),"ABIERTA PERO ESTÁ EN FIRMADAS",IF($H37&lt;&gt;INDEX(firmadas!$F:$F,$T37),"FIRMA DISTINTA EN firmadas ("&amp;IF(INDEX(firmadas!$F:$F,$T37)="","vacía",DAY(INDEX(firmadas!$F:$F,$T37))&amp;"/"&amp;MONTH(INDEX(firmadas!$F:$F,$T37))&amp;"/"&amp;YEAR(INDEX(firmadas!$F:$F,$T37)))&amp;")",IF($G37&lt;&gt;INDEX(firmadas!$E:$E,$T37),"INGRESO DISTINTO EN firmadas ("&amp;IF(INDEX(firmadas!$E:$E,$T37)="","vacía",DAY(INDEX(firmadas!$E:$E,$T37))&amp;"/"&amp;MONTH(INDEX(firmadas!$E:$E,$T37))&amp;"/"&amp;YEAR(INDEX(firmadas!$E:$E,$T37)))&amp;")","OK"))))))))</f>
        <v>OK</v>
      </c>
      <c r="T37">
        <f ca="1">IF($P37="","",IFERROR(MATCH($P37,firmadas!$N:$N,0),IFERROR(MATCH("*/"&amp;MID($P37,FIND(" ",$P37)+1,9)&amp;"*",firmadas!$B:$B,0),0)))</f>
        <v>99</v>
      </c>
    </row>
    <row r="38" spans="1:20" ht="18" customHeight="1" x14ac:dyDescent="0.25">
      <c r="A38" t="s">
        <v>80</v>
      </c>
      <c r="C38" s="44" t="s">
        <v>145</v>
      </c>
      <c r="D38" s="42">
        <v>1960</v>
      </c>
      <c r="E38" s="44" t="s">
        <v>195</v>
      </c>
      <c r="F38" s="44" t="s">
        <v>196</v>
      </c>
      <c r="G38" s="16">
        <v>45348</v>
      </c>
      <c r="H38" s="16">
        <v>46097</v>
      </c>
      <c r="I38" s="26" t="s">
        <v>138</v>
      </c>
      <c r="J38" s="26" t="s">
        <v>187</v>
      </c>
      <c r="K38" s="44" t="s">
        <v>197</v>
      </c>
      <c r="L38" s="44" t="s">
        <v>198</v>
      </c>
      <c r="M38" t="s">
        <v>83</v>
      </c>
      <c r="N38" s="53">
        <f t="shared" ca="1" si="0"/>
        <v>24.966666666666665</v>
      </c>
      <c r="P38" s="47" t="str">
        <f ca="1">IF(TRIM(SUBSTITUTE(($C38&amp;" "&amp;$D38),CHAR(160)," "))="","",IFERROR(IF(ISNUMBER(SEARCH("INC",($C38&amp;" "&amp;$D38))),"INC",IF(ISNUMBER(SEARCH("OPI",($C38&amp;" "&amp;$D38))),"OPI",IF(ISNUMBER(SEARCH("DP",($C38&amp;" "&amp;$D38))),"DP","CONC")))&amp;" "&amp;TEXT(LOOKUP(9.99E+307,--MID(SUBSTITUTE(($C38&amp;" "&amp;$D38),CHAR(160)," "),SUMPRODUCT(MIN(FIND({0,1,2,3,4,5,6,7,8,9},SUBSTITUTE(($C38&amp;" "&amp;$D38),CHAR(160)," ")&amp;"0123456789"))),ROW(INDIRECT("1:6")))),"0"),"SIN NUMERO"))</f>
        <v>CONC 1960</v>
      </c>
      <c r="Q38" t="str">
        <f ca="1">IF($P38="","",IF(LEFT(UPPER($S38),9)="VERIFICAR","VERIFICAR",IF($A38="","SIN ESTADO",IF(AND($A38="Firmada",$H38=""),"FALTA FECHA DE FIRMA",IF(N($T38)=0,IF(AND(ISNUMBER($H38),$H38&gt;=DATE(2024,1,1)),"FALTA EN FIRMADAS","OK"),IF(OR($A38="Pendiente de presentación",$A38="Observado",$A38="En análisis",$A38="En instrucción",$A38="Suspendida",$A38="IT circulando",$A38="Para resolución",$A38="TDC"),"ABIERTA PERO ESTÁ EN FIRMADAS",IF($H38&lt;&gt;INDEX(firmadas!$F:$F,$T38),"FIRMA DISTINTA EN firmadas ("&amp;IF(INDEX(firmadas!$F:$F,$T38)="","vacía",DAY(INDEX(firmadas!$F:$F,$T38))&amp;"/"&amp;MONTH(INDEX(firmadas!$F:$F,$T38))&amp;"/"&amp;YEAR(INDEX(firmadas!$F:$F,$T38)))&amp;")",IF($G38&lt;&gt;INDEX(firmadas!$E:$E,$T38),"INGRESO DISTINTO EN firmadas ("&amp;IF(INDEX(firmadas!$E:$E,$T38)="","vacía",DAY(INDEX(firmadas!$E:$E,$T38))&amp;"/"&amp;MONTH(INDEX(firmadas!$E:$E,$T38))&amp;"/"&amp;YEAR(INDEX(firmadas!$E:$E,$T38)))&amp;")","OK"))))))))</f>
        <v>OK</v>
      </c>
      <c r="T38">
        <f ca="1">IF($P38="","",IFERROR(MATCH($P38,firmadas!$N:$N,0),IFERROR(MATCH("*/"&amp;MID($P38,FIND(" ",$P38)+1,9)&amp;"*",firmadas!$B:$B,0),0)))</f>
        <v>216</v>
      </c>
    </row>
    <row r="39" spans="1:20" ht="18" customHeight="1" x14ac:dyDescent="0.25">
      <c r="A39" t="s">
        <v>80</v>
      </c>
      <c r="C39" s="44" t="s">
        <v>62</v>
      </c>
      <c r="D39" s="24">
        <v>1961</v>
      </c>
      <c r="E39" s="44" t="s">
        <v>199</v>
      </c>
      <c r="F39" s="44" t="s">
        <v>200</v>
      </c>
      <c r="G39" s="16">
        <v>45357</v>
      </c>
      <c r="H39" s="16">
        <v>46147</v>
      </c>
      <c r="I39" s="26" t="s">
        <v>93</v>
      </c>
      <c r="J39" s="26" t="s">
        <v>187</v>
      </c>
      <c r="K39" s="44" t="s">
        <v>104</v>
      </c>
      <c r="M39" t="s">
        <v>83</v>
      </c>
      <c r="N39" s="53">
        <f t="shared" ca="1" si="0"/>
        <v>26.333333333333332</v>
      </c>
      <c r="P39" s="47" t="str">
        <f ca="1">IF(TRIM(SUBSTITUTE(($C39&amp;" "&amp;$D39),CHAR(160)," "))="","",IFERROR(IF(ISNUMBER(SEARCH("INC",($C39&amp;" "&amp;$D39))),"INC",IF(ISNUMBER(SEARCH("OPI",($C39&amp;" "&amp;$D39))),"OPI",IF(ISNUMBER(SEARCH("DP",($C39&amp;" "&amp;$D39))),"DP","CONC")))&amp;" "&amp;TEXT(LOOKUP(9.99E+307,--MID(SUBSTITUTE(($C39&amp;" "&amp;$D39),CHAR(160)," "),SUMPRODUCT(MIN(FIND({0,1,2,3,4,5,6,7,8,9},SUBSTITUTE(($C39&amp;" "&amp;$D39),CHAR(160)," ")&amp;"0123456789"))),ROW(INDIRECT("1:6")))),"0"),"SIN NUMERO"))</f>
        <v>CONC 1961</v>
      </c>
      <c r="Q39" t="str">
        <f ca="1">IF($P39="","",IF(LEFT(UPPER($S39),9)="VERIFICAR","VERIFICAR",IF($A39="","SIN ESTADO",IF(AND($A39="Firmada",$H39=""),"FALTA FECHA DE FIRMA",IF(N($T39)=0,IF(AND(ISNUMBER($H39),$H39&gt;=DATE(2024,1,1)),"FALTA EN FIRMADAS","OK"),IF(OR($A39="Pendiente de presentación",$A39="Observado",$A39="En análisis",$A39="En instrucción",$A39="Suspendida",$A39="IT circulando",$A39="Para resolución",$A39="TDC"),"ABIERTA PERO ESTÁ EN FIRMADAS",IF($H39&lt;&gt;INDEX(firmadas!$F:$F,$T39),"FIRMA DISTINTA EN firmadas ("&amp;IF(INDEX(firmadas!$F:$F,$T39)="","vacía",DAY(INDEX(firmadas!$F:$F,$T39))&amp;"/"&amp;MONTH(INDEX(firmadas!$F:$F,$T39))&amp;"/"&amp;YEAR(INDEX(firmadas!$F:$F,$T39)))&amp;")",IF($G39&lt;&gt;INDEX(firmadas!$E:$E,$T39),"INGRESO DISTINTO EN firmadas ("&amp;IF(INDEX(firmadas!$E:$E,$T39)="","vacía",DAY(INDEX(firmadas!$E:$E,$T39))&amp;"/"&amp;MONTH(INDEX(firmadas!$E:$E,$T39))&amp;"/"&amp;YEAR(INDEX(firmadas!$E:$E,$T39)))&amp;")","OK"))))))))</f>
        <v>OK</v>
      </c>
      <c r="T39">
        <f ca="1">IF($P39="","",IFERROR(MATCH($P39,firmadas!$N:$N,0),IFERROR(MATCH("*/"&amp;MID($P39,FIND(" ",$P39)+1,9)&amp;"*",firmadas!$B:$B,0),0)))</f>
        <v>236</v>
      </c>
    </row>
    <row r="40" spans="1:20" ht="18" customHeight="1" x14ac:dyDescent="0.25">
      <c r="A40" s="47" t="s">
        <v>80</v>
      </c>
      <c r="B40" s="47"/>
      <c r="C40" s="47" t="s">
        <v>62</v>
      </c>
      <c r="D40" s="45">
        <v>1962</v>
      </c>
      <c r="F40" s="47" t="s">
        <v>201</v>
      </c>
      <c r="G40" s="43">
        <v>45359</v>
      </c>
      <c r="H40" s="43">
        <v>45443</v>
      </c>
      <c r="M40" t="s">
        <v>202</v>
      </c>
      <c r="N40" s="53">
        <f t="shared" ca="1" si="0"/>
        <v>2.8</v>
      </c>
      <c r="P40" s="47" t="str">
        <f ca="1">IF(TRIM(SUBSTITUTE(($C40&amp;" "&amp;$D40),CHAR(160)," "))="","",IFERROR(IF(ISNUMBER(SEARCH("INC",($C40&amp;" "&amp;$D40))),"INC",IF(ISNUMBER(SEARCH("OPI",($C40&amp;" "&amp;$D40))),"OPI",IF(ISNUMBER(SEARCH("DP",($C40&amp;" "&amp;$D40))),"DP","CONC")))&amp;" "&amp;TEXT(LOOKUP(9.99E+307,--MID(SUBSTITUTE(($C40&amp;" "&amp;$D40),CHAR(160)," "),SUMPRODUCT(MIN(FIND({0,1,2,3,4,5,6,7,8,9},SUBSTITUTE(($C40&amp;" "&amp;$D40),CHAR(160)," ")&amp;"0123456789"))),ROW(INDIRECT("1:6")))),"0"),"SIN NUMERO"))</f>
        <v>CONC 1962</v>
      </c>
      <c r="Q40" t="str">
        <f ca="1">IF($P40="","",IF(LEFT(UPPER($S40),9)="VERIFICAR","VERIFICAR",IF($A40="","SIN ESTADO",IF(AND($A40="Firmada",$H40=""),"FALTA FECHA DE FIRMA",IF(N($T40)=0,IF(AND(ISNUMBER($H40),$H40&gt;=DATE(2024,1,1)),"FALTA EN FIRMADAS","OK"),IF(OR($A40="Pendiente de presentación",$A40="Observado",$A40="En análisis",$A40="En instrucción",$A40="Suspendida",$A40="IT circulando",$A40="Para resolución",$A40="TDC"),"ABIERTA PERO ESTÁ EN FIRMADAS",IF($H40&lt;&gt;INDEX(firmadas!$F:$F,$T40),"FIRMA DISTINTA EN firmadas ("&amp;IF(INDEX(firmadas!$F:$F,$T40)="","vacía",DAY(INDEX(firmadas!$F:$F,$T40))&amp;"/"&amp;MONTH(INDEX(firmadas!$F:$F,$T40))&amp;"/"&amp;YEAR(INDEX(firmadas!$F:$F,$T40)))&amp;")",IF($G40&lt;&gt;INDEX(firmadas!$E:$E,$T40),"INGRESO DISTINTO EN firmadas ("&amp;IF(INDEX(firmadas!$E:$E,$T40)="","vacía",DAY(INDEX(firmadas!$E:$E,$T40))&amp;"/"&amp;MONTH(INDEX(firmadas!$E:$E,$T40))&amp;"/"&amp;YEAR(INDEX(firmadas!$E:$E,$T40)))&amp;")","OK"))))))))</f>
        <v>OK</v>
      </c>
      <c r="T40">
        <f ca="1">IF($P40="","",IFERROR(MATCH($P40,firmadas!$N:$N,0),IFERROR(MATCH("*/"&amp;MID($P40,FIND(" ",$P40)+1,9)&amp;"*",firmadas!$B:$B,0),0)))</f>
        <v>35</v>
      </c>
    </row>
    <row r="41" spans="1:20" ht="18" customHeight="1" x14ac:dyDescent="0.25">
      <c r="A41" s="47" t="s">
        <v>80</v>
      </c>
      <c r="B41" s="47"/>
      <c r="C41" s="47" t="s">
        <v>62</v>
      </c>
      <c r="D41" s="45">
        <v>1963</v>
      </c>
      <c r="F41" s="47" t="s">
        <v>203</v>
      </c>
      <c r="G41" s="43">
        <v>45369</v>
      </c>
      <c r="H41" s="43">
        <v>45504</v>
      </c>
      <c r="M41" t="s">
        <v>202</v>
      </c>
      <c r="N41" s="53">
        <f t="shared" ca="1" si="0"/>
        <v>4.5</v>
      </c>
      <c r="P41" s="47" t="str">
        <f ca="1">IF(TRIM(SUBSTITUTE(($C41&amp;" "&amp;$D41),CHAR(160)," "))="","",IFERROR(IF(ISNUMBER(SEARCH("INC",($C41&amp;" "&amp;$D41))),"INC",IF(ISNUMBER(SEARCH("OPI",($C41&amp;" "&amp;$D41))),"OPI",IF(ISNUMBER(SEARCH("DP",($C41&amp;" "&amp;$D41))),"DP","CONC")))&amp;" "&amp;TEXT(LOOKUP(9.99E+307,--MID(SUBSTITUTE(($C41&amp;" "&amp;$D41),CHAR(160)," "),SUMPRODUCT(MIN(FIND({0,1,2,3,4,5,6,7,8,9},SUBSTITUTE(($C41&amp;" "&amp;$D41),CHAR(160)," ")&amp;"0123456789"))),ROW(INDIRECT("1:6")))),"0"),"SIN NUMERO"))</f>
        <v>CONC 1963</v>
      </c>
      <c r="Q41" t="str">
        <f ca="1">IF($P41="","",IF(LEFT(UPPER($S41),9)="VERIFICAR","VERIFICAR",IF($A41="","SIN ESTADO",IF(AND($A41="Firmada",$H41=""),"FALTA FECHA DE FIRMA",IF(N($T41)=0,IF(AND(ISNUMBER($H41),$H41&gt;=DATE(2024,1,1)),"FALTA EN FIRMADAS","OK"),IF(OR($A41="Pendiente de presentación",$A41="Observado",$A41="En análisis",$A41="En instrucción",$A41="Suspendida",$A41="IT circulando",$A41="Para resolución",$A41="TDC"),"ABIERTA PERO ESTÁ EN FIRMADAS",IF($H41&lt;&gt;INDEX(firmadas!$F:$F,$T41),"FIRMA DISTINTA EN firmadas ("&amp;IF(INDEX(firmadas!$F:$F,$T41)="","vacía",DAY(INDEX(firmadas!$F:$F,$T41))&amp;"/"&amp;MONTH(INDEX(firmadas!$F:$F,$T41))&amp;"/"&amp;YEAR(INDEX(firmadas!$F:$F,$T41)))&amp;")",IF($G41&lt;&gt;INDEX(firmadas!$E:$E,$T41),"INGRESO DISTINTO EN firmadas ("&amp;IF(INDEX(firmadas!$E:$E,$T41)="","vacía",DAY(INDEX(firmadas!$E:$E,$T41))&amp;"/"&amp;MONTH(INDEX(firmadas!$E:$E,$T41))&amp;"/"&amp;YEAR(INDEX(firmadas!$E:$E,$T41)))&amp;")","OK"))))))))</f>
        <v>OK</v>
      </c>
      <c r="T41">
        <f ca="1">IF($P41="","",IFERROR(MATCH($P41,firmadas!$N:$N,0),IFERROR(MATCH("*/"&amp;MID($P41,FIND(" ",$P41)+1,9)&amp;"*",firmadas!$B:$B,0),0)))</f>
        <v>50</v>
      </c>
    </row>
    <row r="42" spans="1:20" ht="18" customHeight="1" x14ac:dyDescent="0.25">
      <c r="A42" s="47" t="s">
        <v>80</v>
      </c>
      <c r="B42" s="47"/>
      <c r="C42" s="47" t="s">
        <v>62</v>
      </c>
      <c r="D42" s="45">
        <v>1964</v>
      </c>
      <c r="F42" s="47" t="s">
        <v>204</v>
      </c>
      <c r="G42" s="43">
        <v>45371</v>
      </c>
      <c r="H42" s="43">
        <v>45518</v>
      </c>
      <c r="M42" t="s">
        <v>202</v>
      </c>
      <c r="N42" s="53">
        <f t="shared" ca="1" si="0"/>
        <v>4.9000000000000004</v>
      </c>
      <c r="P42" s="47" t="str">
        <f ca="1">IF(TRIM(SUBSTITUTE(($C42&amp;" "&amp;$D42),CHAR(160)," "))="","",IFERROR(IF(ISNUMBER(SEARCH("INC",($C42&amp;" "&amp;$D42))),"INC",IF(ISNUMBER(SEARCH("OPI",($C42&amp;" "&amp;$D42))),"OPI",IF(ISNUMBER(SEARCH("DP",($C42&amp;" "&amp;$D42))),"DP","CONC")))&amp;" "&amp;TEXT(LOOKUP(9.99E+307,--MID(SUBSTITUTE(($C42&amp;" "&amp;$D42),CHAR(160)," "),SUMPRODUCT(MIN(FIND({0,1,2,3,4,5,6,7,8,9},SUBSTITUTE(($C42&amp;" "&amp;$D42),CHAR(160)," ")&amp;"0123456789"))),ROW(INDIRECT("1:6")))),"0"),"SIN NUMERO"))</f>
        <v>CONC 1964</v>
      </c>
      <c r="Q42" t="str">
        <f ca="1">IF($P42="","",IF(LEFT(UPPER($S42),9)="VERIFICAR","VERIFICAR",IF($A42="","SIN ESTADO",IF(AND($A42="Firmada",$H42=""),"FALTA FECHA DE FIRMA",IF(N($T42)=0,IF(AND(ISNUMBER($H42),$H42&gt;=DATE(2024,1,1)),"FALTA EN FIRMADAS","OK"),IF(OR($A42="Pendiente de presentación",$A42="Observado",$A42="En análisis",$A42="En instrucción",$A42="Suspendida",$A42="IT circulando",$A42="Para resolución",$A42="TDC"),"ABIERTA PERO ESTÁ EN FIRMADAS",IF($H42&lt;&gt;INDEX(firmadas!$F:$F,$T42),"FIRMA DISTINTA EN firmadas ("&amp;IF(INDEX(firmadas!$F:$F,$T42)="","vacía",DAY(INDEX(firmadas!$F:$F,$T42))&amp;"/"&amp;MONTH(INDEX(firmadas!$F:$F,$T42))&amp;"/"&amp;YEAR(INDEX(firmadas!$F:$F,$T42)))&amp;")",IF($G42&lt;&gt;INDEX(firmadas!$E:$E,$T42),"INGRESO DISTINTO EN firmadas ("&amp;IF(INDEX(firmadas!$E:$E,$T42)="","vacía",DAY(INDEX(firmadas!$E:$E,$T42))&amp;"/"&amp;MONTH(INDEX(firmadas!$E:$E,$T42))&amp;"/"&amp;YEAR(INDEX(firmadas!$E:$E,$T42)))&amp;")","OK"))))))))</f>
        <v>OK</v>
      </c>
      <c r="T42">
        <f ca="1">IF($P42="","",IFERROR(MATCH($P42,firmadas!$N:$N,0),IFERROR(MATCH("*/"&amp;MID($P42,FIND(" ",$P42)+1,9)&amp;"*",firmadas!$B:$B,0),0)))</f>
        <v>54</v>
      </c>
    </row>
    <row r="43" spans="1:20" ht="18" customHeight="1" x14ac:dyDescent="0.25">
      <c r="A43" s="47" t="s">
        <v>80</v>
      </c>
      <c r="B43" s="47"/>
      <c r="C43" s="47" t="s">
        <v>62</v>
      </c>
      <c r="D43" s="45">
        <v>1965</v>
      </c>
      <c r="F43" s="47" t="s">
        <v>205</v>
      </c>
      <c r="G43" s="43">
        <v>45378</v>
      </c>
      <c r="H43" s="43">
        <v>45443</v>
      </c>
      <c r="M43" t="s">
        <v>202</v>
      </c>
      <c r="N43" s="53">
        <f t="shared" ca="1" si="0"/>
        <v>2.1666666666666665</v>
      </c>
      <c r="P43" s="47" t="str">
        <f ca="1">IF(TRIM(SUBSTITUTE(($C43&amp;" "&amp;$D43),CHAR(160)," "))="","",IFERROR(IF(ISNUMBER(SEARCH("INC",($C43&amp;" "&amp;$D43))),"INC",IF(ISNUMBER(SEARCH("OPI",($C43&amp;" "&amp;$D43))),"OPI",IF(ISNUMBER(SEARCH("DP",($C43&amp;" "&amp;$D43))),"DP","CONC")))&amp;" "&amp;TEXT(LOOKUP(9.99E+307,--MID(SUBSTITUTE(($C43&amp;" "&amp;$D43),CHAR(160)," "),SUMPRODUCT(MIN(FIND({0,1,2,3,4,5,6,7,8,9},SUBSTITUTE(($C43&amp;" "&amp;$D43),CHAR(160)," ")&amp;"0123456789"))),ROW(INDIRECT("1:6")))),"0"),"SIN NUMERO"))</f>
        <v>CONC 1965</v>
      </c>
      <c r="Q43" t="str">
        <f ca="1">IF($P43="","",IF(LEFT(UPPER($S43),9)="VERIFICAR","VERIFICAR",IF($A43="","SIN ESTADO",IF(AND($A43="Firmada",$H43=""),"FALTA FECHA DE FIRMA",IF(N($T43)=0,IF(AND(ISNUMBER($H43),$H43&gt;=DATE(2024,1,1)),"FALTA EN FIRMADAS","OK"),IF(OR($A43="Pendiente de presentación",$A43="Observado",$A43="En análisis",$A43="En instrucción",$A43="Suspendida",$A43="IT circulando",$A43="Para resolución",$A43="TDC"),"ABIERTA PERO ESTÁ EN FIRMADAS",IF($H43&lt;&gt;INDEX(firmadas!$F:$F,$T43),"FIRMA DISTINTA EN firmadas ("&amp;IF(INDEX(firmadas!$F:$F,$T43)="","vacía",DAY(INDEX(firmadas!$F:$F,$T43))&amp;"/"&amp;MONTH(INDEX(firmadas!$F:$F,$T43))&amp;"/"&amp;YEAR(INDEX(firmadas!$F:$F,$T43)))&amp;")",IF($G43&lt;&gt;INDEX(firmadas!$E:$E,$T43),"INGRESO DISTINTO EN firmadas ("&amp;IF(INDEX(firmadas!$E:$E,$T43)="","vacía",DAY(INDEX(firmadas!$E:$E,$T43))&amp;"/"&amp;MONTH(INDEX(firmadas!$E:$E,$T43))&amp;"/"&amp;YEAR(INDEX(firmadas!$E:$E,$T43)))&amp;")","OK"))))))))</f>
        <v>OK</v>
      </c>
      <c r="T43">
        <f ca="1">IF($P43="","",IFERROR(MATCH($P43,firmadas!$N:$N,0),IFERROR(MATCH("*/"&amp;MID($P43,FIND(" ",$P43)+1,9)&amp;"*",firmadas!$B:$B,0),0)))</f>
        <v>36</v>
      </c>
    </row>
    <row r="44" spans="1:20" ht="18" customHeight="1" x14ac:dyDescent="0.25">
      <c r="A44" s="47" t="s">
        <v>80</v>
      </c>
      <c r="B44" s="47"/>
      <c r="C44" s="47" t="s">
        <v>62</v>
      </c>
      <c r="D44" s="45">
        <v>1967</v>
      </c>
      <c r="F44" s="47" t="s">
        <v>206</v>
      </c>
      <c r="G44" s="43">
        <v>45392</v>
      </c>
      <c r="H44" s="43">
        <v>45772</v>
      </c>
      <c r="M44" t="s">
        <v>202</v>
      </c>
      <c r="N44" s="53">
        <f t="shared" ca="1" si="0"/>
        <v>12.666666666666666</v>
      </c>
      <c r="P44" s="47" t="str">
        <f ca="1">IF(TRIM(SUBSTITUTE(($C44&amp;" "&amp;$D44),CHAR(160)," "))="","",IFERROR(IF(ISNUMBER(SEARCH("INC",($C44&amp;" "&amp;$D44))),"INC",IF(ISNUMBER(SEARCH("OPI",($C44&amp;" "&amp;$D44))),"OPI",IF(ISNUMBER(SEARCH("DP",($C44&amp;" "&amp;$D44))),"DP","CONC")))&amp;" "&amp;TEXT(LOOKUP(9.99E+307,--MID(SUBSTITUTE(($C44&amp;" "&amp;$D44),CHAR(160)," "),SUMPRODUCT(MIN(FIND({0,1,2,3,4,5,6,7,8,9},SUBSTITUTE(($C44&amp;" "&amp;$D44),CHAR(160)," ")&amp;"0123456789"))),ROW(INDIRECT("1:6")))),"0"),"SIN NUMERO"))</f>
        <v>CONC 1967</v>
      </c>
      <c r="Q44" t="str">
        <f ca="1">IF($P44="","",IF(LEFT(UPPER($S44),9)="VERIFICAR","VERIFICAR",IF($A44="","SIN ESTADO",IF(AND($A44="Firmada",$H44=""),"FALTA FECHA DE FIRMA",IF(N($T44)=0,IF(AND(ISNUMBER($H44),$H44&gt;=DATE(2024,1,1)),"FALTA EN FIRMADAS","OK"),IF(OR($A44="Pendiente de presentación",$A44="Observado",$A44="En análisis",$A44="En instrucción",$A44="Suspendida",$A44="IT circulando",$A44="Para resolución",$A44="TDC"),"ABIERTA PERO ESTÁ EN FIRMADAS",IF($H44&lt;&gt;INDEX(firmadas!$F:$F,$T44),"FIRMA DISTINTA EN firmadas ("&amp;IF(INDEX(firmadas!$F:$F,$T44)="","vacía",DAY(INDEX(firmadas!$F:$F,$T44))&amp;"/"&amp;MONTH(INDEX(firmadas!$F:$F,$T44))&amp;"/"&amp;YEAR(INDEX(firmadas!$F:$F,$T44)))&amp;")",IF($G44&lt;&gt;INDEX(firmadas!$E:$E,$T44),"INGRESO DISTINTO EN firmadas ("&amp;IF(INDEX(firmadas!$E:$E,$T44)="","vacía",DAY(INDEX(firmadas!$E:$E,$T44))&amp;"/"&amp;MONTH(INDEX(firmadas!$E:$E,$T44))&amp;"/"&amp;YEAR(INDEX(firmadas!$E:$E,$T44)))&amp;")","OK"))))))))</f>
        <v>OK</v>
      </c>
      <c r="T44">
        <f ca="1">IF($P44="","",IFERROR(MATCH($P44,firmadas!$N:$N,0),IFERROR(MATCH("*/"&amp;MID($P44,FIND(" ",$P44)+1,9)&amp;"*",firmadas!$B:$B,0),0)))</f>
        <v>109</v>
      </c>
    </row>
    <row r="45" spans="1:20" ht="18" customHeight="1" x14ac:dyDescent="0.25">
      <c r="A45" s="47" t="s">
        <v>80</v>
      </c>
      <c r="B45" s="47"/>
      <c r="C45" s="47" t="s">
        <v>62</v>
      </c>
      <c r="D45" s="45">
        <v>1968</v>
      </c>
      <c r="F45" s="47" t="s">
        <v>207</v>
      </c>
      <c r="G45" s="43">
        <v>45397</v>
      </c>
      <c r="H45" s="43">
        <v>45554</v>
      </c>
      <c r="M45" t="s">
        <v>202</v>
      </c>
      <c r="N45" s="53">
        <f t="shared" ca="1" si="0"/>
        <v>5.2333333333333334</v>
      </c>
      <c r="P45" s="47" t="str">
        <f ca="1">IF(TRIM(SUBSTITUTE(($C45&amp;" "&amp;$D45),CHAR(160)," "))="","",IFERROR(IF(ISNUMBER(SEARCH("INC",($C45&amp;" "&amp;$D45))),"INC",IF(ISNUMBER(SEARCH("OPI",($C45&amp;" "&amp;$D45))),"OPI",IF(ISNUMBER(SEARCH("DP",($C45&amp;" "&amp;$D45))),"DP","CONC")))&amp;" "&amp;TEXT(LOOKUP(9.99E+307,--MID(SUBSTITUTE(($C45&amp;" "&amp;$D45),CHAR(160)," "),SUMPRODUCT(MIN(FIND({0,1,2,3,4,5,6,7,8,9},SUBSTITUTE(($C45&amp;" "&amp;$D45),CHAR(160)," ")&amp;"0123456789"))),ROW(INDIRECT("1:6")))),"0"),"SIN NUMERO"))</f>
        <v>CONC 1968</v>
      </c>
      <c r="Q45" t="str">
        <f ca="1">IF($P45="","",IF(LEFT(UPPER($S45),9)="VERIFICAR","VERIFICAR",IF($A45="","SIN ESTADO",IF(AND($A45="Firmada",$H45=""),"FALTA FECHA DE FIRMA",IF(N($T45)=0,IF(AND(ISNUMBER($H45),$H45&gt;=DATE(2024,1,1)),"FALTA EN FIRMADAS","OK"),IF(OR($A45="Pendiente de presentación",$A45="Observado",$A45="En análisis",$A45="En instrucción",$A45="Suspendida",$A45="IT circulando",$A45="Para resolución",$A45="TDC"),"ABIERTA PERO ESTÁ EN FIRMADAS",IF($H45&lt;&gt;INDEX(firmadas!$F:$F,$T45),"FIRMA DISTINTA EN firmadas ("&amp;IF(INDEX(firmadas!$F:$F,$T45)="","vacía",DAY(INDEX(firmadas!$F:$F,$T45))&amp;"/"&amp;MONTH(INDEX(firmadas!$F:$F,$T45))&amp;"/"&amp;YEAR(INDEX(firmadas!$F:$F,$T45)))&amp;")",IF($G45&lt;&gt;INDEX(firmadas!$E:$E,$T45),"INGRESO DISTINTO EN firmadas ("&amp;IF(INDEX(firmadas!$E:$E,$T45)="","vacía",DAY(INDEX(firmadas!$E:$E,$T45))&amp;"/"&amp;MONTH(INDEX(firmadas!$E:$E,$T45))&amp;"/"&amp;YEAR(INDEX(firmadas!$E:$E,$T45)))&amp;")","OK"))))))))</f>
        <v>OK</v>
      </c>
      <c r="T45">
        <f ca="1">IF($P45="","",IFERROR(MATCH($P45,firmadas!$N:$N,0),IFERROR(MATCH("*/"&amp;MID($P45,FIND(" ",$P45)+1,9)&amp;"*",firmadas!$B:$B,0),0)))</f>
        <v>69</v>
      </c>
    </row>
    <row r="46" spans="1:20" ht="18" customHeight="1" x14ac:dyDescent="0.25">
      <c r="A46" s="47" t="s">
        <v>80</v>
      </c>
      <c r="B46" s="47"/>
      <c r="C46" s="47" t="s">
        <v>62</v>
      </c>
      <c r="D46" s="45">
        <v>1969</v>
      </c>
      <c r="F46" s="47" t="s">
        <v>208</v>
      </c>
      <c r="G46" s="43">
        <v>45397</v>
      </c>
      <c r="H46" s="43">
        <v>45540</v>
      </c>
      <c r="M46" t="s">
        <v>202</v>
      </c>
      <c r="N46" s="53">
        <f t="shared" ca="1" si="0"/>
        <v>4.7666666666666666</v>
      </c>
      <c r="P46" s="47" t="str">
        <f ca="1">IF(TRIM(SUBSTITUTE(($C46&amp;" "&amp;$D46),CHAR(160)," "))="","",IFERROR(IF(ISNUMBER(SEARCH("INC",($C46&amp;" "&amp;$D46))),"INC",IF(ISNUMBER(SEARCH("OPI",($C46&amp;" "&amp;$D46))),"OPI",IF(ISNUMBER(SEARCH("DP",($C46&amp;" "&amp;$D46))),"DP","CONC")))&amp;" "&amp;TEXT(LOOKUP(9.99E+307,--MID(SUBSTITUTE(($C46&amp;" "&amp;$D46),CHAR(160)," "),SUMPRODUCT(MIN(FIND({0,1,2,3,4,5,6,7,8,9},SUBSTITUTE(($C46&amp;" "&amp;$D46),CHAR(160)," ")&amp;"0123456789"))),ROW(INDIRECT("1:6")))),"0"),"SIN NUMERO"))</f>
        <v>CONC 1969</v>
      </c>
      <c r="Q46" t="str">
        <f ca="1">IF($P46="","",IF(LEFT(UPPER($S46),9)="VERIFICAR","VERIFICAR",IF($A46="","SIN ESTADO",IF(AND($A46="Firmada",$H46=""),"FALTA FECHA DE FIRMA",IF(N($T46)=0,IF(AND(ISNUMBER($H46),$H46&gt;=DATE(2024,1,1)),"FALTA EN FIRMADAS","OK"),IF(OR($A46="Pendiente de presentación",$A46="Observado",$A46="En análisis",$A46="En instrucción",$A46="Suspendida",$A46="IT circulando",$A46="Para resolución",$A46="TDC"),"ABIERTA PERO ESTÁ EN FIRMADAS",IF($H46&lt;&gt;INDEX(firmadas!$F:$F,$T46),"FIRMA DISTINTA EN firmadas ("&amp;IF(INDEX(firmadas!$F:$F,$T46)="","vacía",DAY(INDEX(firmadas!$F:$F,$T46))&amp;"/"&amp;MONTH(INDEX(firmadas!$F:$F,$T46))&amp;"/"&amp;YEAR(INDEX(firmadas!$F:$F,$T46)))&amp;")",IF($G46&lt;&gt;INDEX(firmadas!$E:$E,$T46),"INGRESO DISTINTO EN firmadas ("&amp;IF(INDEX(firmadas!$E:$E,$T46)="","vacía",DAY(INDEX(firmadas!$E:$E,$T46))&amp;"/"&amp;MONTH(INDEX(firmadas!$E:$E,$T46))&amp;"/"&amp;YEAR(INDEX(firmadas!$E:$E,$T46)))&amp;")","OK"))))))))</f>
        <v>OK</v>
      </c>
      <c r="T46">
        <f ca="1">IF($P46="","",IFERROR(MATCH($P46,firmadas!$N:$N,0),IFERROR(MATCH("*/"&amp;MID($P46,FIND(" ",$P46)+1,9)&amp;"*",firmadas!$B:$B,0),0)))</f>
        <v>65</v>
      </c>
    </row>
    <row r="47" spans="1:20" ht="18" customHeight="1" x14ac:dyDescent="0.25">
      <c r="A47" s="47" t="s">
        <v>80</v>
      </c>
      <c r="B47" s="47"/>
      <c r="C47" s="47" t="s">
        <v>62</v>
      </c>
      <c r="D47" s="45">
        <v>1970</v>
      </c>
      <c r="F47" s="47" t="s">
        <v>209</v>
      </c>
      <c r="G47" s="43">
        <v>45399</v>
      </c>
      <c r="H47" s="43">
        <v>45552</v>
      </c>
      <c r="M47" t="s">
        <v>202</v>
      </c>
      <c r="N47" s="53">
        <f t="shared" ca="1" si="0"/>
        <v>5.0999999999999996</v>
      </c>
      <c r="P47" s="47" t="str">
        <f ca="1">IF(TRIM(SUBSTITUTE(($C47&amp;" "&amp;$D47),CHAR(160)," "))="","",IFERROR(IF(ISNUMBER(SEARCH("INC",($C47&amp;" "&amp;$D47))),"INC",IF(ISNUMBER(SEARCH("OPI",($C47&amp;" "&amp;$D47))),"OPI",IF(ISNUMBER(SEARCH("DP",($C47&amp;" "&amp;$D47))),"DP","CONC")))&amp;" "&amp;TEXT(LOOKUP(9.99E+307,--MID(SUBSTITUTE(($C47&amp;" "&amp;$D47),CHAR(160)," "),SUMPRODUCT(MIN(FIND({0,1,2,3,4,5,6,7,8,9},SUBSTITUTE(($C47&amp;" "&amp;$D47),CHAR(160)," ")&amp;"0123456789"))),ROW(INDIRECT("1:6")))),"0"),"SIN NUMERO"))</f>
        <v>CONC 1970</v>
      </c>
      <c r="Q47" t="str">
        <f ca="1">IF($P47="","",IF(LEFT(UPPER($S47),9)="VERIFICAR","VERIFICAR",IF($A47="","SIN ESTADO",IF(AND($A47="Firmada",$H47=""),"FALTA FECHA DE FIRMA",IF(N($T47)=0,IF(AND(ISNUMBER($H47),$H47&gt;=DATE(2024,1,1)),"FALTA EN FIRMADAS","OK"),IF(OR($A47="Pendiente de presentación",$A47="Observado",$A47="En análisis",$A47="En instrucción",$A47="Suspendida",$A47="IT circulando",$A47="Para resolución",$A47="TDC"),"ABIERTA PERO ESTÁ EN FIRMADAS",IF($H47&lt;&gt;INDEX(firmadas!$F:$F,$T47),"FIRMA DISTINTA EN firmadas ("&amp;IF(INDEX(firmadas!$F:$F,$T47)="","vacía",DAY(INDEX(firmadas!$F:$F,$T47))&amp;"/"&amp;MONTH(INDEX(firmadas!$F:$F,$T47))&amp;"/"&amp;YEAR(INDEX(firmadas!$F:$F,$T47)))&amp;")",IF($G47&lt;&gt;INDEX(firmadas!$E:$E,$T47),"INGRESO DISTINTO EN firmadas ("&amp;IF(INDEX(firmadas!$E:$E,$T47)="","vacía",DAY(INDEX(firmadas!$E:$E,$T47))&amp;"/"&amp;MONTH(INDEX(firmadas!$E:$E,$T47))&amp;"/"&amp;YEAR(INDEX(firmadas!$E:$E,$T47)))&amp;")","OK"))))))))</f>
        <v>OK</v>
      </c>
      <c r="T47">
        <f ca="1">IF($P47="","",IFERROR(MATCH($P47,firmadas!$N:$N,0),IFERROR(MATCH("*/"&amp;MID($P47,FIND(" ",$P47)+1,9)&amp;"*",firmadas!$B:$B,0),0)))</f>
        <v>67</v>
      </c>
    </row>
    <row r="48" spans="1:20" ht="18" customHeight="1" x14ac:dyDescent="0.25">
      <c r="A48" s="47" t="s">
        <v>80</v>
      </c>
      <c r="B48" s="47"/>
      <c r="C48" s="47" t="s">
        <v>62</v>
      </c>
      <c r="D48" s="45">
        <v>1971</v>
      </c>
      <c r="F48" s="47" t="s">
        <v>210</v>
      </c>
      <c r="G48" s="43">
        <v>45406</v>
      </c>
      <c r="H48" s="43">
        <v>45533</v>
      </c>
      <c r="M48" t="s">
        <v>202</v>
      </c>
      <c r="N48" s="53">
        <f t="shared" ca="1" si="0"/>
        <v>4.2333333333333334</v>
      </c>
      <c r="P48" s="47" t="str">
        <f ca="1">IF(TRIM(SUBSTITUTE(($C48&amp;" "&amp;$D48),CHAR(160)," "))="","",IFERROR(IF(ISNUMBER(SEARCH("INC",($C48&amp;" "&amp;$D48))),"INC",IF(ISNUMBER(SEARCH("OPI",($C48&amp;" "&amp;$D48))),"OPI",IF(ISNUMBER(SEARCH("DP",($C48&amp;" "&amp;$D48))),"DP","CONC")))&amp;" "&amp;TEXT(LOOKUP(9.99E+307,--MID(SUBSTITUTE(($C48&amp;" "&amp;$D48),CHAR(160)," "),SUMPRODUCT(MIN(FIND({0,1,2,3,4,5,6,7,8,9},SUBSTITUTE(($C48&amp;" "&amp;$D48),CHAR(160)," ")&amp;"0123456789"))),ROW(INDIRECT("1:6")))),"0"),"SIN NUMERO"))</f>
        <v>CONC 1971</v>
      </c>
      <c r="Q48" t="str">
        <f ca="1">IF($P48="","",IF(LEFT(UPPER($S48),9)="VERIFICAR","VERIFICAR",IF($A48="","SIN ESTADO",IF(AND($A48="Firmada",$H48=""),"FALTA FECHA DE FIRMA",IF(N($T48)=0,IF(AND(ISNUMBER($H48),$H48&gt;=DATE(2024,1,1)),"FALTA EN FIRMADAS","OK"),IF(OR($A48="Pendiente de presentación",$A48="Observado",$A48="En análisis",$A48="En instrucción",$A48="Suspendida",$A48="IT circulando",$A48="Para resolución",$A48="TDC"),"ABIERTA PERO ESTÁ EN FIRMADAS",IF($H48&lt;&gt;INDEX(firmadas!$F:$F,$T48),"FIRMA DISTINTA EN firmadas ("&amp;IF(INDEX(firmadas!$F:$F,$T48)="","vacía",DAY(INDEX(firmadas!$F:$F,$T48))&amp;"/"&amp;MONTH(INDEX(firmadas!$F:$F,$T48))&amp;"/"&amp;YEAR(INDEX(firmadas!$F:$F,$T48)))&amp;")",IF($G48&lt;&gt;INDEX(firmadas!$E:$E,$T48),"INGRESO DISTINTO EN firmadas ("&amp;IF(INDEX(firmadas!$E:$E,$T48)="","vacía",DAY(INDEX(firmadas!$E:$E,$T48))&amp;"/"&amp;MONTH(INDEX(firmadas!$E:$E,$T48))&amp;"/"&amp;YEAR(INDEX(firmadas!$E:$E,$T48)))&amp;")","OK"))))))))</f>
        <v>OK</v>
      </c>
      <c r="T48">
        <f ca="1">IF($P48="","",IFERROR(MATCH($P48,firmadas!$N:$N,0),IFERROR(MATCH("*/"&amp;MID($P48,FIND(" ",$P48)+1,9)&amp;"*",firmadas!$B:$B,0),0)))</f>
        <v>62</v>
      </c>
    </row>
    <row r="49" spans="1:20" ht="18" customHeight="1" x14ac:dyDescent="0.25">
      <c r="A49" s="47" t="s">
        <v>80</v>
      </c>
      <c r="B49" s="47"/>
      <c r="C49" s="47" t="s">
        <v>62</v>
      </c>
      <c r="D49" s="45">
        <v>1972</v>
      </c>
      <c r="F49" s="47" t="s">
        <v>211</v>
      </c>
      <c r="G49" s="43">
        <v>45411</v>
      </c>
      <c r="H49" s="43">
        <v>45943</v>
      </c>
      <c r="M49" t="s">
        <v>83</v>
      </c>
      <c r="N49" s="53">
        <f t="shared" ca="1" si="0"/>
        <v>17.733333333333334</v>
      </c>
      <c r="P49" s="47" t="str">
        <f ca="1">IF(TRIM(SUBSTITUTE(($C49&amp;" "&amp;$D49),CHAR(160)," "))="","",IFERROR(IF(ISNUMBER(SEARCH("INC",($C49&amp;" "&amp;$D49))),"INC",IF(ISNUMBER(SEARCH("OPI",($C49&amp;" "&amp;$D49))),"OPI",IF(ISNUMBER(SEARCH("DP",($C49&amp;" "&amp;$D49))),"DP","CONC")))&amp;" "&amp;TEXT(LOOKUP(9.99E+307,--MID(SUBSTITUTE(($C49&amp;" "&amp;$D49),CHAR(160)," "),SUMPRODUCT(MIN(FIND({0,1,2,3,4,5,6,7,8,9},SUBSTITUTE(($C49&amp;" "&amp;$D49),CHAR(160)," ")&amp;"0123456789"))),ROW(INDIRECT("1:6")))),"0"),"SIN NUMERO"))</f>
        <v>CONC 1972</v>
      </c>
      <c r="Q49" t="str">
        <f ca="1">IF($P49="","",IF(LEFT(UPPER($S49),9)="VERIFICAR","VERIFICAR",IF($A49="","SIN ESTADO",IF(AND($A49="Firmada",$H49=""),"FALTA FECHA DE FIRMA",IF(N($T49)=0,IF(AND(ISNUMBER($H49),$H49&gt;=DATE(2024,1,1)),"FALTA EN FIRMADAS","OK"),IF(OR($A49="Pendiente de presentación",$A49="Observado",$A49="En análisis",$A49="En instrucción",$A49="Suspendida",$A49="IT circulando",$A49="Para resolución",$A49="TDC"),"ABIERTA PERO ESTÁ EN FIRMADAS",IF($H49&lt;&gt;INDEX(firmadas!$F:$F,$T49),"FIRMA DISTINTA EN firmadas ("&amp;IF(INDEX(firmadas!$F:$F,$T49)="","vacía",DAY(INDEX(firmadas!$F:$F,$T49))&amp;"/"&amp;MONTH(INDEX(firmadas!$F:$F,$T49))&amp;"/"&amp;YEAR(INDEX(firmadas!$F:$F,$T49)))&amp;")",IF($G49&lt;&gt;INDEX(firmadas!$E:$E,$T49),"INGRESO DISTINTO EN firmadas ("&amp;IF(INDEX(firmadas!$E:$E,$T49)="","vacía",DAY(INDEX(firmadas!$E:$E,$T49))&amp;"/"&amp;MONTH(INDEX(firmadas!$E:$E,$T49))&amp;"/"&amp;YEAR(INDEX(firmadas!$E:$E,$T49)))&amp;")","OK"))))))))</f>
        <v>OK</v>
      </c>
      <c r="T49">
        <f ca="1">IF($P49="","",IFERROR(MATCH($P49,firmadas!$N:$N,0),IFERROR(MATCH("*/"&amp;MID($P49,FIND(" ",$P49)+1,9)&amp;"*",firmadas!$B:$B,0),0)))</f>
        <v>149</v>
      </c>
    </row>
    <row r="50" spans="1:20" ht="18" customHeight="1" x14ac:dyDescent="0.25">
      <c r="A50" s="47" t="s">
        <v>80</v>
      </c>
      <c r="B50" s="47"/>
      <c r="C50" s="47" t="s">
        <v>62</v>
      </c>
      <c r="D50" s="45">
        <v>1973</v>
      </c>
      <c r="F50" s="47" t="s">
        <v>212</v>
      </c>
      <c r="G50" s="43">
        <v>45425</v>
      </c>
      <c r="H50" s="43">
        <v>45594</v>
      </c>
      <c r="M50" t="s">
        <v>202</v>
      </c>
      <c r="N50" s="53">
        <f t="shared" ca="1" si="0"/>
        <v>5.6333333333333337</v>
      </c>
      <c r="P50" s="47" t="str">
        <f ca="1">IF(TRIM(SUBSTITUTE(($C50&amp;" "&amp;$D50),CHAR(160)," "))="","",IFERROR(IF(ISNUMBER(SEARCH("INC",($C50&amp;" "&amp;$D50))),"INC",IF(ISNUMBER(SEARCH("OPI",($C50&amp;" "&amp;$D50))),"OPI",IF(ISNUMBER(SEARCH("DP",($C50&amp;" "&amp;$D50))),"DP","CONC")))&amp;" "&amp;TEXT(LOOKUP(9.99E+307,--MID(SUBSTITUTE(($C50&amp;" "&amp;$D50),CHAR(160)," "),SUMPRODUCT(MIN(FIND({0,1,2,3,4,5,6,7,8,9},SUBSTITUTE(($C50&amp;" "&amp;$D50),CHAR(160)," ")&amp;"0123456789"))),ROW(INDIRECT("1:6")))),"0"),"SIN NUMERO"))</f>
        <v>CONC 1973</v>
      </c>
      <c r="Q50" t="str">
        <f ca="1">IF($P50="","",IF(LEFT(UPPER($S50),9)="VERIFICAR","VERIFICAR",IF($A50="","SIN ESTADO",IF(AND($A50="Firmada",$H50=""),"FALTA FECHA DE FIRMA",IF(N($T50)=0,IF(AND(ISNUMBER($H50),$H50&gt;=DATE(2024,1,1)),"FALTA EN FIRMADAS","OK"),IF(OR($A50="Pendiente de presentación",$A50="Observado",$A50="En análisis",$A50="En instrucción",$A50="Suspendida",$A50="IT circulando",$A50="Para resolución",$A50="TDC"),"ABIERTA PERO ESTÁ EN FIRMADAS",IF($H50&lt;&gt;INDEX(firmadas!$F:$F,$T50),"FIRMA DISTINTA EN firmadas ("&amp;IF(INDEX(firmadas!$F:$F,$T50)="","vacía",DAY(INDEX(firmadas!$F:$F,$T50))&amp;"/"&amp;MONTH(INDEX(firmadas!$F:$F,$T50))&amp;"/"&amp;YEAR(INDEX(firmadas!$F:$F,$T50)))&amp;")",IF($G50&lt;&gt;INDEX(firmadas!$E:$E,$T50),"INGRESO DISTINTO EN firmadas ("&amp;IF(INDEX(firmadas!$E:$E,$T50)="","vacía",DAY(INDEX(firmadas!$E:$E,$T50))&amp;"/"&amp;MONTH(INDEX(firmadas!$E:$E,$T50))&amp;"/"&amp;YEAR(INDEX(firmadas!$E:$E,$T50)))&amp;")","OK"))))))))</f>
        <v>OK</v>
      </c>
      <c r="T50">
        <f ca="1">IF($P50="","",IFERROR(MATCH($P50,firmadas!$N:$N,0),IFERROR(MATCH("*/"&amp;MID($P50,FIND(" ",$P50)+1,9)&amp;"*",firmadas!$B:$B,0),0)))</f>
        <v>77</v>
      </c>
    </row>
    <row r="51" spans="1:20" ht="18" customHeight="1" x14ac:dyDescent="0.25">
      <c r="A51" t="s">
        <v>80</v>
      </c>
      <c r="C51" s="44" t="s">
        <v>145</v>
      </c>
      <c r="D51" s="42">
        <v>1974</v>
      </c>
      <c r="E51" s="44" t="s">
        <v>213</v>
      </c>
      <c r="F51" s="44" t="s">
        <v>214</v>
      </c>
      <c r="G51" s="16">
        <v>45428</v>
      </c>
      <c r="H51" s="16">
        <v>46057</v>
      </c>
      <c r="I51" s="26" t="s">
        <v>93</v>
      </c>
      <c r="J51" s="26" t="s">
        <v>88</v>
      </c>
      <c r="K51" s="44" t="s">
        <v>96</v>
      </c>
      <c r="L51" s="44" t="s">
        <v>198</v>
      </c>
      <c r="M51" t="s">
        <v>83</v>
      </c>
      <c r="N51" s="53">
        <f t="shared" ca="1" si="0"/>
        <v>20.966666666666665</v>
      </c>
      <c r="P51" s="47" t="str">
        <f ca="1">IF(TRIM(SUBSTITUTE(($C51&amp;" "&amp;$D51),CHAR(160)," "))="","",IFERROR(IF(ISNUMBER(SEARCH("INC",($C51&amp;" "&amp;$D51))),"INC",IF(ISNUMBER(SEARCH("OPI",($C51&amp;" "&amp;$D51))),"OPI",IF(ISNUMBER(SEARCH("DP",($C51&amp;" "&amp;$D51))),"DP","CONC")))&amp;" "&amp;TEXT(LOOKUP(9.99E+307,--MID(SUBSTITUTE(($C51&amp;" "&amp;$D51),CHAR(160)," "),SUMPRODUCT(MIN(FIND({0,1,2,3,4,5,6,7,8,9},SUBSTITUTE(($C51&amp;" "&amp;$D51),CHAR(160)," ")&amp;"0123456789"))),ROW(INDIRECT("1:6")))),"0"),"SIN NUMERO"))</f>
        <v>CONC 1974</v>
      </c>
      <c r="Q51" t="str">
        <f ca="1">IF($P51="","",IF(LEFT(UPPER($S51),9)="VERIFICAR","VERIFICAR",IF($A51="","SIN ESTADO",IF(AND($A51="Firmada",$H51=""),"FALTA FECHA DE FIRMA",IF(N($T51)=0,IF(AND(ISNUMBER($H51),$H51&gt;=DATE(2024,1,1)),"FALTA EN FIRMADAS","OK"),IF(OR($A51="Pendiente de presentación",$A51="Observado",$A51="En análisis",$A51="En instrucción",$A51="Suspendida",$A51="IT circulando",$A51="Para resolución",$A51="TDC"),"ABIERTA PERO ESTÁ EN FIRMADAS",IF($H51&lt;&gt;INDEX(firmadas!$F:$F,$T51),"FIRMA DISTINTA EN firmadas ("&amp;IF(INDEX(firmadas!$F:$F,$T51)="","vacía",DAY(INDEX(firmadas!$F:$F,$T51))&amp;"/"&amp;MONTH(INDEX(firmadas!$F:$F,$T51))&amp;"/"&amp;YEAR(INDEX(firmadas!$F:$F,$T51)))&amp;")",IF($G51&lt;&gt;INDEX(firmadas!$E:$E,$T51),"INGRESO DISTINTO EN firmadas ("&amp;IF(INDEX(firmadas!$E:$E,$T51)="","vacía",DAY(INDEX(firmadas!$E:$E,$T51))&amp;"/"&amp;MONTH(INDEX(firmadas!$E:$E,$T51))&amp;"/"&amp;YEAR(INDEX(firmadas!$E:$E,$T51)))&amp;")","OK"))))))))</f>
        <v>OK</v>
      </c>
      <c r="T51">
        <f ca="1">IF($P51="","",IFERROR(MATCH($P51,firmadas!$N:$N,0),IFERROR(MATCH("*/"&amp;MID($P51,FIND(" ",$P51)+1,9)&amp;"*",firmadas!$B:$B,0),0)))</f>
        <v>203</v>
      </c>
    </row>
    <row r="52" spans="1:20" s="18" customFormat="1" ht="18" customHeight="1" x14ac:dyDescent="0.25">
      <c r="A52" s="47" t="s">
        <v>80</v>
      </c>
      <c r="B52" s="47"/>
      <c r="C52" s="47" t="s">
        <v>62</v>
      </c>
      <c r="D52" s="45">
        <v>1976</v>
      </c>
      <c r="F52" s="47" t="s">
        <v>215</v>
      </c>
      <c r="G52" s="43">
        <v>45434</v>
      </c>
      <c r="H52" s="43">
        <v>45642</v>
      </c>
      <c r="M52" t="s">
        <v>202</v>
      </c>
      <c r="N52" s="53">
        <f t="shared" ca="1" si="0"/>
        <v>6.9333333333333336</v>
      </c>
      <c r="P52" s="47" t="str">
        <f ca="1">IF(TRIM(SUBSTITUTE(($C52&amp;" "&amp;$D52),CHAR(160)," "))="","",IFERROR(IF(ISNUMBER(SEARCH("INC",($C52&amp;" "&amp;$D52))),"INC",IF(ISNUMBER(SEARCH("OPI",($C52&amp;" "&amp;$D52))),"OPI",IF(ISNUMBER(SEARCH("DP",($C52&amp;" "&amp;$D52))),"DP","CONC")))&amp;" "&amp;TEXT(LOOKUP(9.99E+307,--MID(SUBSTITUTE(($C52&amp;" "&amp;$D52),CHAR(160)," "),SUMPRODUCT(MIN(FIND({0,1,2,3,4,5,6,7,8,9},SUBSTITUTE(($C52&amp;" "&amp;$D52),CHAR(160)," ")&amp;"0123456789"))),ROW(INDIRECT("1:6")))),"0"),"SIN NUMERO"))</f>
        <v>CONC 1976</v>
      </c>
      <c r="Q52" t="str">
        <f ca="1">IF($P52="","",IF(LEFT(UPPER($S52),9)="VERIFICAR","VERIFICAR",IF($A52="","SIN ESTADO",IF(AND($A52="Firmada",$H52=""),"FALTA FECHA DE FIRMA",IF(N($T52)=0,IF(AND(ISNUMBER($H52),$H52&gt;=DATE(2024,1,1)),"FALTA EN FIRMADAS","OK"),IF(OR($A52="Pendiente de presentación",$A52="Observado",$A52="En análisis",$A52="En instrucción",$A52="Suspendida",$A52="IT circulando",$A52="Para resolución",$A52="TDC"),"ABIERTA PERO ESTÁ EN FIRMADAS",IF($H52&lt;&gt;INDEX(firmadas!$F:$F,$T52),"FIRMA DISTINTA EN firmadas ("&amp;IF(INDEX(firmadas!$F:$F,$T52)="","vacía",DAY(INDEX(firmadas!$F:$F,$T52))&amp;"/"&amp;MONTH(INDEX(firmadas!$F:$F,$T52))&amp;"/"&amp;YEAR(INDEX(firmadas!$F:$F,$T52)))&amp;")",IF($G52&lt;&gt;INDEX(firmadas!$E:$E,$T52),"INGRESO DISTINTO EN firmadas ("&amp;IF(INDEX(firmadas!$E:$E,$T52)="","vacía",DAY(INDEX(firmadas!$E:$E,$T52))&amp;"/"&amp;MONTH(INDEX(firmadas!$E:$E,$T52))&amp;"/"&amp;YEAR(INDEX(firmadas!$E:$E,$T52)))&amp;")","OK"))))))))</f>
        <v>OK</v>
      </c>
      <c r="T52">
        <f ca="1">IF($P52="","",IFERROR(MATCH($P52,firmadas!$N:$N,0),IFERROR(MATCH("*/"&amp;MID($P52,FIND(" ",$P52)+1,9)&amp;"*",firmadas!$B:$B,0),0)))</f>
        <v>87</v>
      </c>
    </row>
    <row r="53" spans="1:20" s="18" customFormat="1" ht="18" customHeight="1" x14ac:dyDescent="0.25">
      <c r="A53" s="47" t="s">
        <v>80</v>
      </c>
      <c r="B53" s="47"/>
      <c r="C53" s="47" t="s">
        <v>62</v>
      </c>
      <c r="D53" s="45">
        <v>1977</v>
      </c>
      <c r="F53" s="47" t="s">
        <v>216</v>
      </c>
      <c r="G53" s="43">
        <v>45446</v>
      </c>
      <c r="H53" s="43">
        <v>45967</v>
      </c>
      <c r="M53" t="s">
        <v>83</v>
      </c>
      <c r="N53" s="53">
        <f t="shared" ca="1" si="0"/>
        <v>17.366666666666667</v>
      </c>
      <c r="P53" s="47" t="str">
        <f ca="1">IF(TRIM(SUBSTITUTE(($C53&amp;" "&amp;$D53),CHAR(160)," "))="","",IFERROR(IF(ISNUMBER(SEARCH("INC",($C53&amp;" "&amp;$D53))),"INC",IF(ISNUMBER(SEARCH("OPI",($C53&amp;" "&amp;$D53))),"OPI",IF(ISNUMBER(SEARCH("DP",($C53&amp;" "&amp;$D53))),"DP","CONC")))&amp;" "&amp;TEXT(LOOKUP(9.99E+307,--MID(SUBSTITUTE(($C53&amp;" "&amp;$D53),CHAR(160)," "),SUMPRODUCT(MIN(FIND({0,1,2,3,4,5,6,7,8,9},SUBSTITUTE(($C53&amp;" "&amp;$D53),CHAR(160)," ")&amp;"0123456789"))),ROW(INDIRECT("1:6")))),"0"),"SIN NUMERO"))</f>
        <v>CONC 1977</v>
      </c>
      <c r="Q53" t="str">
        <f ca="1">IF($P53="","",IF(LEFT(UPPER($S53),9)="VERIFICAR","VERIFICAR",IF($A53="","SIN ESTADO",IF(AND($A53="Firmada",$H53=""),"FALTA FECHA DE FIRMA",IF(N($T53)=0,IF(AND(ISNUMBER($H53),$H53&gt;=DATE(2024,1,1)),"FALTA EN FIRMADAS","OK"),IF(OR($A53="Pendiente de presentación",$A53="Observado",$A53="En análisis",$A53="En instrucción",$A53="Suspendida",$A53="IT circulando",$A53="Para resolución",$A53="TDC"),"ABIERTA PERO ESTÁ EN FIRMADAS",IF($H53&lt;&gt;INDEX(firmadas!$F:$F,$T53),"FIRMA DISTINTA EN firmadas ("&amp;IF(INDEX(firmadas!$F:$F,$T53)="","vacía",DAY(INDEX(firmadas!$F:$F,$T53))&amp;"/"&amp;MONTH(INDEX(firmadas!$F:$F,$T53))&amp;"/"&amp;YEAR(INDEX(firmadas!$F:$F,$T53)))&amp;")",IF($G53&lt;&gt;INDEX(firmadas!$E:$E,$T53),"INGRESO DISTINTO EN firmadas ("&amp;IF(INDEX(firmadas!$E:$E,$T53)="","vacía",DAY(INDEX(firmadas!$E:$E,$T53))&amp;"/"&amp;MONTH(INDEX(firmadas!$E:$E,$T53))&amp;"/"&amp;YEAR(INDEX(firmadas!$E:$E,$T53)))&amp;")","OK"))))))))</f>
        <v>OK</v>
      </c>
      <c r="T53">
        <f ca="1">IF($P53="","",IFERROR(MATCH($P53,firmadas!$N:$N,0),IFERROR(MATCH("*/"&amp;MID($P53,FIND(" ",$P53)+1,9)&amp;"*",firmadas!$B:$B,0),0)))</f>
        <v>156</v>
      </c>
    </row>
    <row r="54" spans="1:20" ht="18" customHeight="1" x14ac:dyDescent="0.25">
      <c r="A54" s="47" t="s">
        <v>80</v>
      </c>
      <c r="B54" s="47"/>
      <c r="C54" s="47" t="s">
        <v>62</v>
      </c>
      <c r="D54" s="45">
        <v>1978</v>
      </c>
      <c r="F54" s="47" t="s">
        <v>217</v>
      </c>
      <c r="G54" s="43">
        <v>45446</v>
      </c>
      <c r="H54" s="43">
        <v>45520</v>
      </c>
      <c r="M54" t="s">
        <v>202</v>
      </c>
      <c r="N54" s="53">
        <f t="shared" ca="1" si="0"/>
        <v>2.4666666666666668</v>
      </c>
      <c r="P54" s="47" t="str">
        <f ca="1">IF(TRIM(SUBSTITUTE(($C54&amp;" "&amp;$D54),CHAR(160)," "))="","",IFERROR(IF(ISNUMBER(SEARCH("INC",($C54&amp;" "&amp;$D54))),"INC",IF(ISNUMBER(SEARCH("OPI",($C54&amp;" "&amp;$D54))),"OPI",IF(ISNUMBER(SEARCH("DP",($C54&amp;" "&amp;$D54))),"DP","CONC")))&amp;" "&amp;TEXT(LOOKUP(9.99E+307,--MID(SUBSTITUTE(($C54&amp;" "&amp;$D54),CHAR(160)," "),SUMPRODUCT(MIN(FIND({0,1,2,3,4,5,6,7,8,9},SUBSTITUTE(($C54&amp;" "&amp;$D54),CHAR(160)," ")&amp;"0123456789"))),ROW(INDIRECT("1:6")))),"0"),"SIN NUMERO"))</f>
        <v>CONC 1978</v>
      </c>
      <c r="Q54" t="str">
        <f ca="1">IF($P54="","",IF(LEFT(UPPER($S54),9)="VERIFICAR","VERIFICAR",IF($A54="","SIN ESTADO",IF(AND($A54="Firmada",$H54=""),"FALTA FECHA DE FIRMA",IF(N($T54)=0,IF(AND(ISNUMBER($H54),$H54&gt;=DATE(2024,1,1)),"FALTA EN FIRMADAS","OK"),IF(OR($A54="Pendiente de presentación",$A54="Observado",$A54="En análisis",$A54="En instrucción",$A54="Suspendida",$A54="IT circulando",$A54="Para resolución",$A54="TDC"),"ABIERTA PERO ESTÁ EN FIRMADAS",IF($H54&lt;&gt;INDEX(firmadas!$F:$F,$T54),"FIRMA DISTINTA EN firmadas ("&amp;IF(INDEX(firmadas!$F:$F,$T54)="","vacía",DAY(INDEX(firmadas!$F:$F,$T54))&amp;"/"&amp;MONTH(INDEX(firmadas!$F:$F,$T54))&amp;"/"&amp;YEAR(INDEX(firmadas!$F:$F,$T54)))&amp;")",IF($G54&lt;&gt;INDEX(firmadas!$E:$E,$T54),"INGRESO DISTINTO EN firmadas ("&amp;IF(INDEX(firmadas!$E:$E,$T54)="","vacía",DAY(INDEX(firmadas!$E:$E,$T54))&amp;"/"&amp;MONTH(INDEX(firmadas!$E:$E,$T54))&amp;"/"&amp;YEAR(INDEX(firmadas!$E:$E,$T54)))&amp;")","OK"))))))))</f>
        <v>OK</v>
      </c>
      <c r="T54">
        <f ca="1">IF($P54="","",IFERROR(MATCH($P54,firmadas!$N:$N,0),IFERROR(MATCH("*/"&amp;MID($P54,FIND(" ",$P54)+1,9)&amp;"*",firmadas!$B:$B,0),0)))</f>
        <v>58</v>
      </c>
    </row>
    <row r="55" spans="1:20" ht="18" customHeight="1" x14ac:dyDescent="0.25">
      <c r="A55" t="s">
        <v>80</v>
      </c>
      <c r="C55" s="44" t="s">
        <v>145</v>
      </c>
      <c r="D55" s="42">
        <v>1979</v>
      </c>
      <c r="E55" s="44" t="s">
        <v>218</v>
      </c>
      <c r="F55" s="44" t="s">
        <v>219</v>
      </c>
      <c r="G55" s="16">
        <v>45448</v>
      </c>
      <c r="H55" s="16">
        <v>46120</v>
      </c>
      <c r="I55" s="26" t="s">
        <v>93</v>
      </c>
      <c r="J55" s="26" t="s">
        <v>103</v>
      </c>
      <c r="K55" s="44" t="s">
        <v>127</v>
      </c>
      <c r="L55" s="44" t="s">
        <v>96</v>
      </c>
      <c r="M55" t="s">
        <v>83</v>
      </c>
      <c r="N55" s="53">
        <f t="shared" ca="1" si="0"/>
        <v>22.4</v>
      </c>
      <c r="P55" s="47" t="str">
        <f ca="1">IF(TRIM(SUBSTITUTE(($C55&amp;" "&amp;$D55),CHAR(160)," "))="","",IFERROR(IF(ISNUMBER(SEARCH("INC",($C55&amp;" "&amp;$D55))),"INC",IF(ISNUMBER(SEARCH("OPI",($C55&amp;" "&amp;$D55))),"OPI",IF(ISNUMBER(SEARCH("DP",($C55&amp;" "&amp;$D55))),"DP","CONC")))&amp;" "&amp;TEXT(LOOKUP(9.99E+307,--MID(SUBSTITUTE(($C55&amp;" "&amp;$D55),CHAR(160)," "),SUMPRODUCT(MIN(FIND({0,1,2,3,4,5,6,7,8,9},SUBSTITUTE(($C55&amp;" "&amp;$D55),CHAR(160)," ")&amp;"0123456789"))),ROW(INDIRECT("1:6")))),"0"),"SIN NUMERO"))</f>
        <v>CONC 1979</v>
      </c>
      <c r="Q55" t="str">
        <f ca="1">IF($P55="","",IF(LEFT(UPPER($S55),9)="VERIFICAR","VERIFICAR",IF($A55="","SIN ESTADO",IF(AND($A55="Firmada",$H55=""),"FALTA FECHA DE FIRMA",IF(N($T55)=0,IF(AND(ISNUMBER($H55),$H55&gt;=DATE(2024,1,1)),"FALTA EN FIRMADAS","OK"),IF(OR($A55="Pendiente de presentación",$A55="Observado",$A55="En análisis",$A55="En instrucción",$A55="Suspendida",$A55="IT circulando",$A55="Para resolución",$A55="TDC"),"ABIERTA PERO ESTÁ EN FIRMADAS",IF($H55&lt;&gt;INDEX(firmadas!$F:$F,$T55),"FIRMA DISTINTA EN firmadas ("&amp;IF(INDEX(firmadas!$F:$F,$T55)="","vacía",DAY(INDEX(firmadas!$F:$F,$T55))&amp;"/"&amp;MONTH(INDEX(firmadas!$F:$F,$T55))&amp;"/"&amp;YEAR(INDEX(firmadas!$F:$F,$T55)))&amp;")",IF($G55&lt;&gt;INDEX(firmadas!$E:$E,$T55),"INGRESO DISTINTO EN firmadas ("&amp;IF(INDEX(firmadas!$E:$E,$T55)="","vacía",DAY(INDEX(firmadas!$E:$E,$T55))&amp;"/"&amp;MONTH(INDEX(firmadas!$E:$E,$T55))&amp;"/"&amp;YEAR(INDEX(firmadas!$E:$E,$T55)))&amp;")","OK"))))))))</f>
        <v>OK</v>
      </c>
      <c r="R55" s="44" t="s">
        <v>220</v>
      </c>
      <c r="T55">
        <f ca="1">IF($P55="","",IFERROR(MATCH($P55,firmadas!$N:$N,0),IFERROR(MATCH("*/"&amp;MID($P55,FIND(" ",$P55)+1,9)&amp;"*",firmadas!$B:$B,0),0)))</f>
        <v>223</v>
      </c>
    </row>
    <row r="56" spans="1:20" ht="18" customHeight="1" x14ac:dyDescent="0.25">
      <c r="A56" s="47" t="s">
        <v>80</v>
      </c>
      <c r="B56" s="47"/>
      <c r="C56" s="47" t="s">
        <v>62</v>
      </c>
      <c r="D56" s="45">
        <v>1980</v>
      </c>
      <c r="F56" s="47" t="s">
        <v>221</v>
      </c>
      <c r="G56" s="43">
        <v>45448</v>
      </c>
      <c r="H56" s="43">
        <v>45518</v>
      </c>
      <c r="M56" t="s">
        <v>202</v>
      </c>
      <c r="N56" s="53">
        <f t="shared" ca="1" si="0"/>
        <v>2.3333333333333335</v>
      </c>
      <c r="P56" s="47" t="str">
        <f ca="1">IF(TRIM(SUBSTITUTE(($C56&amp;" "&amp;$D56),CHAR(160)," "))="","",IFERROR(IF(ISNUMBER(SEARCH("INC",($C56&amp;" "&amp;$D56))),"INC",IF(ISNUMBER(SEARCH("OPI",($C56&amp;" "&amp;$D56))),"OPI",IF(ISNUMBER(SEARCH("DP",($C56&amp;" "&amp;$D56))),"DP","CONC")))&amp;" "&amp;TEXT(LOOKUP(9.99E+307,--MID(SUBSTITUTE(($C56&amp;" "&amp;$D56),CHAR(160)," "),SUMPRODUCT(MIN(FIND({0,1,2,3,4,5,6,7,8,9},SUBSTITUTE(($C56&amp;" "&amp;$D56),CHAR(160)," ")&amp;"0123456789"))),ROW(INDIRECT("1:6")))),"0"),"SIN NUMERO"))</f>
        <v>CONC 1980</v>
      </c>
      <c r="Q56" t="str">
        <f ca="1">IF($P56="","",IF(LEFT(UPPER($S56),9)="VERIFICAR","VERIFICAR",IF($A56="","SIN ESTADO",IF(AND($A56="Firmada",$H56=""),"FALTA FECHA DE FIRMA",IF(N($T56)=0,IF(AND(ISNUMBER($H56),$H56&gt;=DATE(2024,1,1)),"FALTA EN FIRMADAS","OK"),IF(OR($A56="Pendiente de presentación",$A56="Observado",$A56="En análisis",$A56="En instrucción",$A56="Suspendida",$A56="IT circulando",$A56="Para resolución",$A56="TDC"),"ABIERTA PERO ESTÁ EN FIRMADAS",IF($H56&lt;&gt;INDEX(firmadas!$F:$F,$T56),"FIRMA DISTINTA EN firmadas ("&amp;IF(INDEX(firmadas!$F:$F,$T56)="","vacía",DAY(INDEX(firmadas!$F:$F,$T56))&amp;"/"&amp;MONTH(INDEX(firmadas!$F:$F,$T56))&amp;"/"&amp;YEAR(INDEX(firmadas!$F:$F,$T56)))&amp;")",IF($G56&lt;&gt;INDEX(firmadas!$E:$E,$T56),"INGRESO DISTINTO EN firmadas ("&amp;IF(INDEX(firmadas!$E:$E,$T56)="","vacía",DAY(INDEX(firmadas!$E:$E,$T56))&amp;"/"&amp;MONTH(INDEX(firmadas!$E:$E,$T56))&amp;"/"&amp;YEAR(INDEX(firmadas!$E:$E,$T56)))&amp;")","OK"))))))))</f>
        <v>OK</v>
      </c>
      <c r="T56">
        <f ca="1">IF($P56="","",IFERROR(MATCH($P56,firmadas!$N:$N,0),IFERROR(MATCH("*/"&amp;MID($P56,FIND(" ",$P56)+1,9)&amp;"*",firmadas!$B:$B,0),0)))</f>
        <v>55</v>
      </c>
    </row>
    <row r="57" spans="1:20" ht="18" customHeight="1" x14ac:dyDescent="0.25">
      <c r="A57" s="47" t="s">
        <v>80</v>
      </c>
      <c r="B57" s="47"/>
      <c r="C57" s="47" t="s">
        <v>62</v>
      </c>
      <c r="D57" s="45">
        <v>1981</v>
      </c>
      <c r="F57" s="47" t="s">
        <v>222</v>
      </c>
      <c r="G57" s="43">
        <v>45455</v>
      </c>
      <c r="H57" s="43">
        <v>45864</v>
      </c>
      <c r="N57" s="53">
        <f t="shared" ca="1" si="0"/>
        <v>13.633333333333333</v>
      </c>
      <c r="P57" s="47" t="str">
        <f ca="1">IF(TRIM(SUBSTITUTE(($C57&amp;" "&amp;$D57),CHAR(160)," "))="","",IFERROR(IF(ISNUMBER(SEARCH("INC",($C57&amp;" "&amp;$D57))),"INC",IF(ISNUMBER(SEARCH("OPI",($C57&amp;" "&amp;$D57))),"OPI",IF(ISNUMBER(SEARCH("DP",($C57&amp;" "&amp;$D57))),"DP","CONC")))&amp;" "&amp;TEXT(LOOKUP(9.99E+307,--MID(SUBSTITUTE(($C57&amp;" "&amp;$D57),CHAR(160)," "),SUMPRODUCT(MIN(FIND({0,1,2,3,4,5,6,7,8,9},SUBSTITUTE(($C57&amp;" "&amp;$D57),CHAR(160)," ")&amp;"0123456789"))),ROW(INDIRECT("1:6")))),"0"),"SIN NUMERO"))</f>
        <v>CONC 1981</v>
      </c>
      <c r="Q57" t="str">
        <f ca="1">IF($P57="","",IF(LEFT(UPPER($S57),9)="VERIFICAR","VERIFICAR",IF($A57="","SIN ESTADO",IF(AND($A57="Firmada",$H57=""),"FALTA FECHA DE FIRMA",IF(N($T57)=0,IF(AND(ISNUMBER($H57),$H57&gt;=DATE(2024,1,1)),"FALTA EN FIRMADAS","OK"),IF(OR($A57="Pendiente de presentación",$A57="Observado",$A57="En análisis",$A57="En instrucción",$A57="Suspendida",$A57="IT circulando",$A57="Para resolución",$A57="TDC"),"ABIERTA PERO ESTÁ EN FIRMADAS",IF($H57&lt;&gt;INDEX(firmadas!$F:$F,$T57),"FIRMA DISTINTA EN firmadas ("&amp;IF(INDEX(firmadas!$F:$F,$T57)="","vacía",DAY(INDEX(firmadas!$F:$F,$T57))&amp;"/"&amp;MONTH(INDEX(firmadas!$F:$F,$T57))&amp;"/"&amp;YEAR(INDEX(firmadas!$F:$F,$T57)))&amp;")",IF($G57&lt;&gt;INDEX(firmadas!$E:$E,$T57),"INGRESO DISTINTO EN firmadas ("&amp;IF(INDEX(firmadas!$E:$E,$T57)="","vacía",DAY(INDEX(firmadas!$E:$E,$T57))&amp;"/"&amp;MONTH(INDEX(firmadas!$E:$E,$T57))&amp;"/"&amp;YEAR(INDEX(firmadas!$E:$E,$T57)))&amp;")","OK"))))))))</f>
        <v>VERIFICAR</v>
      </c>
      <c r="S57" t="s">
        <v>223</v>
      </c>
      <c r="T57">
        <f ca="1">IF($P57="","",IFERROR(MATCH($P57,firmadas!$N:$N,0),IFERROR(MATCH("*/"&amp;MID($P57,FIND(" ",$P57)+1,9)&amp;"*",firmadas!$B:$B,0),0)))</f>
        <v>129</v>
      </c>
    </row>
    <row r="58" spans="1:20" ht="18" customHeight="1" x14ac:dyDescent="0.25">
      <c r="A58" s="47" t="s">
        <v>80</v>
      </c>
      <c r="B58" s="47"/>
      <c r="C58" s="47" t="s">
        <v>62</v>
      </c>
      <c r="D58" s="45">
        <v>1982</v>
      </c>
      <c r="F58" s="47" t="s">
        <v>224</v>
      </c>
      <c r="G58" s="43">
        <v>45455</v>
      </c>
      <c r="H58" s="43">
        <v>45656</v>
      </c>
      <c r="M58" t="s">
        <v>202</v>
      </c>
      <c r="N58" s="53">
        <f t="shared" ca="1" si="0"/>
        <v>6.7</v>
      </c>
      <c r="P58" s="47" t="str">
        <f ca="1">IF(TRIM(SUBSTITUTE(($C58&amp;" "&amp;$D58),CHAR(160)," "))="","",IFERROR(IF(ISNUMBER(SEARCH("INC",($C58&amp;" "&amp;$D58))),"INC",IF(ISNUMBER(SEARCH("OPI",($C58&amp;" "&amp;$D58))),"OPI",IF(ISNUMBER(SEARCH("DP",($C58&amp;" "&amp;$D58))),"DP","CONC")))&amp;" "&amp;TEXT(LOOKUP(9.99E+307,--MID(SUBSTITUTE(($C58&amp;" "&amp;$D58),CHAR(160)," "),SUMPRODUCT(MIN(FIND({0,1,2,3,4,5,6,7,8,9},SUBSTITUTE(($C58&amp;" "&amp;$D58),CHAR(160)," ")&amp;"0123456789"))),ROW(INDIRECT("1:6")))),"0"),"SIN NUMERO"))</f>
        <v>CONC 1982</v>
      </c>
      <c r="Q58" t="str">
        <f ca="1">IF($P58="","",IF(LEFT(UPPER($S58),9)="VERIFICAR","VERIFICAR",IF($A58="","SIN ESTADO",IF(AND($A58="Firmada",$H58=""),"FALTA FECHA DE FIRMA",IF(N($T58)=0,IF(AND(ISNUMBER($H58),$H58&gt;=DATE(2024,1,1)),"FALTA EN FIRMADAS","OK"),IF(OR($A58="Pendiente de presentación",$A58="Observado",$A58="En análisis",$A58="En instrucción",$A58="Suspendida",$A58="IT circulando",$A58="Para resolución",$A58="TDC"),"ABIERTA PERO ESTÁ EN FIRMADAS",IF($H58&lt;&gt;INDEX(firmadas!$F:$F,$T58),"FIRMA DISTINTA EN firmadas ("&amp;IF(INDEX(firmadas!$F:$F,$T58)="","vacía",DAY(INDEX(firmadas!$F:$F,$T58))&amp;"/"&amp;MONTH(INDEX(firmadas!$F:$F,$T58))&amp;"/"&amp;YEAR(INDEX(firmadas!$F:$F,$T58)))&amp;")",IF($G58&lt;&gt;INDEX(firmadas!$E:$E,$T58),"INGRESO DISTINTO EN firmadas ("&amp;IF(INDEX(firmadas!$E:$E,$T58)="","vacía",DAY(INDEX(firmadas!$E:$E,$T58))&amp;"/"&amp;MONTH(INDEX(firmadas!$E:$E,$T58))&amp;"/"&amp;YEAR(INDEX(firmadas!$E:$E,$T58)))&amp;")","OK"))))))))</f>
        <v>OK</v>
      </c>
      <c r="T58">
        <f ca="1">IF($P58="","",IFERROR(MATCH($P58,firmadas!$N:$N,0),IFERROR(MATCH("*/"&amp;MID($P58,FIND(" ",$P58)+1,9)&amp;"*",firmadas!$B:$B,0),0)))</f>
        <v>92</v>
      </c>
    </row>
    <row r="59" spans="1:20" ht="18" customHeight="1" x14ac:dyDescent="0.25">
      <c r="A59" s="47" t="s">
        <v>80</v>
      </c>
      <c r="B59" s="47"/>
      <c r="C59" s="47" t="s">
        <v>62</v>
      </c>
      <c r="D59" s="45">
        <v>1983</v>
      </c>
      <c r="F59" s="47" t="s">
        <v>225</v>
      </c>
      <c r="G59" s="43">
        <v>45462</v>
      </c>
      <c r="H59" s="43">
        <v>45533</v>
      </c>
      <c r="M59" t="s">
        <v>202</v>
      </c>
      <c r="N59" s="53">
        <f t="shared" ca="1" si="0"/>
        <v>2.3666666666666667</v>
      </c>
      <c r="P59" s="47" t="str">
        <f ca="1">IF(TRIM(SUBSTITUTE(($C59&amp;" "&amp;$D59),CHAR(160)," "))="","",IFERROR(IF(ISNUMBER(SEARCH("INC",($C59&amp;" "&amp;$D59))),"INC",IF(ISNUMBER(SEARCH("OPI",($C59&amp;" "&amp;$D59))),"OPI",IF(ISNUMBER(SEARCH("DP",($C59&amp;" "&amp;$D59))),"DP","CONC")))&amp;" "&amp;TEXT(LOOKUP(9.99E+307,--MID(SUBSTITUTE(($C59&amp;" "&amp;$D59),CHAR(160)," "),SUMPRODUCT(MIN(FIND({0,1,2,3,4,5,6,7,8,9},SUBSTITUTE(($C59&amp;" "&amp;$D59),CHAR(160)," ")&amp;"0123456789"))),ROW(INDIRECT("1:6")))),"0"),"SIN NUMERO"))</f>
        <v>CONC 1983</v>
      </c>
      <c r="Q59" t="str">
        <f ca="1">IF($P59="","",IF(LEFT(UPPER($S59),9)="VERIFICAR","VERIFICAR",IF($A59="","SIN ESTADO",IF(AND($A59="Firmada",$H59=""),"FALTA FECHA DE FIRMA",IF(N($T59)=0,IF(AND(ISNUMBER($H59),$H59&gt;=DATE(2024,1,1)),"FALTA EN FIRMADAS","OK"),IF(OR($A59="Pendiente de presentación",$A59="Observado",$A59="En análisis",$A59="En instrucción",$A59="Suspendida",$A59="IT circulando",$A59="Para resolución",$A59="TDC"),"ABIERTA PERO ESTÁ EN FIRMADAS",IF($H59&lt;&gt;INDEX(firmadas!$F:$F,$T59),"FIRMA DISTINTA EN firmadas ("&amp;IF(INDEX(firmadas!$F:$F,$T59)="","vacía",DAY(INDEX(firmadas!$F:$F,$T59))&amp;"/"&amp;MONTH(INDEX(firmadas!$F:$F,$T59))&amp;"/"&amp;YEAR(INDEX(firmadas!$F:$F,$T59)))&amp;")",IF($G59&lt;&gt;INDEX(firmadas!$E:$E,$T59),"INGRESO DISTINTO EN firmadas ("&amp;IF(INDEX(firmadas!$E:$E,$T59)="","vacía",DAY(INDEX(firmadas!$E:$E,$T59))&amp;"/"&amp;MONTH(INDEX(firmadas!$E:$E,$T59))&amp;"/"&amp;YEAR(INDEX(firmadas!$E:$E,$T59)))&amp;")","OK"))))))))</f>
        <v>OK</v>
      </c>
      <c r="T59">
        <f ca="1">IF($P59="","",IFERROR(MATCH($P59,firmadas!$N:$N,0),IFERROR(MATCH("*/"&amp;MID($P59,FIND(" ",$P59)+1,9)&amp;"*",firmadas!$B:$B,0),0)))</f>
        <v>63</v>
      </c>
    </row>
    <row r="60" spans="1:20" ht="18" customHeight="1" x14ac:dyDescent="0.25">
      <c r="A60" t="s">
        <v>80</v>
      </c>
      <c r="C60" s="44" t="s">
        <v>145</v>
      </c>
      <c r="D60" s="42">
        <v>1984</v>
      </c>
      <c r="E60" s="44" t="s">
        <v>226</v>
      </c>
      <c r="F60" s="44" t="s">
        <v>227</v>
      </c>
      <c r="G60" s="26">
        <v>45482</v>
      </c>
      <c r="H60" s="16">
        <v>46003</v>
      </c>
      <c r="I60" s="26" t="s">
        <v>93</v>
      </c>
      <c r="J60" s="26" t="s">
        <v>155</v>
      </c>
      <c r="K60" s="44" t="s">
        <v>133</v>
      </c>
      <c r="L60" s="44" t="s">
        <v>228</v>
      </c>
      <c r="M60" t="s">
        <v>83</v>
      </c>
      <c r="N60" s="53">
        <f t="shared" ca="1" si="0"/>
        <v>17.366666666666667</v>
      </c>
      <c r="P60" s="47" t="str">
        <f ca="1">IF(TRIM(SUBSTITUTE(($C60&amp;" "&amp;$D60),CHAR(160)," "))="","",IFERROR(IF(ISNUMBER(SEARCH("INC",($C60&amp;" "&amp;$D60))),"INC",IF(ISNUMBER(SEARCH("OPI",($C60&amp;" "&amp;$D60))),"OPI",IF(ISNUMBER(SEARCH("DP",($C60&amp;" "&amp;$D60))),"DP","CONC")))&amp;" "&amp;TEXT(LOOKUP(9.99E+307,--MID(SUBSTITUTE(($C60&amp;" "&amp;$D60),CHAR(160)," "),SUMPRODUCT(MIN(FIND({0,1,2,3,4,5,6,7,8,9},SUBSTITUTE(($C60&amp;" "&amp;$D60),CHAR(160)," ")&amp;"0123456789"))),ROW(INDIRECT("1:6")))),"0"),"SIN NUMERO"))</f>
        <v>CONC 1984</v>
      </c>
      <c r="Q60" t="str">
        <f ca="1">IF($P60="","",IF(LEFT(UPPER($S60),9)="VERIFICAR","VERIFICAR",IF($A60="","SIN ESTADO",IF(AND($A60="Firmada",$H60=""),"FALTA FECHA DE FIRMA",IF(N($T60)=0,IF(AND(ISNUMBER($H60),$H60&gt;=DATE(2024,1,1)),"FALTA EN FIRMADAS","OK"),IF(OR($A60="Pendiente de presentación",$A60="Observado",$A60="En análisis",$A60="En instrucción",$A60="Suspendida",$A60="IT circulando",$A60="Para resolución",$A60="TDC"),"ABIERTA PERO ESTÁ EN FIRMADAS",IF($H60&lt;&gt;INDEX(firmadas!$F:$F,$T60),"FIRMA DISTINTA EN firmadas ("&amp;IF(INDEX(firmadas!$F:$F,$T60)="","vacía",DAY(INDEX(firmadas!$F:$F,$T60))&amp;"/"&amp;MONTH(INDEX(firmadas!$F:$F,$T60))&amp;"/"&amp;YEAR(INDEX(firmadas!$F:$F,$T60)))&amp;")",IF($G60&lt;&gt;INDEX(firmadas!$E:$E,$T60),"INGRESO DISTINTO EN firmadas ("&amp;IF(INDEX(firmadas!$E:$E,$T60)="","vacía",DAY(INDEX(firmadas!$E:$E,$T60))&amp;"/"&amp;MONTH(INDEX(firmadas!$E:$E,$T60))&amp;"/"&amp;YEAR(INDEX(firmadas!$E:$E,$T60)))&amp;")","OK"))))))))</f>
        <v>OK</v>
      </c>
      <c r="R60" s="44" t="s">
        <v>229</v>
      </c>
      <c r="T60">
        <f ca="1">IF($P60="","",IFERROR(MATCH($P60,firmadas!$N:$N,0),IFERROR(MATCH("*/"&amp;MID($P60,FIND(" ",$P60)+1,9)&amp;"*",firmadas!$B:$B,0),0)))</f>
        <v>168</v>
      </c>
    </row>
    <row r="61" spans="1:20" ht="18" customHeight="1" x14ac:dyDescent="0.25">
      <c r="A61" s="47" t="s">
        <v>80</v>
      </c>
      <c r="B61" s="47"/>
      <c r="C61" s="47" t="s">
        <v>62</v>
      </c>
      <c r="D61" s="45">
        <v>1985</v>
      </c>
      <c r="F61" s="47" t="s">
        <v>230</v>
      </c>
      <c r="G61" s="43">
        <v>45481</v>
      </c>
      <c r="H61" s="43">
        <v>45511</v>
      </c>
      <c r="M61" t="s">
        <v>202</v>
      </c>
      <c r="N61" s="53">
        <f t="shared" ca="1" si="0"/>
        <v>1</v>
      </c>
      <c r="P61" s="47" t="str">
        <f ca="1">IF(TRIM(SUBSTITUTE(($C61&amp;" "&amp;$D61),CHAR(160)," "))="","",IFERROR(IF(ISNUMBER(SEARCH("INC",($C61&amp;" "&amp;$D61))),"INC",IF(ISNUMBER(SEARCH("OPI",($C61&amp;" "&amp;$D61))),"OPI",IF(ISNUMBER(SEARCH("DP",($C61&amp;" "&amp;$D61))),"DP","CONC")))&amp;" "&amp;TEXT(LOOKUP(9.99E+307,--MID(SUBSTITUTE(($C61&amp;" "&amp;$D61),CHAR(160)," "),SUMPRODUCT(MIN(FIND({0,1,2,3,4,5,6,7,8,9},SUBSTITUTE(($C61&amp;" "&amp;$D61),CHAR(160)," ")&amp;"0123456789"))),ROW(INDIRECT("1:6")))),"0"),"SIN NUMERO"))</f>
        <v>CONC 1985</v>
      </c>
      <c r="Q61" t="str">
        <f ca="1">IF($P61="","",IF(LEFT(UPPER($S61),9)="VERIFICAR","VERIFICAR",IF($A61="","SIN ESTADO",IF(AND($A61="Firmada",$H61=""),"FALTA FECHA DE FIRMA",IF(N($T61)=0,IF(AND(ISNUMBER($H61),$H61&gt;=DATE(2024,1,1)),"FALTA EN FIRMADAS","OK"),IF(OR($A61="Pendiente de presentación",$A61="Observado",$A61="En análisis",$A61="En instrucción",$A61="Suspendida",$A61="IT circulando",$A61="Para resolución",$A61="TDC"),"ABIERTA PERO ESTÁ EN FIRMADAS",IF($H61&lt;&gt;INDEX(firmadas!$F:$F,$T61),"FIRMA DISTINTA EN firmadas ("&amp;IF(INDEX(firmadas!$F:$F,$T61)="","vacía",DAY(INDEX(firmadas!$F:$F,$T61))&amp;"/"&amp;MONTH(INDEX(firmadas!$F:$F,$T61))&amp;"/"&amp;YEAR(INDEX(firmadas!$F:$F,$T61)))&amp;")",IF($G61&lt;&gt;INDEX(firmadas!$E:$E,$T61),"INGRESO DISTINTO EN firmadas ("&amp;IF(INDEX(firmadas!$E:$E,$T61)="","vacía",DAY(INDEX(firmadas!$E:$E,$T61))&amp;"/"&amp;MONTH(INDEX(firmadas!$E:$E,$T61))&amp;"/"&amp;YEAR(INDEX(firmadas!$E:$E,$T61)))&amp;")","OK"))))))))</f>
        <v>OK</v>
      </c>
      <c r="T61">
        <f ca="1">IF($P61="","",IFERROR(MATCH($P61,firmadas!$N:$N,0),IFERROR(MATCH("*/"&amp;MID($P61,FIND(" ",$P61)+1,9)&amp;"*",firmadas!$B:$B,0),0)))</f>
        <v>52</v>
      </c>
    </row>
    <row r="62" spans="1:20" ht="18" customHeight="1" x14ac:dyDescent="0.25">
      <c r="A62" s="47" t="s">
        <v>80</v>
      </c>
      <c r="B62" s="47"/>
      <c r="C62" s="47" t="s">
        <v>62</v>
      </c>
      <c r="D62" s="45">
        <v>1986</v>
      </c>
      <c r="F62" s="47" t="s">
        <v>231</v>
      </c>
      <c r="G62" s="43">
        <v>45485</v>
      </c>
      <c r="H62" s="43">
        <v>45595</v>
      </c>
      <c r="M62" t="s">
        <v>202</v>
      </c>
      <c r="N62" s="53">
        <f t="shared" ca="1" si="0"/>
        <v>3.6666666666666665</v>
      </c>
      <c r="P62" s="47" t="str">
        <f ca="1">IF(TRIM(SUBSTITUTE(($C62&amp;" "&amp;$D62),CHAR(160)," "))="","",IFERROR(IF(ISNUMBER(SEARCH("INC",($C62&amp;" "&amp;$D62))),"INC",IF(ISNUMBER(SEARCH("OPI",($C62&amp;" "&amp;$D62))),"OPI",IF(ISNUMBER(SEARCH("DP",($C62&amp;" "&amp;$D62))),"DP","CONC")))&amp;" "&amp;TEXT(LOOKUP(9.99E+307,--MID(SUBSTITUTE(($C62&amp;" "&amp;$D62),CHAR(160)," "),SUMPRODUCT(MIN(FIND({0,1,2,3,4,5,6,7,8,9},SUBSTITUTE(($C62&amp;" "&amp;$D62),CHAR(160)," ")&amp;"0123456789"))),ROW(INDIRECT("1:6")))),"0"),"SIN NUMERO"))</f>
        <v>CONC 1986</v>
      </c>
      <c r="Q62" t="str">
        <f ca="1">IF($P62="","",IF(LEFT(UPPER($S62),9)="VERIFICAR","VERIFICAR",IF($A62="","SIN ESTADO",IF(AND($A62="Firmada",$H62=""),"FALTA FECHA DE FIRMA",IF(N($T62)=0,IF(AND(ISNUMBER($H62),$H62&gt;=DATE(2024,1,1)),"FALTA EN FIRMADAS","OK"),IF(OR($A62="Pendiente de presentación",$A62="Observado",$A62="En análisis",$A62="En instrucción",$A62="Suspendida",$A62="IT circulando",$A62="Para resolución",$A62="TDC"),"ABIERTA PERO ESTÁ EN FIRMADAS",IF($H62&lt;&gt;INDEX(firmadas!$F:$F,$T62),"FIRMA DISTINTA EN firmadas ("&amp;IF(INDEX(firmadas!$F:$F,$T62)="","vacía",DAY(INDEX(firmadas!$F:$F,$T62))&amp;"/"&amp;MONTH(INDEX(firmadas!$F:$F,$T62))&amp;"/"&amp;YEAR(INDEX(firmadas!$F:$F,$T62)))&amp;")",IF($G62&lt;&gt;INDEX(firmadas!$E:$E,$T62),"INGRESO DISTINTO EN firmadas ("&amp;IF(INDEX(firmadas!$E:$E,$T62)="","vacía",DAY(INDEX(firmadas!$E:$E,$T62))&amp;"/"&amp;MONTH(INDEX(firmadas!$E:$E,$T62))&amp;"/"&amp;YEAR(INDEX(firmadas!$E:$E,$T62)))&amp;")","OK"))))))))</f>
        <v>OK</v>
      </c>
      <c r="T62">
        <f ca="1">IF($P62="","",IFERROR(MATCH($P62,firmadas!$N:$N,0),IFERROR(MATCH("*/"&amp;MID($P62,FIND(" ",$P62)+1,9)&amp;"*",firmadas!$B:$B,0),0)))</f>
        <v>79</v>
      </c>
    </row>
    <row r="63" spans="1:20" ht="18" customHeight="1" x14ac:dyDescent="0.25">
      <c r="A63" s="47" t="s">
        <v>80</v>
      </c>
      <c r="B63" s="47"/>
      <c r="C63" s="47" t="s">
        <v>62</v>
      </c>
      <c r="D63" s="45">
        <v>1987</v>
      </c>
      <c r="F63" s="47" t="s">
        <v>232</v>
      </c>
      <c r="G63" s="43">
        <v>45490</v>
      </c>
      <c r="H63" s="43">
        <v>45579</v>
      </c>
      <c r="M63" t="s">
        <v>202</v>
      </c>
      <c r="N63" s="53">
        <f t="shared" ca="1" si="0"/>
        <v>2.9666666666666668</v>
      </c>
      <c r="P63" s="47" t="str">
        <f ca="1">IF(TRIM(SUBSTITUTE(($C63&amp;" "&amp;$D63),CHAR(160)," "))="","",IFERROR(IF(ISNUMBER(SEARCH("INC",($C63&amp;" "&amp;$D63))),"INC",IF(ISNUMBER(SEARCH("OPI",($C63&amp;" "&amp;$D63))),"OPI",IF(ISNUMBER(SEARCH("DP",($C63&amp;" "&amp;$D63))),"DP","CONC")))&amp;" "&amp;TEXT(LOOKUP(9.99E+307,--MID(SUBSTITUTE(($C63&amp;" "&amp;$D63),CHAR(160)," "),SUMPRODUCT(MIN(FIND({0,1,2,3,4,5,6,7,8,9},SUBSTITUTE(($C63&amp;" "&amp;$D63),CHAR(160)," ")&amp;"0123456789"))),ROW(INDIRECT("1:6")))),"0"),"SIN NUMERO"))</f>
        <v>CONC 1987</v>
      </c>
      <c r="Q63" t="str">
        <f ca="1">IF($P63="","",IF(LEFT(UPPER($S63),9)="VERIFICAR","VERIFICAR",IF($A63="","SIN ESTADO",IF(AND($A63="Firmada",$H63=""),"FALTA FECHA DE FIRMA",IF(N($T63)=0,IF(AND(ISNUMBER($H63),$H63&gt;=DATE(2024,1,1)),"FALTA EN FIRMADAS","OK"),IF(OR($A63="Pendiente de presentación",$A63="Observado",$A63="En análisis",$A63="En instrucción",$A63="Suspendida",$A63="IT circulando",$A63="Para resolución",$A63="TDC"),"ABIERTA PERO ESTÁ EN FIRMADAS",IF($H63&lt;&gt;INDEX(firmadas!$F:$F,$T63),"FIRMA DISTINTA EN firmadas ("&amp;IF(INDEX(firmadas!$F:$F,$T63)="","vacía",DAY(INDEX(firmadas!$F:$F,$T63))&amp;"/"&amp;MONTH(INDEX(firmadas!$F:$F,$T63))&amp;"/"&amp;YEAR(INDEX(firmadas!$F:$F,$T63)))&amp;")",IF($G63&lt;&gt;INDEX(firmadas!$E:$E,$T63),"INGRESO DISTINTO EN firmadas ("&amp;IF(INDEX(firmadas!$E:$E,$T63)="","vacía",DAY(INDEX(firmadas!$E:$E,$T63))&amp;"/"&amp;MONTH(INDEX(firmadas!$E:$E,$T63))&amp;"/"&amp;YEAR(INDEX(firmadas!$E:$E,$T63)))&amp;")","OK"))))))))</f>
        <v>OK</v>
      </c>
      <c r="T63">
        <f ca="1">IF($P63="","",IFERROR(MATCH($P63,firmadas!$N:$N,0),IFERROR(MATCH("*/"&amp;MID($P63,FIND(" ",$P63)+1,9)&amp;"*",firmadas!$B:$B,0),0)))</f>
        <v>73</v>
      </c>
    </row>
    <row r="64" spans="1:20" ht="18" customHeight="1" x14ac:dyDescent="0.25">
      <c r="A64" s="47" t="s">
        <v>80</v>
      </c>
      <c r="B64" s="47"/>
      <c r="C64" s="47" t="s">
        <v>62</v>
      </c>
      <c r="D64" s="45">
        <v>1988</v>
      </c>
      <c r="F64" s="47" t="s">
        <v>233</v>
      </c>
      <c r="G64" s="43">
        <v>45511</v>
      </c>
      <c r="H64" s="43">
        <v>45616</v>
      </c>
      <c r="M64" t="s">
        <v>202</v>
      </c>
      <c r="N64" s="53">
        <f t="shared" ca="1" si="0"/>
        <v>3.5</v>
      </c>
      <c r="P64" s="47" t="str">
        <f ca="1">IF(TRIM(SUBSTITUTE(($C64&amp;" "&amp;$D64),CHAR(160)," "))="","",IFERROR(IF(ISNUMBER(SEARCH("INC",($C64&amp;" "&amp;$D64))),"INC",IF(ISNUMBER(SEARCH("OPI",($C64&amp;" "&amp;$D64))),"OPI",IF(ISNUMBER(SEARCH("DP",($C64&amp;" "&amp;$D64))),"DP","CONC")))&amp;" "&amp;TEXT(LOOKUP(9.99E+307,--MID(SUBSTITUTE(($C64&amp;" "&amp;$D64),CHAR(160)," "),SUMPRODUCT(MIN(FIND({0,1,2,3,4,5,6,7,8,9},SUBSTITUTE(($C64&amp;" "&amp;$D64),CHAR(160)," ")&amp;"0123456789"))),ROW(INDIRECT("1:6")))),"0"),"SIN NUMERO"))</f>
        <v>CONC 1988</v>
      </c>
      <c r="Q64" t="str">
        <f ca="1">IF($P64="","",IF(LEFT(UPPER($S64),9)="VERIFICAR","VERIFICAR",IF($A64="","SIN ESTADO",IF(AND($A64="Firmada",$H64=""),"FALTA FECHA DE FIRMA",IF(N($T64)=0,IF(AND(ISNUMBER($H64),$H64&gt;=DATE(2024,1,1)),"FALTA EN FIRMADAS","OK"),IF(OR($A64="Pendiente de presentación",$A64="Observado",$A64="En análisis",$A64="En instrucción",$A64="Suspendida",$A64="IT circulando",$A64="Para resolución",$A64="TDC"),"ABIERTA PERO ESTÁ EN FIRMADAS",IF($H64&lt;&gt;INDEX(firmadas!$F:$F,$T64),"FIRMA DISTINTA EN firmadas ("&amp;IF(INDEX(firmadas!$F:$F,$T64)="","vacía",DAY(INDEX(firmadas!$F:$F,$T64))&amp;"/"&amp;MONTH(INDEX(firmadas!$F:$F,$T64))&amp;"/"&amp;YEAR(INDEX(firmadas!$F:$F,$T64)))&amp;")",IF($G64&lt;&gt;INDEX(firmadas!$E:$E,$T64),"INGRESO DISTINTO EN firmadas ("&amp;IF(INDEX(firmadas!$E:$E,$T64)="","vacía",DAY(INDEX(firmadas!$E:$E,$T64))&amp;"/"&amp;MONTH(INDEX(firmadas!$E:$E,$T64))&amp;"/"&amp;YEAR(INDEX(firmadas!$E:$E,$T64)))&amp;")","OK"))))))))</f>
        <v>OK</v>
      </c>
      <c r="T64">
        <f ca="1">IF($P64="","",IFERROR(MATCH($P64,firmadas!$N:$N,0),IFERROR(MATCH("*/"&amp;MID($P64,FIND(" ",$P64)+1,9)&amp;"*",firmadas!$B:$B,0),0)))</f>
        <v>84</v>
      </c>
    </row>
    <row r="65" spans="1:20" ht="18" customHeight="1" x14ac:dyDescent="0.25">
      <c r="A65" t="s">
        <v>80</v>
      </c>
      <c r="C65" t="s">
        <v>62</v>
      </c>
      <c r="D65" s="24" t="s">
        <v>234</v>
      </c>
      <c r="F65" t="s">
        <v>235</v>
      </c>
      <c r="G65" s="16">
        <v>45513</v>
      </c>
      <c r="H65" s="16">
        <v>46002</v>
      </c>
      <c r="I65" s="16"/>
      <c r="J65" s="16"/>
      <c r="M65" t="s">
        <v>202</v>
      </c>
      <c r="N65" s="53">
        <f t="shared" ca="1" si="0"/>
        <v>16.3</v>
      </c>
      <c r="P65" s="47" t="str">
        <f ca="1">IF(TRIM(SUBSTITUTE(($C65&amp;" "&amp;$D65),CHAR(160)," "))="","",IFERROR(IF(ISNUMBER(SEARCH("INC",($C65&amp;" "&amp;$D65))),"INC",IF(ISNUMBER(SEARCH("OPI",($C65&amp;" "&amp;$D65))),"OPI",IF(ISNUMBER(SEARCH("DP",($C65&amp;" "&amp;$D65))),"DP","CONC")))&amp;" "&amp;TEXT(LOOKUP(9.99E+307,--MID(SUBSTITUTE(($C65&amp;" "&amp;$D65),CHAR(160)," "),SUMPRODUCT(MIN(FIND({0,1,2,3,4,5,6,7,8,9},SUBSTITUTE(($C65&amp;" "&amp;$D65),CHAR(160)," ")&amp;"0123456789"))),ROW(INDIRECT("1:6")))),"0"),"SIN NUMERO"))</f>
        <v>CONC 1989</v>
      </c>
      <c r="Q65" t="str">
        <f ca="1">IF($P65="","",IF(LEFT(UPPER($S65),9)="VERIFICAR","VERIFICAR",IF($A65="","SIN ESTADO",IF(AND($A65="Firmada",$H65=""),"FALTA FECHA DE FIRMA",IF(N($T65)=0,IF(AND(ISNUMBER($H65),$H65&gt;=DATE(2024,1,1)),"FALTA EN FIRMADAS","OK"),IF(OR($A65="Pendiente de presentación",$A65="Observado",$A65="En análisis",$A65="En instrucción",$A65="Suspendida",$A65="IT circulando",$A65="Para resolución",$A65="TDC"),"ABIERTA PERO ESTÁ EN FIRMADAS",IF($H65&lt;&gt;INDEX(firmadas!$F:$F,$T65),"FIRMA DISTINTA EN firmadas ("&amp;IF(INDEX(firmadas!$F:$F,$T65)="","vacía",DAY(INDEX(firmadas!$F:$F,$T65))&amp;"/"&amp;MONTH(INDEX(firmadas!$F:$F,$T65))&amp;"/"&amp;YEAR(INDEX(firmadas!$F:$F,$T65)))&amp;")",IF($G65&lt;&gt;INDEX(firmadas!$E:$E,$T65),"INGRESO DISTINTO EN firmadas ("&amp;IF(INDEX(firmadas!$E:$E,$T65)="","vacía",DAY(INDEX(firmadas!$E:$E,$T65))&amp;"/"&amp;MONTH(INDEX(firmadas!$E:$E,$T65))&amp;"/"&amp;YEAR(INDEX(firmadas!$E:$E,$T65)))&amp;")","OK"))))))))</f>
        <v>OK</v>
      </c>
      <c r="T65">
        <f ca="1">IF($P65="","",IFERROR(MATCH($P65,firmadas!$N:$N,0),IFERROR(MATCH("*/"&amp;MID($P65,FIND(" ",$P65)+1,9)&amp;"*",firmadas!$B:$B,0),0)))</f>
        <v>167</v>
      </c>
    </row>
    <row r="66" spans="1:20" ht="18" customHeight="1" x14ac:dyDescent="0.25">
      <c r="A66" s="47" t="s">
        <v>80</v>
      </c>
      <c r="B66" s="47"/>
      <c r="C66" s="47" t="s">
        <v>62</v>
      </c>
      <c r="D66" s="45">
        <v>1990</v>
      </c>
      <c r="F66" s="47" t="s">
        <v>236</v>
      </c>
      <c r="G66" s="43">
        <v>45540</v>
      </c>
      <c r="H66" s="43">
        <v>45729</v>
      </c>
      <c r="M66" t="s">
        <v>202</v>
      </c>
      <c r="N66" s="53">
        <f t="shared" ref="N66:N129" ca="1" si="1">IF($G66="","",(IF($H66="",TODAY(),$H66)-$G66)/30)</f>
        <v>6.3</v>
      </c>
      <c r="P66" s="47" t="str">
        <f ca="1">IF(TRIM(SUBSTITUTE(($C66&amp;" "&amp;$D66),CHAR(160)," "))="","",IFERROR(IF(ISNUMBER(SEARCH("INC",($C66&amp;" "&amp;$D66))),"INC",IF(ISNUMBER(SEARCH("OPI",($C66&amp;" "&amp;$D66))),"OPI",IF(ISNUMBER(SEARCH("DP",($C66&amp;" "&amp;$D66))),"DP","CONC")))&amp;" "&amp;TEXT(LOOKUP(9.99E+307,--MID(SUBSTITUTE(($C66&amp;" "&amp;$D66),CHAR(160)," "),SUMPRODUCT(MIN(FIND({0,1,2,3,4,5,6,7,8,9},SUBSTITUTE(($C66&amp;" "&amp;$D66),CHAR(160)," ")&amp;"0123456789"))),ROW(INDIRECT("1:6")))),"0"),"SIN NUMERO"))</f>
        <v>CONC 1990</v>
      </c>
      <c r="Q66" t="str">
        <f ca="1">IF($P66="","",IF(LEFT(UPPER($S66),9)="VERIFICAR","VERIFICAR",IF($A66="","SIN ESTADO",IF(AND($A66="Firmada",$H66=""),"FALTA FECHA DE FIRMA",IF(N($T66)=0,IF(AND(ISNUMBER($H66),$H66&gt;=DATE(2024,1,1)),"FALTA EN FIRMADAS","OK"),IF(OR($A66="Pendiente de presentación",$A66="Observado",$A66="En análisis",$A66="En instrucción",$A66="Suspendida",$A66="IT circulando",$A66="Para resolución",$A66="TDC"),"ABIERTA PERO ESTÁ EN FIRMADAS",IF($H66&lt;&gt;INDEX(firmadas!$F:$F,$T66),"FIRMA DISTINTA EN firmadas ("&amp;IF(INDEX(firmadas!$F:$F,$T66)="","vacía",DAY(INDEX(firmadas!$F:$F,$T66))&amp;"/"&amp;MONTH(INDEX(firmadas!$F:$F,$T66))&amp;"/"&amp;YEAR(INDEX(firmadas!$F:$F,$T66)))&amp;")",IF($G66&lt;&gt;INDEX(firmadas!$E:$E,$T66),"INGRESO DISTINTO EN firmadas ("&amp;IF(INDEX(firmadas!$E:$E,$T66)="","vacía",DAY(INDEX(firmadas!$E:$E,$T66))&amp;"/"&amp;MONTH(INDEX(firmadas!$E:$E,$T66))&amp;"/"&amp;YEAR(INDEX(firmadas!$E:$E,$T66)))&amp;")","OK"))))))))</f>
        <v>OK</v>
      </c>
      <c r="T66">
        <f ca="1">IF($P66="","",IFERROR(MATCH($P66,firmadas!$N:$N,0),IFERROR(MATCH("*/"&amp;MID($P66,FIND(" ",$P66)+1,9)&amp;"*",firmadas!$B:$B,0),0)))</f>
        <v>101</v>
      </c>
    </row>
    <row r="67" spans="1:20" ht="18" customHeight="1" x14ac:dyDescent="0.25">
      <c r="A67" s="47" t="s">
        <v>80</v>
      </c>
      <c r="B67" s="47"/>
      <c r="C67" s="47" t="s">
        <v>62</v>
      </c>
      <c r="D67" s="45">
        <v>1991</v>
      </c>
      <c r="F67" s="47" t="s">
        <v>237</v>
      </c>
      <c r="G67" s="43">
        <v>45540</v>
      </c>
      <c r="H67" s="43">
        <v>45807</v>
      </c>
      <c r="M67" t="s">
        <v>83</v>
      </c>
      <c r="N67" s="53">
        <f t="shared" ca="1" si="1"/>
        <v>8.9</v>
      </c>
      <c r="P67" s="47" t="str">
        <f ca="1">IF(TRIM(SUBSTITUTE(($C67&amp;" "&amp;$D67),CHAR(160)," "))="","",IFERROR(IF(ISNUMBER(SEARCH("INC",($C67&amp;" "&amp;$D67))),"INC",IF(ISNUMBER(SEARCH("OPI",($C67&amp;" "&amp;$D67))),"OPI",IF(ISNUMBER(SEARCH("DP",($C67&amp;" "&amp;$D67))),"DP","CONC")))&amp;" "&amp;TEXT(LOOKUP(9.99E+307,--MID(SUBSTITUTE(($C67&amp;" "&amp;$D67),CHAR(160)," "),SUMPRODUCT(MIN(FIND({0,1,2,3,4,5,6,7,8,9},SUBSTITUTE(($C67&amp;" "&amp;$D67),CHAR(160)," ")&amp;"0123456789"))),ROW(INDIRECT("1:6")))),"0"),"SIN NUMERO"))</f>
        <v>CONC 1991</v>
      </c>
      <c r="Q67" t="str">
        <f ca="1">IF($P67="","",IF(LEFT(UPPER($S67),9)="VERIFICAR","VERIFICAR",IF($A67="","SIN ESTADO",IF(AND($A67="Firmada",$H67=""),"FALTA FECHA DE FIRMA",IF(N($T67)=0,IF(AND(ISNUMBER($H67),$H67&gt;=DATE(2024,1,1)),"FALTA EN FIRMADAS","OK"),IF(OR($A67="Pendiente de presentación",$A67="Observado",$A67="En análisis",$A67="En instrucción",$A67="Suspendida",$A67="IT circulando",$A67="Para resolución",$A67="TDC"),"ABIERTA PERO ESTÁ EN FIRMADAS",IF($H67&lt;&gt;INDEX(firmadas!$F:$F,$T67),"FIRMA DISTINTA EN firmadas ("&amp;IF(INDEX(firmadas!$F:$F,$T67)="","vacía",DAY(INDEX(firmadas!$F:$F,$T67))&amp;"/"&amp;MONTH(INDEX(firmadas!$F:$F,$T67))&amp;"/"&amp;YEAR(INDEX(firmadas!$F:$F,$T67)))&amp;")",IF($G67&lt;&gt;INDEX(firmadas!$E:$E,$T67),"INGRESO DISTINTO EN firmadas ("&amp;IF(INDEX(firmadas!$E:$E,$T67)="","vacía",DAY(INDEX(firmadas!$E:$E,$T67))&amp;"/"&amp;MONTH(INDEX(firmadas!$E:$E,$T67))&amp;"/"&amp;YEAR(INDEX(firmadas!$E:$E,$T67)))&amp;")","OK"))))))))</f>
        <v>OK</v>
      </c>
      <c r="T67">
        <f ca="1">IF($P67="","",IFERROR(MATCH($P67,firmadas!$N:$N,0),IFERROR(MATCH("*/"&amp;MID($P67,FIND(" ",$P67)+1,9)&amp;"*",firmadas!$B:$B,0),0)))</f>
        <v>114</v>
      </c>
    </row>
    <row r="68" spans="1:20" ht="18" customHeight="1" x14ac:dyDescent="0.25">
      <c r="A68" s="47" t="s">
        <v>80</v>
      </c>
      <c r="B68" s="47"/>
      <c r="C68" s="47" t="s">
        <v>62</v>
      </c>
      <c r="D68" s="45">
        <v>1992</v>
      </c>
      <c r="F68" s="47" t="s">
        <v>238</v>
      </c>
      <c r="G68" s="43">
        <v>45541</v>
      </c>
      <c r="H68" s="43">
        <v>45930</v>
      </c>
      <c r="M68" t="s">
        <v>83</v>
      </c>
      <c r="N68" s="53">
        <f t="shared" ca="1" si="1"/>
        <v>12.966666666666667</v>
      </c>
      <c r="P68" s="47" t="str">
        <f ca="1">IF(TRIM(SUBSTITUTE(($C68&amp;" "&amp;$D68),CHAR(160)," "))="","",IFERROR(IF(ISNUMBER(SEARCH("INC",($C68&amp;" "&amp;$D68))),"INC",IF(ISNUMBER(SEARCH("OPI",($C68&amp;" "&amp;$D68))),"OPI",IF(ISNUMBER(SEARCH("DP",($C68&amp;" "&amp;$D68))),"DP","CONC")))&amp;" "&amp;TEXT(LOOKUP(9.99E+307,--MID(SUBSTITUTE(($C68&amp;" "&amp;$D68),CHAR(160)," "),SUMPRODUCT(MIN(FIND({0,1,2,3,4,5,6,7,8,9},SUBSTITUTE(($C68&amp;" "&amp;$D68),CHAR(160)," ")&amp;"0123456789"))),ROW(INDIRECT("1:6")))),"0"),"SIN NUMERO"))</f>
        <v>CONC 1992</v>
      </c>
      <c r="Q68" t="str">
        <f ca="1">IF($P68="","",IF(LEFT(UPPER($S68),9)="VERIFICAR","VERIFICAR",IF($A68="","SIN ESTADO",IF(AND($A68="Firmada",$H68=""),"FALTA FECHA DE FIRMA",IF(N($T68)=0,IF(AND(ISNUMBER($H68),$H68&gt;=DATE(2024,1,1)),"FALTA EN FIRMADAS","OK"),IF(OR($A68="Pendiente de presentación",$A68="Observado",$A68="En análisis",$A68="En instrucción",$A68="Suspendida",$A68="IT circulando",$A68="Para resolución",$A68="TDC"),"ABIERTA PERO ESTÁ EN FIRMADAS",IF($H68&lt;&gt;INDEX(firmadas!$F:$F,$T68),"FIRMA DISTINTA EN firmadas ("&amp;IF(INDEX(firmadas!$F:$F,$T68)="","vacía",DAY(INDEX(firmadas!$F:$F,$T68))&amp;"/"&amp;MONTH(INDEX(firmadas!$F:$F,$T68))&amp;"/"&amp;YEAR(INDEX(firmadas!$F:$F,$T68)))&amp;")",IF($G68&lt;&gt;INDEX(firmadas!$E:$E,$T68),"INGRESO DISTINTO EN firmadas ("&amp;IF(INDEX(firmadas!$E:$E,$T68)="","vacía",DAY(INDEX(firmadas!$E:$E,$T68))&amp;"/"&amp;MONTH(INDEX(firmadas!$E:$E,$T68))&amp;"/"&amp;YEAR(INDEX(firmadas!$E:$E,$T68)))&amp;")","OK"))))))))</f>
        <v>OK</v>
      </c>
      <c r="T68">
        <f ca="1">IF($P68="","",IFERROR(MATCH($P68,firmadas!$N:$N,0),IFERROR(MATCH("*/"&amp;MID($P68,FIND(" ",$P68)+1,9)&amp;"*",firmadas!$B:$B,0),0)))</f>
        <v>144</v>
      </c>
    </row>
    <row r="69" spans="1:20" ht="18" customHeight="1" x14ac:dyDescent="0.25">
      <c r="A69" s="47" t="s">
        <v>80</v>
      </c>
      <c r="B69" s="47"/>
      <c r="C69" s="47" t="s">
        <v>62</v>
      </c>
      <c r="D69" s="45">
        <v>1993</v>
      </c>
      <c r="F69" s="47" t="s">
        <v>239</v>
      </c>
      <c r="G69" s="43">
        <v>45545</v>
      </c>
      <c r="H69" s="43">
        <v>45735</v>
      </c>
      <c r="M69" t="s">
        <v>202</v>
      </c>
      <c r="N69" s="53">
        <f t="shared" ca="1" si="1"/>
        <v>6.333333333333333</v>
      </c>
      <c r="P69" s="47" t="str">
        <f ca="1">IF(TRIM(SUBSTITUTE(($C69&amp;" "&amp;$D69),CHAR(160)," "))="","",IFERROR(IF(ISNUMBER(SEARCH("INC",($C69&amp;" "&amp;$D69))),"INC",IF(ISNUMBER(SEARCH("OPI",($C69&amp;" "&amp;$D69))),"OPI",IF(ISNUMBER(SEARCH("DP",($C69&amp;" "&amp;$D69))),"DP","CONC")))&amp;" "&amp;TEXT(LOOKUP(9.99E+307,--MID(SUBSTITUTE(($C69&amp;" "&amp;$D69),CHAR(160)," "),SUMPRODUCT(MIN(FIND({0,1,2,3,4,5,6,7,8,9},SUBSTITUTE(($C69&amp;" "&amp;$D69),CHAR(160)," ")&amp;"0123456789"))),ROW(INDIRECT("1:6")))),"0"),"SIN NUMERO"))</f>
        <v>CONC 1993</v>
      </c>
      <c r="Q69" t="str">
        <f ca="1">IF($P69="","",IF(LEFT(UPPER($S69),9)="VERIFICAR","VERIFICAR",IF($A69="","SIN ESTADO",IF(AND($A69="Firmada",$H69=""),"FALTA FECHA DE FIRMA",IF(N($T69)=0,IF(AND(ISNUMBER($H69),$H69&gt;=DATE(2024,1,1)),"FALTA EN FIRMADAS","OK"),IF(OR($A69="Pendiente de presentación",$A69="Observado",$A69="En análisis",$A69="En instrucción",$A69="Suspendida",$A69="IT circulando",$A69="Para resolución",$A69="TDC"),"ABIERTA PERO ESTÁ EN FIRMADAS",IF($H69&lt;&gt;INDEX(firmadas!$F:$F,$T69),"FIRMA DISTINTA EN firmadas ("&amp;IF(INDEX(firmadas!$F:$F,$T69)="","vacía",DAY(INDEX(firmadas!$F:$F,$T69))&amp;"/"&amp;MONTH(INDEX(firmadas!$F:$F,$T69))&amp;"/"&amp;YEAR(INDEX(firmadas!$F:$F,$T69)))&amp;")",IF($G69&lt;&gt;INDEX(firmadas!$E:$E,$T69),"INGRESO DISTINTO EN firmadas ("&amp;IF(INDEX(firmadas!$E:$E,$T69)="","vacía",DAY(INDEX(firmadas!$E:$E,$T69))&amp;"/"&amp;MONTH(INDEX(firmadas!$E:$E,$T69))&amp;"/"&amp;YEAR(INDEX(firmadas!$E:$E,$T69)))&amp;")","OK"))))))))</f>
        <v>OK</v>
      </c>
      <c r="T69">
        <f ca="1">IF($P69="","",IFERROR(MATCH($P69,firmadas!$N:$N,0),IFERROR(MATCH("*/"&amp;MID($P69,FIND(" ",$P69)+1,9)&amp;"*",firmadas!$B:$B,0),0)))</f>
        <v>106</v>
      </c>
    </row>
    <row r="70" spans="1:20" ht="18" customHeight="1" x14ac:dyDescent="0.25">
      <c r="A70" s="47" t="s">
        <v>80</v>
      </c>
      <c r="B70" s="47"/>
      <c r="C70" s="47" t="s">
        <v>62</v>
      </c>
      <c r="D70" s="45">
        <v>1994</v>
      </c>
      <c r="F70" s="47" t="s">
        <v>240</v>
      </c>
      <c r="G70" s="43">
        <v>45551</v>
      </c>
      <c r="H70" s="43">
        <v>45968</v>
      </c>
      <c r="M70" t="s">
        <v>83</v>
      </c>
      <c r="N70" s="53">
        <f t="shared" ca="1" si="1"/>
        <v>13.9</v>
      </c>
      <c r="P70" s="47" t="str">
        <f ca="1">IF(TRIM(SUBSTITUTE(($C70&amp;" "&amp;$D70),CHAR(160)," "))="","",IFERROR(IF(ISNUMBER(SEARCH("INC",($C70&amp;" "&amp;$D70))),"INC",IF(ISNUMBER(SEARCH("OPI",($C70&amp;" "&amp;$D70))),"OPI",IF(ISNUMBER(SEARCH("DP",($C70&amp;" "&amp;$D70))),"DP","CONC")))&amp;" "&amp;TEXT(LOOKUP(9.99E+307,--MID(SUBSTITUTE(($C70&amp;" "&amp;$D70),CHAR(160)," "),SUMPRODUCT(MIN(FIND({0,1,2,3,4,5,6,7,8,9},SUBSTITUTE(($C70&amp;" "&amp;$D70),CHAR(160)," ")&amp;"0123456789"))),ROW(INDIRECT("1:6")))),"0"),"SIN NUMERO"))</f>
        <v>CONC 1994</v>
      </c>
      <c r="Q70" t="str">
        <f ca="1">IF($P70="","",IF(LEFT(UPPER($S70),9)="VERIFICAR","VERIFICAR",IF($A70="","SIN ESTADO",IF(AND($A70="Firmada",$H70=""),"FALTA FECHA DE FIRMA",IF(N($T70)=0,IF(AND(ISNUMBER($H70),$H70&gt;=DATE(2024,1,1)),"FALTA EN FIRMADAS","OK"),IF(OR($A70="Pendiente de presentación",$A70="Observado",$A70="En análisis",$A70="En instrucción",$A70="Suspendida",$A70="IT circulando",$A70="Para resolución",$A70="TDC"),"ABIERTA PERO ESTÁ EN FIRMADAS",IF($H70&lt;&gt;INDEX(firmadas!$F:$F,$T70),"FIRMA DISTINTA EN firmadas ("&amp;IF(INDEX(firmadas!$F:$F,$T70)="","vacía",DAY(INDEX(firmadas!$F:$F,$T70))&amp;"/"&amp;MONTH(INDEX(firmadas!$F:$F,$T70))&amp;"/"&amp;YEAR(INDEX(firmadas!$F:$F,$T70)))&amp;")",IF($G70&lt;&gt;INDEX(firmadas!$E:$E,$T70),"INGRESO DISTINTO EN firmadas ("&amp;IF(INDEX(firmadas!$E:$E,$T70)="","vacía",DAY(INDEX(firmadas!$E:$E,$T70))&amp;"/"&amp;MONTH(INDEX(firmadas!$E:$E,$T70))&amp;"/"&amp;YEAR(INDEX(firmadas!$E:$E,$T70)))&amp;")","OK"))))))))</f>
        <v>OK</v>
      </c>
      <c r="T70">
        <f ca="1">IF($P70="","",IFERROR(MATCH($P70,firmadas!$N:$N,0),IFERROR(MATCH("*/"&amp;MID($P70,FIND(" ",$P70)+1,9)&amp;"*",firmadas!$B:$B,0),0)))</f>
        <v>159</v>
      </c>
    </row>
    <row r="71" spans="1:20" ht="18" customHeight="1" x14ac:dyDescent="0.25">
      <c r="A71" s="47" t="s">
        <v>80</v>
      </c>
      <c r="B71" s="47"/>
      <c r="C71" s="47" t="s">
        <v>62</v>
      </c>
      <c r="D71" s="45">
        <v>1995</v>
      </c>
      <c r="F71" s="47" t="s">
        <v>241</v>
      </c>
      <c r="G71" s="43">
        <v>45559</v>
      </c>
      <c r="H71" s="43">
        <v>45870</v>
      </c>
      <c r="M71" t="s">
        <v>83</v>
      </c>
      <c r="N71" s="53">
        <f t="shared" ca="1" si="1"/>
        <v>10.366666666666667</v>
      </c>
      <c r="P71" s="47" t="str">
        <f ca="1">IF(TRIM(SUBSTITUTE(($C71&amp;" "&amp;$D71),CHAR(160)," "))="","",IFERROR(IF(ISNUMBER(SEARCH("INC",($C71&amp;" "&amp;$D71))),"INC",IF(ISNUMBER(SEARCH("OPI",($C71&amp;" "&amp;$D71))),"OPI",IF(ISNUMBER(SEARCH("DP",($C71&amp;" "&amp;$D71))),"DP","CONC")))&amp;" "&amp;TEXT(LOOKUP(9.99E+307,--MID(SUBSTITUTE(($C71&amp;" "&amp;$D71),CHAR(160)," "),SUMPRODUCT(MIN(FIND({0,1,2,3,4,5,6,7,8,9},SUBSTITUTE(($C71&amp;" "&amp;$D71),CHAR(160)," ")&amp;"0123456789"))),ROW(INDIRECT("1:6")))),"0"),"SIN NUMERO"))</f>
        <v>CONC 1995</v>
      </c>
      <c r="Q71" t="str">
        <f ca="1">IF($P71="","",IF(LEFT(UPPER($S71),9)="VERIFICAR","VERIFICAR",IF($A71="","SIN ESTADO",IF(AND($A71="Firmada",$H71=""),"FALTA FECHA DE FIRMA",IF(N($T71)=0,IF(AND(ISNUMBER($H71),$H71&gt;=DATE(2024,1,1)),"FALTA EN FIRMADAS","OK"),IF(OR($A71="Pendiente de presentación",$A71="Observado",$A71="En análisis",$A71="En instrucción",$A71="Suspendida",$A71="IT circulando",$A71="Para resolución",$A71="TDC"),"ABIERTA PERO ESTÁ EN FIRMADAS",IF($H71&lt;&gt;INDEX(firmadas!$F:$F,$T71),"FIRMA DISTINTA EN firmadas ("&amp;IF(INDEX(firmadas!$F:$F,$T71)="","vacía",DAY(INDEX(firmadas!$F:$F,$T71))&amp;"/"&amp;MONTH(INDEX(firmadas!$F:$F,$T71))&amp;"/"&amp;YEAR(INDEX(firmadas!$F:$F,$T71)))&amp;")",IF($G71&lt;&gt;INDEX(firmadas!$E:$E,$T71),"INGRESO DISTINTO EN firmadas ("&amp;IF(INDEX(firmadas!$E:$E,$T71)="","vacía",DAY(INDEX(firmadas!$E:$E,$T71))&amp;"/"&amp;MONTH(INDEX(firmadas!$E:$E,$T71))&amp;"/"&amp;YEAR(INDEX(firmadas!$E:$E,$T71)))&amp;")","OK"))))))))</f>
        <v>OK</v>
      </c>
      <c r="T71">
        <f ca="1">IF($P71="","",IFERROR(MATCH($P71,firmadas!$N:$N,0),IFERROR(MATCH("*/"&amp;MID($P71,FIND(" ",$P71)+1,9)&amp;"*",firmadas!$B:$B,0),0)))</f>
        <v>131</v>
      </c>
    </row>
    <row r="72" spans="1:20" ht="18" customHeight="1" x14ac:dyDescent="0.25">
      <c r="A72" s="47" t="s">
        <v>242</v>
      </c>
      <c r="B72" s="47"/>
      <c r="C72" s="47" t="s">
        <v>62</v>
      </c>
      <c r="D72" s="45">
        <v>1975</v>
      </c>
      <c r="F72" s="47"/>
      <c r="G72" s="43">
        <v>45569</v>
      </c>
      <c r="H72" s="43">
        <v>46122</v>
      </c>
      <c r="N72" s="53">
        <f t="shared" ca="1" si="1"/>
        <v>18.433333333333334</v>
      </c>
      <c r="P72" s="47" t="str">
        <f ca="1">IF(TRIM(SUBSTITUTE(($C72&amp;" "&amp;$D72),CHAR(160)," "))="","",IFERROR(IF(ISNUMBER(SEARCH("INC",($C72&amp;" "&amp;$D72))),"INC",IF(ISNUMBER(SEARCH("OPI",($C72&amp;" "&amp;$D72))),"OPI",IF(ISNUMBER(SEARCH("DP",($C72&amp;" "&amp;$D72))),"DP","CONC")))&amp;" "&amp;TEXT(LOOKUP(9.99E+307,--MID(SUBSTITUTE(($C72&amp;" "&amp;$D72),CHAR(160)," "),SUMPRODUCT(MIN(FIND({0,1,2,3,4,5,6,7,8,9},SUBSTITUTE(($C72&amp;" "&amp;$D72),CHAR(160)," ")&amp;"0123456789"))),ROW(INDIRECT("1:6")))),"0"),"SIN NUMERO"))</f>
        <v>CONC 1975</v>
      </c>
      <c r="Q72" t="str">
        <f ca="1">IF($P72="","",IF(LEFT(UPPER($S72),9)="VERIFICAR","VERIFICAR",IF($A72="","SIN ESTADO",IF(AND($A72="Firmada",$H72=""),"FALTA FECHA DE FIRMA",IF(N($T72)=0,IF(AND(ISNUMBER($H72),$H72&gt;=DATE(2024,1,1)),"FALTA EN FIRMADAS","OK"),IF(OR($A72="Pendiente de presentación",$A72="Observado",$A72="En análisis",$A72="En instrucción",$A72="Suspendida",$A72="IT circulando",$A72="Para resolución",$A72="TDC"),"ABIERTA PERO ESTÁ EN FIRMADAS",IF($H72&lt;&gt;INDEX(firmadas!$F:$F,$T72),"FIRMA DISTINTA EN firmadas ("&amp;IF(INDEX(firmadas!$F:$F,$T72)="","vacía",DAY(INDEX(firmadas!$F:$F,$T72))&amp;"/"&amp;MONTH(INDEX(firmadas!$F:$F,$T72))&amp;"/"&amp;YEAR(INDEX(firmadas!$F:$F,$T72)))&amp;")",IF($G72&lt;&gt;INDEX(firmadas!$E:$E,$T72),"INGRESO DISTINTO EN firmadas ("&amp;IF(INDEX(firmadas!$E:$E,$T72)="","vacía",DAY(INDEX(firmadas!$E:$E,$T72))&amp;"/"&amp;MONTH(INDEX(firmadas!$E:$E,$T72))&amp;"/"&amp;YEAR(INDEX(firmadas!$E:$E,$T72)))&amp;")","OK"))))))))</f>
        <v>VERIFICAR</v>
      </c>
      <c r="S72" t="s">
        <v>243</v>
      </c>
      <c r="T72">
        <f ca="1">IF($P72="","",IFERROR(MATCH($P72,firmadas!$N:$N,0),IFERROR(MATCH("*/"&amp;MID($P72,FIND(" ",$P72)+1,9)&amp;"*",firmadas!$B:$B,0),0)))</f>
        <v>0</v>
      </c>
    </row>
    <row r="73" spans="1:20" ht="18" customHeight="1" x14ac:dyDescent="0.25">
      <c r="A73" t="s">
        <v>80</v>
      </c>
      <c r="C73" t="s">
        <v>62</v>
      </c>
      <c r="D73" s="24" t="s">
        <v>244</v>
      </c>
      <c r="F73" t="s">
        <v>245</v>
      </c>
      <c r="G73" s="16">
        <v>45573</v>
      </c>
      <c r="H73" s="16">
        <v>46009</v>
      </c>
      <c r="I73" s="16"/>
      <c r="J73" s="16"/>
      <c r="M73" t="s">
        <v>202</v>
      </c>
      <c r="N73" s="53">
        <f t="shared" ca="1" si="1"/>
        <v>14.533333333333333</v>
      </c>
      <c r="P73" s="47" t="str">
        <f ca="1">IF(TRIM(SUBSTITUTE(($C73&amp;" "&amp;$D73),CHAR(160)," "))="","",IFERROR(IF(ISNUMBER(SEARCH("INC",($C73&amp;" "&amp;$D73))),"INC",IF(ISNUMBER(SEARCH("OPI",($C73&amp;" "&amp;$D73))),"OPI",IF(ISNUMBER(SEARCH("DP",($C73&amp;" "&amp;$D73))),"DP","CONC")))&amp;" "&amp;TEXT(LOOKUP(9.99E+307,--MID(SUBSTITUTE(($C73&amp;" "&amp;$D73),CHAR(160)," "),SUMPRODUCT(MIN(FIND({0,1,2,3,4,5,6,7,8,9},SUBSTITUTE(($C73&amp;" "&amp;$D73),CHAR(160)," ")&amp;"0123456789"))),ROW(INDIRECT("1:6")))),"0"),"SIN NUMERO"))</f>
        <v>CONC 1996</v>
      </c>
      <c r="Q73" t="str">
        <f ca="1">IF($P73="","",IF(LEFT(UPPER($S73),9)="VERIFICAR","VERIFICAR",IF($A73="","SIN ESTADO",IF(AND($A73="Firmada",$H73=""),"FALTA FECHA DE FIRMA",IF(N($T73)=0,IF(AND(ISNUMBER($H73),$H73&gt;=DATE(2024,1,1)),"FALTA EN FIRMADAS","OK"),IF(OR($A73="Pendiente de presentación",$A73="Observado",$A73="En análisis",$A73="En instrucción",$A73="Suspendida",$A73="IT circulando",$A73="Para resolución",$A73="TDC"),"ABIERTA PERO ESTÁ EN FIRMADAS",IF($H73&lt;&gt;INDEX(firmadas!$F:$F,$T73),"FIRMA DISTINTA EN firmadas ("&amp;IF(INDEX(firmadas!$F:$F,$T73)="","vacía",DAY(INDEX(firmadas!$F:$F,$T73))&amp;"/"&amp;MONTH(INDEX(firmadas!$F:$F,$T73))&amp;"/"&amp;YEAR(INDEX(firmadas!$F:$F,$T73)))&amp;")",IF($G73&lt;&gt;INDEX(firmadas!$E:$E,$T73),"INGRESO DISTINTO EN firmadas ("&amp;IF(INDEX(firmadas!$E:$E,$T73)="","vacía",DAY(INDEX(firmadas!$E:$E,$T73))&amp;"/"&amp;MONTH(INDEX(firmadas!$E:$E,$T73))&amp;"/"&amp;YEAR(INDEX(firmadas!$E:$E,$T73)))&amp;")","OK"))))))))</f>
        <v>OK</v>
      </c>
      <c r="T73">
        <f ca="1">IF($P73="","",IFERROR(MATCH($P73,firmadas!$N:$N,0),IFERROR(MATCH("*/"&amp;MID($P73,FIND(" ",$P73)+1,9)&amp;"*",firmadas!$B:$B,0),0)))</f>
        <v>174</v>
      </c>
    </row>
    <row r="74" spans="1:20" ht="18" customHeight="1" x14ac:dyDescent="0.25">
      <c r="A74" t="s">
        <v>80</v>
      </c>
      <c r="C74" t="s">
        <v>62</v>
      </c>
      <c r="D74" s="24" t="s">
        <v>246</v>
      </c>
      <c r="F74" t="s">
        <v>247</v>
      </c>
      <c r="G74" s="16">
        <v>45580</v>
      </c>
      <c r="H74" s="16">
        <v>46013</v>
      </c>
      <c r="I74" s="16"/>
      <c r="J74" s="16"/>
      <c r="M74" t="s">
        <v>202</v>
      </c>
      <c r="N74" s="53">
        <f t="shared" ca="1" si="1"/>
        <v>14.433333333333334</v>
      </c>
      <c r="P74" s="47" t="str">
        <f ca="1">IF(TRIM(SUBSTITUTE(($C74&amp;" "&amp;$D74),CHAR(160)," "))="","",IFERROR(IF(ISNUMBER(SEARCH("INC",($C74&amp;" "&amp;$D74))),"INC",IF(ISNUMBER(SEARCH("OPI",($C74&amp;" "&amp;$D74))),"OPI",IF(ISNUMBER(SEARCH("DP",($C74&amp;" "&amp;$D74))),"DP","CONC")))&amp;" "&amp;TEXT(LOOKUP(9.99E+307,--MID(SUBSTITUTE(($C74&amp;" "&amp;$D74),CHAR(160)," "),SUMPRODUCT(MIN(FIND({0,1,2,3,4,5,6,7,8,9},SUBSTITUTE(($C74&amp;" "&amp;$D74),CHAR(160)," ")&amp;"0123456789"))),ROW(INDIRECT("1:6")))),"0"),"SIN NUMERO"))</f>
        <v>CONC 1997</v>
      </c>
      <c r="Q74" t="str">
        <f ca="1">IF($P74="","",IF(LEFT(UPPER($S74),9)="VERIFICAR","VERIFICAR",IF($A74="","SIN ESTADO",IF(AND($A74="Firmada",$H74=""),"FALTA FECHA DE FIRMA",IF(N($T74)=0,IF(AND(ISNUMBER($H74),$H74&gt;=DATE(2024,1,1)),"FALTA EN FIRMADAS","OK"),IF(OR($A74="Pendiente de presentación",$A74="Observado",$A74="En análisis",$A74="En instrucción",$A74="Suspendida",$A74="IT circulando",$A74="Para resolución",$A74="TDC"),"ABIERTA PERO ESTÁ EN FIRMADAS",IF($H74&lt;&gt;INDEX(firmadas!$F:$F,$T74),"FIRMA DISTINTA EN firmadas ("&amp;IF(INDEX(firmadas!$F:$F,$T74)="","vacía",DAY(INDEX(firmadas!$F:$F,$T74))&amp;"/"&amp;MONTH(INDEX(firmadas!$F:$F,$T74))&amp;"/"&amp;YEAR(INDEX(firmadas!$F:$F,$T74)))&amp;")",IF($G74&lt;&gt;INDEX(firmadas!$E:$E,$T74),"INGRESO DISTINTO EN firmadas ("&amp;IF(INDEX(firmadas!$E:$E,$T74)="","vacía",DAY(INDEX(firmadas!$E:$E,$T74))&amp;"/"&amp;MONTH(INDEX(firmadas!$E:$E,$T74))&amp;"/"&amp;YEAR(INDEX(firmadas!$E:$E,$T74)))&amp;")","OK"))))))))</f>
        <v>OK</v>
      </c>
      <c r="T74">
        <f ca="1">IF($P74="","",IFERROR(MATCH($P74,firmadas!$N:$N,0),IFERROR(MATCH("*/"&amp;MID($P74,FIND(" ",$P74)+1,9)&amp;"*",firmadas!$B:$B,0),0)))</f>
        <v>177</v>
      </c>
    </row>
    <row r="75" spans="1:20" ht="18" customHeight="1" x14ac:dyDescent="0.25">
      <c r="A75" s="47" t="s">
        <v>80</v>
      </c>
      <c r="B75" s="47"/>
      <c r="C75" s="47" t="s">
        <v>62</v>
      </c>
      <c r="D75" s="45">
        <v>1998</v>
      </c>
      <c r="F75" s="47" t="s">
        <v>248</v>
      </c>
      <c r="G75" s="43">
        <v>45586</v>
      </c>
      <c r="H75" s="43">
        <v>45842</v>
      </c>
      <c r="M75" t="s">
        <v>83</v>
      </c>
      <c r="N75" s="53">
        <f t="shared" ca="1" si="1"/>
        <v>8.5333333333333332</v>
      </c>
      <c r="P75" s="47" t="str">
        <f ca="1">IF(TRIM(SUBSTITUTE(($C75&amp;" "&amp;$D75),CHAR(160)," "))="","",IFERROR(IF(ISNUMBER(SEARCH("INC",($C75&amp;" "&amp;$D75))),"INC",IF(ISNUMBER(SEARCH("OPI",($C75&amp;" "&amp;$D75))),"OPI",IF(ISNUMBER(SEARCH("DP",($C75&amp;" "&amp;$D75))),"DP","CONC")))&amp;" "&amp;TEXT(LOOKUP(9.99E+307,--MID(SUBSTITUTE(($C75&amp;" "&amp;$D75),CHAR(160)," "),SUMPRODUCT(MIN(FIND({0,1,2,3,4,5,6,7,8,9},SUBSTITUTE(($C75&amp;" "&amp;$D75),CHAR(160)," ")&amp;"0123456789"))),ROW(INDIRECT("1:6")))),"0"),"SIN NUMERO"))</f>
        <v>CONC 1998</v>
      </c>
      <c r="Q75" t="str">
        <f ca="1">IF($P75="","",IF(LEFT(UPPER($S75),9)="VERIFICAR","VERIFICAR",IF($A75="","SIN ESTADO",IF(AND($A75="Firmada",$H75=""),"FALTA FECHA DE FIRMA",IF(N($T75)=0,IF(AND(ISNUMBER($H75),$H75&gt;=DATE(2024,1,1)),"FALTA EN FIRMADAS","OK"),IF(OR($A75="Pendiente de presentación",$A75="Observado",$A75="En análisis",$A75="En instrucción",$A75="Suspendida",$A75="IT circulando",$A75="Para resolución",$A75="TDC"),"ABIERTA PERO ESTÁ EN FIRMADAS",IF($H75&lt;&gt;INDEX(firmadas!$F:$F,$T75),"FIRMA DISTINTA EN firmadas ("&amp;IF(INDEX(firmadas!$F:$F,$T75)="","vacía",DAY(INDEX(firmadas!$F:$F,$T75))&amp;"/"&amp;MONTH(INDEX(firmadas!$F:$F,$T75))&amp;"/"&amp;YEAR(INDEX(firmadas!$F:$F,$T75)))&amp;")",IF($G75&lt;&gt;INDEX(firmadas!$E:$E,$T75),"INGRESO DISTINTO EN firmadas ("&amp;IF(INDEX(firmadas!$E:$E,$T75)="","vacía",DAY(INDEX(firmadas!$E:$E,$T75))&amp;"/"&amp;MONTH(INDEX(firmadas!$E:$E,$T75))&amp;"/"&amp;YEAR(INDEX(firmadas!$E:$E,$T75)))&amp;")","OK"))))))))</f>
        <v>OK</v>
      </c>
      <c r="T75">
        <f ca="1">IF($P75="","",IFERROR(MATCH($P75,firmadas!$N:$N,0),IFERROR(MATCH("*/"&amp;MID($P75,FIND(" ",$P75)+1,9)&amp;"*",firmadas!$B:$B,0),0)))</f>
        <v>123</v>
      </c>
    </row>
    <row r="76" spans="1:20" ht="18" customHeight="1" x14ac:dyDescent="0.25">
      <c r="A76" s="47" t="s">
        <v>80</v>
      </c>
      <c r="B76" s="47"/>
      <c r="C76" s="47" t="s">
        <v>62</v>
      </c>
      <c r="D76" s="45">
        <v>1999</v>
      </c>
      <c r="F76" s="47" t="s">
        <v>249</v>
      </c>
      <c r="G76" s="43">
        <v>45589</v>
      </c>
      <c r="H76" s="43">
        <v>45845</v>
      </c>
      <c r="M76" t="s">
        <v>83</v>
      </c>
      <c r="N76" s="53">
        <f t="shared" ca="1" si="1"/>
        <v>8.5333333333333332</v>
      </c>
      <c r="P76" s="47" t="str">
        <f ca="1">IF(TRIM(SUBSTITUTE(($C76&amp;" "&amp;$D76),CHAR(160)," "))="","",IFERROR(IF(ISNUMBER(SEARCH("INC",($C76&amp;" "&amp;$D76))),"INC",IF(ISNUMBER(SEARCH("OPI",($C76&amp;" "&amp;$D76))),"OPI",IF(ISNUMBER(SEARCH("DP",($C76&amp;" "&amp;$D76))),"DP","CONC")))&amp;" "&amp;TEXT(LOOKUP(9.99E+307,--MID(SUBSTITUTE(($C76&amp;" "&amp;$D76),CHAR(160)," "),SUMPRODUCT(MIN(FIND({0,1,2,3,4,5,6,7,8,9},SUBSTITUTE(($C76&amp;" "&amp;$D76),CHAR(160)," ")&amp;"0123456789"))),ROW(INDIRECT("1:6")))),"0"),"SIN NUMERO"))</f>
        <v>CONC 1999</v>
      </c>
      <c r="Q76" t="str">
        <f ca="1">IF($P76="","",IF(LEFT(UPPER($S76),9)="VERIFICAR","VERIFICAR",IF($A76="","SIN ESTADO",IF(AND($A76="Firmada",$H76=""),"FALTA FECHA DE FIRMA",IF(N($T76)=0,IF(AND(ISNUMBER($H76),$H76&gt;=DATE(2024,1,1)),"FALTA EN FIRMADAS","OK"),IF(OR($A76="Pendiente de presentación",$A76="Observado",$A76="En análisis",$A76="En instrucción",$A76="Suspendida",$A76="IT circulando",$A76="Para resolución",$A76="TDC"),"ABIERTA PERO ESTÁ EN FIRMADAS",IF($H76&lt;&gt;INDEX(firmadas!$F:$F,$T76),"FIRMA DISTINTA EN firmadas ("&amp;IF(INDEX(firmadas!$F:$F,$T76)="","vacía",DAY(INDEX(firmadas!$F:$F,$T76))&amp;"/"&amp;MONTH(INDEX(firmadas!$F:$F,$T76))&amp;"/"&amp;YEAR(INDEX(firmadas!$F:$F,$T76)))&amp;")",IF($G76&lt;&gt;INDEX(firmadas!$E:$E,$T76),"INGRESO DISTINTO EN firmadas ("&amp;IF(INDEX(firmadas!$E:$E,$T76)="","vacía",DAY(INDEX(firmadas!$E:$E,$T76))&amp;"/"&amp;MONTH(INDEX(firmadas!$E:$E,$T76))&amp;"/"&amp;YEAR(INDEX(firmadas!$E:$E,$T76)))&amp;")","OK"))))))))</f>
        <v>OK</v>
      </c>
      <c r="T76">
        <f ca="1">IF($P76="","",IFERROR(MATCH($P76,firmadas!$N:$N,0),IFERROR(MATCH("*/"&amp;MID($P76,FIND(" ",$P76)+1,9)&amp;"*",firmadas!$B:$B,0),0)))</f>
        <v>124</v>
      </c>
    </row>
    <row r="77" spans="1:20" ht="18" customHeight="1" x14ac:dyDescent="0.25">
      <c r="A77" t="s">
        <v>80</v>
      </c>
      <c r="C77" s="44" t="s">
        <v>145</v>
      </c>
      <c r="D77" s="24">
        <v>2000</v>
      </c>
      <c r="E77" s="44" t="s">
        <v>250</v>
      </c>
      <c r="F77" s="44" t="s">
        <v>251</v>
      </c>
      <c r="G77" s="16">
        <v>45601</v>
      </c>
      <c r="H77" s="16">
        <v>46147</v>
      </c>
      <c r="I77" s="26" t="s">
        <v>138</v>
      </c>
      <c r="J77" s="26" t="s">
        <v>103</v>
      </c>
      <c r="K77" s="44" t="s">
        <v>96</v>
      </c>
      <c r="L77" s="44" t="s">
        <v>104</v>
      </c>
      <c r="M77" t="s">
        <v>83</v>
      </c>
      <c r="N77" s="53">
        <f t="shared" ca="1" si="1"/>
        <v>18.2</v>
      </c>
      <c r="P77" s="47" t="str">
        <f ca="1">IF(TRIM(SUBSTITUTE(($C77&amp;" "&amp;$D77),CHAR(160)," "))="","",IFERROR(IF(ISNUMBER(SEARCH("INC",($C77&amp;" "&amp;$D77))),"INC",IF(ISNUMBER(SEARCH("OPI",($C77&amp;" "&amp;$D77))),"OPI",IF(ISNUMBER(SEARCH("DP",($C77&amp;" "&amp;$D77))),"DP","CONC")))&amp;" "&amp;TEXT(LOOKUP(9.99E+307,--MID(SUBSTITUTE(($C77&amp;" "&amp;$D77),CHAR(160)," "),SUMPRODUCT(MIN(FIND({0,1,2,3,4,5,6,7,8,9},SUBSTITUTE(($C77&amp;" "&amp;$D77),CHAR(160)," ")&amp;"0123456789"))),ROW(INDIRECT("1:6")))),"0"),"SIN NUMERO"))</f>
        <v>CONC 2000</v>
      </c>
      <c r="Q77" t="str">
        <f ca="1">IF($P77="","",IF(LEFT(UPPER($S77),9)="VERIFICAR","VERIFICAR",IF($A77="","SIN ESTADO",IF(AND($A77="Firmada",$H77=""),"FALTA FECHA DE FIRMA",IF(N($T77)=0,IF(AND(ISNUMBER($H77),$H77&gt;=DATE(2024,1,1)),"FALTA EN FIRMADAS","OK"),IF(OR($A77="Pendiente de presentación",$A77="Observado",$A77="En análisis",$A77="En instrucción",$A77="Suspendida",$A77="IT circulando",$A77="Para resolución",$A77="TDC"),"ABIERTA PERO ESTÁ EN FIRMADAS",IF($H77&lt;&gt;INDEX(firmadas!$F:$F,$T77),"FIRMA DISTINTA EN firmadas ("&amp;IF(INDEX(firmadas!$F:$F,$T77)="","vacía",DAY(INDEX(firmadas!$F:$F,$T77))&amp;"/"&amp;MONTH(INDEX(firmadas!$F:$F,$T77))&amp;"/"&amp;YEAR(INDEX(firmadas!$F:$F,$T77)))&amp;")",IF($G77&lt;&gt;INDEX(firmadas!$E:$E,$T77),"INGRESO DISTINTO EN firmadas ("&amp;IF(INDEX(firmadas!$E:$E,$T77)="","vacía",DAY(INDEX(firmadas!$E:$E,$T77))&amp;"/"&amp;MONTH(INDEX(firmadas!$E:$E,$T77))&amp;"/"&amp;YEAR(INDEX(firmadas!$E:$E,$T77)))&amp;")","OK"))))))))</f>
        <v>OK</v>
      </c>
      <c r="R77" s="44" t="s">
        <v>252</v>
      </c>
      <c r="T77">
        <f ca="1">IF($P77="","",IFERROR(MATCH($P77,firmadas!$N:$N,0),IFERROR(MATCH("*/"&amp;MID($P77,FIND(" ",$P77)+1,9)&amp;"*",firmadas!$B:$B,0),0)))</f>
        <v>237</v>
      </c>
    </row>
    <row r="78" spans="1:20" ht="18" customHeight="1" x14ac:dyDescent="0.25">
      <c r="A78" t="s">
        <v>80</v>
      </c>
      <c r="C78" s="44" t="s">
        <v>145</v>
      </c>
      <c r="D78" s="42">
        <v>2002</v>
      </c>
      <c r="E78" s="44" t="s">
        <v>253</v>
      </c>
      <c r="F78" s="44" t="s">
        <v>254</v>
      </c>
      <c r="G78" s="16">
        <v>45603</v>
      </c>
      <c r="H78" s="16">
        <v>46072</v>
      </c>
      <c r="I78" s="26" t="s">
        <v>103</v>
      </c>
      <c r="J78" s="26" t="s">
        <v>138</v>
      </c>
      <c r="K78" s="44" t="s">
        <v>197</v>
      </c>
      <c r="L78" s="44" t="s">
        <v>112</v>
      </c>
      <c r="M78" t="s">
        <v>83</v>
      </c>
      <c r="N78" s="53">
        <f t="shared" ca="1" si="1"/>
        <v>15.633333333333333</v>
      </c>
      <c r="P78" s="47" t="str">
        <f ca="1">IF(TRIM(SUBSTITUTE(($C78&amp;" "&amp;$D78),CHAR(160)," "))="","",IFERROR(IF(ISNUMBER(SEARCH("INC",($C78&amp;" "&amp;$D78))),"INC",IF(ISNUMBER(SEARCH("OPI",($C78&amp;" "&amp;$D78))),"OPI",IF(ISNUMBER(SEARCH("DP",($C78&amp;" "&amp;$D78))),"DP","CONC")))&amp;" "&amp;TEXT(LOOKUP(9.99E+307,--MID(SUBSTITUTE(($C78&amp;" "&amp;$D78),CHAR(160)," "),SUMPRODUCT(MIN(FIND({0,1,2,3,4,5,6,7,8,9},SUBSTITUTE(($C78&amp;" "&amp;$D78),CHAR(160)," ")&amp;"0123456789"))),ROW(INDIRECT("1:6")))),"0"),"SIN NUMERO"))</f>
        <v>CONC 2002</v>
      </c>
      <c r="Q78" t="str">
        <f ca="1">IF($P78="","",IF(LEFT(UPPER($S78),9)="VERIFICAR","VERIFICAR",IF($A78="","SIN ESTADO",IF(AND($A78="Firmada",$H78=""),"FALTA FECHA DE FIRMA",IF(N($T78)=0,IF(AND(ISNUMBER($H78),$H78&gt;=DATE(2024,1,1)),"FALTA EN FIRMADAS","OK"),IF(OR($A78="Pendiente de presentación",$A78="Observado",$A78="En análisis",$A78="En instrucción",$A78="Suspendida",$A78="IT circulando",$A78="Para resolución",$A78="TDC"),"ABIERTA PERO ESTÁ EN FIRMADAS",IF($H78&lt;&gt;INDEX(firmadas!$F:$F,$T78),"FIRMA DISTINTA EN firmadas ("&amp;IF(INDEX(firmadas!$F:$F,$T78)="","vacía",DAY(INDEX(firmadas!$F:$F,$T78))&amp;"/"&amp;MONTH(INDEX(firmadas!$F:$F,$T78))&amp;"/"&amp;YEAR(INDEX(firmadas!$F:$F,$T78)))&amp;")",IF($G78&lt;&gt;INDEX(firmadas!$E:$E,$T78),"INGRESO DISTINTO EN firmadas ("&amp;IF(INDEX(firmadas!$E:$E,$T78)="","vacía",DAY(INDEX(firmadas!$E:$E,$T78))&amp;"/"&amp;MONTH(INDEX(firmadas!$E:$E,$T78))&amp;"/"&amp;YEAR(INDEX(firmadas!$E:$E,$T78)))&amp;")","OK"))))))))</f>
        <v>OK</v>
      </c>
      <c r="T78">
        <f ca="1">IF($P78="","",IFERROR(MATCH($P78,firmadas!$N:$N,0),IFERROR(MATCH("*/"&amp;MID($P78,FIND(" ",$P78)+1,9)&amp;"*",firmadas!$B:$B,0),0)))</f>
        <v>207</v>
      </c>
    </row>
    <row r="79" spans="1:20" ht="18" customHeight="1" x14ac:dyDescent="0.25">
      <c r="A79" s="47" t="s">
        <v>80</v>
      </c>
      <c r="B79" s="47"/>
      <c r="C79" s="47" t="s">
        <v>62</v>
      </c>
      <c r="D79" s="45">
        <v>2001</v>
      </c>
      <c r="F79" s="46" t="s">
        <v>255</v>
      </c>
      <c r="G79" s="43">
        <v>45603</v>
      </c>
      <c r="H79" s="43">
        <v>45772</v>
      </c>
      <c r="M79" t="s">
        <v>83</v>
      </c>
      <c r="N79" s="53">
        <f t="shared" ca="1" si="1"/>
        <v>5.6333333333333337</v>
      </c>
      <c r="P79" s="47" t="str">
        <f ca="1">IF(TRIM(SUBSTITUTE(($C79&amp;" "&amp;$D79),CHAR(160)," "))="","",IFERROR(IF(ISNUMBER(SEARCH("INC",($C79&amp;" "&amp;$D79))),"INC",IF(ISNUMBER(SEARCH("OPI",($C79&amp;" "&amp;$D79))),"OPI",IF(ISNUMBER(SEARCH("DP",($C79&amp;" "&amp;$D79))),"DP","CONC")))&amp;" "&amp;TEXT(LOOKUP(9.99E+307,--MID(SUBSTITUTE(($C79&amp;" "&amp;$D79),CHAR(160)," "),SUMPRODUCT(MIN(FIND({0,1,2,3,4,5,6,7,8,9},SUBSTITUTE(($C79&amp;" "&amp;$D79),CHAR(160)," ")&amp;"0123456789"))),ROW(INDIRECT("1:6")))),"0"),"SIN NUMERO"))</f>
        <v>CONC 2001</v>
      </c>
      <c r="Q79" t="str">
        <f ca="1">IF($P79="","",IF(LEFT(UPPER($S79),9)="VERIFICAR","VERIFICAR",IF($A79="","SIN ESTADO",IF(AND($A79="Firmada",$H79=""),"FALTA FECHA DE FIRMA",IF(N($T79)=0,IF(AND(ISNUMBER($H79),$H79&gt;=DATE(2024,1,1)),"FALTA EN FIRMADAS","OK"),IF(OR($A79="Pendiente de presentación",$A79="Observado",$A79="En análisis",$A79="En instrucción",$A79="Suspendida",$A79="IT circulando",$A79="Para resolución",$A79="TDC"),"ABIERTA PERO ESTÁ EN FIRMADAS",IF($H79&lt;&gt;INDEX(firmadas!$F:$F,$T79),"FIRMA DISTINTA EN firmadas ("&amp;IF(INDEX(firmadas!$F:$F,$T79)="","vacía",DAY(INDEX(firmadas!$F:$F,$T79))&amp;"/"&amp;MONTH(INDEX(firmadas!$F:$F,$T79))&amp;"/"&amp;YEAR(INDEX(firmadas!$F:$F,$T79)))&amp;")",IF($G79&lt;&gt;INDEX(firmadas!$E:$E,$T79),"INGRESO DISTINTO EN firmadas ("&amp;IF(INDEX(firmadas!$E:$E,$T79)="","vacía",DAY(INDEX(firmadas!$E:$E,$T79))&amp;"/"&amp;MONTH(INDEX(firmadas!$E:$E,$T79))&amp;"/"&amp;YEAR(INDEX(firmadas!$E:$E,$T79)))&amp;")","OK"))))))))</f>
        <v>OK</v>
      </c>
      <c r="T79">
        <f ca="1">IF($P79="","",IFERROR(MATCH($P79,firmadas!$N:$N,0),IFERROR(MATCH("*/"&amp;MID($P79,FIND(" ",$P79)+1,9)&amp;"*",firmadas!$B:$B,0),0)))</f>
        <v>110</v>
      </c>
    </row>
    <row r="80" spans="1:20" ht="18" customHeight="1" x14ac:dyDescent="0.25">
      <c r="A80" s="47" t="s">
        <v>80</v>
      </c>
      <c r="B80" s="47"/>
      <c r="C80" s="47" t="s">
        <v>62</v>
      </c>
      <c r="D80" s="45">
        <v>2003</v>
      </c>
      <c r="F80" s="47" t="s">
        <v>256</v>
      </c>
      <c r="G80" s="43">
        <v>45607</v>
      </c>
      <c r="H80" s="43">
        <v>45772</v>
      </c>
      <c r="M80" t="s">
        <v>202</v>
      </c>
      <c r="N80" s="53">
        <f t="shared" ca="1" si="1"/>
        <v>5.5</v>
      </c>
      <c r="P80" s="47" t="str">
        <f ca="1">IF(TRIM(SUBSTITUTE(($C80&amp;" "&amp;$D80),CHAR(160)," "))="","",IFERROR(IF(ISNUMBER(SEARCH("INC",($C80&amp;" "&amp;$D80))),"INC",IF(ISNUMBER(SEARCH("OPI",($C80&amp;" "&amp;$D80))),"OPI",IF(ISNUMBER(SEARCH("DP",($C80&amp;" "&amp;$D80))),"DP","CONC")))&amp;" "&amp;TEXT(LOOKUP(9.99E+307,--MID(SUBSTITUTE(($C80&amp;" "&amp;$D80),CHAR(160)," "),SUMPRODUCT(MIN(FIND({0,1,2,3,4,5,6,7,8,9},SUBSTITUTE(($C80&amp;" "&amp;$D80),CHAR(160)," ")&amp;"0123456789"))),ROW(INDIRECT("1:6")))),"0"),"SIN NUMERO"))</f>
        <v>CONC 2003</v>
      </c>
      <c r="Q80" t="str">
        <f ca="1">IF($P80="","",IF(LEFT(UPPER($S80),9)="VERIFICAR","VERIFICAR",IF($A80="","SIN ESTADO",IF(AND($A80="Firmada",$H80=""),"FALTA FECHA DE FIRMA",IF(N($T80)=0,IF(AND(ISNUMBER($H80),$H80&gt;=DATE(2024,1,1)),"FALTA EN FIRMADAS","OK"),IF(OR($A80="Pendiente de presentación",$A80="Observado",$A80="En análisis",$A80="En instrucción",$A80="Suspendida",$A80="IT circulando",$A80="Para resolución",$A80="TDC"),"ABIERTA PERO ESTÁ EN FIRMADAS",IF($H80&lt;&gt;INDEX(firmadas!$F:$F,$T80),"FIRMA DISTINTA EN firmadas ("&amp;IF(INDEX(firmadas!$F:$F,$T80)="","vacía",DAY(INDEX(firmadas!$F:$F,$T80))&amp;"/"&amp;MONTH(INDEX(firmadas!$F:$F,$T80))&amp;"/"&amp;YEAR(INDEX(firmadas!$F:$F,$T80)))&amp;")",IF($G80&lt;&gt;INDEX(firmadas!$E:$E,$T80),"INGRESO DISTINTO EN firmadas ("&amp;IF(INDEX(firmadas!$E:$E,$T80)="","vacía",DAY(INDEX(firmadas!$E:$E,$T80))&amp;"/"&amp;MONTH(INDEX(firmadas!$E:$E,$T80))&amp;"/"&amp;YEAR(INDEX(firmadas!$E:$E,$T80)))&amp;")","OK"))))))))</f>
        <v>OK</v>
      </c>
      <c r="T80">
        <f ca="1">IF($P80="","",IFERROR(MATCH($P80,firmadas!$N:$N,0),IFERROR(MATCH("*/"&amp;MID($P80,FIND(" ",$P80)+1,9)&amp;"*",firmadas!$B:$B,0),0)))</f>
        <v>111</v>
      </c>
    </row>
    <row r="81" spans="1:20" ht="18" customHeight="1" x14ac:dyDescent="0.25">
      <c r="A81" t="s">
        <v>80</v>
      </c>
      <c r="C81" t="s">
        <v>62</v>
      </c>
      <c r="D81" s="24" t="s">
        <v>257</v>
      </c>
      <c r="F81" t="s">
        <v>258</v>
      </c>
      <c r="G81" s="16">
        <v>45608</v>
      </c>
      <c r="H81" s="16">
        <v>46014</v>
      </c>
      <c r="I81" s="16"/>
      <c r="J81" s="16"/>
      <c r="M81" t="s">
        <v>83</v>
      </c>
      <c r="N81" s="53">
        <f t="shared" ca="1" si="1"/>
        <v>13.533333333333333</v>
      </c>
      <c r="P81" s="47" t="str">
        <f ca="1">IF(TRIM(SUBSTITUTE(($C81&amp;" "&amp;$D81),CHAR(160)," "))="","",IFERROR(IF(ISNUMBER(SEARCH("INC",($C81&amp;" "&amp;$D81))),"INC",IF(ISNUMBER(SEARCH("OPI",($C81&amp;" "&amp;$D81))),"OPI",IF(ISNUMBER(SEARCH("DP",($C81&amp;" "&amp;$D81))),"DP","CONC")))&amp;" "&amp;TEXT(LOOKUP(9.99E+307,--MID(SUBSTITUTE(($C81&amp;" "&amp;$D81),CHAR(160)," "),SUMPRODUCT(MIN(FIND({0,1,2,3,4,5,6,7,8,9},SUBSTITUTE(($C81&amp;" "&amp;$D81),CHAR(160)," ")&amp;"0123456789"))),ROW(INDIRECT("1:6")))),"0"),"SIN NUMERO"))</f>
        <v>CONC 2004</v>
      </c>
      <c r="Q81" t="str">
        <f ca="1">IF($P81="","",IF(LEFT(UPPER($S81),9)="VERIFICAR","VERIFICAR",IF($A81="","SIN ESTADO",IF(AND($A81="Firmada",$H81=""),"FALTA FECHA DE FIRMA",IF(N($T81)=0,IF(AND(ISNUMBER($H81),$H81&gt;=DATE(2024,1,1)),"FALTA EN FIRMADAS","OK"),IF(OR($A81="Pendiente de presentación",$A81="Observado",$A81="En análisis",$A81="En instrucción",$A81="Suspendida",$A81="IT circulando",$A81="Para resolución",$A81="TDC"),"ABIERTA PERO ESTÁ EN FIRMADAS",IF($H81&lt;&gt;INDEX(firmadas!$F:$F,$T81),"FIRMA DISTINTA EN firmadas ("&amp;IF(INDEX(firmadas!$F:$F,$T81)="","vacía",DAY(INDEX(firmadas!$F:$F,$T81))&amp;"/"&amp;MONTH(INDEX(firmadas!$F:$F,$T81))&amp;"/"&amp;YEAR(INDEX(firmadas!$F:$F,$T81)))&amp;")",IF($G81&lt;&gt;INDEX(firmadas!$E:$E,$T81),"INGRESO DISTINTO EN firmadas ("&amp;IF(INDEX(firmadas!$E:$E,$T81)="","vacía",DAY(INDEX(firmadas!$E:$E,$T81))&amp;"/"&amp;MONTH(INDEX(firmadas!$E:$E,$T81))&amp;"/"&amp;YEAR(INDEX(firmadas!$E:$E,$T81)))&amp;")","OK"))))))))</f>
        <v>OK</v>
      </c>
      <c r="T81">
        <f ca="1">IF($P81="","",IFERROR(MATCH($P81,firmadas!$N:$N,0),IFERROR(MATCH("*/"&amp;MID($P81,FIND(" ",$P81)+1,9)&amp;"*",firmadas!$B:$B,0),0)))</f>
        <v>183</v>
      </c>
    </row>
    <row r="82" spans="1:20" ht="18" customHeight="1" x14ac:dyDescent="0.25">
      <c r="A82" t="s">
        <v>80</v>
      </c>
      <c r="C82" t="s">
        <v>62</v>
      </c>
      <c r="D82" s="24" t="s">
        <v>259</v>
      </c>
      <c r="F82" t="s">
        <v>260</v>
      </c>
      <c r="G82" s="16">
        <v>45615</v>
      </c>
      <c r="H82" s="16">
        <v>46037</v>
      </c>
      <c r="I82" s="16"/>
      <c r="J82" s="16"/>
      <c r="M82" t="s">
        <v>83</v>
      </c>
      <c r="N82" s="53">
        <f t="shared" ca="1" si="1"/>
        <v>14.066666666666666</v>
      </c>
      <c r="P82" s="47" t="str">
        <f ca="1">IF(TRIM(SUBSTITUTE(($C82&amp;" "&amp;$D82),CHAR(160)," "))="","",IFERROR(IF(ISNUMBER(SEARCH("INC",($C82&amp;" "&amp;$D82))),"INC",IF(ISNUMBER(SEARCH("OPI",($C82&amp;" "&amp;$D82))),"OPI",IF(ISNUMBER(SEARCH("DP",($C82&amp;" "&amp;$D82))),"DP","CONC")))&amp;" "&amp;TEXT(LOOKUP(9.99E+307,--MID(SUBSTITUTE(($C82&amp;" "&amp;$D82),CHAR(160)," "),SUMPRODUCT(MIN(FIND({0,1,2,3,4,5,6,7,8,9},SUBSTITUTE(($C82&amp;" "&amp;$D82),CHAR(160)," ")&amp;"0123456789"))),ROW(INDIRECT("1:6")))),"0"),"SIN NUMERO"))</f>
        <v>CONC 2005</v>
      </c>
      <c r="Q82" t="str">
        <f ca="1">IF($P82="","",IF(LEFT(UPPER($S82),9)="VERIFICAR","VERIFICAR",IF($A82="","SIN ESTADO",IF(AND($A82="Firmada",$H82=""),"FALTA FECHA DE FIRMA",IF(N($T82)=0,IF(AND(ISNUMBER($H82),$H82&gt;=DATE(2024,1,1)),"FALTA EN FIRMADAS","OK"),IF(OR($A82="Pendiente de presentación",$A82="Observado",$A82="En análisis",$A82="En instrucción",$A82="Suspendida",$A82="IT circulando",$A82="Para resolución",$A82="TDC"),"ABIERTA PERO ESTÁ EN FIRMADAS",IF($H82&lt;&gt;INDEX(firmadas!$F:$F,$T82),"FIRMA DISTINTA EN firmadas ("&amp;IF(INDEX(firmadas!$F:$F,$T82)="","vacía",DAY(INDEX(firmadas!$F:$F,$T82))&amp;"/"&amp;MONTH(INDEX(firmadas!$F:$F,$T82))&amp;"/"&amp;YEAR(INDEX(firmadas!$F:$F,$T82)))&amp;")",IF($G82&lt;&gt;INDEX(firmadas!$E:$E,$T82),"INGRESO DISTINTO EN firmadas ("&amp;IF(INDEX(firmadas!$E:$E,$T82)="","vacía",DAY(INDEX(firmadas!$E:$E,$T82))&amp;"/"&amp;MONTH(INDEX(firmadas!$E:$E,$T82))&amp;"/"&amp;YEAR(INDEX(firmadas!$E:$E,$T82)))&amp;")","OK"))))))))</f>
        <v>OK</v>
      </c>
      <c r="T82">
        <f ca="1">IF($P82="","",IFERROR(MATCH($P82,firmadas!$N:$N,0),IFERROR(MATCH("*/"&amp;MID($P82,FIND(" ",$P82)+1,9)&amp;"*",firmadas!$B:$B,0),0)))</f>
        <v>192</v>
      </c>
    </row>
    <row r="83" spans="1:20" ht="18" customHeight="1" x14ac:dyDescent="0.25">
      <c r="A83" s="47" t="s">
        <v>80</v>
      </c>
      <c r="B83" s="47"/>
      <c r="C83" s="47" t="s">
        <v>62</v>
      </c>
      <c r="D83" s="45">
        <v>2006</v>
      </c>
      <c r="F83" s="47" t="s">
        <v>261</v>
      </c>
      <c r="G83" s="43">
        <v>45622</v>
      </c>
      <c r="H83" s="43">
        <v>45953</v>
      </c>
      <c r="M83" t="s">
        <v>83</v>
      </c>
      <c r="N83" s="53">
        <f t="shared" ca="1" si="1"/>
        <v>11.033333333333333</v>
      </c>
      <c r="P83" s="47" t="str">
        <f ca="1">IF(TRIM(SUBSTITUTE(($C83&amp;" "&amp;$D83),CHAR(160)," "))="","",IFERROR(IF(ISNUMBER(SEARCH("INC",($C83&amp;" "&amp;$D83))),"INC",IF(ISNUMBER(SEARCH("OPI",($C83&amp;" "&amp;$D83))),"OPI",IF(ISNUMBER(SEARCH("DP",($C83&amp;" "&amp;$D83))),"DP","CONC")))&amp;" "&amp;TEXT(LOOKUP(9.99E+307,--MID(SUBSTITUTE(($C83&amp;" "&amp;$D83),CHAR(160)," "),SUMPRODUCT(MIN(FIND({0,1,2,3,4,5,6,7,8,9},SUBSTITUTE(($C83&amp;" "&amp;$D83),CHAR(160)," ")&amp;"0123456789"))),ROW(INDIRECT("1:6")))),"0"),"SIN NUMERO"))</f>
        <v>CONC 2006</v>
      </c>
      <c r="Q83" t="str">
        <f ca="1">IF($P83="","",IF(LEFT(UPPER($S83),9)="VERIFICAR","VERIFICAR",IF($A83="","SIN ESTADO",IF(AND($A83="Firmada",$H83=""),"FALTA FECHA DE FIRMA",IF(N($T83)=0,IF(AND(ISNUMBER($H83),$H83&gt;=DATE(2024,1,1)),"FALTA EN FIRMADAS","OK"),IF(OR($A83="Pendiente de presentación",$A83="Observado",$A83="En análisis",$A83="En instrucción",$A83="Suspendida",$A83="IT circulando",$A83="Para resolución",$A83="TDC"),"ABIERTA PERO ESTÁ EN FIRMADAS",IF($H83&lt;&gt;INDEX(firmadas!$F:$F,$T83),"FIRMA DISTINTA EN firmadas ("&amp;IF(INDEX(firmadas!$F:$F,$T83)="","vacía",DAY(INDEX(firmadas!$F:$F,$T83))&amp;"/"&amp;MONTH(INDEX(firmadas!$F:$F,$T83))&amp;"/"&amp;YEAR(INDEX(firmadas!$F:$F,$T83)))&amp;")",IF($G83&lt;&gt;INDEX(firmadas!$E:$E,$T83),"INGRESO DISTINTO EN firmadas ("&amp;IF(INDEX(firmadas!$E:$E,$T83)="","vacía",DAY(INDEX(firmadas!$E:$E,$T83))&amp;"/"&amp;MONTH(INDEX(firmadas!$E:$E,$T83))&amp;"/"&amp;YEAR(INDEX(firmadas!$E:$E,$T83)))&amp;")","OK"))))))))</f>
        <v>OK</v>
      </c>
      <c r="T83">
        <f ca="1">IF($P83="","",IFERROR(MATCH($P83,firmadas!$N:$N,0),IFERROR(MATCH("*/"&amp;MID($P83,FIND(" ",$P83)+1,9)&amp;"*",firmadas!$B:$B,0),0)))</f>
        <v>153</v>
      </c>
    </row>
    <row r="84" spans="1:20" ht="18" customHeight="1" x14ac:dyDescent="0.25">
      <c r="A84" s="47" t="s">
        <v>80</v>
      </c>
      <c r="B84" s="47"/>
      <c r="C84" s="47" t="s">
        <v>62</v>
      </c>
      <c r="D84" s="45">
        <v>2007</v>
      </c>
      <c r="F84" s="47" t="s">
        <v>262</v>
      </c>
      <c r="G84" s="43">
        <v>45624</v>
      </c>
      <c r="H84" s="43">
        <v>45925</v>
      </c>
      <c r="N84" s="53">
        <f t="shared" ca="1" si="1"/>
        <v>10.033333333333333</v>
      </c>
      <c r="P84" s="47" t="str">
        <f ca="1">IF(TRIM(SUBSTITUTE(($C84&amp;" "&amp;$D84),CHAR(160)," "))="","",IFERROR(IF(ISNUMBER(SEARCH("INC",($C84&amp;" "&amp;$D84))),"INC",IF(ISNUMBER(SEARCH("OPI",($C84&amp;" "&amp;$D84))),"OPI",IF(ISNUMBER(SEARCH("DP",($C84&amp;" "&amp;$D84))),"DP","CONC")))&amp;" "&amp;TEXT(LOOKUP(9.99E+307,--MID(SUBSTITUTE(($C84&amp;" "&amp;$D84),CHAR(160)," "),SUMPRODUCT(MIN(FIND({0,1,2,3,4,5,6,7,8,9},SUBSTITUTE(($C84&amp;" "&amp;$D84),CHAR(160)," ")&amp;"0123456789"))),ROW(INDIRECT("1:6")))),"0"),"SIN NUMERO"))</f>
        <v>CONC 2007</v>
      </c>
      <c r="Q84" t="str">
        <f ca="1">IF($P84="","",IF(LEFT(UPPER($S84),9)="VERIFICAR","VERIFICAR",IF($A84="","SIN ESTADO",IF(AND($A84="Firmada",$H84=""),"FALTA FECHA DE FIRMA",IF(N($T84)=0,IF(AND(ISNUMBER($H84),$H84&gt;=DATE(2024,1,1)),"FALTA EN FIRMADAS","OK"),IF(OR($A84="Pendiente de presentación",$A84="Observado",$A84="En análisis",$A84="En instrucción",$A84="Suspendida",$A84="IT circulando",$A84="Para resolución",$A84="TDC"),"ABIERTA PERO ESTÁ EN FIRMADAS",IF($H84&lt;&gt;INDEX(firmadas!$F:$F,$T84),"FIRMA DISTINTA EN firmadas ("&amp;IF(INDEX(firmadas!$F:$F,$T84)="","vacía",DAY(INDEX(firmadas!$F:$F,$T84))&amp;"/"&amp;MONTH(INDEX(firmadas!$F:$F,$T84))&amp;"/"&amp;YEAR(INDEX(firmadas!$F:$F,$T84)))&amp;")",IF($G84&lt;&gt;INDEX(firmadas!$E:$E,$T84),"INGRESO DISTINTO EN firmadas ("&amp;IF(INDEX(firmadas!$E:$E,$T84)="","vacía",DAY(INDEX(firmadas!$E:$E,$T84))&amp;"/"&amp;MONTH(INDEX(firmadas!$E:$E,$T84))&amp;"/"&amp;YEAR(INDEX(firmadas!$E:$E,$T84)))&amp;")","OK"))))))))</f>
        <v>VERIFICAR</v>
      </c>
      <c r="S84" t="s">
        <v>263</v>
      </c>
      <c r="T84">
        <f ca="1">IF($P84="","",IFERROR(MATCH($P84,firmadas!$N:$N,0),IFERROR(MATCH("*/"&amp;MID($P84,FIND(" ",$P84)+1,9)&amp;"*",firmadas!$B:$B,0),0)))</f>
        <v>143</v>
      </c>
    </row>
    <row r="85" spans="1:20" ht="18" customHeight="1" x14ac:dyDescent="0.25">
      <c r="A85" t="s">
        <v>80</v>
      </c>
      <c r="C85" s="44" t="s">
        <v>145</v>
      </c>
      <c r="D85" s="42">
        <v>2008</v>
      </c>
      <c r="E85" s="44" t="s">
        <v>264</v>
      </c>
      <c r="F85" s="44" t="s">
        <v>265</v>
      </c>
      <c r="G85" s="16">
        <v>45636</v>
      </c>
      <c r="H85" s="16">
        <v>46080</v>
      </c>
      <c r="I85" s="26" t="s">
        <v>187</v>
      </c>
      <c r="J85" s="26" t="s">
        <v>138</v>
      </c>
      <c r="K85" s="44" t="s">
        <v>197</v>
      </c>
      <c r="L85" s="44" t="s">
        <v>104</v>
      </c>
      <c r="M85" t="s">
        <v>202</v>
      </c>
      <c r="N85" s="53">
        <f t="shared" ca="1" si="1"/>
        <v>14.8</v>
      </c>
      <c r="P85" s="47" t="str">
        <f ca="1">IF(TRIM(SUBSTITUTE(($C85&amp;" "&amp;$D85),CHAR(160)," "))="","",IFERROR(IF(ISNUMBER(SEARCH("INC",($C85&amp;" "&amp;$D85))),"INC",IF(ISNUMBER(SEARCH("OPI",($C85&amp;" "&amp;$D85))),"OPI",IF(ISNUMBER(SEARCH("DP",($C85&amp;" "&amp;$D85))),"DP","CONC")))&amp;" "&amp;TEXT(LOOKUP(9.99E+307,--MID(SUBSTITUTE(($C85&amp;" "&amp;$D85),CHAR(160)," "),SUMPRODUCT(MIN(FIND({0,1,2,3,4,5,6,7,8,9},SUBSTITUTE(($C85&amp;" "&amp;$D85),CHAR(160)," ")&amp;"0123456789"))),ROW(INDIRECT("1:6")))),"0"),"SIN NUMERO"))</f>
        <v>CONC 2008</v>
      </c>
      <c r="Q85" t="str">
        <f ca="1">IF($P85="","",IF(LEFT(UPPER($S85),9)="VERIFICAR","VERIFICAR",IF($A85="","SIN ESTADO",IF(AND($A85="Firmada",$H85=""),"FALTA FECHA DE FIRMA",IF(N($T85)=0,IF(AND(ISNUMBER($H85),$H85&gt;=DATE(2024,1,1)),"FALTA EN FIRMADAS","OK"),IF(OR($A85="Pendiente de presentación",$A85="Observado",$A85="En análisis",$A85="En instrucción",$A85="Suspendida",$A85="IT circulando",$A85="Para resolución",$A85="TDC"),"ABIERTA PERO ESTÁ EN FIRMADAS",IF($H85&lt;&gt;INDEX(firmadas!$F:$F,$T85),"FIRMA DISTINTA EN firmadas ("&amp;IF(INDEX(firmadas!$F:$F,$T85)="","vacía",DAY(INDEX(firmadas!$F:$F,$T85))&amp;"/"&amp;MONTH(INDEX(firmadas!$F:$F,$T85))&amp;"/"&amp;YEAR(INDEX(firmadas!$F:$F,$T85)))&amp;")",IF($G85&lt;&gt;INDEX(firmadas!$E:$E,$T85),"INGRESO DISTINTO EN firmadas ("&amp;IF(INDEX(firmadas!$E:$E,$T85)="","vacía",DAY(INDEX(firmadas!$E:$E,$T85))&amp;"/"&amp;MONTH(INDEX(firmadas!$E:$E,$T85))&amp;"/"&amp;YEAR(INDEX(firmadas!$E:$E,$T85)))&amp;")","OK"))))))))</f>
        <v>OK</v>
      </c>
      <c r="T85">
        <f ca="1">IF($P85="","",IFERROR(MATCH($P85,firmadas!$N:$N,0),IFERROR(MATCH("*/"&amp;MID($P85,FIND(" ",$P85)+1,9)&amp;"*",firmadas!$B:$B,0),0)))</f>
        <v>209</v>
      </c>
    </row>
    <row r="86" spans="1:20" ht="18" customHeight="1" x14ac:dyDescent="0.25">
      <c r="A86" s="47" t="s">
        <v>80</v>
      </c>
      <c r="B86" s="47"/>
      <c r="C86" s="47" t="s">
        <v>62</v>
      </c>
      <c r="D86" s="45">
        <v>2009</v>
      </c>
      <c r="F86" s="47" t="s">
        <v>266</v>
      </c>
      <c r="G86" s="43">
        <v>45638</v>
      </c>
      <c r="H86" s="43">
        <v>45772</v>
      </c>
      <c r="M86" t="s">
        <v>202</v>
      </c>
      <c r="N86" s="53">
        <f t="shared" ca="1" si="1"/>
        <v>4.4666666666666668</v>
      </c>
      <c r="P86" s="47" t="str">
        <f ca="1">IF(TRIM(SUBSTITUTE(($C86&amp;" "&amp;$D86),CHAR(160)," "))="","",IFERROR(IF(ISNUMBER(SEARCH("INC",($C86&amp;" "&amp;$D86))),"INC",IF(ISNUMBER(SEARCH("OPI",($C86&amp;" "&amp;$D86))),"OPI",IF(ISNUMBER(SEARCH("DP",($C86&amp;" "&amp;$D86))),"DP","CONC")))&amp;" "&amp;TEXT(LOOKUP(9.99E+307,--MID(SUBSTITUTE(($C86&amp;" "&amp;$D86),CHAR(160)," "),SUMPRODUCT(MIN(FIND({0,1,2,3,4,5,6,7,8,9},SUBSTITUTE(($C86&amp;" "&amp;$D86),CHAR(160)," ")&amp;"0123456789"))),ROW(INDIRECT("1:6")))),"0"),"SIN NUMERO"))</f>
        <v>CONC 2009</v>
      </c>
      <c r="Q86" t="str">
        <f ca="1">IF($P86="","",IF(LEFT(UPPER($S86),9)="VERIFICAR","VERIFICAR",IF($A86="","SIN ESTADO",IF(AND($A86="Firmada",$H86=""),"FALTA FECHA DE FIRMA",IF(N($T86)=0,IF(AND(ISNUMBER($H86),$H86&gt;=DATE(2024,1,1)),"FALTA EN FIRMADAS","OK"),IF(OR($A86="Pendiente de presentación",$A86="Observado",$A86="En análisis",$A86="En instrucción",$A86="Suspendida",$A86="IT circulando",$A86="Para resolución",$A86="TDC"),"ABIERTA PERO ESTÁ EN FIRMADAS",IF($H86&lt;&gt;INDEX(firmadas!$F:$F,$T86),"FIRMA DISTINTA EN firmadas ("&amp;IF(INDEX(firmadas!$F:$F,$T86)="","vacía",DAY(INDEX(firmadas!$F:$F,$T86))&amp;"/"&amp;MONTH(INDEX(firmadas!$F:$F,$T86))&amp;"/"&amp;YEAR(INDEX(firmadas!$F:$F,$T86)))&amp;")",IF($G86&lt;&gt;INDEX(firmadas!$E:$E,$T86),"INGRESO DISTINTO EN firmadas ("&amp;IF(INDEX(firmadas!$E:$E,$T86)="","vacía",DAY(INDEX(firmadas!$E:$E,$T86))&amp;"/"&amp;MONTH(INDEX(firmadas!$E:$E,$T86))&amp;"/"&amp;YEAR(INDEX(firmadas!$E:$E,$T86)))&amp;")","OK"))))))))</f>
        <v>OK</v>
      </c>
      <c r="T86">
        <f ca="1">IF($P86="","",IFERROR(MATCH($P86,firmadas!$N:$N,0),IFERROR(MATCH("*/"&amp;MID($P86,FIND(" ",$P86)+1,9)&amp;"*",firmadas!$B:$B,0),0)))</f>
        <v>112</v>
      </c>
    </row>
    <row r="87" spans="1:20" ht="18" customHeight="1" x14ac:dyDescent="0.25">
      <c r="A87" t="s">
        <v>80</v>
      </c>
      <c r="C87" s="44" t="s">
        <v>145</v>
      </c>
      <c r="D87" s="42">
        <v>2010</v>
      </c>
      <c r="E87" s="44" t="s">
        <v>267</v>
      </c>
      <c r="F87" s="44" t="s">
        <v>268</v>
      </c>
      <c r="G87" s="16">
        <v>45639</v>
      </c>
      <c r="H87" s="16">
        <v>46045</v>
      </c>
      <c r="I87" s="26" t="s">
        <v>110</v>
      </c>
      <c r="J87" s="26" t="s">
        <v>138</v>
      </c>
      <c r="K87" s="44" t="s">
        <v>133</v>
      </c>
      <c r="L87" s="44" t="s">
        <v>96</v>
      </c>
      <c r="M87" t="s">
        <v>83</v>
      </c>
      <c r="N87" s="53">
        <f t="shared" ca="1" si="1"/>
        <v>13.533333333333333</v>
      </c>
      <c r="P87" s="47" t="str">
        <f ca="1">IF(TRIM(SUBSTITUTE(($C87&amp;" "&amp;$D87),CHAR(160)," "))="","",IFERROR(IF(ISNUMBER(SEARCH("INC",($C87&amp;" "&amp;$D87))),"INC",IF(ISNUMBER(SEARCH("OPI",($C87&amp;" "&amp;$D87))),"OPI",IF(ISNUMBER(SEARCH("DP",($C87&amp;" "&amp;$D87))),"DP","CONC")))&amp;" "&amp;TEXT(LOOKUP(9.99E+307,--MID(SUBSTITUTE(($C87&amp;" "&amp;$D87),CHAR(160)," "),SUMPRODUCT(MIN(FIND({0,1,2,3,4,5,6,7,8,9},SUBSTITUTE(($C87&amp;" "&amp;$D87),CHAR(160)," ")&amp;"0123456789"))),ROW(INDIRECT("1:6")))),"0"),"SIN NUMERO"))</f>
        <v>CONC 2010</v>
      </c>
      <c r="Q87" t="str">
        <f ca="1">IF($P87="","",IF(LEFT(UPPER($S87),9)="VERIFICAR","VERIFICAR",IF($A87="","SIN ESTADO",IF(AND($A87="Firmada",$H87=""),"FALTA FECHA DE FIRMA",IF(N($T87)=0,IF(AND(ISNUMBER($H87),$H87&gt;=DATE(2024,1,1)),"FALTA EN FIRMADAS","OK"),IF(OR($A87="Pendiente de presentación",$A87="Observado",$A87="En análisis",$A87="En instrucción",$A87="Suspendida",$A87="IT circulando",$A87="Para resolución",$A87="TDC"),"ABIERTA PERO ESTÁ EN FIRMADAS",IF($H87&lt;&gt;INDEX(firmadas!$F:$F,$T87),"FIRMA DISTINTA EN firmadas ("&amp;IF(INDEX(firmadas!$F:$F,$T87)="","vacía",DAY(INDEX(firmadas!$F:$F,$T87))&amp;"/"&amp;MONTH(INDEX(firmadas!$F:$F,$T87))&amp;"/"&amp;YEAR(INDEX(firmadas!$F:$F,$T87)))&amp;")",IF($G87&lt;&gt;INDEX(firmadas!$E:$E,$T87),"INGRESO DISTINTO EN firmadas ("&amp;IF(INDEX(firmadas!$E:$E,$T87)="","vacía",DAY(INDEX(firmadas!$E:$E,$T87))&amp;"/"&amp;MONTH(INDEX(firmadas!$E:$E,$T87))&amp;"/"&amp;YEAR(INDEX(firmadas!$E:$E,$T87)))&amp;")","OK"))))))))</f>
        <v>OK</v>
      </c>
      <c r="T87">
        <f ca="1">IF($P87="","",IFERROR(MATCH($P87,firmadas!$N:$N,0),IFERROR(MATCH("*/"&amp;MID($P87,FIND(" ",$P87)+1,9)&amp;"*",firmadas!$B:$B,0),0)))</f>
        <v>198</v>
      </c>
    </row>
    <row r="88" spans="1:20" ht="18" customHeight="1" x14ac:dyDescent="0.25">
      <c r="A88" s="47" t="s">
        <v>80</v>
      </c>
      <c r="B88" s="47"/>
      <c r="C88" s="47" t="s">
        <v>62</v>
      </c>
      <c r="D88" s="45">
        <v>2011</v>
      </c>
      <c r="F88" s="47" t="s">
        <v>269</v>
      </c>
      <c r="G88" s="43">
        <v>45646</v>
      </c>
      <c r="H88" s="43">
        <v>45862</v>
      </c>
      <c r="M88" t="s">
        <v>83</v>
      </c>
      <c r="N88" s="53">
        <f t="shared" ca="1" si="1"/>
        <v>7.2</v>
      </c>
      <c r="P88" s="47" t="str">
        <f ca="1">IF(TRIM(SUBSTITUTE(($C88&amp;" "&amp;$D88),CHAR(160)," "))="","",IFERROR(IF(ISNUMBER(SEARCH("INC",($C88&amp;" "&amp;$D88))),"INC",IF(ISNUMBER(SEARCH("OPI",($C88&amp;" "&amp;$D88))),"OPI",IF(ISNUMBER(SEARCH("DP",($C88&amp;" "&amp;$D88))),"DP","CONC")))&amp;" "&amp;TEXT(LOOKUP(9.99E+307,--MID(SUBSTITUTE(($C88&amp;" "&amp;$D88),CHAR(160)," "),SUMPRODUCT(MIN(FIND({0,1,2,3,4,5,6,7,8,9},SUBSTITUTE(($C88&amp;" "&amp;$D88),CHAR(160)," ")&amp;"0123456789"))),ROW(INDIRECT("1:6")))),"0"),"SIN NUMERO"))</f>
        <v>CONC 2011</v>
      </c>
      <c r="Q88" t="str">
        <f ca="1">IF($P88="","",IF(LEFT(UPPER($S88),9)="VERIFICAR","VERIFICAR",IF($A88="","SIN ESTADO",IF(AND($A88="Firmada",$H88=""),"FALTA FECHA DE FIRMA",IF(N($T88)=0,IF(AND(ISNUMBER($H88),$H88&gt;=DATE(2024,1,1)),"FALTA EN FIRMADAS","OK"),IF(OR($A88="Pendiente de presentación",$A88="Observado",$A88="En análisis",$A88="En instrucción",$A88="Suspendida",$A88="IT circulando",$A88="Para resolución",$A88="TDC"),"ABIERTA PERO ESTÁ EN FIRMADAS",IF($H88&lt;&gt;INDEX(firmadas!$F:$F,$T88),"FIRMA DISTINTA EN firmadas ("&amp;IF(INDEX(firmadas!$F:$F,$T88)="","vacía",DAY(INDEX(firmadas!$F:$F,$T88))&amp;"/"&amp;MONTH(INDEX(firmadas!$F:$F,$T88))&amp;"/"&amp;YEAR(INDEX(firmadas!$F:$F,$T88)))&amp;")",IF($G88&lt;&gt;INDEX(firmadas!$E:$E,$T88),"INGRESO DISTINTO EN firmadas ("&amp;IF(INDEX(firmadas!$E:$E,$T88)="","vacía",DAY(INDEX(firmadas!$E:$E,$T88))&amp;"/"&amp;MONTH(INDEX(firmadas!$E:$E,$T88))&amp;"/"&amp;YEAR(INDEX(firmadas!$E:$E,$T88)))&amp;")","OK"))))))))</f>
        <v>OK</v>
      </c>
      <c r="T88">
        <f ca="1">IF($P88="","",IFERROR(MATCH($P88,firmadas!$N:$N,0),IFERROR(MATCH("*/"&amp;MID($P88,FIND(" ",$P88)+1,9)&amp;"*",firmadas!$B:$B,0),0)))</f>
        <v>128</v>
      </c>
    </row>
    <row r="89" spans="1:20" ht="18" customHeight="1" x14ac:dyDescent="0.25">
      <c r="A89" s="47" t="s">
        <v>80</v>
      </c>
      <c r="B89" s="47"/>
      <c r="C89" s="47" t="s">
        <v>62</v>
      </c>
      <c r="D89" s="45">
        <v>2012</v>
      </c>
      <c r="F89" s="47" t="s">
        <v>270</v>
      </c>
      <c r="G89" s="43">
        <v>45652</v>
      </c>
      <c r="H89" s="43">
        <v>45812</v>
      </c>
      <c r="M89" t="s">
        <v>83</v>
      </c>
      <c r="N89" s="53">
        <f t="shared" ca="1" si="1"/>
        <v>5.333333333333333</v>
      </c>
      <c r="P89" s="47" t="str">
        <f ca="1">IF(TRIM(SUBSTITUTE(($C89&amp;" "&amp;$D89),CHAR(160)," "))="","",IFERROR(IF(ISNUMBER(SEARCH("INC",($C89&amp;" "&amp;$D89))),"INC",IF(ISNUMBER(SEARCH("OPI",($C89&amp;" "&amp;$D89))),"OPI",IF(ISNUMBER(SEARCH("DP",($C89&amp;" "&amp;$D89))),"DP","CONC")))&amp;" "&amp;TEXT(LOOKUP(9.99E+307,--MID(SUBSTITUTE(($C89&amp;" "&amp;$D89),CHAR(160)," "),SUMPRODUCT(MIN(FIND({0,1,2,3,4,5,6,7,8,9},SUBSTITUTE(($C89&amp;" "&amp;$D89),CHAR(160)," ")&amp;"0123456789"))),ROW(INDIRECT("1:6")))),"0"),"SIN NUMERO"))</f>
        <v>CONC 2012</v>
      </c>
      <c r="Q89" t="str">
        <f ca="1">IF($P89="","",IF(LEFT(UPPER($S89),9)="VERIFICAR","VERIFICAR",IF($A89="","SIN ESTADO",IF(AND($A89="Firmada",$H89=""),"FALTA FECHA DE FIRMA",IF(N($T89)=0,IF(AND(ISNUMBER($H89),$H89&gt;=DATE(2024,1,1)),"FALTA EN FIRMADAS","OK"),IF(OR($A89="Pendiente de presentación",$A89="Observado",$A89="En análisis",$A89="En instrucción",$A89="Suspendida",$A89="IT circulando",$A89="Para resolución",$A89="TDC"),"ABIERTA PERO ESTÁ EN FIRMADAS",IF($H89&lt;&gt;INDEX(firmadas!$F:$F,$T89),"FIRMA DISTINTA EN firmadas ("&amp;IF(INDEX(firmadas!$F:$F,$T89)="","vacía",DAY(INDEX(firmadas!$F:$F,$T89))&amp;"/"&amp;MONTH(INDEX(firmadas!$F:$F,$T89))&amp;"/"&amp;YEAR(INDEX(firmadas!$F:$F,$T89)))&amp;")",IF($G89&lt;&gt;INDEX(firmadas!$E:$E,$T89),"INGRESO DISTINTO EN firmadas ("&amp;IF(INDEX(firmadas!$E:$E,$T89)="","vacía",DAY(INDEX(firmadas!$E:$E,$T89))&amp;"/"&amp;MONTH(INDEX(firmadas!$E:$E,$T89))&amp;"/"&amp;YEAR(INDEX(firmadas!$E:$E,$T89)))&amp;")","OK"))))))))</f>
        <v>OK</v>
      </c>
      <c r="T89">
        <f ca="1">IF($P89="","",IFERROR(MATCH($P89,firmadas!$N:$N,0),IFERROR(MATCH("*/"&amp;MID($P89,FIND(" ",$P89)+1,9)&amp;"*",firmadas!$B:$B,0),0)))</f>
        <v>116</v>
      </c>
    </row>
    <row r="90" spans="1:20" ht="18" customHeight="1" x14ac:dyDescent="0.25">
      <c r="A90" s="47" t="s">
        <v>80</v>
      </c>
      <c r="B90" s="47"/>
      <c r="C90" s="47" t="s">
        <v>62</v>
      </c>
      <c r="D90" s="45">
        <v>2013</v>
      </c>
      <c r="F90" s="47" t="s">
        <v>271</v>
      </c>
      <c r="G90" s="43">
        <v>45652</v>
      </c>
      <c r="H90" s="43">
        <v>45854</v>
      </c>
      <c r="M90" t="s">
        <v>83</v>
      </c>
      <c r="N90" s="53">
        <f t="shared" ca="1" si="1"/>
        <v>6.7333333333333334</v>
      </c>
      <c r="P90" s="47" t="str">
        <f ca="1">IF(TRIM(SUBSTITUTE(($C90&amp;" "&amp;$D90),CHAR(160)," "))="","",IFERROR(IF(ISNUMBER(SEARCH("INC",($C90&amp;" "&amp;$D90))),"INC",IF(ISNUMBER(SEARCH("OPI",($C90&amp;" "&amp;$D90))),"OPI",IF(ISNUMBER(SEARCH("DP",($C90&amp;" "&amp;$D90))),"DP","CONC")))&amp;" "&amp;TEXT(LOOKUP(9.99E+307,--MID(SUBSTITUTE(($C90&amp;" "&amp;$D90),CHAR(160)," "),SUMPRODUCT(MIN(FIND({0,1,2,3,4,5,6,7,8,9},SUBSTITUTE(($C90&amp;" "&amp;$D90),CHAR(160)," ")&amp;"0123456789"))),ROW(INDIRECT("1:6")))),"0"),"SIN NUMERO"))</f>
        <v>CONC 2013</v>
      </c>
      <c r="Q90" t="str">
        <f ca="1">IF($P90="","",IF(LEFT(UPPER($S90),9)="VERIFICAR","VERIFICAR",IF($A90="","SIN ESTADO",IF(AND($A90="Firmada",$H90=""),"FALTA FECHA DE FIRMA",IF(N($T90)=0,IF(AND(ISNUMBER($H90),$H90&gt;=DATE(2024,1,1)),"FALTA EN FIRMADAS","OK"),IF(OR($A90="Pendiente de presentación",$A90="Observado",$A90="En análisis",$A90="En instrucción",$A90="Suspendida",$A90="IT circulando",$A90="Para resolución",$A90="TDC"),"ABIERTA PERO ESTÁ EN FIRMADAS",IF($H90&lt;&gt;INDEX(firmadas!$F:$F,$T90),"FIRMA DISTINTA EN firmadas ("&amp;IF(INDEX(firmadas!$F:$F,$T90)="","vacía",DAY(INDEX(firmadas!$F:$F,$T90))&amp;"/"&amp;MONTH(INDEX(firmadas!$F:$F,$T90))&amp;"/"&amp;YEAR(INDEX(firmadas!$F:$F,$T90)))&amp;")",IF($G90&lt;&gt;INDEX(firmadas!$E:$E,$T90),"INGRESO DISTINTO EN firmadas ("&amp;IF(INDEX(firmadas!$E:$E,$T90)="","vacía",DAY(INDEX(firmadas!$E:$E,$T90))&amp;"/"&amp;MONTH(INDEX(firmadas!$E:$E,$T90))&amp;"/"&amp;YEAR(INDEX(firmadas!$E:$E,$T90)))&amp;")","OK"))))))))</f>
        <v>OK</v>
      </c>
      <c r="T90">
        <f ca="1">IF($P90="","",IFERROR(MATCH($P90,firmadas!$N:$N,0),IFERROR(MATCH("*/"&amp;MID($P90,FIND(" ",$P90)+1,9)&amp;"*",firmadas!$B:$B,0),0)))</f>
        <v>126</v>
      </c>
    </row>
    <row r="91" spans="1:20" ht="18" customHeight="1" x14ac:dyDescent="0.25">
      <c r="A91" t="s">
        <v>80</v>
      </c>
      <c r="C91" t="s">
        <v>145</v>
      </c>
      <c r="D91" s="24">
        <v>2014</v>
      </c>
      <c r="E91" t="s">
        <v>272</v>
      </c>
      <c r="F91" t="s">
        <v>273</v>
      </c>
      <c r="G91" s="16">
        <v>45659</v>
      </c>
      <c r="H91" s="16">
        <v>46111</v>
      </c>
      <c r="I91" t="s">
        <v>93</v>
      </c>
      <c r="J91" t="s">
        <v>138</v>
      </c>
      <c r="K91" t="s">
        <v>197</v>
      </c>
      <c r="L91" t="s">
        <v>112</v>
      </c>
      <c r="M91" s="44" t="s">
        <v>202</v>
      </c>
      <c r="N91" s="53">
        <f t="shared" ca="1" si="1"/>
        <v>15.066666666666666</v>
      </c>
      <c r="P91" s="47" t="str">
        <f ca="1">IF(TRIM(SUBSTITUTE(($C91&amp;" "&amp;$D91),CHAR(160)," "))="","",IFERROR(IF(ISNUMBER(SEARCH("INC",($C91&amp;" "&amp;$D91))),"INC",IF(ISNUMBER(SEARCH("OPI",($C91&amp;" "&amp;$D91))),"OPI",IF(ISNUMBER(SEARCH("DP",($C91&amp;" "&amp;$D91))),"DP","CONC")))&amp;" "&amp;TEXT(LOOKUP(9.99E+307,--MID(SUBSTITUTE(($C91&amp;" "&amp;$D91),CHAR(160)," "),SUMPRODUCT(MIN(FIND({0,1,2,3,4,5,6,7,8,9},SUBSTITUTE(($C91&amp;" "&amp;$D91),CHAR(160)," ")&amp;"0123456789"))),ROW(INDIRECT("1:6")))),"0"),"SIN NUMERO"))</f>
        <v>CONC 2014</v>
      </c>
      <c r="Q91" t="str">
        <f ca="1">IF($P91="","",IF(LEFT(UPPER($S91),9)="VERIFICAR","VERIFICAR",IF($A91="","SIN ESTADO",IF(AND($A91="Firmada",$H91=""),"FALTA FECHA DE FIRMA",IF(N($T91)=0,IF(AND(ISNUMBER($H91),$H91&gt;=DATE(2024,1,1)),"FALTA EN FIRMADAS","OK"),IF(OR($A91="Pendiente de presentación",$A91="Observado",$A91="En análisis",$A91="En instrucción",$A91="Suspendida",$A91="IT circulando",$A91="Para resolución",$A91="TDC"),"ABIERTA PERO ESTÁ EN FIRMADAS",IF($H91&lt;&gt;INDEX(firmadas!$F:$F,$T91),"FIRMA DISTINTA EN firmadas ("&amp;IF(INDEX(firmadas!$F:$F,$T91)="","vacía",DAY(INDEX(firmadas!$F:$F,$T91))&amp;"/"&amp;MONTH(INDEX(firmadas!$F:$F,$T91))&amp;"/"&amp;YEAR(INDEX(firmadas!$F:$F,$T91)))&amp;")",IF($G91&lt;&gt;INDEX(firmadas!$E:$E,$T91),"INGRESO DISTINTO EN firmadas ("&amp;IF(INDEX(firmadas!$E:$E,$T91)="","vacía",DAY(INDEX(firmadas!$E:$E,$T91))&amp;"/"&amp;MONTH(INDEX(firmadas!$E:$E,$T91))&amp;"/"&amp;YEAR(INDEX(firmadas!$E:$E,$T91)))&amp;")","OK"))))))))</f>
        <v>OK</v>
      </c>
      <c r="T91">
        <f ca="1">IF($P91="","",IFERROR(MATCH($P91,firmadas!$N:$N,0),IFERROR(MATCH("*/"&amp;MID($P91,FIND(" ",$P91)+1,9)&amp;"*",firmadas!$B:$B,0),0)))</f>
        <v>219</v>
      </c>
    </row>
    <row r="92" spans="1:20" ht="18" customHeight="1" x14ac:dyDescent="0.25">
      <c r="A92" s="44" t="s">
        <v>274</v>
      </c>
      <c r="C92" s="44" t="s">
        <v>145</v>
      </c>
      <c r="D92" s="42">
        <v>2015</v>
      </c>
      <c r="E92" s="44" t="s">
        <v>275</v>
      </c>
      <c r="F92" s="44" t="s">
        <v>276</v>
      </c>
      <c r="G92" s="26">
        <v>45663</v>
      </c>
      <c r="I92" s="44" t="s">
        <v>138</v>
      </c>
      <c r="J92" s="44" t="s">
        <v>115</v>
      </c>
      <c r="K92" s="44" t="s">
        <v>133</v>
      </c>
      <c r="L92" s="44" t="s">
        <v>112</v>
      </c>
      <c r="M92" s="44" t="s">
        <v>83</v>
      </c>
      <c r="N92" s="53">
        <f t="shared" ca="1" si="1"/>
        <v>21.1</v>
      </c>
      <c r="P92" s="47" t="str">
        <f ca="1">IF(TRIM(SUBSTITUTE(($C92&amp;" "&amp;$D92),CHAR(160)," "))="","",IFERROR(IF(ISNUMBER(SEARCH("INC",($C92&amp;" "&amp;$D92))),"INC",IF(ISNUMBER(SEARCH("OPI",($C92&amp;" "&amp;$D92))),"OPI",IF(ISNUMBER(SEARCH("DP",($C92&amp;" "&amp;$D92))),"DP","CONC")))&amp;" "&amp;TEXT(LOOKUP(9.99E+307,--MID(SUBSTITUTE(($C92&amp;" "&amp;$D92),CHAR(160)," "),SUMPRODUCT(MIN(FIND({0,1,2,3,4,5,6,7,8,9},SUBSTITUTE(($C92&amp;" "&amp;$D92),CHAR(160)," ")&amp;"0123456789"))),ROW(INDIRECT("1:6")))),"0"),"SIN NUMERO"))</f>
        <v>CONC 2015</v>
      </c>
      <c r="Q92" t="str">
        <f ca="1">IF($P92="","",IF(LEFT(UPPER($S92),9)="VERIFICAR","VERIFICAR",IF($A92="","SIN ESTADO",IF(AND($A92="Firmada",$H92=""),"FALTA FECHA DE FIRMA",IF(N($T92)=0,IF(AND(ISNUMBER($H92),$H92&gt;=DATE(2024,1,1)),"FALTA EN FIRMADAS","OK"),IF(OR($A92="Pendiente de presentación",$A92="Observado",$A92="En análisis",$A92="En instrucción",$A92="Suspendida",$A92="IT circulando",$A92="Para resolución",$A92="TDC"),"ABIERTA PERO ESTÁ EN FIRMADAS",IF($H92&lt;&gt;INDEX(firmadas!$F:$F,$T92),"FIRMA DISTINTA EN firmadas ("&amp;IF(INDEX(firmadas!$F:$F,$T92)="","vacía",DAY(INDEX(firmadas!$F:$F,$T92))&amp;"/"&amp;MONTH(INDEX(firmadas!$F:$F,$T92))&amp;"/"&amp;YEAR(INDEX(firmadas!$F:$F,$T92)))&amp;")",IF($G92&lt;&gt;INDEX(firmadas!$E:$E,$T92),"INGRESO DISTINTO EN firmadas ("&amp;IF(INDEX(firmadas!$E:$E,$T92)="","vacía",DAY(INDEX(firmadas!$E:$E,$T92))&amp;"/"&amp;MONTH(INDEX(firmadas!$E:$E,$T92))&amp;"/"&amp;YEAR(INDEX(firmadas!$E:$E,$T92)))&amp;")","OK"))))))))</f>
        <v>OK</v>
      </c>
      <c r="T92">
        <f ca="1">IF($P92="","",IFERROR(MATCH($P92,firmadas!$N:$N,0),IFERROR(MATCH("*/"&amp;MID($P92,FIND(" ",$P92)+1,9)&amp;"*",firmadas!$B:$B,0),0)))</f>
        <v>0</v>
      </c>
    </row>
    <row r="93" spans="1:20" ht="18" customHeight="1" x14ac:dyDescent="0.25">
      <c r="A93" s="47" t="s">
        <v>80</v>
      </c>
      <c r="B93" s="47"/>
      <c r="C93" s="47" t="s">
        <v>62</v>
      </c>
      <c r="D93" s="45">
        <v>2016</v>
      </c>
      <c r="F93" s="47" t="s">
        <v>277</v>
      </c>
      <c r="G93" s="43">
        <v>45677</v>
      </c>
      <c r="H93" s="43">
        <v>45840</v>
      </c>
      <c r="M93" t="s">
        <v>83</v>
      </c>
      <c r="N93" s="53">
        <f t="shared" ca="1" si="1"/>
        <v>5.4333333333333336</v>
      </c>
      <c r="P93" s="47" t="str">
        <f ca="1">IF(TRIM(SUBSTITUTE(($C93&amp;" "&amp;$D93),CHAR(160)," "))="","",IFERROR(IF(ISNUMBER(SEARCH("INC",($C93&amp;" "&amp;$D93))),"INC",IF(ISNUMBER(SEARCH("OPI",($C93&amp;" "&amp;$D93))),"OPI",IF(ISNUMBER(SEARCH("DP",($C93&amp;" "&amp;$D93))),"DP","CONC")))&amp;" "&amp;TEXT(LOOKUP(9.99E+307,--MID(SUBSTITUTE(($C93&amp;" "&amp;$D93),CHAR(160)," "),SUMPRODUCT(MIN(FIND({0,1,2,3,4,5,6,7,8,9},SUBSTITUTE(($C93&amp;" "&amp;$D93),CHAR(160)," ")&amp;"0123456789"))),ROW(INDIRECT("1:6")))),"0"),"SIN NUMERO"))</f>
        <v>CONC 2016</v>
      </c>
      <c r="Q93" t="str">
        <f ca="1">IF($P93="","",IF(LEFT(UPPER($S93),9)="VERIFICAR","VERIFICAR",IF($A93="","SIN ESTADO",IF(AND($A93="Firmada",$H93=""),"FALTA FECHA DE FIRMA",IF(N($T93)=0,IF(AND(ISNUMBER($H93),$H93&gt;=DATE(2024,1,1)),"FALTA EN FIRMADAS","OK"),IF(OR($A93="Pendiente de presentación",$A93="Observado",$A93="En análisis",$A93="En instrucción",$A93="Suspendida",$A93="IT circulando",$A93="Para resolución",$A93="TDC"),"ABIERTA PERO ESTÁ EN FIRMADAS",IF($H93&lt;&gt;INDEX(firmadas!$F:$F,$T93),"FIRMA DISTINTA EN firmadas ("&amp;IF(INDEX(firmadas!$F:$F,$T93)="","vacía",DAY(INDEX(firmadas!$F:$F,$T93))&amp;"/"&amp;MONTH(INDEX(firmadas!$F:$F,$T93))&amp;"/"&amp;YEAR(INDEX(firmadas!$F:$F,$T93)))&amp;")",IF($G93&lt;&gt;INDEX(firmadas!$E:$E,$T93),"INGRESO DISTINTO EN firmadas ("&amp;IF(INDEX(firmadas!$E:$E,$T93)="","vacía",DAY(INDEX(firmadas!$E:$E,$T93))&amp;"/"&amp;MONTH(INDEX(firmadas!$E:$E,$T93))&amp;"/"&amp;YEAR(INDEX(firmadas!$E:$E,$T93)))&amp;")","OK"))))))))</f>
        <v>OK</v>
      </c>
      <c r="T93">
        <f ca="1">IF($P93="","",IFERROR(MATCH($P93,firmadas!$N:$N,0),IFERROR(MATCH("*/"&amp;MID($P93,FIND(" ",$P93)+1,9)&amp;"*",firmadas!$B:$B,0),0)))</f>
        <v>122</v>
      </c>
    </row>
    <row r="94" spans="1:20" ht="18" customHeight="1" x14ac:dyDescent="0.25">
      <c r="A94" s="47" t="s">
        <v>80</v>
      </c>
      <c r="B94" s="47"/>
      <c r="C94" s="47" t="s">
        <v>62</v>
      </c>
      <c r="D94" s="45">
        <v>2017</v>
      </c>
      <c r="F94" s="47" t="s">
        <v>278</v>
      </c>
      <c r="G94" s="43">
        <v>45677</v>
      </c>
      <c r="H94" s="43">
        <v>45831</v>
      </c>
      <c r="M94" t="s">
        <v>83</v>
      </c>
      <c r="N94" s="53">
        <f t="shared" ca="1" si="1"/>
        <v>5.1333333333333337</v>
      </c>
      <c r="P94" s="47" t="str">
        <f ca="1">IF(TRIM(SUBSTITUTE(($C94&amp;" "&amp;$D94),CHAR(160)," "))="","",IFERROR(IF(ISNUMBER(SEARCH("INC",($C94&amp;" "&amp;$D94))),"INC",IF(ISNUMBER(SEARCH("OPI",($C94&amp;" "&amp;$D94))),"OPI",IF(ISNUMBER(SEARCH("DP",($C94&amp;" "&amp;$D94))),"DP","CONC")))&amp;" "&amp;TEXT(LOOKUP(9.99E+307,--MID(SUBSTITUTE(($C94&amp;" "&amp;$D94),CHAR(160)," "),SUMPRODUCT(MIN(FIND({0,1,2,3,4,5,6,7,8,9},SUBSTITUTE(($C94&amp;" "&amp;$D94),CHAR(160)," ")&amp;"0123456789"))),ROW(INDIRECT("1:6")))),"0"),"SIN NUMERO"))</f>
        <v>CONC 2017</v>
      </c>
      <c r="Q94" t="str">
        <f ca="1">IF($P94="","",IF(LEFT(UPPER($S94),9)="VERIFICAR","VERIFICAR",IF($A94="","SIN ESTADO",IF(AND($A94="Firmada",$H94=""),"FALTA FECHA DE FIRMA",IF(N($T94)=0,IF(AND(ISNUMBER($H94),$H94&gt;=DATE(2024,1,1)),"FALTA EN FIRMADAS","OK"),IF(OR($A94="Pendiente de presentación",$A94="Observado",$A94="En análisis",$A94="En instrucción",$A94="Suspendida",$A94="IT circulando",$A94="Para resolución",$A94="TDC"),"ABIERTA PERO ESTÁ EN FIRMADAS",IF($H94&lt;&gt;INDEX(firmadas!$F:$F,$T94),"FIRMA DISTINTA EN firmadas ("&amp;IF(INDEX(firmadas!$F:$F,$T94)="","vacía",DAY(INDEX(firmadas!$F:$F,$T94))&amp;"/"&amp;MONTH(INDEX(firmadas!$F:$F,$T94))&amp;"/"&amp;YEAR(INDEX(firmadas!$F:$F,$T94)))&amp;")",IF($G94&lt;&gt;INDEX(firmadas!$E:$E,$T94),"INGRESO DISTINTO EN firmadas ("&amp;IF(INDEX(firmadas!$E:$E,$T94)="","vacía",DAY(INDEX(firmadas!$E:$E,$T94))&amp;"/"&amp;MONTH(INDEX(firmadas!$E:$E,$T94))&amp;"/"&amp;YEAR(INDEX(firmadas!$E:$E,$T94)))&amp;")","OK"))))))))</f>
        <v>OK</v>
      </c>
      <c r="T94">
        <f ca="1">IF($P94="","",IFERROR(MATCH($P94,firmadas!$N:$N,0),IFERROR(MATCH("*/"&amp;MID($P94,FIND(" ",$P94)+1,9)&amp;"*",firmadas!$B:$B,0),0)))</f>
        <v>120</v>
      </c>
    </row>
    <row r="95" spans="1:20" ht="18" customHeight="1" x14ac:dyDescent="0.25">
      <c r="A95" t="s">
        <v>80</v>
      </c>
      <c r="C95" t="s">
        <v>145</v>
      </c>
      <c r="D95" s="24">
        <v>2018</v>
      </c>
      <c r="F95" t="s">
        <v>279</v>
      </c>
      <c r="G95" s="16">
        <v>45681</v>
      </c>
      <c r="H95" s="16">
        <v>46042</v>
      </c>
      <c r="M95" t="s">
        <v>202</v>
      </c>
      <c r="N95" s="53">
        <f t="shared" ca="1" si="1"/>
        <v>12.033333333333333</v>
      </c>
      <c r="P95" s="47" t="str">
        <f ca="1">IF(TRIM(SUBSTITUTE(($C95&amp;" "&amp;$D95),CHAR(160)," "))="","",IFERROR(IF(ISNUMBER(SEARCH("INC",($C95&amp;" "&amp;$D95))),"INC",IF(ISNUMBER(SEARCH("OPI",($C95&amp;" "&amp;$D95))),"OPI",IF(ISNUMBER(SEARCH("DP",($C95&amp;" "&amp;$D95))),"DP","CONC")))&amp;" "&amp;TEXT(LOOKUP(9.99E+307,--MID(SUBSTITUTE(($C95&amp;" "&amp;$D95),CHAR(160)," "),SUMPRODUCT(MIN(FIND({0,1,2,3,4,5,6,7,8,9},SUBSTITUTE(($C95&amp;" "&amp;$D95),CHAR(160)," ")&amp;"0123456789"))),ROW(INDIRECT("1:6")))),"0"),"SIN NUMERO"))</f>
        <v>CONC 2018</v>
      </c>
      <c r="Q95" t="str">
        <f ca="1">IF($P95="","",IF(LEFT(UPPER($S95),9)="VERIFICAR","VERIFICAR",IF($A95="","SIN ESTADO",IF(AND($A95="Firmada",$H95=""),"FALTA FECHA DE FIRMA",IF(N($T95)=0,IF(AND(ISNUMBER($H95),$H95&gt;=DATE(2024,1,1)),"FALTA EN FIRMADAS","OK"),IF(OR($A95="Pendiente de presentación",$A95="Observado",$A95="En análisis",$A95="En instrucción",$A95="Suspendida",$A95="IT circulando",$A95="Para resolución",$A95="TDC"),"ABIERTA PERO ESTÁ EN FIRMADAS",IF($H95&lt;&gt;INDEX(firmadas!$F:$F,$T95),"FIRMA DISTINTA EN firmadas ("&amp;IF(INDEX(firmadas!$F:$F,$T95)="","vacía",DAY(INDEX(firmadas!$F:$F,$T95))&amp;"/"&amp;MONTH(INDEX(firmadas!$F:$F,$T95))&amp;"/"&amp;YEAR(INDEX(firmadas!$F:$F,$T95)))&amp;")",IF($G95&lt;&gt;INDEX(firmadas!$E:$E,$T95),"INGRESO DISTINTO EN firmadas ("&amp;IF(INDEX(firmadas!$E:$E,$T95)="","vacía",DAY(INDEX(firmadas!$E:$E,$T95))&amp;"/"&amp;MONTH(INDEX(firmadas!$E:$E,$T95))&amp;"/"&amp;YEAR(INDEX(firmadas!$E:$E,$T95)))&amp;")","OK"))))))))</f>
        <v>OK</v>
      </c>
      <c r="T95">
        <f ca="1">IF($P95="","",IFERROR(MATCH($P95,firmadas!$N:$N,0),IFERROR(MATCH("*/"&amp;MID($P95,FIND(" ",$P95)+1,9)&amp;"*",firmadas!$B:$B,0),0)))</f>
        <v>194</v>
      </c>
    </row>
    <row r="96" spans="1:20" ht="18" customHeight="1" x14ac:dyDescent="0.25">
      <c r="A96" s="44" t="s">
        <v>80</v>
      </c>
      <c r="C96" s="44" t="s">
        <v>145</v>
      </c>
      <c r="D96" s="42">
        <v>2019</v>
      </c>
      <c r="E96" s="44" t="s">
        <v>280</v>
      </c>
      <c r="F96" s="44" t="s">
        <v>281</v>
      </c>
      <c r="G96" s="26">
        <v>45684</v>
      </c>
      <c r="H96" s="26">
        <v>46224</v>
      </c>
      <c r="I96" s="44" t="s">
        <v>124</v>
      </c>
      <c r="J96" s="44" t="s">
        <v>187</v>
      </c>
      <c r="K96" s="44" t="s">
        <v>96</v>
      </c>
      <c r="L96" s="44" t="s">
        <v>198</v>
      </c>
      <c r="M96" s="44" t="s">
        <v>83</v>
      </c>
      <c r="N96" s="53">
        <f t="shared" ca="1" si="1"/>
        <v>18</v>
      </c>
      <c r="P96" s="47" t="str">
        <f ca="1">IF(TRIM(SUBSTITUTE(($C96&amp;" "&amp;$D96),CHAR(160)," "))="","",IFERROR(IF(ISNUMBER(SEARCH("INC",($C96&amp;" "&amp;$D96))),"INC",IF(ISNUMBER(SEARCH("OPI",($C96&amp;" "&amp;$D96))),"OPI",IF(ISNUMBER(SEARCH("DP",($C96&amp;" "&amp;$D96))),"DP","CONC")))&amp;" "&amp;TEXT(LOOKUP(9.99E+307,--MID(SUBSTITUTE(($C96&amp;" "&amp;$D96),CHAR(160)," "),SUMPRODUCT(MIN(FIND({0,1,2,3,4,5,6,7,8,9},SUBSTITUTE(($C96&amp;" "&amp;$D96),CHAR(160)," ")&amp;"0123456789"))),ROW(INDIRECT("1:6")))),"0"),"SIN NUMERO"))</f>
        <v>CONC 2019</v>
      </c>
      <c r="Q96" t="str">
        <f ca="1">IF($P96="","",IF(LEFT(UPPER($S96),9)="VERIFICAR","VERIFICAR",IF($A96="","SIN ESTADO",IF(AND($A96="Firmada",$H96=""),"FALTA FECHA DE FIRMA",IF(N($T96)=0,IF(AND(ISNUMBER($H96),$H96&gt;=DATE(2024,1,1)),"FALTA EN FIRMADAS","OK"),IF(OR($A96="Pendiente de presentación",$A96="Observado",$A96="En análisis",$A96="En instrucción",$A96="Suspendida",$A96="IT circulando",$A96="Para resolución",$A96="TDC"),"ABIERTA PERO ESTÁ EN FIRMADAS",IF($H96&lt;&gt;INDEX(firmadas!$F:$F,$T96),"FIRMA DISTINTA EN firmadas ("&amp;IF(INDEX(firmadas!$F:$F,$T96)="","vacía",DAY(INDEX(firmadas!$F:$F,$T96))&amp;"/"&amp;MONTH(INDEX(firmadas!$F:$F,$T96))&amp;"/"&amp;YEAR(INDEX(firmadas!$F:$F,$T96)))&amp;")",IF($G96&lt;&gt;INDEX(firmadas!$E:$E,$T96),"INGRESO DISTINTO EN firmadas ("&amp;IF(INDEX(firmadas!$E:$E,$T96)="","vacía",DAY(INDEX(firmadas!$E:$E,$T96))&amp;"/"&amp;MONTH(INDEX(firmadas!$E:$E,$T96))&amp;"/"&amp;YEAR(INDEX(firmadas!$E:$E,$T96)))&amp;")","OK"))))))))</f>
        <v>OK</v>
      </c>
      <c r="T96">
        <f ca="1">IF($P96="","",IFERROR(MATCH($P96,firmadas!$N:$N,0),IFERROR(MATCH("*/"&amp;MID($P96,FIND(" ",$P96)+1,9)&amp;"*",firmadas!$B:$B,0),0)))</f>
        <v>260</v>
      </c>
    </row>
    <row r="97" spans="1:20" ht="18" customHeight="1" x14ac:dyDescent="0.25">
      <c r="A97" t="s">
        <v>80</v>
      </c>
      <c r="C97" t="s">
        <v>145</v>
      </c>
      <c r="D97" s="24">
        <v>2020</v>
      </c>
      <c r="E97" t="s">
        <v>282</v>
      </c>
      <c r="F97" t="s">
        <v>283</v>
      </c>
      <c r="G97" s="16">
        <v>45691</v>
      </c>
      <c r="H97" s="16">
        <v>46056</v>
      </c>
      <c r="I97" t="s">
        <v>115</v>
      </c>
      <c r="J97" t="s">
        <v>284</v>
      </c>
      <c r="K97" t="s">
        <v>197</v>
      </c>
      <c r="L97" t="s">
        <v>198</v>
      </c>
      <c r="M97" t="s">
        <v>202</v>
      </c>
      <c r="N97" s="53">
        <f t="shared" ca="1" si="1"/>
        <v>12.166666666666666</v>
      </c>
      <c r="P97" s="47" t="str">
        <f ca="1">IF(TRIM(SUBSTITUTE(($C97&amp;" "&amp;$D97),CHAR(160)," "))="","",IFERROR(IF(ISNUMBER(SEARCH("INC",($C97&amp;" "&amp;$D97))),"INC",IF(ISNUMBER(SEARCH("OPI",($C97&amp;" "&amp;$D97))),"OPI",IF(ISNUMBER(SEARCH("DP",($C97&amp;" "&amp;$D97))),"DP","CONC")))&amp;" "&amp;TEXT(LOOKUP(9.99E+307,--MID(SUBSTITUTE(($C97&amp;" "&amp;$D97),CHAR(160)," "),SUMPRODUCT(MIN(FIND({0,1,2,3,4,5,6,7,8,9},SUBSTITUTE(($C97&amp;" "&amp;$D97),CHAR(160)," ")&amp;"0123456789"))),ROW(INDIRECT("1:6")))),"0"),"SIN NUMERO"))</f>
        <v>CONC 2020</v>
      </c>
      <c r="Q97" t="str">
        <f ca="1">IF($P97="","",IF(LEFT(UPPER($S97),9)="VERIFICAR","VERIFICAR",IF($A97="","SIN ESTADO",IF(AND($A97="Firmada",$H97=""),"FALTA FECHA DE FIRMA",IF(N($T97)=0,IF(AND(ISNUMBER($H97),$H97&gt;=DATE(2024,1,1)),"FALTA EN FIRMADAS","OK"),IF(OR($A97="Pendiente de presentación",$A97="Observado",$A97="En análisis",$A97="En instrucción",$A97="Suspendida",$A97="IT circulando",$A97="Para resolución",$A97="TDC"),"ABIERTA PERO ESTÁ EN FIRMADAS",IF($H97&lt;&gt;INDEX(firmadas!$F:$F,$T97),"FIRMA DISTINTA EN firmadas ("&amp;IF(INDEX(firmadas!$F:$F,$T97)="","vacía",DAY(INDEX(firmadas!$F:$F,$T97))&amp;"/"&amp;MONTH(INDEX(firmadas!$F:$F,$T97))&amp;"/"&amp;YEAR(INDEX(firmadas!$F:$F,$T97)))&amp;")",IF($G97&lt;&gt;INDEX(firmadas!$E:$E,$T97),"INGRESO DISTINTO EN firmadas ("&amp;IF(INDEX(firmadas!$E:$E,$T97)="","vacía",DAY(INDEX(firmadas!$E:$E,$T97))&amp;"/"&amp;MONTH(INDEX(firmadas!$E:$E,$T97))&amp;"/"&amp;YEAR(INDEX(firmadas!$E:$E,$T97)))&amp;")","OK"))))))))</f>
        <v>OK</v>
      </c>
      <c r="T97">
        <f ca="1">IF($P97="","",IFERROR(MATCH($P97,firmadas!$N:$N,0),IFERROR(MATCH("*/"&amp;MID($P97,FIND(" ",$P97)+1,9)&amp;"*",firmadas!$B:$B,0),0)))</f>
        <v>201</v>
      </c>
    </row>
    <row r="98" spans="1:20" ht="18" customHeight="1" x14ac:dyDescent="0.25">
      <c r="A98" s="47" t="s">
        <v>80</v>
      </c>
      <c r="B98" s="47"/>
      <c r="C98" s="47" t="s">
        <v>62</v>
      </c>
      <c r="D98" s="45">
        <v>2021</v>
      </c>
      <c r="F98" s="47" t="s">
        <v>285</v>
      </c>
      <c r="G98" s="43">
        <v>45693</v>
      </c>
      <c r="H98" s="43">
        <v>45909</v>
      </c>
      <c r="M98" t="s">
        <v>83</v>
      </c>
      <c r="N98" s="53">
        <f t="shared" ca="1" si="1"/>
        <v>7.2</v>
      </c>
      <c r="P98" s="47" t="str">
        <f ca="1">IF(TRIM(SUBSTITUTE(($C98&amp;" "&amp;$D98),CHAR(160)," "))="","",IFERROR(IF(ISNUMBER(SEARCH("INC",($C98&amp;" "&amp;$D98))),"INC",IF(ISNUMBER(SEARCH("OPI",($C98&amp;" "&amp;$D98))),"OPI",IF(ISNUMBER(SEARCH("DP",($C98&amp;" "&amp;$D98))),"DP","CONC")))&amp;" "&amp;TEXT(LOOKUP(9.99E+307,--MID(SUBSTITUTE(($C98&amp;" "&amp;$D98),CHAR(160)," "),SUMPRODUCT(MIN(FIND({0,1,2,3,4,5,6,7,8,9},SUBSTITUTE(($C98&amp;" "&amp;$D98),CHAR(160)," ")&amp;"0123456789"))),ROW(INDIRECT("1:6")))),"0"),"SIN NUMERO"))</f>
        <v>CONC 2021</v>
      </c>
      <c r="Q98" t="str">
        <f ca="1">IF($P98="","",IF(LEFT(UPPER($S98),9)="VERIFICAR","VERIFICAR",IF($A98="","SIN ESTADO",IF(AND($A98="Firmada",$H98=""),"FALTA FECHA DE FIRMA",IF(N($T98)=0,IF(AND(ISNUMBER($H98),$H98&gt;=DATE(2024,1,1)),"FALTA EN FIRMADAS","OK"),IF(OR($A98="Pendiente de presentación",$A98="Observado",$A98="En análisis",$A98="En instrucción",$A98="Suspendida",$A98="IT circulando",$A98="Para resolución",$A98="TDC"),"ABIERTA PERO ESTÁ EN FIRMADAS",IF($H98&lt;&gt;INDEX(firmadas!$F:$F,$T98),"FIRMA DISTINTA EN firmadas ("&amp;IF(INDEX(firmadas!$F:$F,$T98)="","vacía",DAY(INDEX(firmadas!$F:$F,$T98))&amp;"/"&amp;MONTH(INDEX(firmadas!$F:$F,$T98))&amp;"/"&amp;YEAR(INDEX(firmadas!$F:$F,$T98)))&amp;")",IF($G98&lt;&gt;INDEX(firmadas!$E:$E,$T98),"INGRESO DISTINTO EN firmadas ("&amp;IF(INDEX(firmadas!$E:$E,$T98)="","vacía",DAY(INDEX(firmadas!$E:$E,$T98))&amp;"/"&amp;MONTH(INDEX(firmadas!$E:$E,$T98))&amp;"/"&amp;YEAR(INDEX(firmadas!$E:$E,$T98)))&amp;")","OK"))))))))</f>
        <v>OK</v>
      </c>
      <c r="T98">
        <f ca="1">IF($P98="","",IFERROR(MATCH($P98,firmadas!$N:$N,0),IFERROR(MATCH("*/"&amp;MID($P98,FIND(" ",$P98)+1,9)&amp;"*",firmadas!$B:$B,0),0)))</f>
        <v>141</v>
      </c>
    </row>
    <row r="99" spans="1:20" ht="18" customHeight="1" x14ac:dyDescent="0.25">
      <c r="A99" s="47" t="s">
        <v>80</v>
      </c>
      <c r="B99" s="47"/>
      <c r="C99" s="47" t="s">
        <v>62</v>
      </c>
      <c r="D99" s="45">
        <v>2022</v>
      </c>
      <c r="F99" s="47" t="s">
        <v>286</v>
      </c>
      <c r="G99" s="43">
        <v>45694</v>
      </c>
      <c r="H99" s="43">
        <v>45877</v>
      </c>
      <c r="M99" t="s">
        <v>83</v>
      </c>
      <c r="N99" s="53">
        <f t="shared" ca="1" si="1"/>
        <v>6.1</v>
      </c>
      <c r="P99" s="47" t="str">
        <f ca="1">IF(TRIM(SUBSTITUTE(($C99&amp;" "&amp;$D99),CHAR(160)," "))="","",IFERROR(IF(ISNUMBER(SEARCH("INC",($C99&amp;" "&amp;$D99))),"INC",IF(ISNUMBER(SEARCH("OPI",($C99&amp;" "&amp;$D99))),"OPI",IF(ISNUMBER(SEARCH("DP",($C99&amp;" "&amp;$D99))),"DP","CONC")))&amp;" "&amp;TEXT(LOOKUP(9.99E+307,--MID(SUBSTITUTE(($C99&amp;" "&amp;$D99),CHAR(160)," "),SUMPRODUCT(MIN(FIND({0,1,2,3,4,5,6,7,8,9},SUBSTITUTE(($C99&amp;" "&amp;$D99),CHAR(160)," ")&amp;"0123456789"))),ROW(INDIRECT("1:6")))),"0"),"SIN NUMERO"))</f>
        <v>CONC 2022</v>
      </c>
      <c r="Q99" t="str">
        <f ca="1">IF($P99="","",IF(LEFT(UPPER($S99),9)="VERIFICAR","VERIFICAR",IF($A99="","SIN ESTADO",IF(AND($A99="Firmada",$H99=""),"FALTA FECHA DE FIRMA",IF(N($T99)=0,IF(AND(ISNUMBER($H99),$H99&gt;=DATE(2024,1,1)),"FALTA EN FIRMADAS","OK"),IF(OR($A99="Pendiente de presentación",$A99="Observado",$A99="En análisis",$A99="En instrucción",$A99="Suspendida",$A99="IT circulando",$A99="Para resolución",$A99="TDC"),"ABIERTA PERO ESTÁ EN FIRMADAS",IF($H99&lt;&gt;INDEX(firmadas!$F:$F,$T99),"FIRMA DISTINTA EN firmadas ("&amp;IF(INDEX(firmadas!$F:$F,$T99)="","vacía",DAY(INDEX(firmadas!$F:$F,$T99))&amp;"/"&amp;MONTH(INDEX(firmadas!$F:$F,$T99))&amp;"/"&amp;YEAR(INDEX(firmadas!$F:$F,$T99)))&amp;")",IF($G99&lt;&gt;INDEX(firmadas!$E:$E,$T99),"INGRESO DISTINTO EN firmadas ("&amp;IF(INDEX(firmadas!$E:$E,$T99)="","vacía",DAY(INDEX(firmadas!$E:$E,$T99))&amp;"/"&amp;MONTH(INDEX(firmadas!$E:$E,$T99))&amp;"/"&amp;YEAR(INDEX(firmadas!$E:$E,$T99)))&amp;")","OK"))))))))</f>
        <v>OK</v>
      </c>
      <c r="T99">
        <f ca="1">IF($P99="","",IFERROR(MATCH($P99,firmadas!$N:$N,0),IFERROR(MATCH("*/"&amp;MID($P99,FIND(" ",$P99)+1,9)&amp;"*",firmadas!$B:$B,0),0)))</f>
        <v>133</v>
      </c>
    </row>
    <row r="100" spans="1:20" ht="18" customHeight="1" x14ac:dyDescent="0.25">
      <c r="A100" s="47" t="s">
        <v>80</v>
      </c>
      <c r="B100" s="47"/>
      <c r="C100" s="47" t="s">
        <v>62</v>
      </c>
      <c r="D100" s="45">
        <v>2023</v>
      </c>
      <c r="F100" s="47" t="s">
        <v>287</v>
      </c>
      <c r="G100" s="43">
        <v>45702</v>
      </c>
      <c r="H100" s="43">
        <v>45967</v>
      </c>
      <c r="M100" t="s">
        <v>83</v>
      </c>
      <c r="N100" s="53">
        <f t="shared" ca="1" si="1"/>
        <v>8.8333333333333339</v>
      </c>
      <c r="P100" s="47" t="str">
        <f ca="1">IF(TRIM(SUBSTITUTE(($C100&amp;" "&amp;$D100),CHAR(160)," "))="","",IFERROR(IF(ISNUMBER(SEARCH("INC",($C100&amp;" "&amp;$D100))),"INC",IF(ISNUMBER(SEARCH("OPI",($C100&amp;" "&amp;$D100))),"OPI",IF(ISNUMBER(SEARCH("DP",($C100&amp;" "&amp;$D100))),"DP","CONC")))&amp;" "&amp;TEXT(LOOKUP(9.99E+307,--MID(SUBSTITUTE(($C100&amp;" "&amp;$D100),CHAR(160)," "),SUMPRODUCT(MIN(FIND({0,1,2,3,4,5,6,7,8,9},SUBSTITUTE(($C100&amp;" "&amp;$D100),CHAR(160)," ")&amp;"0123456789"))),ROW(INDIRECT("1:6")))),"0"),"SIN NUMERO"))</f>
        <v>CONC 2023</v>
      </c>
      <c r="Q100" t="str">
        <f ca="1">IF($P100="","",IF(LEFT(UPPER($S100),9)="VERIFICAR","VERIFICAR",IF($A100="","SIN ESTADO",IF(AND($A100="Firmada",$H100=""),"FALTA FECHA DE FIRMA",IF(N($T100)=0,IF(AND(ISNUMBER($H100),$H100&gt;=DATE(2024,1,1)),"FALTA EN FIRMADAS","OK"),IF(OR($A100="Pendiente de presentación",$A100="Observado",$A100="En análisis",$A100="En instrucción",$A100="Suspendida",$A100="IT circulando",$A100="Para resolución",$A100="TDC"),"ABIERTA PERO ESTÁ EN FIRMADAS",IF($H100&lt;&gt;INDEX(firmadas!$F:$F,$T100),"FIRMA DISTINTA EN firmadas ("&amp;IF(INDEX(firmadas!$F:$F,$T100)="","vacía",DAY(INDEX(firmadas!$F:$F,$T100))&amp;"/"&amp;MONTH(INDEX(firmadas!$F:$F,$T100))&amp;"/"&amp;YEAR(INDEX(firmadas!$F:$F,$T100)))&amp;")",IF($G100&lt;&gt;INDEX(firmadas!$E:$E,$T100),"INGRESO DISTINTO EN firmadas ("&amp;IF(INDEX(firmadas!$E:$E,$T100)="","vacía",DAY(INDEX(firmadas!$E:$E,$T100))&amp;"/"&amp;MONTH(INDEX(firmadas!$E:$E,$T100))&amp;"/"&amp;YEAR(INDEX(firmadas!$E:$E,$T100)))&amp;")","OK"))))))))</f>
        <v>OK</v>
      </c>
      <c r="T100">
        <f ca="1">IF($P100="","",IFERROR(MATCH($P100,firmadas!$N:$N,0),IFERROR(MATCH("*/"&amp;MID($P100,FIND(" ",$P100)+1,9)&amp;"*",firmadas!$B:$B,0),0)))</f>
        <v>157</v>
      </c>
    </row>
    <row r="101" spans="1:20" ht="18" customHeight="1" x14ac:dyDescent="0.25">
      <c r="A101" s="47" t="s">
        <v>80</v>
      </c>
      <c r="B101" s="47"/>
      <c r="C101" s="47" t="s">
        <v>62</v>
      </c>
      <c r="D101" s="45">
        <v>2024</v>
      </c>
      <c r="F101" s="47" t="s">
        <v>288</v>
      </c>
      <c r="G101" s="43">
        <v>45705</v>
      </c>
      <c r="H101" s="43">
        <v>45880</v>
      </c>
      <c r="M101" t="s">
        <v>83</v>
      </c>
      <c r="N101" s="53">
        <f t="shared" ca="1" si="1"/>
        <v>5.833333333333333</v>
      </c>
      <c r="P101" s="47" t="str">
        <f ca="1">IF(TRIM(SUBSTITUTE(($C101&amp;" "&amp;$D101),CHAR(160)," "))="","",IFERROR(IF(ISNUMBER(SEARCH("INC",($C101&amp;" "&amp;$D101))),"INC",IF(ISNUMBER(SEARCH("OPI",($C101&amp;" "&amp;$D101))),"OPI",IF(ISNUMBER(SEARCH("DP",($C101&amp;" "&amp;$D101))),"DP","CONC")))&amp;" "&amp;TEXT(LOOKUP(9.99E+307,--MID(SUBSTITUTE(($C101&amp;" "&amp;$D101),CHAR(160)," "),SUMPRODUCT(MIN(FIND({0,1,2,3,4,5,6,7,8,9},SUBSTITUTE(($C101&amp;" "&amp;$D101),CHAR(160)," ")&amp;"0123456789"))),ROW(INDIRECT("1:6")))),"0"),"SIN NUMERO"))</f>
        <v>CONC 2024</v>
      </c>
      <c r="Q101" t="str">
        <f ca="1">IF($P101="","",IF(LEFT(UPPER($S101),9)="VERIFICAR","VERIFICAR",IF($A101="","SIN ESTADO",IF(AND($A101="Firmada",$H101=""),"FALTA FECHA DE FIRMA",IF(N($T101)=0,IF(AND(ISNUMBER($H101),$H101&gt;=DATE(2024,1,1)),"FALTA EN FIRMADAS","OK"),IF(OR($A101="Pendiente de presentación",$A101="Observado",$A101="En análisis",$A101="En instrucción",$A101="Suspendida",$A101="IT circulando",$A101="Para resolución",$A101="TDC"),"ABIERTA PERO ESTÁ EN FIRMADAS",IF($H101&lt;&gt;INDEX(firmadas!$F:$F,$T101),"FIRMA DISTINTA EN firmadas ("&amp;IF(INDEX(firmadas!$F:$F,$T101)="","vacía",DAY(INDEX(firmadas!$F:$F,$T101))&amp;"/"&amp;MONTH(INDEX(firmadas!$F:$F,$T101))&amp;"/"&amp;YEAR(INDEX(firmadas!$F:$F,$T101)))&amp;")",IF($G101&lt;&gt;INDEX(firmadas!$E:$E,$T101),"INGRESO DISTINTO EN firmadas ("&amp;IF(INDEX(firmadas!$E:$E,$T101)="","vacía",DAY(INDEX(firmadas!$E:$E,$T101))&amp;"/"&amp;MONTH(INDEX(firmadas!$E:$E,$T101))&amp;"/"&amp;YEAR(INDEX(firmadas!$E:$E,$T101)))&amp;")","OK"))))))))</f>
        <v>OK</v>
      </c>
      <c r="T101">
        <f ca="1">IF($P101="","",IFERROR(MATCH($P101,firmadas!$N:$N,0),IFERROR(MATCH("*/"&amp;MID($P101,FIND(" ",$P101)+1,9)&amp;"*",firmadas!$B:$B,0),0)))</f>
        <v>134</v>
      </c>
    </row>
    <row r="102" spans="1:20" ht="18" customHeight="1" x14ac:dyDescent="0.25">
      <c r="A102" s="44" t="s">
        <v>80</v>
      </c>
      <c r="C102" s="44" t="s">
        <v>145</v>
      </c>
      <c r="D102" s="42">
        <v>2025</v>
      </c>
      <c r="E102" s="44" t="s">
        <v>289</v>
      </c>
      <c r="F102" s="44" t="s">
        <v>290</v>
      </c>
      <c r="G102" s="26">
        <v>45721</v>
      </c>
      <c r="I102" s="44" t="s">
        <v>138</v>
      </c>
      <c r="J102" s="44" t="s">
        <v>115</v>
      </c>
      <c r="K102" s="44" t="s">
        <v>133</v>
      </c>
      <c r="L102" s="44" t="s">
        <v>127</v>
      </c>
      <c r="M102" s="44" t="s">
        <v>83</v>
      </c>
      <c r="N102" s="53">
        <f t="shared" ca="1" si="1"/>
        <v>19.166666666666668</v>
      </c>
      <c r="P102" s="47" t="str">
        <f ca="1">IF(TRIM(SUBSTITUTE(($C102&amp;" "&amp;$D102),CHAR(160)," "))="","",IFERROR(IF(ISNUMBER(SEARCH("INC",($C102&amp;" "&amp;$D102))),"INC",IF(ISNUMBER(SEARCH("OPI",($C102&amp;" "&amp;$D102))),"OPI",IF(ISNUMBER(SEARCH("DP",($C102&amp;" "&amp;$D102))),"DP","CONC")))&amp;" "&amp;TEXT(LOOKUP(9.99E+307,--MID(SUBSTITUTE(($C102&amp;" "&amp;$D102),CHAR(160)," "),SUMPRODUCT(MIN(FIND({0,1,2,3,4,5,6,7,8,9},SUBSTITUTE(($C102&amp;" "&amp;$D102),CHAR(160)," ")&amp;"0123456789"))),ROW(INDIRECT("1:6")))),"0"),"SIN NUMERO"))</f>
        <v>CONC 2025</v>
      </c>
      <c r="Q102" t="str">
        <f ca="1">IF($P102="","",IF(LEFT(UPPER($S102),9)="VERIFICAR","VERIFICAR",IF($A102="","SIN ESTADO",IF(AND($A102="Firmada",$H102=""),"FALTA FECHA DE FIRMA",IF(N($T102)=0,IF(AND(ISNUMBER($H102),$H102&gt;=DATE(2024,1,1)),"FALTA EN FIRMADAS","OK"),IF(OR($A102="Pendiente de presentación",$A102="Observado",$A102="En análisis",$A102="En instrucción",$A102="Suspendida",$A102="IT circulando",$A102="Para resolución",$A102="TDC"),"ABIERTA PERO ESTÁ EN FIRMADAS",IF($H102&lt;&gt;INDEX(firmadas!$F:$F,$T102),"FIRMA DISTINTA EN firmadas ("&amp;IF(INDEX(firmadas!$F:$F,$T102)="","vacía",DAY(INDEX(firmadas!$F:$F,$T102))&amp;"/"&amp;MONTH(INDEX(firmadas!$F:$F,$T102))&amp;"/"&amp;YEAR(INDEX(firmadas!$F:$F,$T102)))&amp;")",IF($G102&lt;&gt;INDEX(firmadas!$E:$E,$T102),"INGRESO DISTINTO EN firmadas ("&amp;IF(INDEX(firmadas!$E:$E,$T102)="","vacía",DAY(INDEX(firmadas!$E:$E,$T102))&amp;"/"&amp;MONTH(INDEX(firmadas!$E:$E,$T102))&amp;"/"&amp;YEAR(INDEX(firmadas!$E:$E,$T102)))&amp;")","OK"))))))))</f>
        <v>VERIFICAR</v>
      </c>
      <c r="S102" t="s">
        <v>291</v>
      </c>
      <c r="T102">
        <f ca="1">IF($P102="","",IFERROR(MATCH($P102,firmadas!$N:$N,0),IFERROR(MATCH("*/"&amp;MID($P102,FIND(" ",$P102)+1,9)&amp;"*",firmadas!$B:$B,0),0)))</f>
        <v>0</v>
      </c>
    </row>
    <row r="103" spans="1:20" ht="18" customHeight="1" x14ac:dyDescent="0.25">
      <c r="A103" s="47" t="s">
        <v>80</v>
      </c>
      <c r="B103" s="47"/>
      <c r="C103" s="47" t="s">
        <v>62</v>
      </c>
      <c r="D103" s="45">
        <v>2026</v>
      </c>
      <c r="F103" s="47" t="s">
        <v>292</v>
      </c>
      <c r="G103" s="43">
        <v>45723</v>
      </c>
      <c r="H103" s="43">
        <v>45831</v>
      </c>
      <c r="M103" t="s">
        <v>83</v>
      </c>
      <c r="N103" s="53">
        <f t="shared" ca="1" si="1"/>
        <v>3.6</v>
      </c>
      <c r="P103" s="47" t="str">
        <f ca="1">IF(TRIM(SUBSTITUTE(($C103&amp;" "&amp;$D103),CHAR(160)," "))="","",IFERROR(IF(ISNUMBER(SEARCH("INC",($C103&amp;" "&amp;$D103))),"INC",IF(ISNUMBER(SEARCH("OPI",($C103&amp;" "&amp;$D103))),"OPI",IF(ISNUMBER(SEARCH("DP",($C103&amp;" "&amp;$D103))),"DP","CONC")))&amp;" "&amp;TEXT(LOOKUP(9.99E+307,--MID(SUBSTITUTE(($C103&amp;" "&amp;$D103),CHAR(160)," "),SUMPRODUCT(MIN(FIND({0,1,2,3,4,5,6,7,8,9},SUBSTITUTE(($C103&amp;" "&amp;$D103),CHAR(160)," ")&amp;"0123456789"))),ROW(INDIRECT("1:6")))),"0"),"SIN NUMERO"))</f>
        <v>CONC 2026</v>
      </c>
      <c r="Q103" t="str">
        <f ca="1">IF($P103="","",IF(LEFT(UPPER($S103),9)="VERIFICAR","VERIFICAR",IF($A103="","SIN ESTADO",IF(AND($A103="Firmada",$H103=""),"FALTA FECHA DE FIRMA",IF(N($T103)=0,IF(AND(ISNUMBER($H103),$H103&gt;=DATE(2024,1,1)),"FALTA EN FIRMADAS","OK"),IF(OR($A103="Pendiente de presentación",$A103="Observado",$A103="En análisis",$A103="En instrucción",$A103="Suspendida",$A103="IT circulando",$A103="Para resolución",$A103="TDC"),"ABIERTA PERO ESTÁ EN FIRMADAS",IF($H103&lt;&gt;INDEX(firmadas!$F:$F,$T103),"FIRMA DISTINTA EN firmadas ("&amp;IF(INDEX(firmadas!$F:$F,$T103)="","vacía",DAY(INDEX(firmadas!$F:$F,$T103))&amp;"/"&amp;MONTH(INDEX(firmadas!$F:$F,$T103))&amp;"/"&amp;YEAR(INDEX(firmadas!$F:$F,$T103)))&amp;")",IF($G103&lt;&gt;INDEX(firmadas!$E:$E,$T103),"INGRESO DISTINTO EN firmadas ("&amp;IF(INDEX(firmadas!$E:$E,$T103)="","vacía",DAY(INDEX(firmadas!$E:$E,$T103))&amp;"/"&amp;MONTH(INDEX(firmadas!$E:$E,$T103))&amp;"/"&amp;YEAR(INDEX(firmadas!$E:$E,$T103)))&amp;")","OK"))))))))</f>
        <v>OK</v>
      </c>
      <c r="T103">
        <f ca="1">IF($P103="","",IFERROR(MATCH($P103,firmadas!$N:$N,0),IFERROR(MATCH("*/"&amp;MID($P103,FIND(" ",$P103)+1,9)&amp;"*",firmadas!$B:$B,0),0)))</f>
        <v>121</v>
      </c>
    </row>
    <row r="104" spans="1:20" ht="18" customHeight="1" x14ac:dyDescent="0.25">
      <c r="A104" s="47" t="s">
        <v>80</v>
      </c>
      <c r="B104" s="47"/>
      <c r="C104" s="47" t="s">
        <v>62</v>
      </c>
      <c r="D104" s="45">
        <v>2027</v>
      </c>
      <c r="F104" s="47" t="s">
        <v>293</v>
      </c>
      <c r="G104" s="43">
        <v>45726</v>
      </c>
      <c r="H104" s="43">
        <v>45891</v>
      </c>
      <c r="M104" t="s">
        <v>83</v>
      </c>
      <c r="N104" s="53">
        <f t="shared" ca="1" si="1"/>
        <v>5.5</v>
      </c>
      <c r="P104" s="47" t="str">
        <f ca="1">IF(TRIM(SUBSTITUTE(($C104&amp;" "&amp;$D104),CHAR(160)," "))="","",IFERROR(IF(ISNUMBER(SEARCH("INC",($C104&amp;" "&amp;$D104))),"INC",IF(ISNUMBER(SEARCH("OPI",($C104&amp;" "&amp;$D104))),"OPI",IF(ISNUMBER(SEARCH("DP",($C104&amp;" "&amp;$D104))),"DP","CONC")))&amp;" "&amp;TEXT(LOOKUP(9.99E+307,--MID(SUBSTITUTE(($C104&amp;" "&amp;$D104),CHAR(160)," "),SUMPRODUCT(MIN(FIND({0,1,2,3,4,5,6,7,8,9},SUBSTITUTE(($C104&amp;" "&amp;$D104),CHAR(160)," ")&amp;"0123456789"))),ROW(INDIRECT("1:6")))),"0"),"SIN NUMERO"))</f>
        <v>CONC 2027</v>
      </c>
      <c r="Q104" t="str">
        <f ca="1">IF($P104="","",IF(LEFT(UPPER($S104),9)="VERIFICAR","VERIFICAR",IF($A104="","SIN ESTADO",IF(AND($A104="Firmada",$H104=""),"FALTA FECHA DE FIRMA",IF(N($T104)=0,IF(AND(ISNUMBER($H104),$H104&gt;=DATE(2024,1,1)),"FALTA EN FIRMADAS","OK"),IF(OR($A104="Pendiente de presentación",$A104="Observado",$A104="En análisis",$A104="En instrucción",$A104="Suspendida",$A104="IT circulando",$A104="Para resolución",$A104="TDC"),"ABIERTA PERO ESTÁ EN FIRMADAS",IF($H104&lt;&gt;INDEX(firmadas!$F:$F,$T104),"FIRMA DISTINTA EN firmadas ("&amp;IF(INDEX(firmadas!$F:$F,$T104)="","vacía",DAY(INDEX(firmadas!$F:$F,$T104))&amp;"/"&amp;MONTH(INDEX(firmadas!$F:$F,$T104))&amp;"/"&amp;YEAR(INDEX(firmadas!$F:$F,$T104)))&amp;")",IF($G104&lt;&gt;INDEX(firmadas!$E:$E,$T104),"INGRESO DISTINTO EN firmadas ("&amp;IF(INDEX(firmadas!$E:$E,$T104)="","vacía",DAY(INDEX(firmadas!$E:$E,$T104))&amp;"/"&amp;MONTH(INDEX(firmadas!$E:$E,$T104))&amp;"/"&amp;YEAR(INDEX(firmadas!$E:$E,$T104)))&amp;")","OK"))))))))</f>
        <v>OK</v>
      </c>
      <c r="T104">
        <f ca="1">IF($P104="","",IFERROR(MATCH($P104,firmadas!$N:$N,0),IFERROR(MATCH("*/"&amp;MID($P104,FIND(" ",$P104)+1,9)&amp;"*",firmadas!$B:$B,0),0)))</f>
        <v>138</v>
      </c>
    </row>
    <row r="105" spans="1:20" ht="18" customHeight="1" x14ac:dyDescent="0.25">
      <c r="A105" s="47" t="s">
        <v>80</v>
      </c>
      <c r="B105" s="47"/>
      <c r="C105" s="47" t="s">
        <v>62</v>
      </c>
      <c r="D105" s="45">
        <v>2028</v>
      </c>
      <c r="F105" s="47" t="s">
        <v>294</v>
      </c>
      <c r="G105" s="43">
        <v>45742</v>
      </c>
      <c r="H105" s="43">
        <v>45852</v>
      </c>
      <c r="M105" t="s">
        <v>83</v>
      </c>
      <c r="N105" s="53">
        <f t="shared" ca="1" si="1"/>
        <v>3.6666666666666665</v>
      </c>
      <c r="P105" s="47" t="str">
        <f ca="1">IF(TRIM(SUBSTITUTE(($C105&amp;" "&amp;$D105),CHAR(160)," "))="","",IFERROR(IF(ISNUMBER(SEARCH("INC",($C105&amp;" "&amp;$D105))),"INC",IF(ISNUMBER(SEARCH("OPI",($C105&amp;" "&amp;$D105))),"OPI",IF(ISNUMBER(SEARCH("DP",($C105&amp;" "&amp;$D105))),"DP","CONC")))&amp;" "&amp;TEXT(LOOKUP(9.99E+307,--MID(SUBSTITUTE(($C105&amp;" "&amp;$D105),CHAR(160)," "),SUMPRODUCT(MIN(FIND({0,1,2,3,4,5,6,7,8,9},SUBSTITUTE(($C105&amp;" "&amp;$D105),CHAR(160)," ")&amp;"0123456789"))),ROW(INDIRECT("1:6")))),"0"),"SIN NUMERO"))</f>
        <v>CONC 2028</v>
      </c>
      <c r="Q105" t="str">
        <f ca="1">IF($P105="","",IF(LEFT(UPPER($S105),9)="VERIFICAR","VERIFICAR",IF($A105="","SIN ESTADO",IF(AND($A105="Firmada",$H105=""),"FALTA FECHA DE FIRMA",IF(N($T105)=0,IF(AND(ISNUMBER($H105),$H105&gt;=DATE(2024,1,1)),"FALTA EN FIRMADAS","OK"),IF(OR($A105="Pendiente de presentación",$A105="Observado",$A105="En análisis",$A105="En instrucción",$A105="Suspendida",$A105="IT circulando",$A105="Para resolución",$A105="TDC"),"ABIERTA PERO ESTÁ EN FIRMADAS",IF($H105&lt;&gt;INDEX(firmadas!$F:$F,$T105),"FIRMA DISTINTA EN firmadas ("&amp;IF(INDEX(firmadas!$F:$F,$T105)="","vacía",DAY(INDEX(firmadas!$F:$F,$T105))&amp;"/"&amp;MONTH(INDEX(firmadas!$F:$F,$T105))&amp;"/"&amp;YEAR(INDEX(firmadas!$F:$F,$T105)))&amp;")",IF($G105&lt;&gt;INDEX(firmadas!$E:$E,$T105),"INGRESO DISTINTO EN firmadas ("&amp;IF(INDEX(firmadas!$E:$E,$T105)="","vacía",DAY(INDEX(firmadas!$E:$E,$T105))&amp;"/"&amp;MONTH(INDEX(firmadas!$E:$E,$T105))&amp;"/"&amp;YEAR(INDEX(firmadas!$E:$E,$T105)))&amp;")","OK"))))))))</f>
        <v>OK</v>
      </c>
      <c r="T105">
        <f ca="1">IF($P105="","",IFERROR(MATCH($P105,firmadas!$N:$N,0),IFERROR(MATCH("*/"&amp;MID($P105,FIND(" ",$P105)+1,9)&amp;"*",firmadas!$B:$B,0),0)))</f>
        <v>125</v>
      </c>
    </row>
    <row r="106" spans="1:20" ht="18" customHeight="1" x14ac:dyDescent="0.25">
      <c r="A106" s="47" t="s">
        <v>80</v>
      </c>
      <c r="B106" s="47"/>
      <c r="C106" s="47" t="s">
        <v>62</v>
      </c>
      <c r="D106" s="45">
        <v>2029</v>
      </c>
      <c r="F106" s="47" t="s">
        <v>295</v>
      </c>
      <c r="G106" s="43">
        <v>45747</v>
      </c>
      <c r="H106" s="43">
        <v>45944</v>
      </c>
      <c r="M106" t="s">
        <v>83</v>
      </c>
      <c r="N106" s="53">
        <f t="shared" ca="1" si="1"/>
        <v>6.5666666666666664</v>
      </c>
      <c r="P106" s="47" t="str">
        <f ca="1">IF(TRIM(SUBSTITUTE(($C106&amp;" "&amp;$D106),CHAR(160)," "))="","",IFERROR(IF(ISNUMBER(SEARCH("INC",($C106&amp;" "&amp;$D106))),"INC",IF(ISNUMBER(SEARCH("OPI",($C106&amp;" "&amp;$D106))),"OPI",IF(ISNUMBER(SEARCH("DP",($C106&amp;" "&amp;$D106))),"DP","CONC")))&amp;" "&amp;TEXT(LOOKUP(9.99E+307,--MID(SUBSTITUTE(($C106&amp;" "&amp;$D106),CHAR(160)," "),SUMPRODUCT(MIN(FIND({0,1,2,3,4,5,6,7,8,9},SUBSTITUTE(($C106&amp;" "&amp;$D106),CHAR(160)," ")&amp;"0123456789"))),ROW(INDIRECT("1:6")))),"0"),"SIN NUMERO"))</f>
        <v>CONC 2029</v>
      </c>
      <c r="Q106" t="str">
        <f ca="1">IF($P106="","",IF(LEFT(UPPER($S106),9)="VERIFICAR","VERIFICAR",IF($A106="","SIN ESTADO",IF(AND($A106="Firmada",$H106=""),"FALTA FECHA DE FIRMA",IF(N($T106)=0,IF(AND(ISNUMBER($H106),$H106&gt;=DATE(2024,1,1)),"FALTA EN FIRMADAS","OK"),IF(OR($A106="Pendiente de presentación",$A106="Observado",$A106="En análisis",$A106="En instrucción",$A106="Suspendida",$A106="IT circulando",$A106="Para resolución",$A106="TDC"),"ABIERTA PERO ESTÁ EN FIRMADAS",IF($H106&lt;&gt;INDEX(firmadas!$F:$F,$T106),"FIRMA DISTINTA EN firmadas ("&amp;IF(INDEX(firmadas!$F:$F,$T106)="","vacía",DAY(INDEX(firmadas!$F:$F,$T106))&amp;"/"&amp;MONTH(INDEX(firmadas!$F:$F,$T106))&amp;"/"&amp;YEAR(INDEX(firmadas!$F:$F,$T106)))&amp;")",IF($G106&lt;&gt;INDEX(firmadas!$E:$E,$T106),"INGRESO DISTINTO EN firmadas ("&amp;IF(INDEX(firmadas!$E:$E,$T106)="","vacía",DAY(INDEX(firmadas!$E:$E,$T106))&amp;"/"&amp;MONTH(INDEX(firmadas!$E:$E,$T106))&amp;"/"&amp;YEAR(INDEX(firmadas!$E:$E,$T106)))&amp;")","OK"))))))))</f>
        <v>OK</v>
      </c>
      <c r="T106">
        <f ca="1">IF($P106="","",IFERROR(MATCH($P106,firmadas!$N:$N,0),IFERROR(MATCH("*/"&amp;MID($P106,FIND(" ",$P106)+1,9)&amp;"*",firmadas!$B:$B,0),0)))</f>
        <v>151</v>
      </c>
    </row>
    <row r="107" spans="1:20" ht="18" customHeight="1" x14ac:dyDescent="0.25">
      <c r="A107" t="s">
        <v>80</v>
      </c>
      <c r="C107" t="s">
        <v>145</v>
      </c>
      <c r="D107" s="24">
        <v>1966</v>
      </c>
      <c r="F107" t="s">
        <v>296</v>
      </c>
      <c r="G107" s="16">
        <v>45755</v>
      </c>
      <c r="H107" s="16">
        <v>46034</v>
      </c>
      <c r="M107" t="s">
        <v>83</v>
      </c>
      <c r="N107" s="53">
        <f t="shared" ca="1" si="1"/>
        <v>9.3000000000000007</v>
      </c>
      <c r="P107" s="47" t="str">
        <f ca="1">IF(TRIM(SUBSTITUTE(($C107&amp;" "&amp;$D107),CHAR(160)," "))="","",IFERROR(IF(ISNUMBER(SEARCH("INC",($C107&amp;" "&amp;$D107))),"INC",IF(ISNUMBER(SEARCH("OPI",($C107&amp;" "&amp;$D107))),"OPI",IF(ISNUMBER(SEARCH("DP",($C107&amp;" "&amp;$D107))),"DP","CONC")))&amp;" "&amp;TEXT(LOOKUP(9.99E+307,--MID(SUBSTITUTE(($C107&amp;" "&amp;$D107),CHAR(160)," "),SUMPRODUCT(MIN(FIND({0,1,2,3,4,5,6,7,8,9},SUBSTITUTE(($C107&amp;" "&amp;$D107),CHAR(160)," ")&amp;"0123456789"))),ROW(INDIRECT("1:6")))),"0"),"SIN NUMERO"))</f>
        <v>CONC 1966</v>
      </c>
      <c r="Q107" t="str">
        <f ca="1">IF($P107="","",IF(LEFT(UPPER($S107),9)="VERIFICAR","VERIFICAR",IF($A107="","SIN ESTADO",IF(AND($A107="Firmada",$H107=""),"FALTA FECHA DE FIRMA",IF(N($T107)=0,IF(AND(ISNUMBER($H107),$H107&gt;=DATE(2024,1,1)),"FALTA EN FIRMADAS","OK"),IF(OR($A107="Pendiente de presentación",$A107="Observado",$A107="En análisis",$A107="En instrucción",$A107="Suspendida",$A107="IT circulando",$A107="Para resolución",$A107="TDC"),"ABIERTA PERO ESTÁ EN FIRMADAS",IF($H107&lt;&gt;INDEX(firmadas!$F:$F,$T107),"FIRMA DISTINTA EN firmadas ("&amp;IF(INDEX(firmadas!$F:$F,$T107)="","vacía",DAY(INDEX(firmadas!$F:$F,$T107))&amp;"/"&amp;MONTH(INDEX(firmadas!$F:$F,$T107))&amp;"/"&amp;YEAR(INDEX(firmadas!$F:$F,$T107)))&amp;")",IF($G107&lt;&gt;INDEX(firmadas!$E:$E,$T107),"INGRESO DISTINTO EN firmadas ("&amp;IF(INDEX(firmadas!$E:$E,$T107)="","vacía",DAY(INDEX(firmadas!$E:$E,$T107))&amp;"/"&amp;MONTH(INDEX(firmadas!$E:$E,$T107))&amp;"/"&amp;YEAR(INDEX(firmadas!$E:$E,$T107)))&amp;")","OK"))))))))</f>
        <v>OK</v>
      </c>
      <c r="T107">
        <f ca="1">IF($P107="","",IFERROR(MATCH($P107,firmadas!$N:$N,0),IFERROR(MATCH("*/"&amp;MID($P107,FIND(" ",$P107)+1,9)&amp;"*",firmadas!$B:$B,0),0)))</f>
        <v>189</v>
      </c>
    </row>
    <row r="108" spans="1:20" ht="18" customHeight="1" x14ac:dyDescent="0.25">
      <c r="A108" s="47" t="s">
        <v>80</v>
      </c>
      <c r="B108" s="47"/>
      <c r="C108" s="47" t="s">
        <v>62</v>
      </c>
      <c r="D108" s="45">
        <v>2030</v>
      </c>
      <c r="F108" s="47" t="s">
        <v>297</v>
      </c>
      <c r="G108" s="43">
        <v>45755</v>
      </c>
      <c r="H108" s="43">
        <v>46004</v>
      </c>
      <c r="N108" s="53">
        <f t="shared" ca="1" si="1"/>
        <v>8.3000000000000007</v>
      </c>
      <c r="P108" s="47" t="str">
        <f ca="1">IF(TRIM(SUBSTITUTE(($C108&amp;" "&amp;$D108),CHAR(160)," "))="","",IFERROR(IF(ISNUMBER(SEARCH("INC",($C108&amp;" "&amp;$D108))),"INC",IF(ISNUMBER(SEARCH("OPI",($C108&amp;" "&amp;$D108))),"OPI",IF(ISNUMBER(SEARCH("DP",($C108&amp;" "&amp;$D108))),"DP","CONC")))&amp;" "&amp;TEXT(LOOKUP(9.99E+307,--MID(SUBSTITUTE(($C108&amp;" "&amp;$D108),CHAR(160)," "),SUMPRODUCT(MIN(FIND({0,1,2,3,4,5,6,7,8,9},SUBSTITUTE(($C108&amp;" "&amp;$D108),CHAR(160)," ")&amp;"0123456789"))),ROW(INDIRECT("1:6")))),"0"),"SIN NUMERO"))</f>
        <v>CONC 2030</v>
      </c>
      <c r="Q108" t="str">
        <f ca="1">IF($P108="","",IF(LEFT(UPPER($S108),9)="VERIFICAR","VERIFICAR",IF($A108="","SIN ESTADO",IF(AND($A108="Firmada",$H108=""),"FALTA FECHA DE FIRMA",IF(N($T108)=0,IF(AND(ISNUMBER($H108),$H108&gt;=DATE(2024,1,1)),"FALTA EN FIRMADAS","OK"),IF(OR($A108="Pendiente de presentación",$A108="Observado",$A108="En análisis",$A108="En instrucción",$A108="Suspendida",$A108="IT circulando",$A108="Para resolución",$A108="TDC"),"ABIERTA PERO ESTÁ EN FIRMADAS",IF($H108&lt;&gt;INDEX(firmadas!$F:$F,$T108),"FIRMA DISTINTA EN firmadas ("&amp;IF(INDEX(firmadas!$F:$F,$T108)="","vacía",DAY(INDEX(firmadas!$F:$F,$T108))&amp;"/"&amp;MONTH(INDEX(firmadas!$F:$F,$T108))&amp;"/"&amp;YEAR(INDEX(firmadas!$F:$F,$T108)))&amp;")",IF($G108&lt;&gt;INDEX(firmadas!$E:$E,$T108),"INGRESO DISTINTO EN firmadas ("&amp;IF(INDEX(firmadas!$E:$E,$T108)="","vacía",DAY(INDEX(firmadas!$E:$E,$T108))&amp;"/"&amp;MONTH(INDEX(firmadas!$E:$E,$T108))&amp;"/"&amp;YEAR(INDEX(firmadas!$E:$E,$T108)))&amp;")","OK"))))))))</f>
        <v>VERIFICAR</v>
      </c>
      <c r="S108" t="s">
        <v>298</v>
      </c>
      <c r="T108">
        <f ca="1">IF($P108="","",IFERROR(MATCH($P108,firmadas!$N:$N,0),IFERROR(MATCH("*/"&amp;MID($P108,FIND(" ",$P108)+1,9)&amp;"*",firmadas!$B:$B,0),0)))</f>
        <v>169</v>
      </c>
    </row>
    <row r="109" spans="1:20" ht="18" customHeight="1" x14ac:dyDescent="0.25">
      <c r="A109" s="47" t="s">
        <v>80</v>
      </c>
      <c r="B109" s="47"/>
      <c r="C109" s="47" t="s">
        <v>62</v>
      </c>
      <c r="D109" s="45">
        <v>2031</v>
      </c>
      <c r="F109" s="47" t="s">
        <v>299</v>
      </c>
      <c r="G109" s="43">
        <v>45755</v>
      </c>
      <c r="H109" s="43">
        <v>45902</v>
      </c>
      <c r="M109" t="s">
        <v>83</v>
      </c>
      <c r="N109" s="53">
        <f t="shared" ca="1" si="1"/>
        <v>4.9000000000000004</v>
      </c>
      <c r="P109" s="47" t="str">
        <f ca="1">IF(TRIM(SUBSTITUTE(($C109&amp;" "&amp;$D109),CHAR(160)," "))="","",IFERROR(IF(ISNUMBER(SEARCH("INC",($C109&amp;" "&amp;$D109))),"INC",IF(ISNUMBER(SEARCH("OPI",($C109&amp;" "&amp;$D109))),"OPI",IF(ISNUMBER(SEARCH("DP",($C109&amp;" "&amp;$D109))),"DP","CONC")))&amp;" "&amp;TEXT(LOOKUP(9.99E+307,--MID(SUBSTITUTE(($C109&amp;" "&amp;$D109),CHAR(160)," "),SUMPRODUCT(MIN(FIND({0,1,2,3,4,5,6,7,8,9},SUBSTITUTE(($C109&amp;" "&amp;$D109),CHAR(160)," ")&amp;"0123456789"))),ROW(INDIRECT("1:6")))),"0"),"SIN NUMERO"))</f>
        <v>CONC 2031</v>
      </c>
      <c r="Q109" t="str">
        <f ca="1">IF($P109="","",IF(LEFT(UPPER($S109),9)="VERIFICAR","VERIFICAR",IF($A109="","SIN ESTADO",IF(AND($A109="Firmada",$H109=""),"FALTA FECHA DE FIRMA",IF(N($T109)=0,IF(AND(ISNUMBER($H109),$H109&gt;=DATE(2024,1,1)),"FALTA EN FIRMADAS","OK"),IF(OR($A109="Pendiente de presentación",$A109="Observado",$A109="En análisis",$A109="En instrucción",$A109="Suspendida",$A109="IT circulando",$A109="Para resolución",$A109="TDC"),"ABIERTA PERO ESTÁ EN FIRMADAS",IF($H109&lt;&gt;INDEX(firmadas!$F:$F,$T109),"FIRMA DISTINTA EN firmadas ("&amp;IF(INDEX(firmadas!$F:$F,$T109)="","vacía",DAY(INDEX(firmadas!$F:$F,$T109))&amp;"/"&amp;MONTH(INDEX(firmadas!$F:$F,$T109))&amp;"/"&amp;YEAR(INDEX(firmadas!$F:$F,$T109)))&amp;")",IF($G109&lt;&gt;INDEX(firmadas!$E:$E,$T109),"INGRESO DISTINTO EN firmadas ("&amp;IF(INDEX(firmadas!$E:$E,$T109)="","vacía",DAY(INDEX(firmadas!$E:$E,$T109))&amp;"/"&amp;MONTH(INDEX(firmadas!$E:$E,$T109))&amp;"/"&amp;YEAR(INDEX(firmadas!$E:$E,$T109)))&amp;")","OK"))))))))</f>
        <v>OK</v>
      </c>
      <c r="T109">
        <f ca="1">IF($P109="","",IFERROR(MATCH($P109,firmadas!$N:$N,0),IFERROR(MATCH("*/"&amp;MID($P109,FIND(" ",$P109)+1,9)&amp;"*",firmadas!$B:$B,0),0)))</f>
        <v>140</v>
      </c>
    </row>
    <row r="110" spans="1:20" ht="18" customHeight="1" x14ac:dyDescent="0.25">
      <c r="A110" t="s">
        <v>80</v>
      </c>
      <c r="C110" t="s">
        <v>145</v>
      </c>
      <c r="D110" s="24">
        <v>2032</v>
      </c>
      <c r="E110" s="44" t="s">
        <v>300</v>
      </c>
      <c r="F110" s="44" t="s">
        <v>301</v>
      </c>
      <c r="G110" s="16">
        <v>45757</v>
      </c>
      <c r="H110" s="16">
        <v>46107</v>
      </c>
      <c r="I110" s="44" t="s">
        <v>103</v>
      </c>
      <c r="J110" s="44" t="s">
        <v>111</v>
      </c>
      <c r="K110" s="44" t="s">
        <v>197</v>
      </c>
      <c r="L110" s="44" t="s">
        <v>198</v>
      </c>
      <c r="M110" t="s">
        <v>83</v>
      </c>
      <c r="N110" s="53">
        <f t="shared" ca="1" si="1"/>
        <v>11.666666666666666</v>
      </c>
      <c r="P110" s="47" t="str">
        <f ca="1">IF(TRIM(SUBSTITUTE(($C110&amp;" "&amp;$D110),CHAR(160)," "))="","",IFERROR(IF(ISNUMBER(SEARCH("INC",($C110&amp;" "&amp;$D110))),"INC",IF(ISNUMBER(SEARCH("OPI",($C110&amp;" "&amp;$D110))),"OPI",IF(ISNUMBER(SEARCH("DP",($C110&amp;" "&amp;$D110))),"DP","CONC")))&amp;" "&amp;TEXT(LOOKUP(9.99E+307,--MID(SUBSTITUTE(($C110&amp;" "&amp;$D110),CHAR(160)," "),SUMPRODUCT(MIN(FIND({0,1,2,3,4,5,6,7,8,9},SUBSTITUTE(($C110&amp;" "&amp;$D110),CHAR(160)," ")&amp;"0123456789"))),ROW(INDIRECT("1:6")))),"0"),"SIN NUMERO"))</f>
        <v>CONC 2032</v>
      </c>
      <c r="Q110" t="str">
        <f ca="1">IF($P110="","",IF(LEFT(UPPER($S110),9)="VERIFICAR","VERIFICAR",IF($A110="","SIN ESTADO",IF(AND($A110="Firmada",$H110=""),"FALTA FECHA DE FIRMA",IF(N($T110)=0,IF(AND(ISNUMBER($H110),$H110&gt;=DATE(2024,1,1)),"FALTA EN FIRMADAS","OK"),IF(OR($A110="Pendiente de presentación",$A110="Observado",$A110="En análisis",$A110="En instrucción",$A110="Suspendida",$A110="IT circulando",$A110="Para resolución",$A110="TDC"),"ABIERTA PERO ESTÁ EN FIRMADAS",IF($H110&lt;&gt;INDEX(firmadas!$F:$F,$T110),"FIRMA DISTINTA EN firmadas ("&amp;IF(INDEX(firmadas!$F:$F,$T110)="","vacía",DAY(INDEX(firmadas!$F:$F,$T110))&amp;"/"&amp;MONTH(INDEX(firmadas!$F:$F,$T110))&amp;"/"&amp;YEAR(INDEX(firmadas!$F:$F,$T110)))&amp;")",IF($G110&lt;&gt;INDEX(firmadas!$E:$E,$T110),"INGRESO DISTINTO EN firmadas ("&amp;IF(INDEX(firmadas!$E:$E,$T110)="","vacía",DAY(INDEX(firmadas!$E:$E,$T110))&amp;"/"&amp;MONTH(INDEX(firmadas!$E:$E,$T110))&amp;"/"&amp;YEAR(INDEX(firmadas!$E:$E,$T110)))&amp;")","OK"))))))))</f>
        <v>OK</v>
      </c>
      <c r="T110">
        <f ca="1">IF($P110="","",IFERROR(MATCH($P110,firmadas!$N:$N,0),IFERROR(MATCH("*/"&amp;MID($P110,FIND(" ",$P110)+1,9)&amp;"*",firmadas!$B:$B,0),0)))</f>
        <v>218</v>
      </c>
    </row>
    <row r="111" spans="1:20" ht="18" customHeight="1" x14ac:dyDescent="0.25">
      <c r="A111" s="47" t="s">
        <v>80</v>
      </c>
      <c r="B111" s="47"/>
      <c r="C111" s="47" t="s">
        <v>62</v>
      </c>
      <c r="D111" s="45">
        <v>2033</v>
      </c>
      <c r="F111" s="47" t="s">
        <v>302</v>
      </c>
      <c r="G111" s="43">
        <v>45799</v>
      </c>
      <c r="H111" s="43">
        <v>45891</v>
      </c>
      <c r="M111" t="s">
        <v>83</v>
      </c>
      <c r="N111" s="53">
        <f t="shared" ca="1" si="1"/>
        <v>3.0666666666666669</v>
      </c>
      <c r="P111" s="47" t="str">
        <f ca="1">IF(TRIM(SUBSTITUTE(($C111&amp;" "&amp;$D111),CHAR(160)," "))="","",IFERROR(IF(ISNUMBER(SEARCH("INC",($C111&amp;" "&amp;$D111))),"INC",IF(ISNUMBER(SEARCH("OPI",($C111&amp;" "&amp;$D111))),"OPI",IF(ISNUMBER(SEARCH("DP",($C111&amp;" "&amp;$D111))),"DP","CONC")))&amp;" "&amp;TEXT(LOOKUP(9.99E+307,--MID(SUBSTITUTE(($C111&amp;" "&amp;$D111),CHAR(160)," "),SUMPRODUCT(MIN(FIND({0,1,2,3,4,5,6,7,8,9},SUBSTITUTE(($C111&amp;" "&amp;$D111),CHAR(160)," ")&amp;"0123456789"))),ROW(INDIRECT("1:6")))),"0"),"SIN NUMERO"))</f>
        <v>CONC 2033</v>
      </c>
      <c r="Q111" t="str">
        <f ca="1">IF($P111="","",IF(LEFT(UPPER($S111),9)="VERIFICAR","VERIFICAR",IF($A111="","SIN ESTADO",IF(AND($A111="Firmada",$H111=""),"FALTA FECHA DE FIRMA",IF(N($T111)=0,IF(AND(ISNUMBER($H111),$H111&gt;=DATE(2024,1,1)),"FALTA EN FIRMADAS","OK"),IF(OR($A111="Pendiente de presentación",$A111="Observado",$A111="En análisis",$A111="En instrucción",$A111="Suspendida",$A111="IT circulando",$A111="Para resolución",$A111="TDC"),"ABIERTA PERO ESTÁ EN FIRMADAS",IF($H111&lt;&gt;INDEX(firmadas!$F:$F,$T111),"FIRMA DISTINTA EN firmadas ("&amp;IF(INDEX(firmadas!$F:$F,$T111)="","vacía",DAY(INDEX(firmadas!$F:$F,$T111))&amp;"/"&amp;MONTH(INDEX(firmadas!$F:$F,$T111))&amp;"/"&amp;YEAR(INDEX(firmadas!$F:$F,$T111)))&amp;")",IF($G111&lt;&gt;INDEX(firmadas!$E:$E,$T111),"INGRESO DISTINTO EN firmadas ("&amp;IF(INDEX(firmadas!$E:$E,$T111)="","vacía",DAY(INDEX(firmadas!$E:$E,$T111))&amp;"/"&amp;MONTH(INDEX(firmadas!$E:$E,$T111))&amp;"/"&amp;YEAR(INDEX(firmadas!$E:$E,$T111)))&amp;")","OK"))))))))</f>
        <v>OK</v>
      </c>
      <c r="T111">
        <f ca="1">IF($P111="","",IFERROR(MATCH($P111,firmadas!$N:$N,0),IFERROR(MATCH("*/"&amp;MID($P111,FIND(" ",$P111)+1,9)&amp;"*",firmadas!$B:$B,0),0)))</f>
        <v>139</v>
      </c>
    </row>
    <row r="112" spans="1:20" ht="18" customHeight="1" x14ac:dyDescent="0.25">
      <c r="A112" s="47" t="s">
        <v>80</v>
      </c>
      <c r="B112" s="47"/>
      <c r="C112" s="47" t="s">
        <v>62</v>
      </c>
      <c r="D112" s="45">
        <v>2034</v>
      </c>
      <c r="F112" s="47" t="s">
        <v>303</v>
      </c>
      <c r="G112" s="43">
        <v>45784</v>
      </c>
      <c r="H112" s="43">
        <v>45867</v>
      </c>
      <c r="M112" t="s">
        <v>83</v>
      </c>
      <c r="N112" s="53">
        <f t="shared" ca="1" si="1"/>
        <v>2.7666666666666666</v>
      </c>
      <c r="P112" s="47" t="str">
        <f ca="1">IF(TRIM(SUBSTITUTE(($C112&amp;" "&amp;$D112),CHAR(160)," "))="","",IFERROR(IF(ISNUMBER(SEARCH("INC",($C112&amp;" "&amp;$D112))),"INC",IF(ISNUMBER(SEARCH("OPI",($C112&amp;" "&amp;$D112))),"OPI",IF(ISNUMBER(SEARCH("DP",($C112&amp;" "&amp;$D112))),"DP","CONC")))&amp;" "&amp;TEXT(LOOKUP(9.99E+307,--MID(SUBSTITUTE(($C112&amp;" "&amp;$D112),CHAR(160)," "),SUMPRODUCT(MIN(FIND({0,1,2,3,4,5,6,7,8,9},SUBSTITUTE(($C112&amp;" "&amp;$D112),CHAR(160)," ")&amp;"0123456789"))),ROW(INDIRECT("1:6")))),"0"),"SIN NUMERO"))</f>
        <v>CONC 2034</v>
      </c>
      <c r="Q112" t="str">
        <f ca="1">IF($P112="","",IF(LEFT(UPPER($S112),9)="VERIFICAR","VERIFICAR",IF($A112="","SIN ESTADO",IF(AND($A112="Firmada",$H112=""),"FALTA FECHA DE FIRMA",IF(N($T112)=0,IF(AND(ISNUMBER($H112),$H112&gt;=DATE(2024,1,1)),"FALTA EN FIRMADAS","OK"),IF(OR($A112="Pendiente de presentación",$A112="Observado",$A112="En análisis",$A112="En instrucción",$A112="Suspendida",$A112="IT circulando",$A112="Para resolución",$A112="TDC"),"ABIERTA PERO ESTÁ EN FIRMADAS",IF($H112&lt;&gt;INDEX(firmadas!$F:$F,$T112),"FIRMA DISTINTA EN firmadas ("&amp;IF(INDEX(firmadas!$F:$F,$T112)="","vacía",DAY(INDEX(firmadas!$F:$F,$T112))&amp;"/"&amp;MONTH(INDEX(firmadas!$F:$F,$T112))&amp;"/"&amp;YEAR(INDEX(firmadas!$F:$F,$T112)))&amp;")",IF($G112&lt;&gt;INDEX(firmadas!$E:$E,$T112),"INGRESO DISTINTO EN firmadas ("&amp;IF(INDEX(firmadas!$E:$E,$T112)="","vacía",DAY(INDEX(firmadas!$E:$E,$T112))&amp;"/"&amp;MONTH(INDEX(firmadas!$E:$E,$T112))&amp;"/"&amp;YEAR(INDEX(firmadas!$E:$E,$T112)))&amp;")","OK"))))))))</f>
        <v>OK</v>
      </c>
      <c r="T112">
        <f ca="1">IF($P112="","",IFERROR(MATCH($P112,firmadas!$N:$N,0),IFERROR(MATCH("*/"&amp;MID($P112,FIND(" ",$P112)+1,9)&amp;"*",firmadas!$B:$B,0),0)))</f>
        <v>130</v>
      </c>
    </row>
    <row r="113" spans="1:20" ht="18" customHeight="1" x14ac:dyDescent="0.25">
      <c r="A113" s="47" t="s">
        <v>80</v>
      </c>
      <c r="B113" s="47"/>
      <c r="C113" s="47" t="s">
        <v>62</v>
      </c>
      <c r="D113" s="45">
        <v>2035</v>
      </c>
      <c r="F113" s="47" t="s">
        <v>304</v>
      </c>
      <c r="G113" s="43">
        <v>45789</v>
      </c>
      <c r="H113" s="43">
        <v>45952</v>
      </c>
      <c r="M113" t="s">
        <v>83</v>
      </c>
      <c r="N113" s="53">
        <f t="shared" ca="1" si="1"/>
        <v>5.4333333333333336</v>
      </c>
      <c r="P113" s="47" t="str">
        <f ca="1">IF(TRIM(SUBSTITUTE(($C113&amp;" "&amp;$D113),CHAR(160)," "))="","",IFERROR(IF(ISNUMBER(SEARCH("INC",($C113&amp;" "&amp;$D113))),"INC",IF(ISNUMBER(SEARCH("OPI",($C113&amp;" "&amp;$D113))),"OPI",IF(ISNUMBER(SEARCH("DP",($C113&amp;" "&amp;$D113))),"DP","CONC")))&amp;" "&amp;TEXT(LOOKUP(9.99E+307,--MID(SUBSTITUTE(($C113&amp;" "&amp;$D113),CHAR(160)," "),SUMPRODUCT(MIN(FIND({0,1,2,3,4,5,6,7,8,9},SUBSTITUTE(($C113&amp;" "&amp;$D113),CHAR(160)," ")&amp;"0123456789"))),ROW(INDIRECT("1:6")))),"0"),"SIN NUMERO"))</f>
        <v>CONC 2035</v>
      </c>
      <c r="Q113" t="str">
        <f ca="1">IF($P113="","",IF(LEFT(UPPER($S113),9)="VERIFICAR","VERIFICAR",IF($A113="","SIN ESTADO",IF(AND($A113="Firmada",$H113=""),"FALTA FECHA DE FIRMA",IF(N($T113)=0,IF(AND(ISNUMBER($H113),$H113&gt;=DATE(2024,1,1)),"FALTA EN FIRMADAS","OK"),IF(OR($A113="Pendiente de presentación",$A113="Observado",$A113="En análisis",$A113="En instrucción",$A113="Suspendida",$A113="IT circulando",$A113="Para resolución",$A113="TDC"),"ABIERTA PERO ESTÁ EN FIRMADAS",IF($H113&lt;&gt;INDEX(firmadas!$F:$F,$T113),"FIRMA DISTINTA EN firmadas ("&amp;IF(INDEX(firmadas!$F:$F,$T113)="","vacía",DAY(INDEX(firmadas!$F:$F,$T113))&amp;"/"&amp;MONTH(INDEX(firmadas!$F:$F,$T113))&amp;"/"&amp;YEAR(INDEX(firmadas!$F:$F,$T113)))&amp;")",IF($G113&lt;&gt;INDEX(firmadas!$E:$E,$T113),"INGRESO DISTINTO EN firmadas ("&amp;IF(INDEX(firmadas!$E:$E,$T113)="","vacía",DAY(INDEX(firmadas!$E:$E,$T113))&amp;"/"&amp;MONTH(INDEX(firmadas!$E:$E,$T113))&amp;"/"&amp;YEAR(INDEX(firmadas!$E:$E,$T113)))&amp;")","OK"))))))))</f>
        <v>OK</v>
      </c>
      <c r="T113">
        <f ca="1">IF($P113="","",IFERROR(MATCH($P113,firmadas!$N:$N,0),IFERROR(MATCH("*/"&amp;MID($P113,FIND(" ",$P113)+1,9)&amp;"*",firmadas!$B:$B,0),0)))</f>
        <v>152</v>
      </c>
    </row>
    <row r="114" spans="1:20" ht="18" customHeight="1" x14ac:dyDescent="0.25">
      <c r="A114" s="47" t="s">
        <v>80</v>
      </c>
      <c r="B114" s="47"/>
      <c r="C114" s="47" t="s">
        <v>62</v>
      </c>
      <c r="D114" s="45">
        <v>2036</v>
      </c>
      <c r="F114" s="47" t="s">
        <v>305</v>
      </c>
      <c r="G114" s="43">
        <v>45807</v>
      </c>
      <c r="H114" s="43">
        <v>45876</v>
      </c>
      <c r="M114" t="s">
        <v>83</v>
      </c>
      <c r="N114" s="53">
        <f t="shared" ca="1" si="1"/>
        <v>2.2999999999999998</v>
      </c>
      <c r="P114" s="47" t="str">
        <f ca="1">IF(TRIM(SUBSTITUTE(($C114&amp;" "&amp;$D114),CHAR(160)," "))="","",IFERROR(IF(ISNUMBER(SEARCH("INC",($C114&amp;" "&amp;$D114))),"INC",IF(ISNUMBER(SEARCH("OPI",($C114&amp;" "&amp;$D114))),"OPI",IF(ISNUMBER(SEARCH("DP",($C114&amp;" "&amp;$D114))),"DP","CONC")))&amp;" "&amp;TEXT(LOOKUP(9.99E+307,--MID(SUBSTITUTE(($C114&amp;" "&amp;$D114),CHAR(160)," "),SUMPRODUCT(MIN(FIND({0,1,2,3,4,5,6,7,8,9},SUBSTITUTE(($C114&amp;" "&amp;$D114),CHAR(160)," ")&amp;"0123456789"))),ROW(INDIRECT("1:6")))),"0"),"SIN NUMERO"))</f>
        <v>CONC 2036</v>
      </c>
      <c r="Q114" t="str">
        <f ca="1">IF($P114="","",IF(LEFT(UPPER($S114),9)="VERIFICAR","VERIFICAR",IF($A114="","SIN ESTADO",IF(AND($A114="Firmada",$H114=""),"FALTA FECHA DE FIRMA",IF(N($T114)=0,IF(AND(ISNUMBER($H114),$H114&gt;=DATE(2024,1,1)),"FALTA EN FIRMADAS","OK"),IF(OR($A114="Pendiente de presentación",$A114="Observado",$A114="En análisis",$A114="En instrucción",$A114="Suspendida",$A114="IT circulando",$A114="Para resolución",$A114="TDC"),"ABIERTA PERO ESTÁ EN FIRMADAS",IF($H114&lt;&gt;INDEX(firmadas!$F:$F,$T114),"FIRMA DISTINTA EN firmadas ("&amp;IF(INDEX(firmadas!$F:$F,$T114)="","vacía",DAY(INDEX(firmadas!$F:$F,$T114))&amp;"/"&amp;MONTH(INDEX(firmadas!$F:$F,$T114))&amp;"/"&amp;YEAR(INDEX(firmadas!$F:$F,$T114)))&amp;")",IF($G114&lt;&gt;INDEX(firmadas!$E:$E,$T114),"INGRESO DISTINTO EN firmadas ("&amp;IF(INDEX(firmadas!$E:$E,$T114)="","vacía",DAY(INDEX(firmadas!$E:$E,$T114))&amp;"/"&amp;MONTH(INDEX(firmadas!$E:$E,$T114))&amp;"/"&amp;YEAR(INDEX(firmadas!$E:$E,$T114)))&amp;")","OK"))))))))</f>
        <v>OK</v>
      </c>
      <c r="T114">
        <f ca="1">IF($P114="","",IFERROR(MATCH($P114,firmadas!$N:$N,0),IFERROR(MATCH("*/"&amp;MID($P114,FIND(" ",$P114)+1,9)&amp;"*",firmadas!$B:$B,0),0)))</f>
        <v>132</v>
      </c>
    </row>
    <row r="115" spans="1:20" ht="18" customHeight="1" x14ac:dyDescent="0.25">
      <c r="A115" t="s">
        <v>80</v>
      </c>
      <c r="C115" t="s">
        <v>145</v>
      </c>
      <c r="D115" s="24">
        <v>2037</v>
      </c>
      <c r="F115" t="s">
        <v>306</v>
      </c>
      <c r="G115" s="16">
        <v>45805</v>
      </c>
      <c r="H115" s="16">
        <v>46024</v>
      </c>
      <c r="M115" t="s">
        <v>83</v>
      </c>
      <c r="N115" s="53">
        <f t="shared" ca="1" si="1"/>
        <v>7.3</v>
      </c>
      <c r="P115" s="47" t="str">
        <f ca="1">IF(TRIM(SUBSTITUTE(($C115&amp;" "&amp;$D115),CHAR(160)," "))="","",IFERROR(IF(ISNUMBER(SEARCH("INC",($C115&amp;" "&amp;$D115))),"INC",IF(ISNUMBER(SEARCH("OPI",($C115&amp;" "&amp;$D115))),"OPI",IF(ISNUMBER(SEARCH("DP",($C115&amp;" "&amp;$D115))),"DP","CONC")))&amp;" "&amp;TEXT(LOOKUP(9.99E+307,--MID(SUBSTITUTE(($C115&amp;" "&amp;$D115),CHAR(160)," "),SUMPRODUCT(MIN(FIND({0,1,2,3,4,5,6,7,8,9},SUBSTITUTE(($C115&amp;" "&amp;$D115),CHAR(160)," ")&amp;"0123456789"))),ROW(INDIRECT("1:6")))),"0"),"SIN NUMERO"))</f>
        <v>CONC 2037</v>
      </c>
      <c r="Q115" t="str">
        <f ca="1">IF($P115="","",IF(LEFT(UPPER($S115),9)="VERIFICAR","VERIFICAR",IF($A115="","SIN ESTADO",IF(AND($A115="Firmada",$H115=""),"FALTA FECHA DE FIRMA",IF(N($T115)=0,IF(AND(ISNUMBER($H115),$H115&gt;=DATE(2024,1,1)),"FALTA EN FIRMADAS","OK"),IF(OR($A115="Pendiente de presentación",$A115="Observado",$A115="En análisis",$A115="En instrucción",$A115="Suspendida",$A115="IT circulando",$A115="Para resolución",$A115="TDC"),"ABIERTA PERO ESTÁ EN FIRMADAS",IF($H115&lt;&gt;INDEX(firmadas!$F:$F,$T115),"FIRMA DISTINTA EN firmadas ("&amp;IF(INDEX(firmadas!$F:$F,$T115)="","vacía",DAY(INDEX(firmadas!$F:$F,$T115))&amp;"/"&amp;MONTH(INDEX(firmadas!$F:$F,$T115))&amp;"/"&amp;YEAR(INDEX(firmadas!$F:$F,$T115)))&amp;")",IF($G115&lt;&gt;INDEX(firmadas!$E:$E,$T115),"INGRESO DISTINTO EN firmadas ("&amp;IF(INDEX(firmadas!$E:$E,$T115)="","vacía",DAY(INDEX(firmadas!$E:$E,$T115))&amp;"/"&amp;MONTH(INDEX(firmadas!$E:$E,$T115))&amp;"/"&amp;YEAR(INDEX(firmadas!$E:$E,$T115)))&amp;")","OK"))))))))</f>
        <v>OK</v>
      </c>
      <c r="T115">
        <f ca="1">IF($P115="","",IFERROR(MATCH($P115,firmadas!$N:$N,0),IFERROR(MATCH("*/"&amp;MID($P115,FIND(" ",$P115)+1,9)&amp;"*",firmadas!$B:$B,0),0)))</f>
        <v>187</v>
      </c>
    </row>
    <row r="116" spans="1:20" ht="15" customHeight="1" x14ac:dyDescent="0.25">
      <c r="A116" t="s">
        <v>80</v>
      </c>
      <c r="C116" t="s">
        <v>145</v>
      </c>
      <c r="D116" s="24">
        <v>2038</v>
      </c>
      <c r="E116" t="s">
        <v>307</v>
      </c>
      <c r="F116" t="s">
        <v>308</v>
      </c>
      <c r="G116" s="16">
        <v>45813</v>
      </c>
      <c r="H116" s="16">
        <v>46045</v>
      </c>
      <c r="I116" t="s">
        <v>110</v>
      </c>
      <c r="J116" t="s">
        <v>309</v>
      </c>
      <c r="K116" t="s">
        <v>112</v>
      </c>
      <c r="M116" t="s">
        <v>202</v>
      </c>
      <c r="N116" s="53">
        <f t="shared" ca="1" si="1"/>
        <v>7.7333333333333334</v>
      </c>
      <c r="P116" s="47" t="str">
        <f ca="1">IF(TRIM(SUBSTITUTE(($C116&amp;" "&amp;$D116),CHAR(160)," "))="","",IFERROR(IF(ISNUMBER(SEARCH("INC",($C116&amp;" "&amp;$D116))),"INC",IF(ISNUMBER(SEARCH("OPI",($C116&amp;" "&amp;$D116))),"OPI",IF(ISNUMBER(SEARCH("DP",($C116&amp;" "&amp;$D116))),"DP","CONC")))&amp;" "&amp;TEXT(LOOKUP(9.99E+307,--MID(SUBSTITUTE(($C116&amp;" "&amp;$D116),CHAR(160)," "),SUMPRODUCT(MIN(FIND({0,1,2,3,4,5,6,7,8,9},SUBSTITUTE(($C116&amp;" "&amp;$D116),CHAR(160)," ")&amp;"0123456789"))),ROW(INDIRECT("1:6")))),"0"),"SIN NUMERO"))</f>
        <v>CONC 2038</v>
      </c>
      <c r="Q116" t="str">
        <f ca="1">IF($P116="","",IF(LEFT(UPPER($S116),9)="VERIFICAR","VERIFICAR",IF($A116="","SIN ESTADO",IF(AND($A116="Firmada",$H116=""),"FALTA FECHA DE FIRMA",IF(N($T116)=0,IF(AND(ISNUMBER($H116),$H116&gt;=DATE(2024,1,1)),"FALTA EN FIRMADAS","OK"),IF(OR($A116="Pendiente de presentación",$A116="Observado",$A116="En análisis",$A116="En instrucción",$A116="Suspendida",$A116="IT circulando",$A116="Para resolución",$A116="TDC"),"ABIERTA PERO ESTÁ EN FIRMADAS",IF($H116&lt;&gt;INDEX(firmadas!$F:$F,$T116),"FIRMA DISTINTA EN firmadas ("&amp;IF(INDEX(firmadas!$F:$F,$T116)="","vacía",DAY(INDEX(firmadas!$F:$F,$T116))&amp;"/"&amp;MONTH(INDEX(firmadas!$F:$F,$T116))&amp;"/"&amp;YEAR(INDEX(firmadas!$F:$F,$T116)))&amp;")",IF($G116&lt;&gt;INDEX(firmadas!$E:$E,$T116),"INGRESO DISTINTO EN firmadas ("&amp;IF(INDEX(firmadas!$E:$E,$T116)="","vacía",DAY(INDEX(firmadas!$E:$E,$T116))&amp;"/"&amp;MONTH(INDEX(firmadas!$E:$E,$T116))&amp;"/"&amp;YEAR(INDEX(firmadas!$E:$E,$T116)))&amp;")","OK"))))))))</f>
        <v>OK</v>
      </c>
      <c r="T116">
        <f ca="1">IF($P116="","",IFERROR(MATCH($P116,firmadas!$N:$N,0),IFERROR(MATCH("*/"&amp;MID($P116,FIND(" ",$P116)+1,9)&amp;"*",firmadas!$B:$B,0),0)))</f>
        <v>199</v>
      </c>
    </row>
    <row r="117" spans="1:20" ht="15" customHeight="1" x14ac:dyDescent="0.25">
      <c r="A117" s="47" t="s">
        <v>80</v>
      </c>
      <c r="B117" s="47"/>
      <c r="C117" s="47" t="s">
        <v>62</v>
      </c>
      <c r="D117" s="45">
        <v>2039</v>
      </c>
      <c r="F117" s="47" t="s">
        <v>310</v>
      </c>
      <c r="G117" s="43">
        <v>45817</v>
      </c>
      <c r="H117" s="43">
        <v>46013</v>
      </c>
      <c r="M117" t="s">
        <v>202</v>
      </c>
      <c r="N117" s="53">
        <f t="shared" ca="1" si="1"/>
        <v>6.5333333333333332</v>
      </c>
      <c r="P117" s="47" t="str">
        <f ca="1">IF(TRIM(SUBSTITUTE(($C117&amp;" "&amp;$D117),CHAR(160)," "))="","",IFERROR(IF(ISNUMBER(SEARCH("INC",($C117&amp;" "&amp;$D117))),"INC",IF(ISNUMBER(SEARCH("OPI",($C117&amp;" "&amp;$D117))),"OPI",IF(ISNUMBER(SEARCH("DP",($C117&amp;" "&amp;$D117))),"DP","CONC")))&amp;" "&amp;TEXT(LOOKUP(9.99E+307,--MID(SUBSTITUTE(($C117&amp;" "&amp;$D117),CHAR(160)," "),SUMPRODUCT(MIN(FIND({0,1,2,3,4,5,6,7,8,9},SUBSTITUTE(($C117&amp;" "&amp;$D117),CHAR(160)," ")&amp;"0123456789"))),ROW(INDIRECT("1:6")))),"0"),"SIN NUMERO"))</f>
        <v>CONC 2039</v>
      </c>
      <c r="Q117" t="str">
        <f ca="1">IF($P117="","",IF(LEFT(UPPER($S117),9)="VERIFICAR","VERIFICAR",IF($A117="","SIN ESTADO",IF(AND($A117="Firmada",$H117=""),"FALTA FECHA DE FIRMA",IF(N($T117)=0,IF(AND(ISNUMBER($H117),$H117&gt;=DATE(2024,1,1)),"FALTA EN FIRMADAS","OK"),IF(OR($A117="Pendiente de presentación",$A117="Observado",$A117="En análisis",$A117="En instrucción",$A117="Suspendida",$A117="IT circulando",$A117="Para resolución",$A117="TDC"),"ABIERTA PERO ESTÁ EN FIRMADAS",IF($H117&lt;&gt;INDEX(firmadas!$F:$F,$T117),"FIRMA DISTINTA EN firmadas ("&amp;IF(INDEX(firmadas!$F:$F,$T117)="","vacía",DAY(INDEX(firmadas!$F:$F,$T117))&amp;"/"&amp;MONTH(INDEX(firmadas!$F:$F,$T117))&amp;"/"&amp;YEAR(INDEX(firmadas!$F:$F,$T117)))&amp;")",IF($G117&lt;&gt;INDEX(firmadas!$E:$E,$T117),"INGRESO DISTINTO EN firmadas ("&amp;IF(INDEX(firmadas!$E:$E,$T117)="","vacía",DAY(INDEX(firmadas!$E:$E,$T117))&amp;"/"&amp;MONTH(INDEX(firmadas!$E:$E,$T117))&amp;"/"&amp;YEAR(INDEX(firmadas!$E:$E,$T117)))&amp;")","OK"))))))))</f>
        <v>OK</v>
      </c>
      <c r="T117">
        <f ca="1">IF($P117="","",IFERROR(MATCH($P117,firmadas!$N:$N,0),IFERROR(MATCH("*/"&amp;MID($P117,FIND(" ",$P117)+1,9)&amp;"*",firmadas!$B:$B,0),0)))</f>
        <v>178</v>
      </c>
    </row>
    <row r="118" spans="1:20" ht="15" customHeight="1" x14ac:dyDescent="0.25">
      <c r="A118" t="s">
        <v>80</v>
      </c>
      <c r="C118" t="s">
        <v>145</v>
      </c>
      <c r="D118" s="24">
        <v>2040</v>
      </c>
      <c r="E118" t="s">
        <v>311</v>
      </c>
      <c r="F118" t="s">
        <v>312</v>
      </c>
      <c r="G118" s="16">
        <v>45820</v>
      </c>
      <c r="H118" s="16">
        <v>46157</v>
      </c>
      <c r="I118" t="s">
        <v>93</v>
      </c>
      <c r="J118" t="s">
        <v>187</v>
      </c>
      <c r="K118" t="s">
        <v>197</v>
      </c>
      <c r="M118" t="s">
        <v>202</v>
      </c>
      <c r="N118" s="53">
        <f t="shared" ca="1" si="1"/>
        <v>11.233333333333333</v>
      </c>
      <c r="P118" s="47" t="str">
        <f ca="1">IF(TRIM(SUBSTITUTE(($C118&amp;" "&amp;$D118),CHAR(160)," "))="","",IFERROR(IF(ISNUMBER(SEARCH("INC",($C118&amp;" "&amp;$D118))),"INC",IF(ISNUMBER(SEARCH("OPI",($C118&amp;" "&amp;$D118))),"OPI",IF(ISNUMBER(SEARCH("DP",($C118&amp;" "&amp;$D118))),"DP","CONC")))&amp;" "&amp;TEXT(LOOKUP(9.99E+307,--MID(SUBSTITUTE(($C118&amp;" "&amp;$D118),CHAR(160)," "),SUMPRODUCT(MIN(FIND({0,1,2,3,4,5,6,7,8,9},SUBSTITUTE(($C118&amp;" "&amp;$D118),CHAR(160)," ")&amp;"0123456789"))),ROW(INDIRECT("1:6")))),"0"),"SIN NUMERO"))</f>
        <v>CONC 2040</v>
      </c>
      <c r="Q118" t="str">
        <f ca="1">IF($P118="","",IF(LEFT(UPPER($S118),9)="VERIFICAR","VERIFICAR",IF($A118="","SIN ESTADO",IF(AND($A118="Firmada",$H118=""),"FALTA FECHA DE FIRMA",IF(N($T118)=0,IF(AND(ISNUMBER($H118),$H118&gt;=DATE(2024,1,1)),"FALTA EN FIRMADAS","OK"),IF(OR($A118="Pendiente de presentación",$A118="Observado",$A118="En análisis",$A118="En instrucción",$A118="Suspendida",$A118="IT circulando",$A118="Para resolución",$A118="TDC"),"ABIERTA PERO ESTÁ EN FIRMADAS",IF($H118&lt;&gt;INDEX(firmadas!$F:$F,$T118),"FIRMA DISTINTA EN firmadas ("&amp;IF(INDEX(firmadas!$F:$F,$T118)="","vacía",DAY(INDEX(firmadas!$F:$F,$T118))&amp;"/"&amp;MONTH(INDEX(firmadas!$F:$F,$T118))&amp;"/"&amp;YEAR(INDEX(firmadas!$F:$F,$T118)))&amp;")",IF($G118&lt;&gt;INDEX(firmadas!$E:$E,$T118),"INGRESO DISTINTO EN firmadas ("&amp;IF(INDEX(firmadas!$E:$E,$T118)="","vacía",DAY(INDEX(firmadas!$E:$E,$T118))&amp;"/"&amp;MONTH(INDEX(firmadas!$E:$E,$T118))&amp;"/"&amp;YEAR(INDEX(firmadas!$E:$E,$T118)))&amp;")","OK"))))))))</f>
        <v>OK</v>
      </c>
      <c r="T118">
        <f ca="1">IF($P118="","",IFERROR(MATCH($P118,firmadas!$N:$N,0),IFERROR(MATCH("*/"&amp;MID($P118,FIND(" ",$P118)+1,9)&amp;"*",firmadas!$B:$B,0),0)))</f>
        <v>238</v>
      </c>
    </row>
    <row r="119" spans="1:20" ht="15" customHeight="1" x14ac:dyDescent="0.25">
      <c r="A119" s="47" t="s">
        <v>80</v>
      </c>
      <c r="B119" s="47"/>
      <c r="C119" s="47" t="s">
        <v>62</v>
      </c>
      <c r="D119" s="45">
        <v>2041</v>
      </c>
      <c r="F119" s="47" t="s">
        <v>313</v>
      </c>
      <c r="G119" s="43">
        <v>45827</v>
      </c>
      <c r="H119" s="43">
        <v>45965</v>
      </c>
      <c r="M119" t="s">
        <v>83</v>
      </c>
      <c r="N119" s="53">
        <f t="shared" ca="1" si="1"/>
        <v>4.5999999999999996</v>
      </c>
      <c r="P119" s="47" t="str">
        <f ca="1">IF(TRIM(SUBSTITUTE(($C119&amp;" "&amp;$D119),CHAR(160)," "))="","",IFERROR(IF(ISNUMBER(SEARCH("INC",($C119&amp;" "&amp;$D119))),"INC",IF(ISNUMBER(SEARCH("OPI",($C119&amp;" "&amp;$D119))),"OPI",IF(ISNUMBER(SEARCH("DP",($C119&amp;" "&amp;$D119))),"DP","CONC")))&amp;" "&amp;TEXT(LOOKUP(9.99E+307,--MID(SUBSTITUTE(($C119&amp;" "&amp;$D119),CHAR(160)," "),SUMPRODUCT(MIN(FIND({0,1,2,3,4,5,6,7,8,9},SUBSTITUTE(($C119&amp;" "&amp;$D119),CHAR(160)," ")&amp;"0123456789"))),ROW(INDIRECT("1:6")))),"0"),"SIN NUMERO"))</f>
        <v>CONC 2041</v>
      </c>
      <c r="Q119" t="str">
        <f ca="1">IF($P119="","",IF(LEFT(UPPER($S119),9)="VERIFICAR","VERIFICAR",IF($A119="","SIN ESTADO",IF(AND($A119="Firmada",$H119=""),"FALTA FECHA DE FIRMA",IF(N($T119)=0,IF(AND(ISNUMBER($H119),$H119&gt;=DATE(2024,1,1)),"FALTA EN FIRMADAS","OK"),IF(OR($A119="Pendiente de presentación",$A119="Observado",$A119="En análisis",$A119="En instrucción",$A119="Suspendida",$A119="IT circulando",$A119="Para resolución",$A119="TDC"),"ABIERTA PERO ESTÁ EN FIRMADAS",IF($H119&lt;&gt;INDEX(firmadas!$F:$F,$T119),"FIRMA DISTINTA EN firmadas ("&amp;IF(INDEX(firmadas!$F:$F,$T119)="","vacía",DAY(INDEX(firmadas!$F:$F,$T119))&amp;"/"&amp;MONTH(INDEX(firmadas!$F:$F,$T119))&amp;"/"&amp;YEAR(INDEX(firmadas!$F:$F,$T119)))&amp;")",IF($G119&lt;&gt;INDEX(firmadas!$E:$E,$T119),"INGRESO DISTINTO EN firmadas ("&amp;IF(INDEX(firmadas!$E:$E,$T119)="","vacía",DAY(INDEX(firmadas!$E:$E,$T119))&amp;"/"&amp;MONTH(INDEX(firmadas!$E:$E,$T119))&amp;"/"&amp;YEAR(INDEX(firmadas!$E:$E,$T119)))&amp;")","OK"))))))))</f>
        <v>OK</v>
      </c>
      <c r="T119">
        <f ca="1">IF($P119="","",IFERROR(MATCH($P119,firmadas!$N:$N,0),IFERROR(MATCH("*/"&amp;MID($P119,FIND(" ",$P119)+1,9)&amp;"*",firmadas!$B:$B,0),0)))</f>
        <v>154</v>
      </c>
    </row>
    <row r="120" spans="1:20" ht="15" customHeight="1" x14ac:dyDescent="0.25">
      <c r="A120" t="s">
        <v>80</v>
      </c>
      <c r="C120" t="s">
        <v>145</v>
      </c>
      <c r="D120" s="24">
        <v>2043</v>
      </c>
      <c r="F120" t="s">
        <v>314</v>
      </c>
      <c r="G120" s="16">
        <v>45832</v>
      </c>
      <c r="H120" s="16">
        <v>46037</v>
      </c>
      <c r="M120" t="s">
        <v>83</v>
      </c>
      <c r="N120" s="53">
        <f t="shared" ca="1" si="1"/>
        <v>6.833333333333333</v>
      </c>
      <c r="P120" s="47" t="str">
        <f ca="1">IF(TRIM(SUBSTITUTE(($C120&amp;" "&amp;$D120),CHAR(160)," "))="","",IFERROR(IF(ISNUMBER(SEARCH("INC",($C120&amp;" "&amp;$D120))),"INC",IF(ISNUMBER(SEARCH("OPI",($C120&amp;" "&amp;$D120))),"OPI",IF(ISNUMBER(SEARCH("DP",($C120&amp;" "&amp;$D120))),"DP","CONC")))&amp;" "&amp;TEXT(LOOKUP(9.99E+307,--MID(SUBSTITUTE(($C120&amp;" "&amp;$D120),CHAR(160)," "),SUMPRODUCT(MIN(FIND({0,1,2,3,4,5,6,7,8,9},SUBSTITUTE(($C120&amp;" "&amp;$D120),CHAR(160)," ")&amp;"0123456789"))),ROW(INDIRECT("1:6")))),"0"),"SIN NUMERO"))</f>
        <v>CONC 2043</v>
      </c>
      <c r="Q120" t="str">
        <f ca="1">IF($P120="","",IF(LEFT(UPPER($S120),9)="VERIFICAR","VERIFICAR",IF($A120="","SIN ESTADO",IF(AND($A120="Firmada",$H120=""),"FALTA FECHA DE FIRMA",IF(N($T120)=0,IF(AND(ISNUMBER($H120),$H120&gt;=DATE(2024,1,1)),"FALTA EN FIRMADAS","OK"),IF(OR($A120="Pendiente de presentación",$A120="Observado",$A120="En análisis",$A120="En instrucción",$A120="Suspendida",$A120="IT circulando",$A120="Para resolución",$A120="TDC"),"ABIERTA PERO ESTÁ EN FIRMADAS",IF($H120&lt;&gt;INDEX(firmadas!$F:$F,$T120),"FIRMA DISTINTA EN firmadas ("&amp;IF(INDEX(firmadas!$F:$F,$T120)="","vacía",DAY(INDEX(firmadas!$F:$F,$T120))&amp;"/"&amp;MONTH(INDEX(firmadas!$F:$F,$T120))&amp;"/"&amp;YEAR(INDEX(firmadas!$F:$F,$T120)))&amp;")",IF($G120&lt;&gt;INDEX(firmadas!$E:$E,$T120),"INGRESO DISTINTO EN firmadas ("&amp;IF(INDEX(firmadas!$E:$E,$T120)="","vacía",DAY(INDEX(firmadas!$E:$E,$T120))&amp;"/"&amp;MONTH(INDEX(firmadas!$E:$E,$T120))&amp;"/"&amp;YEAR(INDEX(firmadas!$E:$E,$T120)))&amp;")","OK"))))))))</f>
        <v>OK</v>
      </c>
      <c r="T120">
        <f ca="1">IF($P120="","",IFERROR(MATCH($P120,firmadas!$N:$N,0),IFERROR(MATCH("*/"&amp;MID($P120,FIND(" ",$P120)+1,9)&amp;"*",firmadas!$B:$B,0),0)))</f>
        <v>193</v>
      </c>
    </row>
    <row r="121" spans="1:20" ht="15" customHeight="1" x14ac:dyDescent="0.25">
      <c r="A121" s="47" t="s">
        <v>80</v>
      </c>
      <c r="B121" s="47"/>
      <c r="C121" s="47" t="s">
        <v>62</v>
      </c>
      <c r="D121" s="45">
        <v>2042</v>
      </c>
      <c r="F121" s="47" t="s">
        <v>315</v>
      </c>
      <c r="G121" s="43">
        <v>45832</v>
      </c>
      <c r="H121" s="43">
        <v>46009</v>
      </c>
      <c r="M121" t="s">
        <v>202</v>
      </c>
      <c r="N121" s="53">
        <f t="shared" ca="1" si="1"/>
        <v>5.9</v>
      </c>
      <c r="P121" s="47" t="str">
        <f ca="1">IF(TRIM(SUBSTITUTE(($C121&amp;" "&amp;$D121),CHAR(160)," "))="","",IFERROR(IF(ISNUMBER(SEARCH("INC",($C121&amp;" "&amp;$D121))),"INC",IF(ISNUMBER(SEARCH("OPI",($C121&amp;" "&amp;$D121))),"OPI",IF(ISNUMBER(SEARCH("DP",($C121&amp;" "&amp;$D121))),"DP","CONC")))&amp;" "&amp;TEXT(LOOKUP(9.99E+307,--MID(SUBSTITUTE(($C121&amp;" "&amp;$D121),CHAR(160)," "),SUMPRODUCT(MIN(FIND({0,1,2,3,4,5,6,7,8,9},SUBSTITUTE(($C121&amp;" "&amp;$D121),CHAR(160)," ")&amp;"0123456789"))),ROW(INDIRECT("1:6")))),"0"),"SIN NUMERO"))</f>
        <v>CONC 2042</v>
      </c>
      <c r="Q121" t="str">
        <f ca="1">IF($P121="","",IF(LEFT(UPPER($S121),9)="VERIFICAR","VERIFICAR",IF($A121="","SIN ESTADO",IF(AND($A121="Firmada",$H121=""),"FALTA FECHA DE FIRMA",IF(N($T121)=0,IF(AND(ISNUMBER($H121),$H121&gt;=DATE(2024,1,1)),"FALTA EN FIRMADAS","OK"),IF(OR($A121="Pendiente de presentación",$A121="Observado",$A121="En análisis",$A121="En instrucción",$A121="Suspendida",$A121="IT circulando",$A121="Para resolución",$A121="TDC"),"ABIERTA PERO ESTÁ EN FIRMADAS",IF($H121&lt;&gt;INDEX(firmadas!$F:$F,$T121),"FIRMA DISTINTA EN firmadas ("&amp;IF(INDEX(firmadas!$F:$F,$T121)="","vacía",DAY(INDEX(firmadas!$F:$F,$T121))&amp;"/"&amp;MONTH(INDEX(firmadas!$F:$F,$T121))&amp;"/"&amp;YEAR(INDEX(firmadas!$F:$F,$T121)))&amp;")",IF($G121&lt;&gt;INDEX(firmadas!$E:$E,$T121),"INGRESO DISTINTO EN firmadas ("&amp;IF(INDEX(firmadas!$E:$E,$T121)="","vacía",DAY(INDEX(firmadas!$E:$E,$T121))&amp;"/"&amp;MONTH(INDEX(firmadas!$E:$E,$T121))&amp;"/"&amp;YEAR(INDEX(firmadas!$E:$E,$T121)))&amp;")","OK"))))))))</f>
        <v>OK</v>
      </c>
      <c r="T121">
        <f ca="1">IF($P121="","",IFERROR(MATCH($P121,firmadas!$N:$N,0),IFERROR(MATCH("*/"&amp;MID($P121,FIND(" ",$P121)+1,9)&amp;"*",firmadas!$B:$B,0),0)))</f>
        <v>175</v>
      </c>
    </row>
    <row r="122" spans="1:20" ht="15" customHeight="1" x14ac:dyDescent="0.25">
      <c r="A122" t="s">
        <v>80</v>
      </c>
      <c r="C122" t="s">
        <v>145</v>
      </c>
      <c r="D122" s="24">
        <v>2044</v>
      </c>
      <c r="E122" t="s">
        <v>316</v>
      </c>
      <c r="F122" t="s">
        <v>317</v>
      </c>
      <c r="G122" s="16">
        <v>45840</v>
      </c>
      <c r="H122" s="16">
        <v>46134</v>
      </c>
      <c r="I122" t="s">
        <v>187</v>
      </c>
      <c r="J122" t="s">
        <v>93</v>
      </c>
      <c r="K122" t="s">
        <v>197</v>
      </c>
      <c r="L122" t="s">
        <v>133</v>
      </c>
      <c r="M122" t="s">
        <v>202</v>
      </c>
      <c r="N122" s="53">
        <f t="shared" ca="1" si="1"/>
        <v>9.8000000000000007</v>
      </c>
      <c r="P122" s="47" t="str">
        <f ca="1">IF(TRIM(SUBSTITUTE(($C122&amp;" "&amp;$D122),CHAR(160)," "))="","",IFERROR(IF(ISNUMBER(SEARCH("INC",($C122&amp;" "&amp;$D122))),"INC",IF(ISNUMBER(SEARCH("OPI",($C122&amp;" "&amp;$D122))),"OPI",IF(ISNUMBER(SEARCH("DP",($C122&amp;" "&amp;$D122))),"DP","CONC")))&amp;" "&amp;TEXT(LOOKUP(9.99E+307,--MID(SUBSTITUTE(($C122&amp;" "&amp;$D122),CHAR(160)," "),SUMPRODUCT(MIN(FIND({0,1,2,3,4,5,6,7,8,9},SUBSTITUTE(($C122&amp;" "&amp;$D122),CHAR(160)," ")&amp;"0123456789"))),ROW(INDIRECT("1:6")))),"0"),"SIN NUMERO"))</f>
        <v>CONC 2044</v>
      </c>
      <c r="Q122" t="str">
        <f ca="1">IF($P122="","",IF(LEFT(UPPER($S122),9)="VERIFICAR","VERIFICAR",IF($A122="","SIN ESTADO",IF(AND($A122="Firmada",$H122=""),"FALTA FECHA DE FIRMA",IF(N($T122)=0,IF(AND(ISNUMBER($H122),$H122&gt;=DATE(2024,1,1)),"FALTA EN FIRMADAS","OK"),IF(OR($A122="Pendiente de presentación",$A122="Observado",$A122="En análisis",$A122="En instrucción",$A122="Suspendida",$A122="IT circulando",$A122="Para resolución",$A122="TDC"),"ABIERTA PERO ESTÁ EN FIRMADAS",IF($H122&lt;&gt;INDEX(firmadas!$F:$F,$T122),"FIRMA DISTINTA EN firmadas ("&amp;IF(INDEX(firmadas!$F:$F,$T122)="","vacía",DAY(INDEX(firmadas!$F:$F,$T122))&amp;"/"&amp;MONTH(INDEX(firmadas!$F:$F,$T122))&amp;"/"&amp;YEAR(INDEX(firmadas!$F:$F,$T122)))&amp;")",IF($G122&lt;&gt;INDEX(firmadas!$E:$E,$T122),"INGRESO DISTINTO EN firmadas ("&amp;IF(INDEX(firmadas!$E:$E,$T122)="","vacía",DAY(INDEX(firmadas!$E:$E,$T122))&amp;"/"&amp;MONTH(INDEX(firmadas!$E:$E,$T122))&amp;"/"&amp;YEAR(INDEX(firmadas!$E:$E,$T122)))&amp;")","OK"))))))))</f>
        <v>OK</v>
      </c>
      <c r="T122">
        <f ca="1">IF($P122="","",IFERROR(MATCH($P122,firmadas!$N:$N,0),IFERROR(MATCH("*/"&amp;MID($P122,FIND(" ",$P122)+1,9)&amp;"*",firmadas!$B:$B,0),0)))</f>
        <v>232</v>
      </c>
    </row>
    <row r="123" spans="1:20" ht="15" customHeight="1" x14ac:dyDescent="0.25">
      <c r="A123" s="47" t="s">
        <v>80</v>
      </c>
      <c r="B123" s="47"/>
      <c r="C123" s="47" t="s">
        <v>62</v>
      </c>
      <c r="D123" s="45">
        <v>2045</v>
      </c>
      <c r="F123" s="47" t="s">
        <v>318</v>
      </c>
      <c r="G123" s="43">
        <v>45842</v>
      </c>
      <c r="H123" s="43">
        <v>45965</v>
      </c>
      <c r="M123" t="s">
        <v>83</v>
      </c>
      <c r="N123" s="53">
        <f t="shared" ca="1" si="1"/>
        <v>4.0999999999999996</v>
      </c>
      <c r="P123" s="47" t="str">
        <f ca="1">IF(TRIM(SUBSTITUTE(($C123&amp;" "&amp;$D123),CHAR(160)," "))="","",IFERROR(IF(ISNUMBER(SEARCH("INC",($C123&amp;" "&amp;$D123))),"INC",IF(ISNUMBER(SEARCH("OPI",($C123&amp;" "&amp;$D123))),"OPI",IF(ISNUMBER(SEARCH("DP",($C123&amp;" "&amp;$D123))),"DP","CONC")))&amp;" "&amp;TEXT(LOOKUP(9.99E+307,--MID(SUBSTITUTE(($C123&amp;" "&amp;$D123),CHAR(160)," "),SUMPRODUCT(MIN(FIND({0,1,2,3,4,5,6,7,8,9},SUBSTITUTE(($C123&amp;" "&amp;$D123),CHAR(160)," ")&amp;"0123456789"))),ROW(INDIRECT("1:6")))),"0"),"SIN NUMERO"))</f>
        <v>CONC 2045</v>
      </c>
      <c r="Q123" t="str">
        <f ca="1">IF($P123="","",IF(LEFT(UPPER($S123),9)="VERIFICAR","VERIFICAR",IF($A123="","SIN ESTADO",IF(AND($A123="Firmada",$H123=""),"FALTA FECHA DE FIRMA",IF(N($T123)=0,IF(AND(ISNUMBER($H123),$H123&gt;=DATE(2024,1,1)),"FALTA EN FIRMADAS","OK"),IF(OR($A123="Pendiente de presentación",$A123="Observado",$A123="En análisis",$A123="En instrucción",$A123="Suspendida",$A123="IT circulando",$A123="Para resolución",$A123="TDC"),"ABIERTA PERO ESTÁ EN FIRMADAS",IF($H123&lt;&gt;INDEX(firmadas!$F:$F,$T123),"FIRMA DISTINTA EN firmadas ("&amp;IF(INDEX(firmadas!$F:$F,$T123)="","vacía",DAY(INDEX(firmadas!$F:$F,$T123))&amp;"/"&amp;MONTH(INDEX(firmadas!$F:$F,$T123))&amp;"/"&amp;YEAR(INDEX(firmadas!$F:$F,$T123)))&amp;")",IF($G123&lt;&gt;INDEX(firmadas!$E:$E,$T123),"INGRESO DISTINTO EN firmadas ("&amp;IF(INDEX(firmadas!$E:$E,$T123)="","vacía",DAY(INDEX(firmadas!$E:$E,$T123))&amp;"/"&amp;MONTH(INDEX(firmadas!$E:$E,$T123))&amp;"/"&amp;YEAR(INDEX(firmadas!$E:$E,$T123)))&amp;")","OK"))))))))</f>
        <v>OK</v>
      </c>
      <c r="T123">
        <f ca="1">IF($P123="","",IFERROR(MATCH($P123,firmadas!$N:$N,0),IFERROR(MATCH("*/"&amp;MID($P123,FIND(" ",$P123)+1,9)&amp;"*",firmadas!$B:$B,0),0)))</f>
        <v>155</v>
      </c>
    </row>
    <row r="124" spans="1:20" ht="15" customHeight="1" x14ac:dyDescent="0.25">
      <c r="A124" s="44" t="s">
        <v>319</v>
      </c>
      <c r="C124" s="44" t="s">
        <v>145</v>
      </c>
      <c r="D124" s="42">
        <v>2046</v>
      </c>
      <c r="E124" s="44" t="s">
        <v>320</v>
      </c>
      <c r="F124" s="44" t="s">
        <v>321</v>
      </c>
      <c r="G124" s="26">
        <v>45846</v>
      </c>
      <c r="I124" s="44" t="s">
        <v>103</v>
      </c>
      <c r="J124" s="44" t="s">
        <v>93</v>
      </c>
      <c r="K124" s="44" t="s">
        <v>127</v>
      </c>
      <c r="L124" s="44" t="s">
        <v>96</v>
      </c>
      <c r="M124" s="44" t="s">
        <v>83</v>
      </c>
      <c r="N124" s="53">
        <f t="shared" ca="1" si="1"/>
        <v>15</v>
      </c>
      <c r="O124" s="44" t="s">
        <v>322</v>
      </c>
      <c r="P124" s="47" t="str">
        <f ca="1">IF(TRIM(SUBSTITUTE(($C124&amp;" "&amp;$D124),CHAR(160)," "))="","",IFERROR(IF(ISNUMBER(SEARCH("INC",($C124&amp;" "&amp;$D124))),"INC",IF(ISNUMBER(SEARCH("OPI",($C124&amp;" "&amp;$D124))),"OPI",IF(ISNUMBER(SEARCH("DP",($C124&amp;" "&amp;$D124))),"DP","CONC")))&amp;" "&amp;TEXT(LOOKUP(9.99E+307,--MID(SUBSTITUTE(($C124&amp;" "&amp;$D124),CHAR(160)," "),SUMPRODUCT(MIN(FIND({0,1,2,3,4,5,6,7,8,9},SUBSTITUTE(($C124&amp;" "&amp;$D124),CHAR(160)," ")&amp;"0123456789"))),ROW(INDIRECT("1:6")))),"0"),"SIN NUMERO"))</f>
        <v>CONC 2046</v>
      </c>
      <c r="Q124" t="str">
        <f ca="1">IF($P124="","",IF(LEFT(UPPER($S124),9)="VERIFICAR","VERIFICAR",IF($A124="","SIN ESTADO",IF(AND($A124="Firmada",$H124=""),"FALTA FECHA DE FIRMA",IF(N($T124)=0,IF(AND(ISNUMBER($H124),$H124&gt;=DATE(2024,1,1)),"FALTA EN FIRMADAS","OK"),IF(OR($A124="Pendiente de presentación",$A124="Observado",$A124="En análisis",$A124="En instrucción",$A124="Suspendida",$A124="IT circulando",$A124="Para resolución",$A124="TDC"),"ABIERTA PERO ESTÁ EN FIRMADAS",IF($H124&lt;&gt;INDEX(firmadas!$F:$F,$T124),"FIRMA DISTINTA EN firmadas ("&amp;IF(INDEX(firmadas!$F:$F,$T124)="","vacía",DAY(INDEX(firmadas!$F:$F,$T124))&amp;"/"&amp;MONTH(INDEX(firmadas!$F:$F,$T124))&amp;"/"&amp;YEAR(INDEX(firmadas!$F:$F,$T124)))&amp;")",IF($G124&lt;&gt;INDEX(firmadas!$E:$E,$T124),"INGRESO DISTINTO EN firmadas ("&amp;IF(INDEX(firmadas!$E:$E,$T124)="","vacía",DAY(INDEX(firmadas!$E:$E,$T124))&amp;"/"&amp;MONTH(INDEX(firmadas!$E:$E,$T124))&amp;"/"&amp;YEAR(INDEX(firmadas!$E:$E,$T124)))&amp;")","OK"))))))))</f>
        <v>OK</v>
      </c>
      <c r="T124">
        <f ca="1">IF($P124="","",IFERROR(MATCH($P124,firmadas!$N:$N,0),IFERROR(MATCH("*/"&amp;MID($P124,FIND(" ",$P124)+1,9)&amp;"*",firmadas!$B:$B,0),0)))</f>
        <v>0</v>
      </c>
    </row>
    <row r="125" spans="1:20" ht="15" customHeight="1" x14ac:dyDescent="0.25">
      <c r="A125" t="s">
        <v>80</v>
      </c>
      <c r="C125" t="s">
        <v>145</v>
      </c>
      <c r="D125" s="24">
        <v>2047</v>
      </c>
      <c r="E125" s="44" t="s">
        <v>323</v>
      </c>
      <c r="F125" s="44" t="s">
        <v>324</v>
      </c>
      <c r="G125" s="16">
        <v>45852</v>
      </c>
      <c r="H125" s="16">
        <v>46171</v>
      </c>
      <c r="I125" s="44" t="s">
        <v>93</v>
      </c>
      <c r="J125" s="44" t="s">
        <v>103</v>
      </c>
      <c r="K125" s="44" t="s">
        <v>104</v>
      </c>
      <c r="L125" s="44" t="s">
        <v>198</v>
      </c>
      <c r="M125" t="s">
        <v>83</v>
      </c>
      <c r="N125" s="53">
        <f t="shared" ca="1" si="1"/>
        <v>10.633333333333333</v>
      </c>
      <c r="P125" s="47" t="str">
        <f ca="1">IF(TRIM(SUBSTITUTE(($C125&amp;" "&amp;$D125),CHAR(160)," "))="","",IFERROR(IF(ISNUMBER(SEARCH("INC",($C125&amp;" "&amp;$D125))),"INC",IF(ISNUMBER(SEARCH("OPI",($C125&amp;" "&amp;$D125))),"OPI",IF(ISNUMBER(SEARCH("DP",($C125&amp;" "&amp;$D125))),"DP","CONC")))&amp;" "&amp;TEXT(LOOKUP(9.99E+307,--MID(SUBSTITUTE(($C125&amp;" "&amp;$D125),CHAR(160)," "),SUMPRODUCT(MIN(FIND({0,1,2,3,4,5,6,7,8,9},SUBSTITUTE(($C125&amp;" "&amp;$D125),CHAR(160)," ")&amp;"0123456789"))),ROW(INDIRECT("1:6")))),"0"),"SIN NUMERO"))</f>
        <v>CONC 2047</v>
      </c>
      <c r="Q125" t="str">
        <f ca="1">IF($P125="","",IF(LEFT(UPPER($S125),9)="VERIFICAR","VERIFICAR",IF($A125="","SIN ESTADO",IF(AND($A125="Firmada",$H125=""),"FALTA FECHA DE FIRMA",IF(N($T125)=0,IF(AND(ISNUMBER($H125),$H125&gt;=DATE(2024,1,1)),"FALTA EN FIRMADAS","OK"),IF(OR($A125="Pendiente de presentación",$A125="Observado",$A125="En análisis",$A125="En instrucción",$A125="Suspendida",$A125="IT circulando",$A125="Para resolución",$A125="TDC"),"ABIERTA PERO ESTÁ EN FIRMADAS",IF($H125&lt;&gt;INDEX(firmadas!$F:$F,$T125),"FIRMA DISTINTA EN firmadas ("&amp;IF(INDEX(firmadas!$F:$F,$T125)="","vacía",DAY(INDEX(firmadas!$F:$F,$T125))&amp;"/"&amp;MONTH(INDEX(firmadas!$F:$F,$T125))&amp;"/"&amp;YEAR(INDEX(firmadas!$F:$F,$T125)))&amp;")",IF($G125&lt;&gt;INDEX(firmadas!$E:$E,$T125),"INGRESO DISTINTO EN firmadas ("&amp;IF(INDEX(firmadas!$E:$E,$T125)="","vacía",DAY(INDEX(firmadas!$E:$E,$T125))&amp;"/"&amp;MONTH(INDEX(firmadas!$E:$E,$T125))&amp;"/"&amp;YEAR(INDEX(firmadas!$E:$E,$T125)))&amp;")","OK"))))))))</f>
        <v>OK</v>
      </c>
      <c r="T125">
        <f ca="1">IF($P125="","",IFERROR(MATCH($P125,firmadas!$N:$N,0),IFERROR(MATCH("*/"&amp;MID($P125,FIND(" ",$P125)+1,9)&amp;"*",firmadas!$B:$B,0),0)))</f>
        <v>244</v>
      </c>
    </row>
    <row r="126" spans="1:20" ht="15" customHeight="1" x14ac:dyDescent="0.25">
      <c r="A126" s="47" t="s">
        <v>80</v>
      </c>
      <c r="B126" s="47"/>
      <c r="C126" s="47" t="s">
        <v>62</v>
      </c>
      <c r="D126" s="45">
        <v>2048</v>
      </c>
      <c r="F126" s="47" t="s">
        <v>325</v>
      </c>
      <c r="G126" s="43">
        <v>45860</v>
      </c>
      <c r="H126" s="43">
        <v>45932</v>
      </c>
      <c r="M126" t="s">
        <v>83</v>
      </c>
      <c r="N126" s="53">
        <f t="shared" ca="1" si="1"/>
        <v>2.4</v>
      </c>
      <c r="P126" s="47" t="str">
        <f ca="1">IF(TRIM(SUBSTITUTE(($C126&amp;" "&amp;$D126),CHAR(160)," "))="","",IFERROR(IF(ISNUMBER(SEARCH("INC",($C126&amp;" "&amp;$D126))),"INC",IF(ISNUMBER(SEARCH("OPI",($C126&amp;" "&amp;$D126))),"OPI",IF(ISNUMBER(SEARCH("DP",($C126&amp;" "&amp;$D126))),"DP","CONC")))&amp;" "&amp;TEXT(LOOKUP(9.99E+307,--MID(SUBSTITUTE(($C126&amp;" "&amp;$D126),CHAR(160)," "),SUMPRODUCT(MIN(FIND({0,1,2,3,4,5,6,7,8,9},SUBSTITUTE(($C126&amp;" "&amp;$D126),CHAR(160)," ")&amp;"0123456789"))),ROW(INDIRECT("1:6")))),"0"),"SIN NUMERO"))</f>
        <v>CONC 2048</v>
      </c>
      <c r="Q126" t="str">
        <f ca="1">IF($P126="","",IF(LEFT(UPPER($S126),9)="VERIFICAR","VERIFICAR",IF($A126="","SIN ESTADO",IF(AND($A126="Firmada",$H126=""),"FALTA FECHA DE FIRMA",IF(N($T126)=0,IF(AND(ISNUMBER($H126),$H126&gt;=DATE(2024,1,1)),"FALTA EN FIRMADAS","OK"),IF(OR($A126="Pendiente de presentación",$A126="Observado",$A126="En análisis",$A126="En instrucción",$A126="Suspendida",$A126="IT circulando",$A126="Para resolución",$A126="TDC"),"ABIERTA PERO ESTÁ EN FIRMADAS",IF($H126&lt;&gt;INDEX(firmadas!$F:$F,$T126),"FIRMA DISTINTA EN firmadas ("&amp;IF(INDEX(firmadas!$F:$F,$T126)="","vacía",DAY(INDEX(firmadas!$F:$F,$T126))&amp;"/"&amp;MONTH(INDEX(firmadas!$F:$F,$T126))&amp;"/"&amp;YEAR(INDEX(firmadas!$F:$F,$T126)))&amp;")",IF($G126&lt;&gt;INDEX(firmadas!$E:$E,$T126),"INGRESO DISTINTO EN firmadas ("&amp;IF(INDEX(firmadas!$E:$E,$T126)="","vacía",DAY(INDEX(firmadas!$E:$E,$T126))&amp;"/"&amp;MONTH(INDEX(firmadas!$E:$E,$T126))&amp;"/"&amp;YEAR(INDEX(firmadas!$E:$E,$T126)))&amp;")","OK"))))))))</f>
        <v>OK</v>
      </c>
      <c r="T126">
        <f ca="1">IF($P126="","",IFERROR(MATCH($P126,firmadas!$N:$N,0),IFERROR(MATCH("*/"&amp;MID($P126,FIND(" ",$P126)+1,9)&amp;"*",firmadas!$B:$B,0),0)))</f>
        <v>145</v>
      </c>
    </row>
    <row r="127" spans="1:20" ht="15" customHeight="1" x14ac:dyDescent="0.25">
      <c r="A127" t="s">
        <v>80</v>
      </c>
      <c r="C127" t="s">
        <v>145</v>
      </c>
      <c r="D127" s="24">
        <v>2049</v>
      </c>
      <c r="E127" t="s">
        <v>326</v>
      </c>
      <c r="F127" t="s">
        <v>327</v>
      </c>
      <c r="G127" s="16">
        <v>45863</v>
      </c>
      <c r="H127" s="16">
        <v>46184</v>
      </c>
      <c r="I127" t="s">
        <v>309</v>
      </c>
      <c r="J127" t="s">
        <v>110</v>
      </c>
      <c r="K127" t="s">
        <v>197</v>
      </c>
      <c r="L127" t="s">
        <v>198</v>
      </c>
      <c r="M127" t="s">
        <v>202</v>
      </c>
      <c r="N127" s="53">
        <f t="shared" ca="1" si="1"/>
        <v>10.7</v>
      </c>
      <c r="O127" t="s">
        <v>328</v>
      </c>
      <c r="P127" s="47" t="str">
        <f ca="1">IF(TRIM(SUBSTITUTE(($C127&amp;" "&amp;$D127),CHAR(160)," "))="","",IFERROR(IF(ISNUMBER(SEARCH("INC",($C127&amp;" "&amp;$D127))),"INC",IF(ISNUMBER(SEARCH("OPI",($C127&amp;" "&amp;$D127))),"OPI",IF(ISNUMBER(SEARCH("DP",($C127&amp;" "&amp;$D127))),"DP","CONC")))&amp;" "&amp;TEXT(LOOKUP(9.99E+307,--MID(SUBSTITUTE(($C127&amp;" "&amp;$D127),CHAR(160)," "),SUMPRODUCT(MIN(FIND({0,1,2,3,4,5,6,7,8,9},SUBSTITUTE(($C127&amp;" "&amp;$D127),CHAR(160)," ")&amp;"0123456789"))),ROW(INDIRECT("1:6")))),"0"),"SIN NUMERO"))</f>
        <v>CONC 2049</v>
      </c>
      <c r="Q127" t="str">
        <f ca="1">IF($P127="","",IF(LEFT(UPPER($S127),9)="VERIFICAR","VERIFICAR",IF($A127="","SIN ESTADO",IF(AND($A127="Firmada",$H127=""),"FALTA FECHA DE FIRMA",IF(N($T127)=0,IF(AND(ISNUMBER($H127),$H127&gt;=DATE(2024,1,1)),"FALTA EN FIRMADAS","OK"),IF(OR($A127="Pendiente de presentación",$A127="Observado",$A127="En análisis",$A127="En instrucción",$A127="Suspendida",$A127="IT circulando",$A127="Para resolución",$A127="TDC"),"ABIERTA PERO ESTÁ EN FIRMADAS",IF($H127&lt;&gt;INDEX(firmadas!$F:$F,$T127),"FIRMA DISTINTA EN firmadas ("&amp;IF(INDEX(firmadas!$F:$F,$T127)="","vacía",DAY(INDEX(firmadas!$F:$F,$T127))&amp;"/"&amp;MONTH(INDEX(firmadas!$F:$F,$T127))&amp;"/"&amp;YEAR(INDEX(firmadas!$F:$F,$T127)))&amp;")",IF($G127&lt;&gt;INDEX(firmadas!$E:$E,$T127),"INGRESO DISTINTO EN firmadas ("&amp;IF(INDEX(firmadas!$E:$E,$T127)="","vacía",DAY(INDEX(firmadas!$E:$E,$T127))&amp;"/"&amp;MONTH(INDEX(firmadas!$E:$E,$T127))&amp;"/"&amp;YEAR(INDEX(firmadas!$E:$E,$T127)))&amp;")","OK"))))))))</f>
        <v>OK</v>
      </c>
      <c r="T127">
        <f ca="1">IF($P127="","",IFERROR(MATCH($P127,firmadas!$N:$N,0),IFERROR(MATCH("*/"&amp;MID($P127,FIND(" ",$P127)+1,9)&amp;"*",firmadas!$B:$B,0),0)))</f>
        <v>247</v>
      </c>
    </row>
    <row r="128" spans="1:20" ht="15" customHeight="1" x14ac:dyDescent="0.25">
      <c r="A128" s="47" t="s">
        <v>80</v>
      </c>
      <c r="B128" s="47"/>
      <c r="C128" s="47" t="s">
        <v>62</v>
      </c>
      <c r="D128" s="45">
        <v>2050</v>
      </c>
      <c r="F128" s="47" t="s">
        <v>329</v>
      </c>
      <c r="G128" s="43">
        <v>45875</v>
      </c>
      <c r="H128" s="43">
        <v>45971</v>
      </c>
      <c r="M128" t="s">
        <v>83</v>
      </c>
      <c r="N128" s="53">
        <f t="shared" ca="1" si="1"/>
        <v>3.2</v>
      </c>
      <c r="P128" s="47" t="str">
        <f ca="1">IF(TRIM(SUBSTITUTE(($C128&amp;" "&amp;$D128),CHAR(160)," "))="","",IFERROR(IF(ISNUMBER(SEARCH("INC",($C128&amp;" "&amp;$D128))),"INC",IF(ISNUMBER(SEARCH("OPI",($C128&amp;" "&amp;$D128))),"OPI",IF(ISNUMBER(SEARCH("DP",($C128&amp;" "&amp;$D128))),"DP","CONC")))&amp;" "&amp;TEXT(LOOKUP(9.99E+307,--MID(SUBSTITUTE(($C128&amp;" "&amp;$D128),CHAR(160)," "),SUMPRODUCT(MIN(FIND({0,1,2,3,4,5,6,7,8,9},SUBSTITUTE(($C128&amp;" "&amp;$D128),CHAR(160)," ")&amp;"0123456789"))),ROW(INDIRECT("1:6")))),"0"),"SIN NUMERO"))</f>
        <v>CONC 2050</v>
      </c>
      <c r="Q128" t="str">
        <f ca="1">IF($P128="","",IF(LEFT(UPPER($S128),9)="VERIFICAR","VERIFICAR",IF($A128="","SIN ESTADO",IF(AND($A128="Firmada",$H128=""),"FALTA FECHA DE FIRMA",IF(N($T128)=0,IF(AND(ISNUMBER($H128),$H128&gt;=DATE(2024,1,1)),"FALTA EN FIRMADAS","OK"),IF(OR($A128="Pendiente de presentación",$A128="Observado",$A128="En análisis",$A128="En instrucción",$A128="Suspendida",$A128="IT circulando",$A128="Para resolución",$A128="TDC"),"ABIERTA PERO ESTÁ EN FIRMADAS",IF($H128&lt;&gt;INDEX(firmadas!$F:$F,$T128),"FIRMA DISTINTA EN firmadas ("&amp;IF(INDEX(firmadas!$F:$F,$T128)="","vacía",DAY(INDEX(firmadas!$F:$F,$T128))&amp;"/"&amp;MONTH(INDEX(firmadas!$F:$F,$T128))&amp;"/"&amp;YEAR(INDEX(firmadas!$F:$F,$T128)))&amp;")",IF($G128&lt;&gt;INDEX(firmadas!$E:$E,$T128),"INGRESO DISTINTO EN firmadas ("&amp;IF(INDEX(firmadas!$E:$E,$T128)="","vacía",DAY(INDEX(firmadas!$E:$E,$T128))&amp;"/"&amp;MONTH(INDEX(firmadas!$E:$E,$T128))&amp;"/"&amp;YEAR(INDEX(firmadas!$E:$E,$T128)))&amp;")","OK"))))))))</f>
        <v>OK</v>
      </c>
      <c r="T128">
        <f ca="1">IF($P128="","",IFERROR(MATCH($P128,firmadas!$N:$N,0),IFERROR(MATCH("*/"&amp;MID($P128,FIND(" ",$P128)+1,9)&amp;"*",firmadas!$B:$B,0),0)))</f>
        <v>160</v>
      </c>
    </row>
    <row r="129" spans="1:20" ht="15" customHeight="1" x14ac:dyDescent="0.25">
      <c r="A129" s="47" t="s">
        <v>80</v>
      </c>
      <c r="B129" s="47"/>
      <c r="C129" s="47" t="s">
        <v>62</v>
      </c>
      <c r="D129" s="45">
        <v>2051</v>
      </c>
      <c r="F129" s="47" t="s">
        <v>330</v>
      </c>
      <c r="G129" s="43">
        <v>45877</v>
      </c>
      <c r="H129" s="43">
        <v>46010</v>
      </c>
      <c r="M129" t="s">
        <v>202</v>
      </c>
      <c r="N129" s="53">
        <f t="shared" ca="1" si="1"/>
        <v>4.4333333333333336</v>
      </c>
      <c r="P129" s="47" t="str">
        <f ca="1">IF(TRIM(SUBSTITUTE(($C129&amp;" "&amp;$D129),CHAR(160)," "))="","",IFERROR(IF(ISNUMBER(SEARCH("INC",($C129&amp;" "&amp;$D129))),"INC",IF(ISNUMBER(SEARCH("OPI",($C129&amp;" "&amp;$D129))),"OPI",IF(ISNUMBER(SEARCH("DP",($C129&amp;" "&amp;$D129))),"DP","CONC")))&amp;" "&amp;TEXT(LOOKUP(9.99E+307,--MID(SUBSTITUTE(($C129&amp;" "&amp;$D129),CHAR(160)," "),SUMPRODUCT(MIN(FIND({0,1,2,3,4,5,6,7,8,9},SUBSTITUTE(($C129&amp;" "&amp;$D129),CHAR(160)," ")&amp;"0123456789"))),ROW(INDIRECT("1:6")))),"0"),"SIN NUMERO"))</f>
        <v>CONC 2051</v>
      </c>
      <c r="Q129" t="str">
        <f ca="1">IF($P129="","",IF(LEFT(UPPER($S129),9)="VERIFICAR","VERIFICAR",IF($A129="","SIN ESTADO",IF(AND($A129="Firmada",$H129=""),"FALTA FECHA DE FIRMA",IF(N($T129)=0,IF(AND(ISNUMBER($H129),$H129&gt;=DATE(2024,1,1)),"FALTA EN FIRMADAS","OK"),IF(OR($A129="Pendiente de presentación",$A129="Observado",$A129="En análisis",$A129="En instrucción",$A129="Suspendida",$A129="IT circulando",$A129="Para resolución",$A129="TDC"),"ABIERTA PERO ESTÁ EN FIRMADAS",IF($H129&lt;&gt;INDEX(firmadas!$F:$F,$T129),"FIRMA DISTINTA EN firmadas ("&amp;IF(INDEX(firmadas!$F:$F,$T129)="","vacía",DAY(INDEX(firmadas!$F:$F,$T129))&amp;"/"&amp;MONTH(INDEX(firmadas!$F:$F,$T129))&amp;"/"&amp;YEAR(INDEX(firmadas!$F:$F,$T129)))&amp;")",IF($G129&lt;&gt;INDEX(firmadas!$E:$E,$T129),"INGRESO DISTINTO EN firmadas ("&amp;IF(INDEX(firmadas!$E:$E,$T129)="","vacía",DAY(INDEX(firmadas!$E:$E,$T129))&amp;"/"&amp;MONTH(INDEX(firmadas!$E:$E,$T129))&amp;"/"&amp;YEAR(INDEX(firmadas!$E:$E,$T129)))&amp;")","OK"))))))))</f>
        <v>OK</v>
      </c>
      <c r="T129">
        <f ca="1">IF($P129="","",IFERROR(MATCH($P129,firmadas!$N:$N,0),IFERROR(MATCH("*/"&amp;MID($P129,FIND(" ",$P129)+1,9)&amp;"*",firmadas!$B:$B,0),0)))</f>
        <v>176</v>
      </c>
    </row>
    <row r="130" spans="1:20" ht="15" customHeight="1" x14ac:dyDescent="0.25">
      <c r="A130" t="s">
        <v>80</v>
      </c>
      <c r="C130" t="s">
        <v>145</v>
      </c>
      <c r="D130" s="24">
        <v>2052</v>
      </c>
      <c r="E130" t="s">
        <v>331</v>
      </c>
      <c r="F130" t="s">
        <v>332</v>
      </c>
      <c r="G130" s="16">
        <v>45883</v>
      </c>
      <c r="H130" s="16">
        <v>46128</v>
      </c>
      <c r="I130" t="s">
        <v>309</v>
      </c>
      <c r="J130" t="s">
        <v>110</v>
      </c>
      <c r="K130" t="s">
        <v>112</v>
      </c>
      <c r="L130" t="s">
        <v>197</v>
      </c>
      <c r="M130" t="s">
        <v>202</v>
      </c>
      <c r="N130" s="53">
        <f t="shared" ref="N130:N193" ca="1" si="2">IF($G130="","",(IF($H130="",TODAY(),$H130)-$G130)/30)</f>
        <v>8.1666666666666661</v>
      </c>
      <c r="P130" s="47" t="str">
        <f ca="1">IF(TRIM(SUBSTITUTE(($C130&amp;" "&amp;$D130),CHAR(160)," "))="","",IFERROR(IF(ISNUMBER(SEARCH("INC",($C130&amp;" "&amp;$D130))),"INC",IF(ISNUMBER(SEARCH("OPI",($C130&amp;" "&amp;$D130))),"OPI",IF(ISNUMBER(SEARCH("DP",($C130&amp;" "&amp;$D130))),"DP","CONC")))&amp;" "&amp;TEXT(LOOKUP(9.99E+307,--MID(SUBSTITUTE(($C130&amp;" "&amp;$D130),CHAR(160)," "),SUMPRODUCT(MIN(FIND({0,1,2,3,4,5,6,7,8,9},SUBSTITUTE(($C130&amp;" "&amp;$D130),CHAR(160)," ")&amp;"0123456789"))),ROW(INDIRECT("1:6")))),"0"),"SIN NUMERO"))</f>
        <v>CONC 2052</v>
      </c>
      <c r="Q130" t="str">
        <f ca="1">IF($P130="","",IF(LEFT(UPPER($S130),9)="VERIFICAR","VERIFICAR",IF($A130="","SIN ESTADO",IF(AND($A130="Firmada",$H130=""),"FALTA FECHA DE FIRMA",IF(N($T130)=0,IF(AND(ISNUMBER($H130),$H130&gt;=DATE(2024,1,1)),"FALTA EN FIRMADAS","OK"),IF(OR($A130="Pendiente de presentación",$A130="Observado",$A130="En análisis",$A130="En instrucción",$A130="Suspendida",$A130="IT circulando",$A130="Para resolución",$A130="TDC"),"ABIERTA PERO ESTÁ EN FIRMADAS",IF($H130&lt;&gt;INDEX(firmadas!$F:$F,$T130),"FIRMA DISTINTA EN firmadas ("&amp;IF(INDEX(firmadas!$F:$F,$T130)="","vacía",DAY(INDEX(firmadas!$F:$F,$T130))&amp;"/"&amp;MONTH(INDEX(firmadas!$F:$F,$T130))&amp;"/"&amp;YEAR(INDEX(firmadas!$F:$F,$T130)))&amp;")",IF($G130&lt;&gt;INDEX(firmadas!$E:$E,$T130),"INGRESO DISTINTO EN firmadas ("&amp;IF(INDEX(firmadas!$E:$E,$T130)="","vacía",DAY(INDEX(firmadas!$E:$E,$T130))&amp;"/"&amp;MONTH(INDEX(firmadas!$E:$E,$T130))&amp;"/"&amp;YEAR(INDEX(firmadas!$E:$E,$T130)))&amp;")","OK"))))))))</f>
        <v>OK</v>
      </c>
      <c r="T130">
        <f ca="1">IF($P130="","",IFERROR(MATCH($P130,firmadas!$N:$N,0),IFERROR(MATCH("*/"&amp;MID($P130,FIND(" ",$P130)+1,9)&amp;"*",firmadas!$B:$B,0),0)))</f>
        <v>226</v>
      </c>
    </row>
    <row r="131" spans="1:20" ht="15" customHeight="1" x14ac:dyDescent="0.25">
      <c r="A131" s="47" t="s">
        <v>80</v>
      </c>
      <c r="B131" s="47"/>
      <c r="C131" s="47" t="s">
        <v>62</v>
      </c>
      <c r="D131" s="45">
        <v>2053</v>
      </c>
      <c r="F131" s="47" t="s">
        <v>333</v>
      </c>
      <c r="G131" s="43">
        <v>45894</v>
      </c>
      <c r="H131" s="43">
        <v>46013</v>
      </c>
      <c r="M131" t="s">
        <v>202</v>
      </c>
      <c r="N131" s="53">
        <f t="shared" ca="1" si="2"/>
        <v>3.9666666666666668</v>
      </c>
      <c r="P131" s="47" t="str">
        <f ca="1">IF(TRIM(SUBSTITUTE(($C131&amp;" "&amp;$D131),CHAR(160)," "))="","",IFERROR(IF(ISNUMBER(SEARCH("INC",($C131&amp;" "&amp;$D131))),"INC",IF(ISNUMBER(SEARCH("OPI",($C131&amp;" "&amp;$D131))),"OPI",IF(ISNUMBER(SEARCH("DP",($C131&amp;" "&amp;$D131))),"DP","CONC")))&amp;" "&amp;TEXT(LOOKUP(9.99E+307,--MID(SUBSTITUTE(($C131&amp;" "&amp;$D131),CHAR(160)," "),SUMPRODUCT(MIN(FIND({0,1,2,3,4,5,6,7,8,9},SUBSTITUTE(($C131&amp;" "&amp;$D131),CHAR(160)," ")&amp;"0123456789"))),ROW(INDIRECT("1:6")))),"0"),"SIN NUMERO"))</f>
        <v>CONC 2053</v>
      </c>
      <c r="Q131" t="str">
        <f ca="1">IF($P131="","",IF(LEFT(UPPER($S131),9)="VERIFICAR","VERIFICAR",IF($A131="","SIN ESTADO",IF(AND($A131="Firmada",$H131=""),"FALTA FECHA DE FIRMA",IF(N($T131)=0,IF(AND(ISNUMBER($H131),$H131&gt;=DATE(2024,1,1)),"FALTA EN FIRMADAS","OK"),IF(OR($A131="Pendiente de presentación",$A131="Observado",$A131="En análisis",$A131="En instrucción",$A131="Suspendida",$A131="IT circulando",$A131="Para resolución",$A131="TDC"),"ABIERTA PERO ESTÁ EN FIRMADAS",IF($H131&lt;&gt;INDEX(firmadas!$F:$F,$T131),"FIRMA DISTINTA EN firmadas ("&amp;IF(INDEX(firmadas!$F:$F,$T131)="","vacía",DAY(INDEX(firmadas!$F:$F,$T131))&amp;"/"&amp;MONTH(INDEX(firmadas!$F:$F,$T131))&amp;"/"&amp;YEAR(INDEX(firmadas!$F:$F,$T131)))&amp;")",IF($G131&lt;&gt;INDEX(firmadas!$E:$E,$T131),"INGRESO DISTINTO EN firmadas ("&amp;IF(INDEX(firmadas!$E:$E,$T131)="","vacía",DAY(INDEX(firmadas!$E:$E,$T131))&amp;"/"&amp;MONTH(INDEX(firmadas!$E:$E,$T131))&amp;"/"&amp;YEAR(INDEX(firmadas!$E:$E,$T131)))&amp;")","OK"))))))))</f>
        <v>OK</v>
      </c>
      <c r="T131">
        <f ca="1">IF($P131="","",IFERROR(MATCH($P131,firmadas!$N:$N,0),IFERROR(MATCH("*/"&amp;MID($P131,FIND(" ",$P131)+1,9)&amp;"*",firmadas!$B:$B,0),0)))</f>
        <v>179</v>
      </c>
    </row>
    <row r="132" spans="1:20" ht="15" customHeight="1" x14ac:dyDescent="0.25">
      <c r="A132" s="47" t="s">
        <v>80</v>
      </c>
      <c r="B132" s="47"/>
      <c r="C132" s="47" t="s">
        <v>62</v>
      </c>
      <c r="D132" s="45">
        <v>2054</v>
      </c>
      <c r="F132" s="47" t="s">
        <v>334</v>
      </c>
      <c r="G132" s="43">
        <v>45894</v>
      </c>
      <c r="H132" s="43">
        <v>46008</v>
      </c>
      <c r="M132" t="s">
        <v>83</v>
      </c>
      <c r="N132" s="53">
        <f t="shared" ca="1" si="2"/>
        <v>3.8</v>
      </c>
      <c r="P132" s="47" t="str">
        <f ca="1">IF(TRIM(SUBSTITUTE(($C132&amp;" "&amp;$D132),CHAR(160)," "))="","",IFERROR(IF(ISNUMBER(SEARCH("INC",($C132&amp;" "&amp;$D132))),"INC",IF(ISNUMBER(SEARCH("OPI",($C132&amp;" "&amp;$D132))),"OPI",IF(ISNUMBER(SEARCH("DP",($C132&amp;" "&amp;$D132))),"DP","CONC")))&amp;" "&amp;TEXT(LOOKUP(9.99E+307,--MID(SUBSTITUTE(($C132&amp;" "&amp;$D132),CHAR(160)," "),SUMPRODUCT(MIN(FIND({0,1,2,3,4,5,6,7,8,9},SUBSTITUTE(($C132&amp;" "&amp;$D132),CHAR(160)," ")&amp;"0123456789"))),ROW(INDIRECT("1:6")))),"0"),"SIN NUMERO"))</f>
        <v>CONC 2054</v>
      </c>
      <c r="Q132" t="str">
        <f ca="1">IF($P132="","",IF(LEFT(UPPER($S132),9)="VERIFICAR","VERIFICAR",IF($A132="","SIN ESTADO",IF(AND($A132="Firmada",$H132=""),"FALTA FECHA DE FIRMA",IF(N($T132)=0,IF(AND(ISNUMBER($H132),$H132&gt;=DATE(2024,1,1)),"FALTA EN FIRMADAS","OK"),IF(OR($A132="Pendiente de presentación",$A132="Observado",$A132="En análisis",$A132="En instrucción",$A132="Suspendida",$A132="IT circulando",$A132="Para resolución",$A132="TDC"),"ABIERTA PERO ESTÁ EN FIRMADAS",IF($H132&lt;&gt;INDEX(firmadas!$F:$F,$T132),"FIRMA DISTINTA EN firmadas ("&amp;IF(INDEX(firmadas!$F:$F,$T132)="","vacía",DAY(INDEX(firmadas!$F:$F,$T132))&amp;"/"&amp;MONTH(INDEX(firmadas!$F:$F,$T132))&amp;"/"&amp;YEAR(INDEX(firmadas!$F:$F,$T132)))&amp;")",IF($G132&lt;&gt;INDEX(firmadas!$E:$E,$T132),"INGRESO DISTINTO EN firmadas ("&amp;IF(INDEX(firmadas!$E:$E,$T132)="","vacía",DAY(INDEX(firmadas!$E:$E,$T132))&amp;"/"&amp;MONTH(INDEX(firmadas!$E:$E,$T132))&amp;"/"&amp;YEAR(INDEX(firmadas!$E:$E,$T132)))&amp;")","OK"))))))))</f>
        <v>OK</v>
      </c>
      <c r="T132">
        <f ca="1">IF($P132="","",IFERROR(MATCH($P132,firmadas!$N:$N,0),IFERROR(MATCH("*/"&amp;MID($P132,FIND(" ",$P132)+1,9)&amp;"*",firmadas!$B:$B,0),0)))</f>
        <v>173</v>
      </c>
    </row>
    <row r="133" spans="1:20" ht="15" customHeight="1" x14ac:dyDescent="0.25">
      <c r="A133" t="s">
        <v>80</v>
      </c>
      <c r="C133" t="s">
        <v>145</v>
      </c>
      <c r="D133" s="24">
        <v>2055</v>
      </c>
      <c r="E133" t="s">
        <v>335</v>
      </c>
      <c r="F133" t="s">
        <v>336</v>
      </c>
      <c r="G133" s="16">
        <v>45898</v>
      </c>
      <c r="H133" s="16">
        <v>46136</v>
      </c>
      <c r="I133" t="s">
        <v>110</v>
      </c>
      <c r="J133" t="s">
        <v>309</v>
      </c>
      <c r="K133" t="s">
        <v>112</v>
      </c>
      <c r="L133" t="s">
        <v>104</v>
      </c>
      <c r="M133" s="44" t="s">
        <v>202</v>
      </c>
      <c r="N133" s="53">
        <f t="shared" ca="1" si="2"/>
        <v>7.9333333333333336</v>
      </c>
      <c r="P133" s="47" t="str">
        <f ca="1">IF(TRIM(SUBSTITUTE(($C133&amp;" "&amp;$D133),CHAR(160)," "))="","",IFERROR(IF(ISNUMBER(SEARCH("INC",($C133&amp;" "&amp;$D133))),"INC",IF(ISNUMBER(SEARCH("OPI",($C133&amp;" "&amp;$D133))),"OPI",IF(ISNUMBER(SEARCH("DP",($C133&amp;" "&amp;$D133))),"DP","CONC")))&amp;" "&amp;TEXT(LOOKUP(9.99E+307,--MID(SUBSTITUTE(($C133&amp;" "&amp;$D133),CHAR(160)," "),SUMPRODUCT(MIN(FIND({0,1,2,3,4,5,6,7,8,9},SUBSTITUTE(($C133&amp;" "&amp;$D133),CHAR(160)," ")&amp;"0123456789"))),ROW(INDIRECT("1:6")))),"0"),"SIN NUMERO"))</f>
        <v>CONC 2055</v>
      </c>
      <c r="Q133" t="str">
        <f ca="1">IF($P133="","",IF(LEFT(UPPER($S133),9)="VERIFICAR","VERIFICAR",IF($A133="","SIN ESTADO",IF(AND($A133="Firmada",$H133=""),"FALTA FECHA DE FIRMA",IF(N($T133)=0,IF(AND(ISNUMBER($H133),$H133&gt;=DATE(2024,1,1)),"FALTA EN FIRMADAS","OK"),IF(OR($A133="Pendiente de presentación",$A133="Observado",$A133="En análisis",$A133="En instrucción",$A133="Suspendida",$A133="IT circulando",$A133="Para resolución",$A133="TDC"),"ABIERTA PERO ESTÁ EN FIRMADAS",IF($H133&lt;&gt;INDEX(firmadas!$F:$F,$T133),"FIRMA DISTINTA EN firmadas ("&amp;IF(INDEX(firmadas!$F:$F,$T133)="","vacía",DAY(INDEX(firmadas!$F:$F,$T133))&amp;"/"&amp;MONTH(INDEX(firmadas!$F:$F,$T133))&amp;"/"&amp;YEAR(INDEX(firmadas!$F:$F,$T133)))&amp;")",IF($G133&lt;&gt;INDEX(firmadas!$E:$E,$T133),"INGRESO DISTINTO EN firmadas ("&amp;IF(INDEX(firmadas!$E:$E,$T133)="","vacía",DAY(INDEX(firmadas!$E:$E,$T133))&amp;"/"&amp;MONTH(INDEX(firmadas!$E:$E,$T133))&amp;"/"&amp;YEAR(INDEX(firmadas!$E:$E,$T133)))&amp;")","OK"))))))))</f>
        <v>OK</v>
      </c>
      <c r="T133">
        <f ca="1">IF($P133="","",IFERROR(MATCH($P133,firmadas!$N:$N,0),IFERROR(MATCH("*/"&amp;MID($P133,FIND(" ",$P133)+1,9)&amp;"*",firmadas!$B:$B,0),0)))</f>
        <v>235</v>
      </c>
    </row>
    <row r="134" spans="1:20" ht="15" customHeight="1" x14ac:dyDescent="0.25">
      <c r="A134" t="s">
        <v>80</v>
      </c>
      <c r="C134" t="s">
        <v>145</v>
      </c>
      <c r="D134" s="24">
        <v>2056</v>
      </c>
      <c r="E134" t="s">
        <v>337</v>
      </c>
      <c r="F134" t="s">
        <v>338</v>
      </c>
      <c r="G134" s="16">
        <v>45904</v>
      </c>
      <c r="H134" s="16">
        <v>46092</v>
      </c>
      <c r="I134" t="s">
        <v>309</v>
      </c>
      <c r="J134" t="s">
        <v>110</v>
      </c>
      <c r="K134" t="s">
        <v>112</v>
      </c>
      <c r="L134" t="s">
        <v>198</v>
      </c>
      <c r="M134" t="s">
        <v>202</v>
      </c>
      <c r="N134" s="53">
        <f t="shared" ca="1" si="2"/>
        <v>6.2666666666666666</v>
      </c>
      <c r="P134" s="47" t="str">
        <f ca="1">IF(TRIM(SUBSTITUTE(($C134&amp;" "&amp;$D134),CHAR(160)," "))="","",IFERROR(IF(ISNUMBER(SEARCH("INC",($C134&amp;" "&amp;$D134))),"INC",IF(ISNUMBER(SEARCH("OPI",($C134&amp;" "&amp;$D134))),"OPI",IF(ISNUMBER(SEARCH("DP",($C134&amp;" "&amp;$D134))),"DP","CONC")))&amp;" "&amp;TEXT(LOOKUP(9.99E+307,--MID(SUBSTITUTE(($C134&amp;" "&amp;$D134),CHAR(160)," "),SUMPRODUCT(MIN(FIND({0,1,2,3,4,5,6,7,8,9},SUBSTITUTE(($C134&amp;" "&amp;$D134),CHAR(160)," ")&amp;"0123456789"))),ROW(INDIRECT("1:6")))),"0"),"SIN NUMERO"))</f>
        <v>CONC 2056</v>
      </c>
      <c r="Q134" t="str">
        <f ca="1">IF($P134="","",IF(LEFT(UPPER($S134),9)="VERIFICAR","VERIFICAR",IF($A134="","SIN ESTADO",IF(AND($A134="Firmada",$H134=""),"FALTA FECHA DE FIRMA",IF(N($T134)=0,IF(AND(ISNUMBER($H134),$H134&gt;=DATE(2024,1,1)),"FALTA EN FIRMADAS","OK"),IF(OR($A134="Pendiente de presentación",$A134="Observado",$A134="En análisis",$A134="En instrucción",$A134="Suspendida",$A134="IT circulando",$A134="Para resolución",$A134="TDC"),"ABIERTA PERO ESTÁ EN FIRMADAS",IF($H134&lt;&gt;INDEX(firmadas!$F:$F,$T134),"FIRMA DISTINTA EN firmadas ("&amp;IF(INDEX(firmadas!$F:$F,$T134)="","vacía",DAY(INDEX(firmadas!$F:$F,$T134))&amp;"/"&amp;MONTH(INDEX(firmadas!$F:$F,$T134))&amp;"/"&amp;YEAR(INDEX(firmadas!$F:$F,$T134)))&amp;")",IF($G134&lt;&gt;INDEX(firmadas!$E:$E,$T134),"INGRESO DISTINTO EN firmadas ("&amp;IF(INDEX(firmadas!$E:$E,$T134)="","vacía",DAY(INDEX(firmadas!$E:$E,$T134))&amp;"/"&amp;MONTH(INDEX(firmadas!$E:$E,$T134))&amp;"/"&amp;YEAR(INDEX(firmadas!$E:$E,$T134)))&amp;")","OK"))))))))</f>
        <v>OK</v>
      </c>
      <c r="T134">
        <f ca="1">IF($P134="","",IFERROR(MATCH($P134,firmadas!$N:$N,0),IFERROR(MATCH("*/"&amp;MID($P134,FIND(" ",$P134)+1,9)&amp;"*",firmadas!$B:$B,0),0)))</f>
        <v>212</v>
      </c>
    </row>
    <row r="135" spans="1:20" ht="15" customHeight="1" x14ac:dyDescent="0.25">
      <c r="A135" t="s">
        <v>80</v>
      </c>
      <c r="C135" t="s">
        <v>145</v>
      </c>
      <c r="D135" s="24">
        <v>2057</v>
      </c>
      <c r="E135" t="s">
        <v>339</v>
      </c>
      <c r="F135" t="s">
        <v>340</v>
      </c>
      <c r="G135" s="16">
        <v>45909</v>
      </c>
      <c r="H135" s="16">
        <v>46128</v>
      </c>
      <c r="I135" t="s">
        <v>309</v>
      </c>
      <c r="J135" t="s">
        <v>110</v>
      </c>
      <c r="K135" t="s">
        <v>112</v>
      </c>
      <c r="L135" t="s">
        <v>96</v>
      </c>
      <c r="M135" s="44" t="s">
        <v>202</v>
      </c>
      <c r="N135" s="53">
        <f t="shared" ca="1" si="2"/>
        <v>7.3</v>
      </c>
      <c r="P135" s="47" t="str">
        <f ca="1">IF(TRIM(SUBSTITUTE(($C135&amp;" "&amp;$D135),CHAR(160)," "))="","",IFERROR(IF(ISNUMBER(SEARCH("INC",($C135&amp;" "&amp;$D135))),"INC",IF(ISNUMBER(SEARCH("OPI",($C135&amp;" "&amp;$D135))),"OPI",IF(ISNUMBER(SEARCH("DP",($C135&amp;" "&amp;$D135))),"DP","CONC")))&amp;" "&amp;TEXT(LOOKUP(9.99E+307,--MID(SUBSTITUTE(($C135&amp;" "&amp;$D135),CHAR(160)," "),SUMPRODUCT(MIN(FIND({0,1,2,3,4,5,6,7,8,9},SUBSTITUTE(($C135&amp;" "&amp;$D135),CHAR(160)," ")&amp;"0123456789"))),ROW(INDIRECT("1:6")))),"0"),"SIN NUMERO"))</f>
        <v>CONC 2057</v>
      </c>
      <c r="Q135" t="str">
        <f ca="1">IF($P135="","",IF(LEFT(UPPER($S135),9)="VERIFICAR","VERIFICAR",IF($A135="","SIN ESTADO",IF(AND($A135="Firmada",$H135=""),"FALTA FECHA DE FIRMA",IF(N($T135)=0,IF(AND(ISNUMBER($H135),$H135&gt;=DATE(2024,1,1)),"FALTA EN FIRMADAS","OK"),IF(OR($A135="Pendiente de presentación",$A135="Observado",$A135="En análisis",$A135="En instrucción",$A135="Suspendida",$A135="IT circulando",$A135="Para resolución",$A135="TDC"),"ABIERTA PERO ESTÁ EN FIRMADAS",IF($H135&lt;&gt;INDEX(firmadas!$F:$F,$T135),"FIRMA DISTINTA EN firmadas ("&amp;IF(INDEX(firmadas!$F:$F,$T135)="","vacía",DAY(INDEX(firmadas!$F:$F,$T135))&amp;"/"&amp;MONTH(INDEX(firmadas!$F:$F,$T135))&amp;"/"&amp;YEAR(INDEX(firmadas!$F:$F,$T135)))&amp;")",IF($G135&lt;&gt;INDEX(firmadas!$E:$E,$T135),"INGRESO DISTINTO EN firmadas ("&amp;IF(INDEX(firmadas!$E:$E,$T135)="","vacía",DAY(INDEX(firmadas!$E:$E,$T135))&amp;"/"&amp;MONTH(INDEX(firmadas!$E:$E,$T135))&amp;"/"&amp;YEAR(INDEX(firmadas!$E:$E,$T135)))&amp;")","OK"))))))))</f>
        <v>OK</v>
      </c>
      <c r="T135">
        <f ca="1">IF($P135="","",IFERROR(MATCH($P135,firmadas!$N:$N,0),IFERROR(MATCH("*/"&amp;MID($P135,FIND(" ",$P135)+1,9)&amp;"*",firmadas!$B:$B,0),0)))</f>
        <v>227</v>
      </c>
    </row>
    <row r="136" spans="1:20" ht="15" customHeight="1" x14ac:dyDescent="0.25">
      <c r="A136" t="s">
        <v>80</v>
      </c>
      <c r="C136" t="s">
        <v>145</v>
      </c>
      <c r="D136" s="24">
        <v>2059</v>
      </c>
      <c r="E136" t="s">
        <v>341</v>
      </c>
      <c r="F136" t="s">
        <v>342</v>
      </c>
      <c r="G136" s="16">
        <v>45910</v>
      </c>
      <c r="H136" s="16">
        <v>46073</v>
      </c>
      <c r="I136" t="s">
        <v>187</v>
      </c>
      <c r="J136" t="s">
        <v>111</v>
      </c>
      <c r="K136" t="s">
        <v>112</v>
      </c>
      <c r="L136" t="s">
        <v>197</v>
      </c>
      <c r="M136" t="s">
        <v>202</v>
      </c>
      <c r="N136" s="53">
        <f t="shared" ca="1" si="2"/>
        <v>5.4333333333333336</v>
      </c>
      <c r="P136" s="47" t="str">
        <f ca="1">IF(TRIM(SUBSTITUTE(($C136&amp;" "&amp;$D136),CHAR(160)," "))="","",IFERROR(IF(ISNUMBER(SEARCH("INC",($C136&amp;" "&amp;$D136))),"INC",IF(ISNUMBER(SEARCH("OPI",($C136&amp;" "&amp;$D136))),"OPI",IF(ISNUMBER(SEARCH("DP",($C136&amp;" "&amp;$D136))),"DP","CONC")))&amp;" "&amp;TEXT(LOOKUP(9.99E+307,--MID(SUBSTITUTE(($C136&amp;" "&amp;$D136),CHAR(160)," "),SUMPRODUCT(MIN(FIND({0,1,2,3,4,5,6,7,8,9},SUBSTITUTE(($C136&amp;" "&amp;$D136),CHAR(160)," ")&amp;"0123456789"))),ROW(INDIRECT("1:6")))),"0"),"SIN NUMERO"))</f>
        <v>CONC 2059</v>
      </c>
      <c r="Q136" t="str">
        <f ca="1">IF($P136="","",IF(LEFT(UPPER($S136),9)="VERIFICAR","VERIFICAR",IF($A136="","SIN ESTADO",IF(AND($A136="Firmada",$H136=""),"FALTA FECHA DE FIRMA",IF(N($T136)=0,IF(AND(ISNUMBER($H136),$H136&gt;=DATE(2024,1,1)),"FALTA EN FIRMADAS","OK"),IF(OR($A136="Pendiente de presentación",$A136="Observado",$A136="En análisis",$A136="En instrucción",$A136="Suspendida",$A136="IT circulando",$A136="Para resolución",$A136="TDC"),"ABIERTA PERO ESTÁ EN FIRMADAS",IF($H136&lt;&gt;INDEX(firmadas!$F:$F,$T136),"FIRMA DISTINTA EN firmadas ("&amp;IF(INDEX(firmadas!$F:$F,$T136)="","vacía",DAY(INDEX(firmadas!$F:$F,$T136))&amp;"/"&amp;MONTH(INDEX(firmadas!$F:$F,$T136))&amp;"/"&amp;YEAR(INDEX(firmadas!$F:$F,$T136)))&amp;")",IF($G136&lt;&gt;INDEX(firmadas!$E:$E,$T136),"INGRESO DISTINTO EN firmadas ("&amp;IF(INDEX(firmadas!$E:$E,$T136)="","vacía",DAY(INDEX(firmadas!$E:$E,$T136))&amp;"/"&amp;MONTH(INDEX(firmadas!$E:$E,$T136))&amp;"/"&amp;YEAR(INDEX(firmadas!$E:$E,$T136)))&amp;")","OK"))))))))</f>
        <v>OK</v>
      </c>
      <c r="T136">
        <f ca="1">IF($P136="","",IFERROR(MATCH($P136,firmadas!$N:$N,0),IFERROR(MATCH("*/"&amp;MID($P136,FIND(" ",$P136)+1,9)&amp;"*",firmadas!$B:$B,0),0)))</f>
        <v>208</v>
      </c>
    </row>
    <row r="137" spans="1:20" ht="15" customHeight="1" x14ac:dyDescent="0.25">
      <c r="A137" s="47" t="s">
        <v>80</v>
      </c>
      <c r="B137" s="47"/>
      <c r="C137" s="47" t="s">
        <v>62</v>
      </c>
      <c r="D137" s="45">
        <v>2058</v>
      </c>
      <c r="F137" s="47" t="s">
        <v>343</v>
      </c>
      <c r="G137" s="43">
        <v>45910</v>
      </c>
      <c r="H137" s="43">
        <v>46017</v>
      </c>
      <c r="M137" t="s">
        <v>202</v>
      </c>
      <c r="N137" s="53">
        <f t="shared" ca="1" si="2"/>
        <v>3.5666666666666669</v>
      </c>
      <c r="P137" s="47" t="str">
        <f ca="1">IF(TRIM(SUBSTITUTE(($C137&amp;" "&amp;$D137),CHAR(160)," "))="","",IFERROR(IF(ISNUMBER(SEARCH("INC",($C137&amp;" "&amp;$D137))),"INC",IF(ISNUMBER(SEARCH("OPI",($C137&amp;" "&amp;$D137))),"OPI",IF(ISNUMBER(SEARCH("DP",($C137&amp;" "&amp;$D137))),"DP","CONC")))&amp;" "&amp;TEXT(LOOKUP(9.99E+307,--MID(SUBSTITUTE(($C137&amp;" "&amp;$D137),CHAR(160)," "),SUMPRODUCT(MIN(FIND({0,1,2,3,4,5,6,7,8,9},SUBSTITUTE(($C137&amp;" "&amp;$D137),CHAR(160)," ")&amp;"0123456789"))),ROW(INDIRECT("1:6")))),"0"),"SIN NUMERO"))</f>
        <v>CONC 2058</v>
      </c>
      <c r="Q137" t="str">
        <f ca="1">IF($P137="","",IF(LEFT(UPPER($S137),9)="VERIFICAR","VERIFICAR",IF($A137="","SIN ESTADO",IF(AND($A137="Firmada",$H137=""),"FALTA FECHA DE FIRMA",IF(N($T137)=0,IF(AND(ISNUMBER($H137),$H137&gt;=DATE(2024,1,1)),"FALTA EN FIRMADAS","OK"),IF(OR($A137="Pendiente de presentación",$A137="Observado",$A137="En análisis",$A137="En instrucción",$A137="Suspendida",$A137="IT circulando",$A137="Para resolución",$A137="TDC"),"ABIERTA PERO ESTÁ EN FIRMADAS",IF($H137&lt;&gt;INDEX(firmadas!$F:$F,$T137),"FIRMA DISTINTA EN firmadas ("&amp;IF(INDEX(firmadas!$F:$F,$T137)="","vacía",DAY(INDEX(firmadas!$F:$F,$T137))&amp;"/"&amp;MONTH(INDEX(firmadas!$F:$F,$T137))&amp;"/"&amp;YEAR(INDEX(firmadas!$F:$F,$T137)))&amp;")",IF($G137&lt;&gt;INDEX(firmadas!$E:$E,$T137),"INGRESO DISTINTO EN firmadas ("&amp;IF(INDEX(firmadas!$E:$E,$T137)="","vacía",DAY(INDEX(firmadas!$E:$E,$T137))&amp;"/"&amp;MONTH(INDEX(firmadas!$E:$E,$T137))&amp;"/"&amp;YEAR(INDEX(firmadas!$E:$E,$T137)))&amp;")","OK"))))))))</f>
        <v>OK</v>
      </c>
      <c r="T137">
        <f ca="1">IF($P137="","",IFERROR(MATCH($P137,firmadas!$N:$N,0),IFERROR(MATCH("*/"&amp;MID($P137,FIND(" ",$P137)+1,9)&amp;"*",firmadas!$B:$B,0),0)))</f>
        <v>186</v>
      </c>
    </row>
    <row r="138" spans="1:20" ht="15" customHeight="1" x14ac:dyDescent="0.25">
      <c r="A138" s="47" t="s">
        <v>80</v>
      </c>
      <c r="B138" s="47"/>
      <c r="C138" s="47" t="s">
        <v>62</v>
      </c>
      <c r="D138" s="45">
        <v>2060</v>
      </c>
      <c r="F138" s="47" t="s">
        <v>344</v>
      </c>
      <c r="G138" s="43">
        <v>45911</v>
      </c>
      <c r="H138" s="43">
        <v>45996</v>
      </c>
      <c r="M138" t="s">
        <v>202</v>
      </c>
      <c r="N138" s="53">
        <f t="shared" ca="1" si="2"/>
        <v>2.8333333333333335</v>
      </c>
      <c r="P138" s="47" t="str">
        <f ca="1">IF(TRIM(SUBSTITUTE(($C138&amp;" "&amp;$D138),CHAR(160)," "))="","",IFERROR(IF(ISNUMBER(SEARCH("INC",($C138&amp;" "&amp;$D138))),"INC",IF(ISNUMBER(SEARCH("OPI",($C138&amp;" "&amp;$D138))),"OPI",IF(ISNUMBER(SEARCH("DP",($C138&amp;" "&amp;$D138))),"DP","CONC")))&amp;" "&amp;TEXT(LOOKUP(9.99E+307,--MID(SUBSTITUTE(($C138&amp;" "&amp;$D138),CHAR(160)," "),SUMPRODUCT(MIN(FIND({0,1,2,3,4,5,6,7,8,9},SUBSTITUTE(($C138&amp;" "&amp;$D138),CHAR(160)," ")&amp;"0123456789"))),ROW(INDIRECT("1:6")))),"0"),"SIN NUMERO"))</f>
        <v>CONC 2060</v>
      </c>
      <c r="Q138" t="str">
        <f ca="1">IF($P138="","",IF(LEFT(UPPER($S138),9)="VERIFICAR","VERIFICAR",IF($A138="","SIN ESTADO",IF(AND($A138="Firmada",$H138=""),"FALTA FECHA DE FIRMA",IF(N($T138)=0,IF(AND(ISNUMBER($H138),$H138&gt;=DATE(2024,1,1)),"FALTA EN FIRMADAS","OK"),IF(OR($A138="Pendiente de presentación",$A138="Observado",$A138="En análisis",$A138="En instrucción",$A138="Suspendida",$A138="IT circulando",$A138="Para resolución",$A138="TDC"),"ABIERTA PERO ESTÁ EN FIRMADAS",IF($H138&lt;&gt;INDEX(firmadas!$F:$F,$T138),"FIRMA DISTINTA EN firmadas ("&amp;IF(INDEX(firmadas!$F:$F,$T138)="","vacía",DAY(INDEX(firmadas!$F:$F,$T138))&amp;"/"&amp;MONTH(INDEX(firmadas!$F:$F,$T138))&amp;"/"&amp;YEAR(INDEX(firmadas!$F:$F,$T138)))&amp;")",IF($G138&lt;&gt;INDEX(firmadas!$E:$E,$T138),"INGRESO DISTINTO EN firmadas ("&amp;IF(INDEX(firmadas!$E:$E,$T138)="","vacía",DAY(INDEX(firmadas!$E:$E,$T138))&amp;"/"&amp;MONTH(INDEX(firmadas!$E:$E,$T138))&amp;"/"&amp;YEAR(INDEX(firmadas!$E:$E,$T138)))&amp;")","OK"))))))))</f>
        <v>OK</v>
      </c>
      <c r="T138">
        <f ca="1">IF($P138="","",IFERROR(MATCH($P138,firmadas!$N:$N,0),IFERROR(MATCH("*/"&amp;MID($P138,FIND(" ",$P138)+1,9)&amp;"*",firmadas!$B:$B,0),0)))</f>
        <v>163</v>
      </c>
    </row>
    <row r="139" spans="1:20" ht="15" customHeight="1" x14ac:dyDescent="0.25">
      <c r="A139" t="s">
        <v>80</v>
      </c>
      <c r="C139" t="s">
        <v>145</v>
      </c>
      <c r="D139" s="24">
        <v>2061</v>
      </c>
      <c r="E139" t="s">
        <v>345</v>
      </c>
      <c r="F139" t="s">
        <v>346</v>
      </c>
      <c r="G139" s="16">
        <v>45925</v>
      </c>
      <c r="H139" s="16">
        <v>46128</v>
      </c>
      <c r="I139" t="s">
        <v>110</v>
      </c>
      <c r="J139" t="s">
        <v>309</v>
      </c>
      <c r="K139" t="s">
        <v>197</v>
      </c>
      <c r="L139" t="s">
        <v>112</v>
      </c>
      <c r="M139" t="s">
        <v>202</v>
      </c>
      <c r="N139" s="53">
        <f t="shared" ca="1" si="2"/>
        <v>6.7666666666666666</v>
      </c>
      <c r="P139" s="47" t="str">
        <f ca="1">IF(TRIM(SUBSTITUTE(($C139&amp;" "&amp;$D139),CHAR(160)," "))="","",IFERROR(IF(ISNUMBER(SEARCH("INC",($C139&amp;" "&amp;$D139))),"INC",IF(ISNUMBER(SEARCH("OPI",($C139&amp;" "&amp;$D139))),"OPI",IF(ISNUMBER(SEARCH("DP",($C139&amp;" "&amp;$D139))),"DP","CONC")))&amp;" "&amp;TEXT(LOOKUP(9.99E+307,--MID(SUBSTITUTE(($C139&amp;" "&amp;$D139),CHAR(160)," "),SUMPRODUCT(MIN(FIND({0,1,2,3,4,5,6,7,8,9},SUBSTITUTE(($C139&amp;" "&amp;$D139),CHAR(160)," ")&amp;"0123456789"))),ROW(INDIRECT("1:6")))),"0"),"SIN NUMERO"))</f>
        <v>CONC 2061</v>
      </c>
      <c r="Q139" t="str">
        <f ca="1">IF($P139="","",IF(LEFT(UPPER($S139),9)="VERIFICAR","VERIFICAR",IF($A139="","SIN ESTADO",IF(AND($A139="Firmada",$H139=""),"FALTA FECHA DE FIRMA",IF(N($T139)=0,IF(AND(ISNUMBER($H139),$H139&gt;=DATE(2024,1,1)),"FALTA EN FIRMADAS","OK"),IF(OR($A139="Pendiente de presentación",$A139="Observado",$A139="En análisis",$A139="En instrucción",$A139="Suspendida",$A139="IT circulando",$A139="Para resolución",$A139="TDC"),"ABIERTA PERO ESTÁ EN FIRMADAS",IF($H139&lt;&gt;INDEX(firmadas!$F:$F,$T139),"FIRMA DISTINTA EN firmadas ("&amp;IF(INDEX(firmadas!$F:$F,$T139)="","vacía",DAY(INDEX(firmadas!$F:$F,$T139))&amp;"/"&amp;MONTH(INDEX(firmadas!$F:$F,$T139))&amp;"/"&amp;YEAR(INDEX(firmadas!$F:$F,$T139)))&amp;")",IF($G139&lt;&gt;INDEX(firmadas!$E:$E,$T139),"INGRESO DISTINTO EN firmadas ("&amp;IF(INDEX(firmadas!$E:$E,$T139)="","vacía",DAY(INDEX(firmadas!$E:$E,$T139))&amp;"/"&amp;MONTH(INDEX(firmadas!$E:$E,$T139))&amp;"/"&amp;YEAR(INDEX(firmadas!$E:$E,$T139)))&amp;")","OK"))))))))</f>
        <v>OK</v>
      </c>
      <c r="T139">
        <f ca="1">IF($P139="","",IFERROR(MATCH($P139,firmadas!$N:$N,0),IFERROR(MATCH("*/"&amp;MID($P139,FIND(" ",$P139)+1,9)&amp;"*",firmadas!$B:$B,0),0)))</f>
        <v>228</v>
      </c>
    </row>
    <row r="140" spans="1:20" ht="15" customHeight="1" x14ac:dyDescent="0.25">
      <c r="A140" s="47" t="s">
        <v>80</v>
      </c>
      <c r="B140" s="47"/>
      <c r="C140" s="47" t="s">
        <v>62</v>
      </c>
      <c r="D140" s="45">
        <v>2062</v>
      </c>
      <c r="F140" s="47" t="s">
        <v>347</v>
      </c>
      <c r="G140" s="43">
        <v>45926</v>
      </c>
      <c r="H140" s="43">
        <v>46000</v>
      </c>
      <c r="M140" t="s">
        <v>202</v>
      </c>
      <c r="N140" s="53">
        <f t="shared" ca="1" si="2"/>
        <v>2.4666666666666668</v>
      </c>
      <c r="P140" s="47" t="str">
        <f ca="1">IF(TRIM(SUBSTITUTE(($C140&amp;" "&amp;$D140),CHAR(160)," "))="","",IFERROR(IF(ISNUMBER(SEARCH("INC",($C140&amp;" "&amp;$D140))),"INC",IF(ISNUMBER(SEARCH("OPI",($C140&amp;" "&amp;$D140))),"OPI",IF(ISNUMBER(SEARCH("DP",($C140&amp;" "&amp;$D140))),"DP","CONC")))&amp;" "&amp;TEXT(LOOKUP(9.99E+307,--MID(SUBSTITUTE(($C140&amp;" "&amp;$D140),CHAR(160)," "),SUMPRODUCT(MIN(FIND({0,1,2,3,4,5,6,7,8,9},SUBSTITUTE(($C140&amp;" "&amp;$D140),CHAR(160)," ")&amp;"0123456789"))),ROW(INDIRECT("1:6")))),"0"),"SIN NUMERO"))</f>
        <v>CONC 2062</v>
      </c>
      <c r="Q140" t="str">
        <f ca="1">IF($P140="","",IF(LEFT(UPPER($S140),9)="VERIFICAR","VERIFICAR",IF($A140="","SIN ESTADO",IF(AND($A140="Firmada",$H140=""),"FALTA FECHA DE FIRMA",IF(N($T140)=0,IF(AND(ISNUMBER($H140),$H140&gt;=DATE(2024,1,1)),"FALTA EN FIRMADAS","OK"),IF(OR($A140="Pendiente de presentación",$A140="Observado",$A140="En análisis",$A140="En instrucción",$A140="Suspendida",$A140="IT circulando",$A140="Para resolución",$A140="TDC"),"ABIERTA PERO ESTÁ EN FIRMADAS",IF($H140&lt;&gt;INDEX(firmadas!$F:$F,$T140),"FIRMA DISTINTA EN firmadas ("&amp;IF(INDEX(firmadas!$F:$F,$T140)="","vacía",DAY(INDEX(firmadas!$F:$F,$T140))&amp;"/"&amp;MONTH(INDEX(firmadas!$F:$F,$T140))&amp;"/"&amp;YEAR(INDEX(firmadas!$F:$F,$T140)))&amp;")",IF($G140&lt;&gt;INDEX(firmadas!$E:$E,$T140),"INGRESO DISTINTO EN firmadas ("&amp;IF(INDEX(firmadas!$E:$E,$T140)="","vacía",DAY(INDEX(firmadas!$E:$E,$T140))&amp;"/"&amp;MONTH(INDEX(firmadas!$E:$E,$T140))&amp;"/"&amp;YEAR(INDEX(firmadas!$E:$E,$T140)))&amp;")","OK"))))))))</f>
        <v>OK</v>
      </c>
      <c r="T140">
        <f ca="1">IF($P140="","",IFERROR(MATCH($P140,firmadas!$N:$N,0),IFERROR(MATCH("*/"&amp;MID($P140,FIND(" ",$P140)+1,9)&amp;"*",firmadas!$B:$B,0),0)))</f>
        <v>164</v>
      </c>
    </row>
    <row r="141" spans="1:20" ht="15" customHeight="1" x14ac:dyDescent="0.25">
      <c r="A141" s="47" t="s">
        <v>80</v>
      </c>
      <c r="B141" s="47"/>
      <c r="C141" s="47" t="s">
        <v>62</v>
      </c>
      <c r="D141" s="45">
        <v>2063</v>
      </c>
      <c r="F141" s="47" t="s">
        <v>348</v>
      </c>
      <c r="G141" s="43">
        <v>45930</v>
      </c>
      <c r="H141" s="43">
        <v>46000</v>
      </c>
      <c r="M141" t="s">
        <v>202</v>
      </c>
      <c r="N141" s="53">
        <f t="shared" ca="1" si="2"/>
        <v>2.3333333333333335</v>
      </c>
      <c r="P141" s="47" t="str">
        <f ca="1">IF(TRIM(SUBSTITUTE(($C141&amp;" "&amp;$D141),CHAR(160)," "))="","",IFERROR(IF(ISNUMBER(SEARCH("INC",($C141&amp;" "&amp;$D141))),"INC",IF(ISNUMBER(SEARCH("OPI",($C141&amp;" "&amp;$D141))),"OPI",IF(ISNUMBER(SEARCH("DP",($C141&amp;" "&amp;$D141))),"DP","CONC")))&amp;" "&amp;TEXT(LOOKUP(9.99E+307,--MID(SUBSTITUTE(($C141&amp;" "&amp;$D141),CHAR(160)," "),SUMPRODUCT(MIN(FIND({0,1,2,3,4,5,6,7,8,9},SUBSTITUTE(($C141&amp;" "&amp;$D141),CHAR(160)," ")&amp;"0123456789"))),ROW(INDIRECT("1:6")))),"0"),"SIN NUMERO"))</f>
        <v>CONC 2063</v>
      </c>
      <c r="Q141" t="str">
        <f ca="1">IF($P141="","",IF(LEFT(UPPER($S141),9)="VERIFICAR","VERIFICAR",IF($A141="","SIN ESTADO",IF(AND($A141="Firmada",$H141=""),"FALTA FECHA DE FIRMA",IF(N($T141)=0,IF(AND(ISNUMBER($H141),$H141&gt;=DATE(2024,1,1)),"FALTA EN FIRMADAS","OK"),IF(OR($A141="Pendiente de presentación",$A141="Observado",$A141="En análisis",$A141="En instrucción",$A141="Suspendida",$A141="IT circulando",$A141="Para resolución",$A141="TDC"),"ABIERTA PERO ESTÁ EN FIRMADAS",IF($H141&lt;&gt;INDEX(firmadas!$F:$F,$T141),"FIRMA DISTINTA EN firmadas ("&amp;IF(INDEX(firmadas!$F:$F,$T141)="","vacía",DAY(INDEX(firmadas!$F:$F,$T141))&amp;"/"&amp;MONTH(INDEX(firmadas!$F:$F,$T141))&amp;"/"&amp;YEAR(INDEX(firmadas!$F:$F,$T141)))&amp;")",IF($G141&lt;&gt;INDEX(firmadas!$E:$E,$T141),"INGRESO DISTINTO EN firmadas ("&amp;IF(INDEX(firmadas!$E:$E,$T141)="","vacía",DAY(INDEX(firmadas!$E:$E,$T141))&amp;"/"&amp;MONTH(INDEX(firmadas!$E:$E,$T141))&amp;"/"&amp;YEAR(INDEX(firmadas!$E:$E,$T141)))&amp;")","OK"))))))))</f>
        <v>OK</v>
      </c>
      <c r="T141">
        <f ca="1">IF($P141="","",IFERROR(MATCH($P141,firmadas!$N:$N,0),IFERROR(MATCH("*/"&amp;MID($P141,FIND(" ",$P141)+1,9)&amp;"*",firmadas!$B:$B,0),0)))</f>
        <v>165</v>
      </c>
    </row>
    <row r="142" spans="1:20" ht="15" customHeight="1" x14ac:dyDescent="0.25">
      <c r="A142" t="s">
        <v>80</v>
      </c>
      <c r="C142" t="s">
        <v>145</v>
      </c>
      <c r="D142" s="24">
        <v>2064</v>
      </c>
      <c r="F142" t="s">
        <v>349</v>
      </c>
      <c r="G142" s="16">
        <v>45932</v>
      </c>
      <c r="H142" s="16">
        <v>46024</v>
      </c>
      <c r="M142" t="s">
        <v>202</v>
      </c>
      <c r="N142" s="53">
        <f t="shared" ca="1" si="2"/>
        <v>3.0666666666666669</v>
      </c>
      <c r="P142" s="47" t="str">
        <f ca="1">IF(TRIM(SUBSTITUTE(($C142&amp;" "&amp;$D142),CHAR(160)," "))="","",IFERROR(IF(ISNUMBER(SEARCH("INC",($C142&amp;" "&amp;$D142))),"INC",IF(ISNUMBER(SEARCH("OPI",($C142&amp;" "&amp;$D142))),"OPI",IF(ISNUMBER(SEARCH("DP",($C142&amp;" "&amp;$D142))),"DP","CONC")))&amp;" "&amp;TEXT(LOOKUP(9.99E+307,--MID(SUBSTITUTE(($C142&amp;" "&amp;$D142),CHAR(160)," "),SUMPRODUCT(MIN(FIND({0,1,2,3,4,5,6,7,8,9},SUBSTITUTE(($C142&amp;" "&amp;$D142),CHAR(160)," ")&amp;"0123456789"))),ROW(INDIRECT("1:6")))),"0"),"SIN NUMERO"))</f>
        <v>CONC 2064</v>
      </c>
      <c r="Q142" t="str">
        <f ca="1">IF($P142="","",IF(LEFT(UPPER($S142),9)="VERIFICAR","VERIFICAR",IF($A142="","SIN ESTADO",IF(AND($A142="Firmada",$H142=""),"FALTA FECHA DE FIRMA",IF(N($T142)=0,IF(AND(ISNUMBER($H142),$H142&gt;=DATE(2024,1,1)),"FALTA EN FIRMADAS","OK"),IF(OR($A142="Pendiente de presentación",$A142="Observado",$A142="En análisis",$A142="En instrucción",$A142="Suspendida",$A142="IT circulando",$A142="Para resolución",$A142="TDC"),"ABIERTA PERO ESTÁ EN FIRMADAS",IF($H142&lt;&gt;INDEX(firmadas!$F:$F,$T142),"FIRMA DISTINTA EN firmadas ("&amp;IF(INDEX(firmadas!$F:$F,$T142)="","vacía",DAY(INDEX(firmadas!$F:$F,$T142))&amp;"/"&amp;MONTH(INDEX(firmadas!$F:$F,$T142))&amp;"/"&amp;YEAR(INDEX(firmadas!$F:$F,$T142)))&amp;")",IF($G142&lt;&gt;INDEX(firmadas!$E:$E,$T142),"INGRESO DISTINTO EN firmadas ("&amp;IF(INDEX(firmadas!$E:$E,$T142)="","vacía",DAY(INDEX(firmadas!$E:$E,$T142))&amp;"/"&amp;MONTH(INDEX(firmadas!$E:$E,$T142))&amp;"/"&amp;YEAR(INDEX(firmadas!$E:$E,$T142)))&amp;")","OK"))))))))</f>
        <v>OK</v>
      </c>
      <c r="T142">
        <f ca="1">IF($P142="","",IFERROR(MATCH($P142,firmadas!$N:$N,0),IFERROR(MATCH("*/"&amp;MID($P142,FIND(" ",$P142)+1,9)&amp;"*",firmadas!$B:$B,0),0)))</f>
        <v>188</v>
      </c>
    </row>
    <row r="143" spans="1:20" ht="15" customHeight="1" x14ac:dyDescent="0.25">
      <c r="A143" s="47" t="s">
        <v>80</v>
      </c>
      <c r="B143" s="47"/>
      <c r="C143" s="47" t="s">
        <v>62</v>
      </c>
      <c r="D143" s="45">
        <v>2065</v>
      </c>
      <c r="F143" s="47" t="s">
        <v>350</v>
      </c>
      <c r="G143" s="43">
        <v>45936</v>
      </c>
      <c r="H143" s="43">
        <v>46000</v>
      </c>
      <c r="M143" t="s">
        <v>202</v>
      </c>
      <c r="N143" s="53">
        <f t="shared" ca="1" si="2"/>
        <v>2.1333333333333333</v>
      </c>
      <c r="P143" s="47" t="str">
        <f ca="1">IF(TRIM(SUBSTITUTE(($C143&amp;" "&amp;$D143),CHAR(160)," "))="","",IFERROR(IF(ISNUMBER(SEARCH("INC",($C143&amp;" "&amp;$D143))),"INC",IF(ISNUMBER(SEARCH("OPI",($C143&amp;" "&amp;$D143))),"OPI",IF(ISNUMBER(SEARCH("DP",($C143&amp;" "&amp;$D143))),"DP","CONC")))&amp;" "&amp;TEXT(LOOKUP(9.99E+307,--MID(SUBSTITUTE(($C143&amp;" "&amp;$D143),CHAR(160)," "),SUMPRODUCT(MIN(FIND({0,1,2,3,4,5,6,7,8,9},SUBSTITUTE(($C143&amp;" "&amp;$D143),CHAR(160)," ")&amp;"0123456789"))),ROW(INDIRECT("1:6")))),"0"),"SIN NUMERO"))</f>
        <v>CONC 2065</v>
      </c>
      <c r="Q143" t="str">
        <f ca="1">IF($P143="","",IF(LEFT(UPPER($S143),9)="VERIFICAR","VERIFICAR",IF($A143="","SIN ESTADO",IF(AND($A143="Firmada",$H143=""),"FALTA FECHA DE FIRMA",IF(N($T143)=0,IF(AND(ISNUMBER($H143),$H143&gt;=DATE(2024,1,1)),"FALTA EN FIRMADAS","OK"),IF(OR($A143="Pendiente de presentación",$A143="Observado",$A143="En análisis",$A143="En instrucción",$A143="Suspendida",$A143="IT circulando",$A143="Para resolución",$A143="TDC"),"ABIERTA PERO ESTÁ EN FIRMADAS",IF($H143&lt;&gt;INDEX(firmadas!$F:$F,$T143),"FIRMA DISTINTA EN firmadas ("&amp;IF(INDEX(firmadas!$F:$F,$T143)="","vacía",DAY(INDEX(firmadas!$F:$F,$T143))&amp;"/"&amp;MONTH(INDEX(firmadas!$F:$F,$T143))&amp;"/"&amp;YEAR(INDEX(firmadas!$F:$F,$T143)))&amp;")",IF($G143&lt;&gt;INDEX(firmadas!$E:$E,$T143),"INGRESO DISTINTO EN firmadas ("&amp;IF(INDEX(firmadas!$E:$E,$T143)="","vacía",DAY(INDEX(firmadas!$E:$E,$T143))&amp;"/"&amp;MONTH(INDEX(firmadas!$E:$E,$T143))&amp;"/"&amp;YEAR(INDEX(firmadas!$E:$E,$T143)))&amp;")","OK"))))))))</f>
        <v>OK</v>
      </c>
      <c r="T143">
        <f ca="1">IF($P143="","",IFERROR(MATCH($P143,firmadas!$N:$N,0),IFERROR(MATCH("*/"&amp;MID($P143,FIND(" ",$P143)+1,9)&amp;"*",firmadas!$B:$B,0),0)))</f>
        <v>166</v>
      </c>
    </row>
    <row r="144" spans="1:20" ht="15" customHeight="1" x14ac:dyDescent="0.25">
      <c r="A144" t="s">
        <v>80</v>
      </c>
      <c r="C144" t="s">
        <v>145</v>
      </c>
      <c r="D144" s="24">
        <v>2066</v>
      </c>
      <c r="E144" t="s">
        <v>351</v>
      </c>
      <c r="F144" t="s">
        <v>352</v>
      </c>
      <c r="G144" s="16">
        <v>45937</v>
      </c>
      <c r="H144" s="16">
        <v>46191</v>
      </c>
      <c r="I144" t="s">
        <v>138</v>
      </c>
      <c r="J144" t="s">
        <v>124</v>
      </c>
      <c r="K144" t="s">
        <v>96</v>
      </c>
      <c r="L144" t="s">
        <v>133</v>
      </c>
      <c r="M144" t="s">
        <v>202</v>
      </c>
      <c r="N144" s="53">
        <f t="shared" ca="1" si="2"/>
        <v>8.4666666666666668</v>
      </c>
      <c r="O144" t="s">
        <v>353</v>
      </c>
      <c r="P144" s="47" t="str">
        <f ca="1">IF(TRIM(SUBSTITUTE(($C144&amp;" "&amp;$D144),CHAR(160)," "))="","",IFERROR(IF(ISNUMBER(SEARCH("INC",($C144&amp;" "&amp;$D144))),"INC",IF(ISNUMBER(SEARCH("OPI",($C144&amp;" "&amp;$D144))),"OPI",IF(ISNUMBER(SEARCH("DP",($C144&amp;" "&amp;$D144))),"DP","CONC")))&amp;" "&amp;TEXT(LOOKUP(9.99E+307,--MID(SUBSTITUTE(($C144&amp;" "&amp;$D144),CHAR(160)," "),SUMPRODUCT(MIN(FIND({0,1,2,3,4,5,6,7,8,9},SUBSTITUTE(($C144&amp;" "&amp;$D144),CHAR(160)," ")&amp;"0123456789"))),ROW(INDIRECT("1:6")))),"0"),"SIN NUMERO"))</f>
        <v>CONC 2066</v>
      </c>
      <c r="Q144" t="str">
        <f ca="1">IF($P144="","",IF(LEFT(UPPER($S144),9)="VERIFICAR","VERIFICAR",IF($A144="","SIN ESTADO",IF(AND($A144="Firmada",$H144=""),"FALTA FECHA DE FIRMA",IF(N($T144)=0,IF(AND(ISNUMBER($H144),$H144&gt;=DATE(2024,1,1)),"FALTA EN FIRMADAS","OK"),IF(OR($A144="Pendiente de presentación",$A144="Observado",$A144="En análisis",$A144="En instrucción",$A144="Suspendida",$A144="IT circulando",$A144="Para resolución",$A144="TDC"),"ABIERTA PERO ESTÁ EN FIRMADAS",IF($H144&lt;&gt;INDEX(firmadas!$F:$F,$T144),"FIRMA DISTINTA EN firmadas ("&amp;IF(INDEX(firmadas!$F:$F,$T144)="","vacía",DAY(INDEX(firmadas!$F:$F,$T144))&amp;"/"&amp;MONTH(INDEX(firmadas!$F:$F,$T144))&amp;"/"&amp;YEAR(INDEX(firmadas!$F:$F,$T144)))&amp;")",IF($G144&lt;&gt;INDEX(firmadas!$E:$E,$T144),"INGRESO DISTINTO EN firmadas ("&amp;IF(INDEX(firmadas!$E:$E,$T144)="","vacía",DAY(INDEX(firmadas!$E:$E,$T144))&amp;"/"&amp;MONTH(INDEX(firmadas!$E:$E,$T144))&amp;"/"&amp;YEAR(INDEX(firmadas!$E:$E,$T144)))&amp;")","OK"))))))))</f>
        <v>OK</v>
      </c>
      <c r="T144">
        <f ca="1">IF($P144="","",IFERROR(MATCH($P144,firmadas!$N:$N,0),IFERROR(MATCH("*/"&amp;MID($P144,FIND(" ",$P144)+1,9)&amp;"*",firmadas!$B:$B,0),0)))</f>
        <v>250</v>
      </c>
    </row>
    <row r="145" spans="1:20" ht="15" customHeight="1" x14ac:dyDescent="0.25">
      <c r="A145" s="44" t="s">
        <v>80</v>
      </c>
      <c r="C145" t="s">
        <v>145</v>
      </c>
      <c r="D145" s="24">
        <v>2067</v>
      </c>
      <c r="E145" t="s">
        <v>354</v>
      </c>
      <c r="F145" t="s">
        <v>355</v>
      </c>
      <c r="G145" s="16">
        <v>45944</v>
      </c>
      <c r="H145" s="16">
        <v>46267</v>
      </c>
      <c r="I145" t="s">
        <v>138</v>
      </c>
      <c r="J145" t="s">
        <v>356</v>
      </c>
      <c r="K145" t="s">
        <v>104</v>
      </c>
      <c r="L145" t="s">
        <v>112</v>
      </c>
      <c r="M145" t="s">
        <v>83</v>
      </c>
      <c r="N145" s="53">
        <f t="shared" ca="1" si="2"/>
        <v>10.766666666666667</v>
      </c>
      <c r="O145" t="s">
        <v>357</v>
      </c>
      <c r="P145" s="47" t="str">
        <f ca="1">IF(TRIM(SUBSTITUTE(($C145&amp;" "&amp;$D145),CHAR(160)," "))="","",IFERROR(IF(ISNUMBER(SEARCH("INC",($C145&amp;" "&amp;$D145))),"INC",IF(ISNUMBER(SEARCH("OPI",($C145&amp;" "&amp;$D145))),"OPI",IF(ISNUMBER(SEARCH("DP",($C145&amp;" "&amp;$D145))),"DP","CONC")))&amp;" "&amp;TEXT(LOOKUP(9.99E+307,--MID(SUBSTITUTE(($C145&amp;" "&amp;$D145),CHAR(160)," "),SUMPRODUCT(MIN(FIND({0,1,2,3,4,5,6,7,8,9},SUBSTITUTE(($C145&amp;" "&amp;$D145),CHAR(160)," ")&amp;"0123456789"))),ROW(INDIRECT("1:6")))),"0"),"SIN NUMERO"))</f>
        <v>CONC 2067</v>
      </c>
      <c r="Q145" t="str">
        <f ca="1">IF($P145="","",IF(LEFT(UPPER($S145),9)="VERIFICAR","VERIFICAR",IF($A145="","SIN ESTADO",IF(AND($A145="Firmada",$H145=""),"FALTA FECHA DE FIRMA",IF(N($T145)=0,IF(AND(ISNUMBER($H145),$H145&gt;=DATE(2024,1,1)),"FALTA EN FIRMADAS","OK"),IF(OR($A145="Pendiente de presentación",$A145="Observado",$A145="En análisis",$A145="En instrucción",$A145="Suspendida",$A145="IT circulando",$A145="Para resolución",$A145="TDC"),"ABIERTA PERO ESTÁ EN FIRMADAS",IF($H145&lt;&gt;INDEX(firmadas!$F:$F,$T145),"FIRMA DISTINTA EN firmadas ("&amp;IF(INDEX(firmadas!$F:$F,$T145)="","vacía",DAY(INDEX(firmadas!$F:$F,$T145))&amp;"/"&amp;MONTH(INDEX(firmadas!$F:$F,$T145))&amp;"/"&amp;YEAR(INDEX(firmadas!$F:$F,$T145)))&amp;")",IF($G145&lt;&gt;INDEX(firmadas!$E:$E,$T145),"INGRESO DISTINTO EN firmadas ("&amp;IF(INDEX(firmadas!$E:$E,$T145)="","vacía",DAY(INDEX(firmadas!$E:$E,$T145))&amp;"/"&amp;MONTH(INDEX(firmadas!$E:$E,$T145))&amp;"/"&amp;YEAR(INDEX(firmadas!$E:$E,$T145)))&amp;")","OK"))))))))</f>
        <v>OK</v>
      </c>
      <c r="T145">
        <f ca="1">IF($P145="","",IFERROR(MATCH($P145,firmadas!$N:$N,0),IFERROR(MATCH("*/"&amp;MID($P145,FIND(" ",$P145)+1,9)&amp;"*",firmadas!$B:$B,0),0)))</f>
        <v>275</v>
      </c>
    </row>
    <row r="146" spans="1:20" ht="15" customHeight="1" x14ac:dyDescent="0.25">
      <c r="A146" t="s">
        <v>319</v>
      </c>
      <c r="C146" t="s">
        <v>145</v>
      </c>
      <c r="D146" s="24">
        <v>2068</v>
      </c>
      <c r="E146" t="s">
        <v>358</v>
      </c>
      <c r="F146" t="s">
        <v>359</v>
      </c>
      <c r="G146" s="16">
        <v>45944</v>
      </c>
      <c r="I146" t="s">
        <v>124</v>
      </c>
      <c r="K146" t="s">
        <v>197</v>
      </c>
      <c r="L146" t="s">
        <v>96</v>
      </c>
      <c r="M146" t="s">
        <v>83</v>
      </c>
      <c r="N146" s="53">
        <f t="shared" ca="1" si="2"/>
        <v>11.733333333333333</v>
      </c>
      <c r="O146" t="s">
        <v>360</v>
      </c>
      <c r="P146" s="47" t="str">
        <f ca="1">IF(TRIM(SUBSTITUTE(($C146&amp;" "&amp;$D146),CHAR(160)," "))="","",IFERROR(IF(ISNUMBER(SEARCH("INC",($C146&amp;" "&amp;$D146))),"INC",IF(ISNUMBER(SEARCH("OPI",($C146&amp;" "&amp;$D146))),"OPI",IF(ISNUMBER(SEARCH("DP",($C146&amp;" "&amp;$D146))),"DP","CONC")))&amp;" "&amp;TEXT(LOOKUP(9.99E+307,--MID(SUBSTITUTE(($C146&amp;" "&amp;$D146),CHAR(160)," "),SUMPRODUCT(MIN(FIND({0,1,2,3,4,5,6,7,8,9},SUBSTITUTE(($C146&amp;" "&amp;$D146),CHAR(160)," ")&amp;"0123456789"))),ROW(INDIRECT("1:6")))),"0"),"SIN NUMERO"))</f>
        <v>CONC 2068</v>
      </c>
      <c r="Q146" t="str">
        <f ca="1">IF($P146="","",IF(LEFT(UPPER($S146),9)="VERIFICAR","VERIFICAR",IF($A146="","SIN ESTADO",IF(AND($A146="Firmada",$H146=""),"FALTA FECHA DE FIRMA",IF(N($T146)=0,IF(AND(ISNUMBER($H146),$H146&gt;=DATE(2024,1,1)),"FALTA EN FIRMADAS","OK"),IF(OR($A146="Pendiente de presentación",$A146="Observado",$A146="En análisis",$A146="En instrucción",$A146="Suspendida",$A146="IT circulando",$A146="Para resolución",$A146="TDC"),"ABIERTA PERO ESTÁ EN FIRMADAS",IF($H146&lt;&gt;INDEX(firmadas!$F:$F,$T146),"FIRMA DISTINTA EN firmadas ("&amp;IF(INDEX(firmadas!$F:$F,$T146)="","vacía",DAY(INDEX(firmadas!$F:$F,$T146))&amp;"/"&amp;MONTH(INDEX(firmadas!$F:$F,$T146))&amp;"/"&amp;YEAR(INDEX(firmadas!$F:$F,$T146)))&amp;")",IF($G146&lt;&gt;INDEX(firmadas!$E:$E,$T146),"INGRESO DISTINTO EN firmadas ("&amp;IF(INDEX(firmadas!$E:$E,$T146)="","vacía",DAY(INDEX(firmadas!$E:$E,$T146))&amp;"/"&amp;MONTH(INDEX(firmadas!$E:$E,$T146))&amp;"/"&amp;YEAR(INDEX(firmadas!$E:$E,$T146)))&amp;")","OK"))))))))</f>
        <v>OK</v>
      </c>
      <c r="T146">
        <f ca="1">IF($P146="","",IFERROR(MATCH($P146,firmadas!$N:$N,0),IFERROR(MATCH("*/"&amp;MID($P146,FIND(" ",$P146)+1,9)&amp;"*",firmadas!$B:$B,0),0)))</f>
        <v>0</v>
      </c>
    </row>
    <row r="147" spans="1:20" ht="15" customHeight="1" x14ac:dyDescent="0.25">
      <c r="A147" t="s">
        <v>319</v>
      </c>
      <c r="C147" t="s">
        <v>145</v>
      </c>
      <c r="D147" s="24">
        <v>2069</v>
      </c>
      <c r="E147" t="s">
        <v>361</v>
      </c>
      <c r="F147" t="s">
        <v>362</v>
      </c>
      <c r="G147" s="16">
        <v>45961</v>
      </c>
      <c r="I147" t="s">
        <v>138</v>
      </c>
      <c r="J147" t="s">
        <v>115</v>
      </c>
      <c r="K147" t="s">
        <v>133</v>
      </c>
      <c r="L147" t="s">
        <v>197</v>
      </c>
      <c r="M147" t="s">
        <v>83</v>
      </c>
      <c r="N147" s="53">
        <f t="shared" ca="1" si="2"/>
        <v>11.166666666666666</v>
      </c>
      <c r="O147" t="s">
        <v>363</v>
      </c>
      <c r="P147" s="47" t="str">
        <f ca="1">IF(TRIM(SUBSTITUTE(($C147&amp;" "&amp;$D147),CHAR(160)," "))="","",IFERROR(IF(ISNUMBER(SEARCH("INC",($C147&amp;" "&amp;$D147))),"INC",IF(ISNUMBER(SEARCH("OPI",($C147&amp;" "&amp;$D147))),"OPI",IF(ISNUMBER(SEARCH("DP",($C147&amp;" "&amp;$D147))),"DP","CONC")))&amp;" "&amp;TEXT(LOOKUP(9.99E+307,--MID(SUBSTITUTE(($C147&amp;" "&amp;$D147),CHAR(160)," "),SUMPRODUCT(MIN(FIND({0,1,2,3,4,5,6,7,8,9},SUBSTITUTE(($C147&amp;" "&amp;$D147),CHAR(160)," ")&amp;"0123456789"))),ROW(INDIRECT("1:6")))),"0"),"SIN NUMERO"))</f>
        <v>CONC 2069</v>
      </c>
      <c r="Q147" t="str">
        <f ca="1">IF($P147="","",IF(LEFT(UPPER($S147),9)="VERIFICAR","VERIFICAR",IF($A147="","SIN ESTADO",IF(AND($A147="Firmada",$H147=""),"FALTA FECHA DE FIRMA",IF(N($T147)=0,IF(AND(ISNUMBER($H147),$H147&gt;=DATE(2024,1,1)),"FALTA EN FIRMADAS","OK"),IF(OR($A147="Pendiente de presentación",$A147="Observado",$A147="En análisis",$A147="En instrucción",$A147="Suspendida",$A147="IT circulando",$A147="Para resolución",$A147="TDC"),"ABIERTA PERO ESTÁ EN FIRMADAS",IF($H147&lt;&gt;INDEX(firmadas!$F:$F,$T147),"FIRMA DISTINTA EN firmadas ("&amp;IF(INDEX(firmadas!$F:$F,$T147)="","vacía",DAY(INDEX(firmadas!$F:$F,$T147))&amp;"/"&amp;MONTH(INDEX(firmadas!$F:$F,$T147))&amp;"/"&amp;YEAR(INDEX(firmadas!$F:$F,$T147)))&amp;")",IF($G147&lt;&gt;INDEX(firmadas!$E:$E,$T147),"INGRESO DISTINTO EN firmadas ("&amp;IF(INDEX(firmadas!$E:$E,$T147)="","vacía",DAY(INDEX(firmadas!$E:$E,$T147))&amp;"/"&amp;MONTH(INDEX(firmadas!$E:$E,$T147))&amp;"/"&amp;YEAR(INDEX(firmadas!$E:$E,$T147)))&amp;")","OK"))))))))</f>
        <v>OK</v>
      </c>
      <c r="T147">
        <f ca="1">IF($P147="","",IFERROR(MATCH($P147,firmadas!$N:$N,0),IFERROR(MATCH("*/"&amp;MID($P147,FIND(" ",$P147)+1,9)&amp;"*",firmadas!$B:$B,0),0)))</f>
        <v>0</v>
      </c>
    </row>
    <row r="148" spans="1:20" ht="15" customHeight="1" x14ac:dyDescent="0.25">
      <c r="A148" s="47" t="s">
        <v>80</v>
      </c>
      <c r="B148" s="47"/>
      <c r="C148" s="47" t="s">
        <v>62</v>
      </c>
      <c r="D148" s="45">
        <v>2070</v>
      </c>
      <c r="F148" s="47" t="s">
        <v>364</v>
      </c>
      <c r="G148" s="43">
        <v>45965</v>
      </c>
      <c r="H148" s="43">
        <v>46013</v>
      </c>
      <c r="M148" t="s">
        <v>202</v>
      </c>
      <c r="N148" s="53">
        <f t="shared" ca="1" si="2"/>
        <v>1.6</v>
      </c>
      <c r="P148" s="47" t="str">
        <f ca="1">IF(TRIM(SUBSTITUTE(($C148&amp;" "&amp;$D148),CHAR(160)," "))="","",IFERROR(IF(ISNUMBER(SEARCH("INC",($C148&amp;" "&amp;$D148))),"INC",IF(ISNUMBER(SEARCH("OPI",($C148&amp;" "&amp;$D148))),"OPI",IF(ISNUMBER(SEARCH("DP",($C148&amp;" "&amp;$D148))),"DP","CONC")))&amp;" "&amp;TEXT(LOOKUP(9.99E+307,--MID(SUBSTITUTE(($C148&amp;" "&amp;$D148),CHAR(160)," "),SUMPRODUCT(MIN(FIND({0,1,2,3,4,5,6,7,8,9},SUBSTITUTE(($C148&amp;" "&amp;$D148),CHAR(160)," ")&amp;"0123456789"))),ROW(INDIRECT("1:6")))),"0"),"SIN NUMERO"))</f>
        <v>CONC 2070</v>
      </c>
      <c r="Q148" t="str">
        <f ca="1">IF($P148="","",IF(LEFT(UPPER($S148),9)="VERIFICAR","VERIFICAR",IF($A148="","SIN ESTADO",IF(AND($A148="Firmada",$H148=""),"FALTA FECHA DE FIRMA",IF(N($T148)=0,IF(AND(ISNUMBER($H148),$H148&gt;=DATE(2024,1,1)),"FALTA EN FIRMADAS","OK"),IF(OR($A148="Pendiente de presentación",$A148="Observado",$A148="En análisis",$A148="En instrucción",$A148="Suspendida",$A148="IT circulando",$A148="Para resolución",$A148="TDC"),"ABIERTA PERO ESTÁ EN FIRMADAS",IF($H148&lt;&gt;INDEX(firmadas!$F:$F,$T148),"FIRMA DISTINTA EN firmadas ("&amp;IF(INDEX(firmadas!$F:$F,$T148)="","vacía",DAY(INDEX(firmadas!$F:$F,$T148))&amp;"/"&amp;MONTH(INDEX(firmadas!$F:$F,$T148))&amp;"/"&amp;YEAR(INDEX(firmadas!$F:$F,$T148)))&amp;")",IF($G148&lt;&gt;INDEX(firmadas!$E:$E,$T148),"INGRESO DISTINTO EN firmadas ("&amp;IF(INDEX(firmadas!$E:$E,$T148)="","vacía",DAY(INDEX(firmadas!$E:$E,$T148))&amp;"/"&amp;MONTH(INDEX(firmadas!$E:$E,$T148))&amp;"/"&amp;YEAR(INDEX(firmadas!$E:$E,$T148)))&amp;")","OK"))))))))</f>
        <v>OK</v>
      </c>
      <c r="T148">
        <f ca="1">IF($P148="","",IFERROR(MATCH($P148,firmadas!$N:$N,0),IFERROR(MATCH("*/"&amp;MID($P148,FIND(" ",$P148)+1,9)&amp;"*",firmadas!$B:$B,0),0)))</f>
        <v>181</v>
      </c>
    </row>
    <row r="149" spans="1:20" ht="15" customHeight="1" x14ac:dyDescent="0.25">
      <c r="A149" t="s">
        <v>80</v>
      </c>
      <c r="C149" t="s">
        <v>145</v>
      </c>
      <c r="D149" s="24">
        <v>2071</v>
      </c>
      <c r="E149" t="s">
        <v>365</v>
      </c>
      <c r="F149" t="s">
        <v>366</v>
      </c>
      <c r="G149" s="16">
        <v>45968</v>
      </c>
      <c r="H149" s="16">
        <v>46162</v>
      </c>
      <c r="I149" t="s">
        <v>356</v>
      </c>
      <c r="J149" t="s">
        <v>187</v>
      </c>
      <c r="K149" t="s">
        <v>96</v>
      </c>
      <c r="L149" t="s">
        <v>104</v>
      </c>
      <c r="M149" t="s">
        <v>83</v>
      </c>
      <c r="N149" s="53">
        <f t="shared" ca="1" si="2"/>
        <v>6.4666666666666668</v>
      </c>
      <c r="P149" s="47" t="str">
        <f ca="1">IF(TRIM(SUBSTITUTE(($C149&amp;" "&amp;$D149),CHAR(160)," "))="","",IFERROR(IF(ISNUMBER(SEARCH("INC",($C149&amp;" "&amp;$D149))),"INC",IF(ISNUMBER(SEARCH("OPI",($C149&amp;" "&amp;$D149))),"OPI",IF(ISNUMBER(SEARCH("DP",($C149&amp;" "&amp;$D149))),"DP","CONC")))&amp;" "&amp;TEXT(LOOKUP(9.99E+307,--MID(SUBSTITUTE(($C149&amp;" "&amp;$D149),CHAR(160)," "),SUMPRODUCT(MIN(FIND({0,1,2,3,4,5,6,7,8,9},SUBSTITUTE(($C149&amp;" "&amp;$D149),CHAR(160)," ")&amp;"0123456789"))),ROW(INDIRECT("1:6")))),"0"),"SIN NUMERO"))</f>
        <v>CONC 2071</v>
      </c>
      <c r="Q149" t="str">
        <f ca="1">IF($P149="","",IF(LEFT(UPPER($S149),9)="VERIFICAR","VERIFICAR",IF($A149="","SIN ESTADO",IF(AND($A149="Firmada",$H149=""),"FALTA FECHA DE FIRMA",IF(N($T149)=0,IF(AND(ISNUMBER($H149),$H149&gt;=DATE(2024,1,1)),"FALTA EN FIRMADAS","OK"),IF(OR($A149="Pendiente de presentación",$A149="Observado",$A149="En análisis",$A149="En instrucción",$A149="Suspendida",$A149="IT circulando",$A149="Para resolución",$A149="TDC"),"ABIERTA PERO ESTÁ EN FIRMADAS",IF($H149&lt;&gt;INDEX(firmadas!$F:$F,$T149),"FIRMA DISTINTA EN firmadas ("&amp;IF(INDEX(firmadas!$F:$F,$T149)="","vacía",DAY(INDEX(firmadas!$F:$F,$T149))&amp;"/"&amp;MONTH(INDEX(firmadas!$F:$F,$T149))&amp;"/"&amp;YEAR(INDEX(firmadas!$F:$F,$T149)))&amp;")",IF($G149&lt;&gt;INDEX(firmadas!$E:$E,$T149),"INGRESO DISTINTO EN firmadas ("&amp;IF(INDEX(firmadas!$E:$E,$T149)="","vacía",DAY(INDEX(firmadas!$E:$E,$T149))&amp;"/"&amp;MONTH(INDEX(firmadas!$E:$E,$T149))&amp;"/"&amp;YEAR(INDEX(firmadas!$E:$E,$T149)))&amp;")","OK"))))))))</f>
        <v>OK</v>
      </c>
      <c r="T149">
        <f ca="1">IF($P149="","",IFERROR(MATCH($P149,firmadas!$N:$N,0),IFERROR(MATCH("*/"&amp;MID($P149,FIND(" ",$P149)+1,9)&amp;"*",firmadas!$B:$B,0),0)))</f>
        <v>241</v>
      </c>
    </row>
    <row r="150" spans="1:20" ht="15" customHeight="1" x14ac:dyDescent="0.25">
      <c r="A150" s="47" t="s">
        <v>80</v>
      </c>
      <c r="B150" s="47"/>
      <c r="C150" s="47" t="s">
        <v>62</v>
      </c>
      <c r="D150" s="45">
        <v>2072</v>
      </c>
      <c r="F150" s="47" t="s">
        <v>367</v>
      </c>
      <c r="G150" s="43">
        <v>45971</v>
      </c>
      <c r="H150" s="43">
        <v>46013</v>
      </c>
      <c r="M150" t="s">
        <v>202</v>
      </c>
      <c r="N150" s="53">
        <f t="shared" ca="1" si="2"/>
        <v>1.4</v>
      </c>
      <c r="P150" s="47" t="str">
        <f ca="1">IF(TRIM(SUBSTITUTE(($C150&amp;" "&amp;$D150),CHAR(160)," "))="","",IFERROR(IF(ISNUMBER(SEARCH("INC",($C150&amp;" "&amp;$D150))),"INC",IF(ISNUMBER(SEARCH("OPI",($C150&amp;" "&amp;$D150))),"OPI",IF(ISNUMBER(SEARCH("DP",($C150&amp;" "&amp;$D150))),"DP","CONC")))&amp;" "&amp;TEXT(LOOKUP(9.99E+307,--MID(SUBSTITUTE(($C150&amp;" "&amp;$D150),CHAR(160)," "),SUMPRODUCT(MIN(FIND({0,1,2,3,4,5,6,7,8,9},SUBSTITUTE(($C150&amp;" "&amp;$D150),CHAR(160)," ")&amp;"0123456789"))),ROW(INDIRECT("1:6")))),"0"),"SIN NUMERO"))</f>
        <v>CONC 2072</v>
      </c>
      <c r="Q150" t="str">
        <f ca="1">IF($P150="","",IF(LEFT(UPPER($S150),9)="VERIFICAR","VERIFICAR",IF($A150="","SIN ESTADO",IF(AND($A150="Firmada",$H150=""),"FALTA FECHA DE FIRMA",IF(N($T150)=0,IF(AND(ISNUMBER($H150),$H150&gt;=DATE(2024,1,1)),"FALTA EN FIRMADAS","OK"),IF(OR($A150="Pendiente de presentación",$A150="Observado",$A150="En análisis",$A150="En instrucción",$A150="Suspendida",$A150="IT circulando",$A150="Para resolución",$A150="TDC"),"ABIERTA PERO ESTÁ EN FIRMADAS",IF($H150&lt;&gt;INDEX(firmadas!$F:$F,$T150),"FIRMA DISTINTA EN firmadas ("&amp;IF(INDEX(firmadas!$F:$F,$T150)="","vacía",DAY(INDEX(firmadas!$F:$F,$T150))&amp;"/"&amp;MONTH(INDEX(firmadas!$F:$F,$T150))&amp;"/"&amp;YEAR(INDEX(firmadas!$F:$F,$T150)))&amp;")",IF($G150&lt;&gt;INDEX(firmadas!$E:$E,$T150),"INGRESO DISTINTO EN firmadas ("&amp;IF(INDEX(firmadas!$E:$E,$T150)="","vacía",DAY(INDEX(firmadas!$E:$E,$T150))&amp;"/"&amp;MONTH(INDEX(firmadas!$E:$E,$T150))&amp;"/"&amp;YEAR(INDEX(firmadas!$E:$E,$T150)))&amp;")","OK"))))))))</f>
        <v>OK</v>
      </c>
      <c r="T150">
        <f ca="1">IF($P150="","",IFERROR(MATCH($P150,firmadas!$N:$N,0),IFERROR(MATCH("*/"&amp;MID($P150,FIND(" ",$P150)+1,9)&amp;"*",firmadas!$B:$B,0),0)))</f>
        <v>182</v>
      </c>
    </row>
    <row r="151" spans="1:20" ht="15" customHeight="1" x14ac:dyDescent="0.25">
      <c r="A151" t="s">
        <v>80</v>
      </c>
      <c r="C151" t="s">
        <v>145</v>
      </c>
      <c r="D151" s="24">
        <v>2073</v>
      </c>
      <c r="E151" t="s">
        <v>368</v>
      </c>
      <c r="F151" t="s">
        <v>369</v>
      </c>
      <c r="G151" s="16">
        <v>45993</v>
      </c>
      <c r="H151" s="16">
        <v>46112</v>
      </c>
      <c r="I151" t="s">
        <v>356</v>
      </c>
      <c r="J151" t="s">
        <v>115</v>
      </c>
      <c r="K151" t="s">
        <v>112</v>
      </c>
      <c r="L151" t="s">
        <v>370</v>
      </c>
      <c r="M151" t="s">
        <v>202</v>
      </c>
      <c r="N151" s="53">
        <f t="shared" ca="1" si="2"/>
        <v>3.9666666666666668</v>
      </c>
      <c r="P151" s="47" t="str">
        <f ca="1">IF(TRIM(SUBSTITUTE(($C151&amp;" "&amp;$D151),CHAR(160)," "))="","",IFERROR(IF(ISNUMBER(SEARCH("INC",($C151&amp;" "&amp;$D151))),"INC",IF(ISNUMBER(SEARCH("OPI",($C151&amp;" "&amp;$D151))),"OPI",IF(ISNUMBER(SEARCH("DP",($C151&amp;" "&amp;$D151))),"DP","CONC")))&amp;" "&amp;TEXT(LOOKUP(9.99E+307,--MID(SUBSTITUTE(($C151&amp;" "&amp;$D151),CHAR(160)," "),SUMPRODUCT(MIN(FIND({0,1,2,3,4,5,6,7,8,9},SUBSTITUTE(($C151&amp;" "&amp;$D151),CHAR(160)," ")&amp;"0123456789"))),ROW(INDIRECT("1:6")))),"0"),"SIN NUMERO"))</f>
        <v>CONC 2073</v>
      </c>
      <c r="Q151" t="str">
        <f ca="1">IF($P151="","",IF(LEFT(UPPER($S151),9)="VERIFICAR","VERIFICAR",IF($A151="","SIN ESTADO",IF(AND($A151="Firmada",$H151=""),"FALTA FECHA DE FIRMA",IF(N($T151)=0,IF(AND(ISNUMBER($H151),$H151&gt;=DATE(2024,1,1)),"FALTA EN FIRMADAS","OK"),IF(OR($A151="Pendiente de presentación",$A151="Observado",$A151="En análisis",$A151="En instrucción",$A151="Suspendida",$A151="IT circulando",$A151="Para resolución",$A151="TDC"),"ABIERTA PERO ESTÁ EN FIRMADAS",IF($H151&lt;&gt;INDEX(firmadas!$F:$F,$T151),"FIRMA DISTINTA EN firmadas ("&amp;IF(INDEX(firmadas!$F:$F,$T151)="","vacía",DAY(INDEX(firmadas!$F:$F,$T151))&amp;"/"&amp;MONTH(INDEX(firmadas!$F:$F,$T151))&amp;"/"&amp;YEAR(INDEX(firmadas!$F:$F,$T151)))&amp;")",IF($G151&lt;&gt;INDEX(firmadas!$E:$E,$T151),"INGRESO DISTINTO EN firmadas ("&amp;IF(INDEX(firmadas!$E:$E,$T151)="","vacía",DAY(INDEX(firmadas!$E:$E,$T151))&amp;"/"&amp;MONTH(INDEX(firmadas!$E:$E,$T151))&amp;"/"&amp;YEAR(INDEX(firmadas!$E:$E,$T151)))&amp;")","OK"))))))))</f>
        <v>OK</v>
      </c>
      <c r="T151">
        <f ca="1">IF($P151="","",IFERROR(MATCH($P151,firmadas!$N:$N,0),IFERROR(MATCH("*/"&amp;MID($P151,FIND(" ",$P151)+1,9)&amp;"*",firmadas!$B:$B,0),0)))</f>
        <v>220</v>
      </c>
    </row>
    <row r="152" spans="1:20" ht="15" customHeight="1" x14ac:dyDescent="0.25">
      <c r="A152" t="s">
        <v>80</v>
      </c>
      <c r="C152" t="s">
        <v>145</v>
      </c>
      <c r="D152" s="24">
        <v>2074</v>
      </c>
      <c r="E152" t="s">
        <v>371</v>
      </c>
      <c r="F152" t="s">
        <v>372</v>
      </c>
      <c r="G152" s="16">
        <v>45994</v>
      </c>
      <c r="H152" s="16">
        <v>46132</v>
      </c>
      <c r="I152" t="s">
        <v>110</v>
      </c>
      <c r="J152" t="s">
        <v>356</v>
      </c>
      <c r="K152" t="s">
        <v>112</v>
      </c>
      <c r="L152" t="s">
        <v>370</v>
      </c>
      <c r="M152" s="44" t="s">
        <v>202</v>
      </c>
      <c r="N152" s="53">
        <f t="shared" ca="1" si="2"/>
        <v>4.5999999999999996</v>
      </c>
      <c r="P152" s="47" t="str">
        <f ca="1">IF(TRIM(SUBSTITUTE(($C152&amp;" "&amp;$D152),CHAR(160)," "))="","",IFERROR(IF(ISNUMBER(SEARCH("INC",($C152&amp;" "&amp;$D152))),"INC",IF(ISNUMBER(SEARCH("OPI",($C152&amp;" "&amp;$D152))),"OPI",IF(ISNUMBER(SEARCH("DP",($C152&amp;" "&amp;$D152))),"DP","CONC")))&amp;" "&amp;TEXT(LOOKUP(9.99E+307,--MID(SUBSTITUTE(($C152&amp;" "&amp;$D152),CHAR(160)," "),SUMPRODUCT(MIN(FIND({0,1,2,3,4,5,6,7,8,9},SUBSTITUTE(($C152&amp;" "&amp;$D152),CHAR(160)," ")&amp;"0123456789"))),ROW(INDIRECT("1:6")))),"0"),"SIN NUMERO"))</f>
        <v>CONC 2074</v>
      </c>
      <c r="Q152" t="str">
        <f ca="1">IF($P152="","",IF(LEFT(UPPER($S152),9)="VERIFICAR","VERIFICAR",IF($A152="","SIN ESTADO",IF(AND($A152="Firmada",$H152=""),"FALTA FECHA DE FIRMA",IF(N($T152)=0,IF(AND(ISNUMBER($H152),$H152&gt;=DATE(2024,1,1)),"FALTA EN FIRMADAS","OK"),IF(OR($A152="Pendiente de presentación",$A152="Observado",$A152="En análisis",$A152="En instrucción",$A152="Suspendida",$A152="IT circulando",$A152="Para resolución",$A152="TDC"),"ABIERTA PERO ESTÁ EN FIRMADAS",IF($H152&lt;&gt;INDEX(firmadas!$F:$F,$T152),"FIRMA DISTINTA EN firmadas ("&amp;IF(INDEX(firmadas!$F:$F,$T152)="","vacía",DAY(INDEX(firmadas!$F:$F,$T152))&amp;"/"&amp;MONTH(INDEX(firmadas!$F:$F,$T152))&amp;"/"&amp;YEAR(INDEX(firmadas!$F:$F,$T152)))&amp;")",IF($G152&lt;&gt;INDEX(firmadas!$E:$E,$T152),"INGRESO DISTINTO EN firmadas ("&amp;IF(INDEX(firmadas!$E:$E,$T152)="","vacía",DAY(INDEX(firmadas!$E:$E,$T152))&amp;"/"&amp;MONTH(INDEX(firmadas!$E:$E,$T152))&amp;"/"&amp;YEAR(INDEX(firmadas!$E:$E,$T152)))&amp;")","OK"))))))))</f>
        <v>OK</v>
      </c>
      <c r="T152">
        <f ca="1">IF($P152="","",IFERROR(MATCH($P152,firmadas!$N:$N,0),IFERROR(MATCH("*/"&amp;MID($P152,FIND(" ",$P152)+1,9)&amp;"*",firmadas!$B:$B,0),0)))</f>
        <v>231</v>
      </c>
    </row>
    <row r="153" spans="1:20" ht="15" customHeight="1" x14ac:dyDescent="0.25">
      <c r="A153" t="s">
        <v>80</v>
      </c>
      <c r="C153" t="s">
        <v>145</v>
      </c>
      <c r="D153" s="24">
        <v>2076</v>
      </c>
      <c r="F153" t="s">
        <v>373</v>
      </c>
      <c r="G153" s="16">
        <v>45996</v>
      </c>
      <c r="H153" s="16">
        <v>46042</v>
      </c>
      <c r="M153" t="s">
        <v>202</v>
      </c>
      <c r="N153" s="53">
        <f t="shared" ca="1" si="2"/>
        <v>1.5333333333333334</v>
      </c>
      <c r="P153" s="47" t="str">
        <f ca="1">IF(TRIM(SUBSTITUTE(($C153&amp;" "&amp;$D153),CHAR(160)," "))="","",IFERROR(IF(ISNUMBER(SEARCH("INC",($C153&amp;" "&amp;$D153))),"INC",IF(ISNUMBER(SEARCH("OPI",($C153&amp;" "&amp;$D153))),"OPI",IF(ISNUMBER(SEARCH("DP",($C153&amp;" "&amp;$D153))),"DP","CONC")))&amp;" "&amp;TEXT(LOOKUP(9.99E+307,--MID(SUBSTITUTE(($C153&amp;" "&amp;$D153),CHAR(160)," "),SUMPRODUCT(MIN(FIND({0,1,2,3,4,5,6,7,8,9},SUBSTITUTE(($C153&amp;" "&amp;$D153),CHAR(160)," ")&amp;"0123456789"))),ROW(INDIRECT("1:6")))),"0"),"SIN NUMERO"))</f>
        <v>CONC 2076</v>
      </c>
      <c r="Q153" t="str">
        <f ca="1">IF($P153="","",IF(LEFT(UPPER($S153),9)="VERIFICAR","VERIFICAR",IF($A153="","SIN ESTADO",IF(AND($A153="Firmada",$H153=""),"FALTA FECHA DE FIRMA",IF(N($T153)=0,IF(AND(ISNUMBER($H153),$H153&gt;=DATE(2024,1,1)),"FALTA EN FIRMADAS","OK"),IF(OR($A153="Pendiente de presentación",$A153="Observado",$A153="En análisis",$A153="En instrucción",$A153="Suspendida",$A153="IT circulando",$A153="Para resolución",$A153="TDC"),"ABIERTA PERO ESTÁ EN FIRMADAS",IF($H153&lt;&gt;INDEX(firmadas!$F:$F,$T153),"FIRMA DISTINTA EN firmadas ("&amp;IF(INDEX(firmadas!$F:$F,$T153)="","vacía",DAY(INDEX(firmadas!$F:$F,$T153))&amp;"/"&amp;MONTH(INDEX(firmadas!$F:$F,$T153))&amp;"/"&amp;YEAR(INDEX(firmadas!$F:$F,$T153)))&amp;")",IF($G153&lt;&gt;INDEX(firmadas!$E:$E,$T153),"INGRESO DISTINTO EN firmadas ("&amp;IF(INDEX(firmadas!$E:$E,$T153)="","vacía",DAY(INDEX(firmadas!$E:$E,$T153))&amp;"/"&amp;MONTH(INDEX(firmadas!$E:$E,$T153))&amp;"/"&amp;YEAR(INDEX(firmadas!$E:$E,$T153)))&amp;")","OK"))))))))</f>
        <v>OK</v>
      </c>
      <c r="T153">
        <f ca="1">IF($P153="","",IFERROR(MATCH($P153,firmadas!$N:$N,0),IFERROR(MATCH("*/"&amp;MID($P153,FIND(" ",$P153)+1,9)&amp;"*",firmadas!$B:$B,0),0)))</f>
        <v>195</v>
      </c>
    </row>
    <row r="154" spans="1:20" ht="15" customHeight="1" x14ac:dyDescent="0.25">
      <c r="A154" t="s">
        <v>80</v>
      </c>
      <c r="C154" t="s">
        <v>145</v>
      </c>
      <c r="D154" s="24">
        <v>2075</v>
      </c>
      <c r="E154" t="s">
        <v>374</v>
      </c>
      <c r="F154" t="s">
        <v>375</v>
      </c>
      <c r="G154" s="16">
        <v>45996</v>
      </c>
      <c r="H154" s="16">
        <v>46122</v>
      </c>
      <c r="I154" t="s">
        <v>356</v>
      </c>
      <c r="J154" t="s">
        <v>115</v>
      </c>
      <c r="K154" t="s">
        <v>197</v>
      </c>
      <c r="L154" t="s">
        <v>370</v>
      </c>
      <c r="M154" t="s">
        <v>202</v>
      </c>
      <c r="N154" s="53">
        <f t="shared" ca="1" si="2"/>
        <v>4.2</v>
      </c>
      <c r="P154" s="47" t="str">
        <f ca="1">IF(TRIM(SUBSTITUTE(($C154&amp;" "&amp;$D154),CHAR(160)," "))="","",IFERROR(IF(ISNUMBER(SEARCH("INC",($C154&amp;" "&amp;$D154))),"INC",IF(ISNUMBER(SEARCH("OPI",($C154&amp;" "&amp;$D154))),"OPI",IF(ISNUMBER(SEARCH("DP",($C154&amp;" "&amp;$D154))),"DP","CONC")))&amp;" "&amp;TEXT(LOOKUP(9.99E+307,--MID(SUBSTITUTE(($C154&amp;" "&amp;$D154),CHAR(160)," "),SUMPRODUCT(MIN(FIND({0,1,2,3,4,5,6,7,8,9},SUBSTITUTE(($C154&amp;" "&amp;$D154),CHAR(160)," ")&amp;"0123456789"))),ROW(INDIRECT("1:6")))),"0"),"SIN NUMERO"))</f>
        <v>CONC 2075</v>
      </c>
      <c r="Q154" t="str">
        <f ca="1">IF($P154="","",IF(LEFT(UPPER($S154),9)="VERIFICAR","VERIFICAR",IF($A154="","SIN ESTADO",IF(AND($A154="Firmada",$H154=""),"FALTA FECHA DE FIRMA",IF(N($T154)=0,IF(AND(ISNUMBER($H154),$H154&gt;=DATE(2024,1,1)),"FALTA EN FIRMADAS","OK"),IF(OR($A154="Pendiente de presentación",$A154="Observado",$A154="En análisis",$A154="En instrucción",$A154="Suspendida",$A154="IT circulando",$A154="Para resolución",$A154="TDC"),"ABIERTA PERO ESTÁ EN FIRMADAS",IF($H154&lt;&gt;INDEX(firmadas!$F:$F,$T154),"FIRMA DISTINTA EN firmadas ("&amp;IF(INDEX(firmadas!$F:$F,$T154)="","vacía",DAY(INDEX(firmadas!$F:$F,$T154))&amp;"/"&amp;MONTH(INDEX(firmadas!$F:$F,$T154))&amp;"/"&amp;YEAR(INDEX(firmadas!$F:$F,$T154)))&amp;")",IF($G154&lt;&gt;INDEX(firmadas!$E:$E,$T154),"INGRESO DISTINTO EN firmadas ("&amp;IF(INDEX(firmadas!$E:$E,$T154)="","vacía",DAY(INDEX(firmadas!$E:$E,$T154))&amp;"/"&amp;MONTH(INDEX(firmadas!$E:$E,$T154))&amp;"/"&amp;YEAR(INDEX(firmadas!$E:$E,$T154)))&amp;")","OK"))))))))</f>
        <v>OK</v>
      </c>
      <c r="T154">
        <f ca="1">IF($P154="","",IFERROR(MATCH($P154,firmadas!$N:$N,0),IFERROR(MATCH("*/"&amp;MID($P154,FIND(" ",$P154)+1,9)&amp;"*",firmadas!$B:$B,0),0)))</f>
        <v>225</v>
      </c>
    </row>
    <row r="155" spans="1:20" ht="15" customHeight="1" x14ac:dyDescent="0.25">
      <c r="A155" t="s">
        <v>80</v>
      </c>
      <c r="C155" t="s">
        <v>145</v>
      </c>
      <c r="D155" s="24">
        <v>2077</v>
      </c>
      <c r="E155" t="s">
        <v>376</v>
      </c>
      <c r="F155" t="s">
        <v>377</v>
      </c>
      <c r="G155" s="16">
        <v>46000</v>
      </c>
      <c r="H155" s="16">
        <v>46112</v>
      </c>
      <c r="I155" t="s">
        <v>110</v>
      </c>
      <c r="J155" t="s">
        <v>115</v>
      </c>
      <c r="K155" t="s">
        <v>112</v>
      </c>
      <c r="L155" t="s">
        <v>370</v>
      </c>
      <c r="M155" t="s">
        <v>202</v>
      </c>
      <c r="N155" s="53">
        <f t="shared" ca="1" si="2"/>
        <v>3.7333333333333334</v>
      </c>
      <c r="P155" s="47" t="str">
        <f ca="1">IF(TRIM(SUBSTITUTE(($C155&amp;" "&amp;$D155),CHAR(160)," "))="","",IFERROR(IF(ISNUMBER(SEARCH("INC",($C155&amp;" "&amp;$D155))),"INC",IF(ISNUMBER(SEARCH("OPI",($C155&amp;" "&amp;$D155))),"OPI",IF(ISNUMBER(SEARCH("DP",($C155&amp;" "&amp;$D155))),"DP","CONC")))&amp;" "&amp;TEXT(LOOKUP(9.99E+307,--MID(SUBSTITUTE(($C155&amp;" "&amp;$D155),CHAR(160)," "),SUMPRODUCT(MIN(FIND({0,1,2,3,4,5,6,7,8,9},SUBSTITUTE(($C155&amp;" "&amp;$D155),CHAR(160)," ")&amp;"0123456789"))),ROW(INDIRECT("1:6")))),"0"),"SIN NUMERO"))</f>
        <v>CONC 2077</v>
      </c>
      <c r="Q155" t="str">
        <f ca="1">IF($P155="","",IF(LEFT(UPPER($S155),9)="VERIFICAR","VERIFICAR",IF($A155="","SIN ESTADO",IF(AND($A155="Firmada",$H155=""),"FALTA FECHA DE FIRMA",IF(N($T155)=0,IF(AND(ISNUMBER($H155),$H155&gt;=DATE(2024,1,1)),"FALTA EN FIRMADAS","OK"),IF(OR($A155="Pendiente de presentación",$A155="Observado",$A155="En análisis",$A155="En instrucción",$A155="Suspendida",$A155="IT circulando",$A155="Para resolución",$A155="TDC"),"ABIERTA PERO ESTÁ EN FIRMADAS",IF($H155&lt;&gt;INDEX(firmadas!$F:$F,$T155),"FIRMA DISTINTA EN firmadas ("&amp;IF(INDEX(firmadas!$F:$F,$T155)="","vacía",DAY(INDEX(firmadas!$F:$F,$T155))&amp;"/"&amp;MONTH(INDEX(firmadas!$F:$F,$T155))&amp;"/"&amp;YEAR(INDEX(firmadas!$F:$F,$T155)))&amp;")",IF($G155&lt;&gt;INDEX(firmadas!$E:$E,$T155),"INGRESO DISTINTO EN firmadas ("&amp;IF(INDEX(firmadas!$E:$E,$T155)="","vacía",DAY(INDEX(firmadas!$E:$E,$T155))&amp;"/"&amp;MONTH(INDEX(firmadas!$E:$E,$T155))&amp;"/"&amp;YEAR(INDEX(firmadas!$E:$E,$T155)))&amp;")","OK"))))))))</f>
        <v>OK</v>
      </c>
      <c r="T155">
        <f ca="1">IF($P155="","",IFERROR(MATCH($P155,firmadas!$N:$N,0),IFERROR(MATCH("*/"&amp;MID($P155,FIND(" ",$P155)+1,9)&amp;"*",firmadas!$B:$B,0),0)))</f>
        <v>221</v>
      </c>
    </row>
    <row r="156" spans="1:20" ht="15" customHeight="1" x14ac:dyDescent="0.25">
      <c r="A156" s="18" t="s">
        <v>80</v>
      </c>
      <c r="B156" s="18"/>
      <c r="C156" t="s">
        <v>145</v>
      </c>
      <c r="D156" s="23">
        <v>2078</v>
      </c>
      <c r="E156" s="44" t="s">
        <v>378</v>
      </c>
      <c r="F156" s="44" t="s">
        <v>379</v>
      </c>
      <c r="G156" s="26">
        <v>46001</v>
      </c>
      <c r="H156" s="17">
        <v>46196</v>
      </c>
      <c r="I156" s="44" t="s">
        <v>138</v>
      </c>
      <c r="J156" s="44" t="s">
        <v>115</v>
      </c>
      <c r="K156" s="44" t="s">
        <v>197</v>
      </c>
      <c r="L156" s="18"/>
      <c r="M156" s="44" t="s">
        <v>83</v>
      </c>
      <c r="N156" s="53">
        <f t="shared" ca="1" si="2"/>
        <v>6.5</v>
      </c>
      <c r="O156" s="44" t="s">
        <v>380</v>
      </c>
      <c r="P156" s="47" t="str">
        <f ca="1">IF(TRIM(SUBSTITUTE(($C156&amp;" "&amp;$D156),CHAR(160)," "))="","",IFERROR(IF(ISNUMBER(SEARCH("INC",($C156&amp;" "&amp;$D156))),"INC",IF(ISNUMBER(SEARCH("OPI",($C156&amp;" "&amp;$D156))),"OPI",IF(ISNUMBER(SEARCH("DP",($C156&amp;" "&amp;$D156))),"DP","CONC")))&amp;" "&amp;TEXT(LOOKUP(9.99E+307,--MID(SUBSTITUTE(($C156&amp;" "&amp;$D156),CHAR(160)," "),SUMPRODUCT(MIN(FIND({0,1,2,3,4,5,6,7,8,9},SUBSTITUTE(($C156&amp;" "&amp;$D156),CHAR(160)," ")&amp;"0123456789"))),ROW(INDIRECT("1:6")))),"0"),"SIN NUMERO"))</f>
        <v>CONC 2078</v>
      </c>
      <c r="Q156" t="str">
        <f ca="1">IF($P156="","",IF(LEFT(UPPER($S156),9)="VERIFICAR","VERIFICAR",IF($A156="","SIN ESTADO",IF(AND($A156="Firmada",$H156=""),"FALTA FECHA DE FIRMA",IF(N($T156)=0,IF(AND(ISNUMBER($H156),$H156&gt;=DATE(2024,1,1)),"FALTA EN FIRMADAS","OK"),IF(OR($A156="Pendiente de presentación",$A156="Observado",$A156="En análisis",$A156="En instrucción",$A156="Suspendida",$A156="IT circulando",$A156="Para resolución",$A156="TDC"),"ABIERTA PERO ESTÁ EN FIRMADAS",IF($H156&lt;&gt;INDEX(firmadas!$F:$F,$T156),"FIRMA DISTINTA EN firmadas ("&amp;IF(INDEX(firmadas!$F:$F,$T156)="","vacía",DAY(INDEX(firmadas!$F:$F,$T156))&amp;"/"&amp;MONTH(INDEX(firmadas!$F:$F,$T156))&amp;"/"&amp;YEAR(INDEX(firmadas!$F:$F,$T156)))&amp;")",IF($G156&lt;&gt;INDEX(firmadas!$E:$E,$T156),"INGRESO DISTINTO EN firmadas ("&amp;IF(INDEX(firmadas!$E:$E,$T156)="","vacía",DAY(INDEX(firmadas!$E:$E,$T156))&amp;"/"&amp;MONTH(INDEX(firmadas!$E:$E,$T156))&amp;"/"&amp;YEAR(INDEX(firmadas!$E:$E,$T156)))&amp;")","OK"))))))))</f>
        <v>OK</v>
      </c>
      <c r="T156">
        <f ca="1">IF($P156="","",IFERROR(MATCH($P156,firmadas!$N:$N,0),IFERROR(MATCH("*/"&amp;MID($P156,FIND(" ",$P156)+1,9)&amp;"*",firmadas!$B:$B,0),0)))</f>
        <v>252</v>
      </c>
    </row>
    <row r="157" spans="1:20" ht="15" customHeight="1" x14ac:dyDescent="0.25">
      <c r="A157" s="18" t="s">
        <v>80</v>
      </c>
      <c r="B157" s="18"/>
      <c r="C157" t="s">
        <v>145</v>
      </c>
      <c r="D157" s="23">
        <v>2079</v>
      </c>
      <c r="E157" s="44" t="s">
        <v>381</v>
      </c>
      <c r="F157" s="44" t="s">
        <v>382</v>
      </c>
      <c r="G157" s="26">
        <v>46008</v>
      </c>
      <c r="H157" s="17">
        <v>46195</v>
      </c>
      <c r="I157" s="44" t="s">
        <v>187</v>
      </c>
      <c r="J157" s="44" t="s">
        <v>356</v>
      </c>
      <c r="K157" s="44" t="s">
        <v>96</v>
      </c>
      <c r="L157" s="44" t="s">
        <v>383</v>
      </c>
      <c r="M157" s="44" t="s">
        <v>83</v>
      </c>
      <c r="N157" s="53">
        <f t="shared" ca="1" si="2"/>
        <v>6.2333333333333334</v>
      </c>
      <c r="O157" s="44" t="s">
        <v>384</v>
      </c>
      <c r="P157" s="47" t="str">
        <f ca="1">IF(TRIM(SUBSTITUTE(($C157&amp;" "&amp;$D157),CHAR(160)," "))="","",IFERROR(IF(ISNUMBER(SEARCH("INC",($C157&amp;" "&amp;$D157))),"INC",IF(ISNUMBER(SEARCH("OPI",($C157&amp;" "&amp;$D157))),"OPI",IF(ISNUMBER(SEARCH("DP",($C157&amp;" "&amp;$D157))),"DP","CONC")))&amp;" "&amp;TEXT(LOOKUP(9.99E+307,--MID(SUBSTITUTE(($C157&amp;" "&amp;$D157),CHAR(160)," "),SUMPRODUCT(MIN(FIND({0,1,2,3,4,5,6,7,8,9},SUBSTITUTE(($C157&amp;" "&amp;$D157),CHAR(160)," ")&amp;"0123456789"))),ROW(INDIRECT("1:6")))),"0"),"SIN NUMERO"))</f>
        <v>CONC 2079</v>
      </c>
      <c r="Q157" t="str">
        <f ca="1">IF($P157="","",IF(LEFT(UPPER($S157),9)="VERIFICAR","VERIFICAR",IF($A157="","SIN ESTADO",IF(AND($A157="Firmada",$H157=""),"FALTA FECHA DE FIRMA",IF(N($T157)=0,IF(AND(ISNUMBER($H157),$H157&gt;=DATE(2024,1,1)),"FALTA EN FIRMADAS","OK"),IF(OR($A157="Pendiente de presentación",$A157="Observado",$A157="En análisis",$A157="En instrucción",$A157="Suspendida",$A157="IT circulando",$A157="Para resolución",$A157="TDC"),"ABIERTA PERO ESTÁ EN FIRMADAS",IF($H157&lt;&gt;INDEX(firmadas!$F:$F,$T157),"FIRMA DISTINTA EN firmadas ("&amp;IF(INDEX(firmadas!$F:$F,$T157)="","vacía",DAY(INDEX(firmadas!$F:$F,$T157))&amp;"/"&amp;MONTH(INDEX(firmadas!$F:$F,$T157))&amp;"/"&amp;YEAR(INDEX(firmadas!$F:$F,$T157)))&amp;")",IF($G157&lt;&gt;INDEX(firmadas!$E:$E,$T157),"INGRESO DISTINTO EN firmadas ("&amp;IF(INDEX(firmadas!$E:$E,$T157)="","vacía",DAY(INDEX(firmadas!$E:$E,$T157))&amp;"/"&amp;MONTH(INDEX(firmadas!$E:$E,$T157))&amp;"/"&amp;YEAR(INDEX(firmadas!$E:$E,$T157)))&amp;")","OK"))))))))</f>
        <v>OK</v>
      </c>
      <c r="T157">
        <f ca="1">IF($P157="","",IFERROR(MATCH($P157,firmadas!$N:$N,0),IFERROR(MATCH("*/"&amp;MID($P157,FIND(" ",$P157)+1,9)&amp;"*",firmadas!$B:$B,0),0)))</f>
        <v>251</v>
      </c>
    </row>
    <row r="158" spans="1:20" ht="15" customHeight="1" x14ac:dyDescent="0.25">
      <c r="A158" t="s">
        <v>80</v>
      </c>
      <c r="C158" t="s">
        <v>145</v>
      </c>
      <c r="D158" s="24">
        <v>2080</v>
      </c>
      <c r="E158" t="s">
        <v>385</v>
      </c>
      <c r="F158" t="s">
        <v>386</v>
      </c>
      <c r="G158" s="16">
        <v>46020</v>
      </c>
      <c r="H158" s="16">
        <v>46135</v>
      </c>
      <c r="I158" t="s">
        <v>356</v>
      </c>
      <c r="J158" t="s">
        <v>115</v>
      </c>
      <c r="K158" t="s">
        <v>112</v>
      </c>
      <c r="L158" t="s">
        <v>370</v>
      </c>
      <c r="M158" t="s">
        <v>202</v>
      </c>
      <c r="N158" s="53">
        <f t="shared" ca="1" si="2"/>
        <v>3.8333333333333335</v>
      </c>
      <c r="P158" s="47" t="str">
        <f ca="1">IF(TRIM(SUBSTITUTE(($C158&amp;" "&amp;$D158),CHAR(160)," "))="","",IFERROR(IF(ISNUMBER(SEARCH("INC",($C158&amp;" "&amp;$D158))),"INC",IF(ISNUMBER(SEARCH("OPI",($C158&amp;" "&amp;$D158))),"OPI",IF(ISNUMBER(SEARCH("DP",($C158&amp;" "&amp;$D158))),"DP","CONC")))&amp;" "&amp;TEXT(LOOKUP(9.99E+307,--MID(SUBSTITUTE(($C158&amp;" "&amp;$D158),CHAR(160)," "),SUMPRODUCT(MIN(FIND({0,1,2,3,4,5,6,7,8,9},SUBSTITUTE(($C158&amp;" "&amp;$D158),CHAR(160)," ")&amp;"0123456789"))),ROW(INDIRECT("1:6")))),"0"),"SIN NUMERO"))</f>
        <v>CONC 2080</v>
      </c>
      <c r="Q158" t="str">
        <f ca="1">IF($P158="","",IF(LEFT(UPPER($S158),9)="VERIFICAR","VERIFICAR",IF($A158="","SIN ESTADO",IF(AND($A158="Firmada",$H158=""),"FALTA FECHA DE FIRMA",IF(N($T158)=0,IF(AND(ISNUMBER($H158),$H158&gt;=DATE(2024,1,1)),"FALTA EN FIRMADAS","OK"),IF(OR($A158="Pendiente de presentación",$A158="Observado",$A158="En análisis",$A158="En instrucción",$A158="Suspendida",$A158="IT circulando",$A158="Para resolución",$A158="TDC"),"ABIERTA PERO ESTÁ EN FIRMADAS",IF($H158&lt;&gt;INDEX(firmadas!$F:$F,$T158),"FIRMA DISTINTA EN firmadas ("&amp;IF(INDEX(firmadas!$F:$F,$T158)="","vacía",DAY(INDEX(firmadas!$F:$F,$T158))&amp;"/"&amp;MONTH(INDEX(firmadas!$F:$F,$T158))&amp;"/"&amp;YEAR(INDEX(firmadas!$F:$F,$T158)))&amp;")",IF($G158&lt;&gt;INDEX(firmadas!$E:$E,$T158),"INGRESO DISTINTO EN firmadas ("&amp;IF(INDEX(firmadas!$E:$E,$T158)="","vacía",DAY(INDEX(firmadas!$E:$E,$T158))&amp;"/"&amp;MONTH(INDEX(firmadas!$E:$E,$T158))&amp;"/"&amp;YEAR(INDEX(firmadas!$E:$E,$T158)))&amp;")","OK"))))))))</f>
        <v>OK</v>
      </c>
      <c r="T158">
        <f ca="1">IF($P158="","",IFERROR(MATCH($P158,firmadas!$N:$N,0),IFERROR(MATCH("*/"&amp;MID($P158,FIND(" ",$P158)+1,9)&amp;"*",firmadas!$B:$B,0),0)))</f>
        <v>234</v>
      </c>
    </row>
    <row r="159" spans="1:20" ht="15" customHeight="1" x14ac:dyDescent="0.25">
      <c r="A159" t="s">
        <v>319</v>
      </c>
      <c r="C159" t="s">
        <v>145</v>
      </c>
      <c r="D159" s="25">
        <v>2081</v>
      </c>
      <c r="E159" t="s">
        <v>387</v>
      </c>
      <c r="F159" t="s">
        <v>388</v>
      </c>
      <c r="G159" s="16">
        <v>46024</v>
      </c>
      <c r="I159" s="16" t="s">
        <v>110</v>
      </c>
      <c r="J159" t="s">
        <v>356</v>
      </c>
      <c r="K159" t="s">
        <v>112</v>
      </c>
      <c r="L159" t="s">
        <v>370</v>
      </c>
      <c r="M159" t="s">
        <v>83</v>
      </c>
      <c r="N159" s="53">
        <f t="shared" ca="1" si="2"/>
        <v>9.0666666666666664</v>
      </c>
      <c r="O159" s="44" t="s">
        <v>220</v>
      </c>
      <c r="P159" s="47" t="str">
        <f ca="1">IF(TRIM(SUBSTITUTE(($C159&amp;" "&amp;$D159),CHAR(160)," "))="","",IFERROR(IF(ISNUMBER(SEARCH("INC",($C159&amp;" "&amp;$D159))),"INC",IF(ISNUMBER(SEARCH("OPI",($C159&amp;" "&amp;$D159))),"OPI",IF(ISNUMBER(SEARCH("DP",($C159&amp;" "&amp;$D159))),"DP","CONC")))&amp;" "&amp;TEXT(LOOKUP(9.99E+307,--MID(SUBSTITUTE(($C159&amp;" "&amp;$D159),CHAR(160)," "),SUMPRODUCT(MIN(FIND({0,1,2,3,4,5,6,7,8,9},SUBSTITUTE(($C159&amp;" "&amp;$D159),CHAR(160)," ")&amp;"0123456789"))),ROW(INDIRECT("1:6")))),"0"),"SIN NUMERO"))</f>
        <v>CONC 2081</v>
      </c>
      <c r="Q159" t="str">
        <f ca="1">IF($P159="","",IF(LEFT(UPPER($S159),9)="VERIFICAR","VERIFICAR",IF($A159="","SIN ESTADO",IF(AND($A159="Firmada",$H159=""),"FALTA FECHA DE FIRMA",IF(N($T159)=0,IF(AND(ISNUMBER($H159),$H159&gt;=DATE(2024,1,1)),"FALTA EN FIRMADAS","OK"),IF(OR($A159="Pendiente de presentación",$A159="Observado",$A159="En análisis",$A159="En instrucción",$A159="Suspendida",$A159="IT circulando",$A159="Para resolución",$A159="TDC"),"ABIERTA PERO ESTÁ EN FIRMADAS",IF($H159&lt;&gt;INDEX(firmadas!$F:$F,$T159),"FIRMA DISTINTA EN firmadas ("&amp;IF(INDEX(firmadas!$F:$F,$T159)="","vacía",DAY(INDEX(firmadas!$F:$F,$T159))&amp;"/"&amp;MONTH(INDEX(firmadas!$F:$F,$T159))&amp;"/"&amp;YEAR(INDEX(firmadas!$F:$F,$T159)))&amp;")",IF($G159&lt;&gt;INDEX(firmadas!$E:$E,$T159),"INGRESO DISTINTO EN firmadas ("&amp;IF(INDEX(firmadas!$E:$E,$T159)="","vacía",DAY(INDEX(firmadas!$E:$E,$T159))&amp;"/"&amp;MONTH(INDEX(firmadas!$E:$E,$T159))&amp;"/"&amp;YEAR(INDEX(firmadas!$E:$E,$T159)))&amp;")","OK"))))))))</f>
        <v>OK</v>
      </c>
      <c r="T159">
        <f ca="1">IF($P159="","",IFERROR(MATCH($P159,firmadas!$N:$N,0),IFERROR(MATCH("*/"&amp;MID($P159,FIND(" ",$P159)+1,9)&amp;"*",firmadas!$B:$B,0),0)))</f>
        <v>0</v>
      </c>
    </row>
    <row r="160" spans="1:20" ht="15" customHeight="1" x14ac:dyDescent="0.25">
      <c r="A160" t="s">
        <v>80</v>
      </c>
      <c r="C160" t="s">
        <v>145</v>
      </c>
      <c r="D160" s="25">
        <v>2082</v>
      </c>
      <c r="F160" t="s">
        <v>389</v>
      </c>
      <c r="G160" s="16">
        <v>46027</v>
      </c>
      <c r="H160" s="16">
        <v>46036</v>
      </c>
      <c r="M160" t="s">
        <v>202</v>
      </c>
      <c r="N160" s="53">
        <f t="shared" ca="1" si="2"/>
        <v>0.3</v>
      </c>
      <c r="P160" s="47" t="str">
        <f ca="1">IF(TRIM(SUBSTITUTE(($C160&amp;" "&amp;$D160),CHAR(160)," "))="","",IFERROR(IF(ISNUMBER(SEARCH("INC",($C160&amp;" "&amp;$D160))),"INC",IF(ISNUMBER(SEARCH("OPI",($C160&amp;" "&amp;$D160))),"OPI",IF(ISNUMBER(SEARCH("DP",($C160&amp;" "&amp;$D160))),"DP","CONC")))&amp;" "&amp;TEXT(LOOKUP(9.99E+307,--MID(SUBSTITUTE(($C160&amp;" "&amp;$D160),CHAR(160)," "),SUMPRODUCT(MIN(FIND({0,1,2,3,4,5,6,7,8,9},SUBSTITUTE(($C160&amp;" "&amp;$D160),CHAR(160)," ")&amp;"0123456789"))),ROW(INDIRECT("1:6")))),"0"),"SIN NUMERO"))</f>
        <v>CONC 2082</v>
      </c>
      <c r="Q160" t="str">
        <f ca="1">IF($P160="","",IF(LEFT(UPPER($S160),9)="VERIFICAR","VERIFICAR",IF($A160="","SIN ESTADO",IF(AND($A160="Firmada",$H160=""),"FALTA FECHA DE FIRMA",IF(N($T160)=0,IF(AND(ISNUMBER($H160),$H160&gt;=DATE(2024,1,1)),"FALTA EN FIRMADAS","OK"),IF(OR($A160="Pendiente de presentación",$A160="Observado",$A160="En análisis",$A160="En instrucción",$A160="Suspendida",$A160="IT circulando",$A160="Para resolución",$A160="TDC"),"ABIERTA PERO ESTÁ EN FIRMADAS",IF($H160&lt;&gt;INDEX(firmadas!$F:$F,$T160),"FIRMA DISTINTA EN firmadas ("&amp;IF(INDEX(firmadas!$F:$F,$T160)="","vacía",DAY(INDEX(firmadas!$F:$F,$T160))&amp;"/"&amp;MONTH(INDEX(firmadas!$F:$F,$T160))&amp;"/"&amp;YEAR(INDEX(firmadas!$F:$F,$T160)))&amp;")",IF($G160&lt;&gt;INDEX(firmadas!$E:$E,$T160),"INGRESO DISTINTO EN firmadas ("&amp;IF(INDEX(firmadas!$E:$E,$T160)="","vacía",DAY(INDEX(firmadas!$E:$E,$T160))&amp;"/"&amp;MONTH(INDEX(firmadas!$E:$E,$T160))&amp;"/"&amp;YEAR(INDEX(firmadas!$E:$E,$T160)))&amp;")","OK"))))))))</f>
        <v>OK</v>
      </c>
      <c r="T160">
        <f ca="1">IF($P160="","",IFERROR(MATCH($P160,firmadas!$N:$N,0),IFERROR(MATCH("*/"&amp;MID($P160,FIND(" ",$P160)+1,9)&amp;"*",firmadas!$B:$B,0),0)))</f>
        <v>191</v>
      </c>
    </row>
    <row r="161" spans="1:20" ht="15" customHeight="1" x14ac:dyDescent="0.25">
      <c r="A161" t="s">
        <v>80</v>
      </c>
      <c r="C161" t="s">
        <v>145</v>
      </c>
      <c r="D161" s="25">
        <v>2083</v>
      </c>
      <c r="E161" t="s">
        <v>390</v>
      </c>
      <c r="F161" t="s">
        <v>391</v>
      </c>
      <c r="G161" s="16">
        <v>46028</v>
      </c>
      <c r="H161" s="16">
        <v>46056</v>
      </c>
      <c r="I161" t="s">
        <v>124</v>
      </c>
      <c r="J161" t="s">
        <v>115</v>
      </c>
      <c r="K161" t="s">
        <v>112</v>
      </c>
      <c r="L161" t="s">
        <v>370</v>
      </c>
      <c r="M161" t="s">
        <v>202</v>
      </c>
      <c r="N161" s="53">
        <f t="shared" ca="1" si="2"/>
        <v>0.93333333333333335</v>
      </c>
      <c r="P161" s="47" t="str">
        <f ca="1">IF(TRIM(SUBSTITUTE(($C161&amp;" "&amp;$D161),CHAR(160)," "))="","",IFERROR(IF(ISNUMBER(SEARCH("INC",($C161&amp;" "&amp;$D161))),"INC",IF(ISNUMBER(SEARCH("OPI",($C161&amp;" "&amp;$D161))),"OPI",IF(ISNUMBER(SEARCH("DP",($C161&amp;" "&amp;$D161))),"DP","CONC")))&amp;" "&amp;TEXT(LOOKUP(9.99E+307,--MID(SUBSTITUTE(($C161&amp;" "&amp;$D161),CHAR(160)," "),SUMPRODUCT(MIN(FIND({0,1,2,3,4,5,6,7,8,9},SUBSTITUTE(($C161&amp;" "&amp;$D161),CHAR(160)," ")&amp;"0123456789"))),ROW(INDIRECT("1:6")))),"0"),"SIN NUMERO"))</f>
        <v>CONC 2083</v>
      </c>
      <c r="Q161" t="str">
        <f ca="1">IF($P161="","",IF(LEFT(UPPER($S161),9)="VERIFICAR","VERIFICAR",IF($A161="","SIN ESTADO",IF(AND($A161="Firmada",$H161=""),"FALTA FECHA DE FIRMA",IF(N($T161)=0,IF(AND(ISNUMBER($H161),$H161&gt;=DATE(2024,1,1)),"FALTA EN FIRMADAS","OK"),IF(OR($A161="Pendiente de presentación",$A161="Observado",$A161="En análisis",$A161="En instrucción",$A161="Suspendida",$A161="IT circulando",$A161="Para resolución",$A161="TDC"),"ABIERTA PERO ESTÁ EN FIRMADAS",IF($H161&lt;&gt;INDEX(firmadas!$F:$F,$T161),"FIRMA DISTINTA EN firmadas ("&amp;IF(INDEX(firmadas!$F:$F,$T161)="","vacía",DAY(INDEX(firmadas!$F:$F,$T161))&amp;"/"&amp;MONTH(INDEX(firmadas!$F:$F,$T161))&amp;"/"&amp;YEAR(INDEX(firmadas!$F:$F,$T161)))&amp;")",IF($G161&lt;&gt;INDEX(firmadas!$E:$E,$T161),"INGRESO DISTINTO EN firmadas ("&amp;IF(INDEX(firmadas!$E:$E,$T161)="","vacía",DAY(INDEX(firmadas!$E:$E,$T161))&amp;"/"&amp;MONTH(INDEX(firmadas!$E:$E,$T161))&amp;"/"&amp;YEAR(INDEX(firmadas!$E:$E,$T161)))&amp;")","OK"))))))))</f>
        <v>OK</v>
      </c>
      <c r="T161">
        <f ca="1">IF($P161="","",IFERROR(MATCH($P161,firmadas!$N:$N,0),IFERROR(MATCH("*/"&amp;MID($P161,FIND(" ",$P161)+1,9)&amp;"*",firmadas!$B:$B,0),0)))</f>
        <v>202</v>
      </c>
    </row>
    <row r="162" spans="1:20" ht="15" customHeight="1" x14ac:dyDescent="0.25">
      <c r="A162" t="s">
        <v>80</v>
      </c>
      <c r="C162" t="s">
        <v>145</v>
      </c>
      <c r="D162" s="25">
        <v>2084</v>
      </c>
      <c r="E162" t="s">
        <v>392</v>
      </c>
      <c r="F162" t="s">
        <v>393</v>
      </c>
      <c r="G162" s="16">
        <v>46028</v>
      </c>
      <c r="H162" s="16">
        <v>46083</v>
      </c>
      <c r="I162" t="s">
        <v>124</v>
      </c>
      <c r="J162" t="s">
        <v>115</v>
      </c>
      <c r="K162" t="s">
        <v>370</v>
      </c>
      <c r="L162" t="s">
        <v>112</v>
      </c>
      <c r="M162" t="s">
        <v>202</v>
      </c>
      <c r="N162" s="53">
        <f t="shared" ca="1" si="2"/>
        <v>1.8333333333333333</v>
      </c>
      <c r="P162" s="47" t="str">
        <f ca="1">IF(TRIM(SUBSTITUTE(($C162&amp;" "&amp;$D162),CHAR(160)," "))="","",IFERROR(IF(ISNUMBER(SEARCH("INC",($C162&amp;" "&amp;$D162))),"INC",IF(ISNUMBER(SEARCH("OPI",($C162&amp;" "&amp;$D162))),"OPI",IF(ISNUMBER(SEARCH("DP",($C162&amp;" "&amp;$D162))),"DP","CONC")))&amp;" "&amp;TEXT(LOOKUP(9.99E+307,--MID(SUBSTITUTE(($C162&amp;" "&amp;$D162),CHAR(160)," "),SUMPRODUCT(MIN(FIND({0,1,2,3,4,5,6,7,8,9},SUBSTITUTE(($C162&amp;" "&amp;$D162),CHAR(160)," ")&amp;"0123456789"))),ROW(INDIRECT("1:6")))),"0"),"SIN NUMERO"))</f>
        <v>CONC 2084</v>
      </c>
      <c r="Q162" t="str">
        <f ca="1">IF($P162="","",IF(LEFT(UPPER($S162),9)="VERIFICAR","VERIFICAR",IF($A162="","SIN ESTADO",IF(AND($A162="Firmada",$H162=""),"FALTA FECHA DE FIRMA",IF(N($T162)=0,IF(AND(ISNUMBER($H162),$H162&gt;=DATE(2024,1,1)),"FALTA EN FIRMADAS","OK"),IF(OR($A162="Pendiente de presentación",$A162="Observado",$A162="En análisis",$A162="En instrucción",$A162="Suspendida",$A162="IT circulando",$A162="Para resolución",$A162="TDC"),"ABIERTA PERO ESTÁ EN FIRMADAS",IF($H162&lt;&gt;INDEX(firmadas!$F:$F,$T162),"FIRMA DISTINTA EN firmadas ("&amp;IF(INDEX(firmadas!$F:$F,$T162)="","vacía",DAY(INDEX(firmadas!$F:$F,$T162))&amp;"/"&amp;MONTH(INDEX(firmadas!$F:$F,$T162))&amp;"/"&amp;YEAR(INDEX(firmadas!$F:$F,$T162)))&amp;")",IF($G162&lt;&gt;INDEX(firmadas!$E:$E,$T162),"INGRESO DISTINTO EN firmadas ("&amp;IF(INDEX(firmadas!$E:$E,$T162)="","vacía",DAY(INDEX(firmadas!$E:$E,$T162))&amp;"/"&amp;MONTH(INDEX(firmadas!$E:$E,$T162))&amp;"/"&amp;YEAR(INDEX(firmadas!$E:$E,$T162)))&amp;")","OK"))))))))</f>
        <v>OK</v>
      </c>
      <c r="T162">
        <f ca="1">IF($P162="","",IFERROR(MATCH($P162,firmadas!$N:$N,0),IFERROR(MATCH("*/"&amp;MID($P162,FIND(" ",$P162)+1,9)&amp;"*",firmadas!$B:$B,0),0)))</f>
        <v>211</v>
      </c>
    </row>
    <row r="163" spans="1:20" ht="15" customHeight="1" x14ac:dyDescent="0.25">
      <c r="A163" t="s">
        <v>319</v>
      </c>
      <c r="C163" t="s">
        <v>145</v>
      </c>
      <c r="D163" s="25">
        <v>2085</v>
      </c>
      <c r="E163" t="s">
        <v>394</v>
      </c>
      <c r="F163" t="s">
        <v>395</v>
      </c>
      <c r="G163" s="16">
        <v>46028</v>
      </c>
      <c r="I163" s="16" t="s">
        <v>115</v>
      </c>
      <c r="J163" t="s">
        <v>396</v>
      </c>
      <c r="K163" t="s">
        <v>112</v>
      </c>
      <c r="L163" t="s">
        <v>96</v>
      </c>
      <c r="M163" t="s">
        <v>83</v>
      </c>
      <c r="N163" s="53">
        <f t="shared" ca="1" si="2"/>
        <v>8.9333333333333336</v>
      </c>
      <c r="O163" s="44" t="s">
        <v>397</v>
      </c>
      <c r="P163" s="47" t="str">
        <f ca="1">IF(TRIM(SUBSTITUTE(($C163&amp;" "&amp;$D163),CHAR(160)," "))="","",IFERROR(IF(ISNUMBER(SEARCH("INC",($C163&amp;" "&amp;$D163))),"INC",IF(ISNUMBER(SEARCH("OPI",($C163&amp;" "&amp;$D163))),"OPI",IF(ISNUMBER(SEARCH("DP",($C163&amp;" "&amp;$D163))),"DP","CONC")))&amp;" "&amp;TEXT(LOOKUP(9.99E+307,--MID(SUBSTITUTE(($C163&amp;" "&amp;$D163),CHAR(160)," "),SUMPRODUCT(MIN(FIND({0,1,2,3,4,5,6,7,8,9},SUBSTITUTE(($C163&amp;" "&amp;$D163),CHAR(160)," ")&amp;"0123456789"))),ROW(INDIRECT("1:6")))),"0"),"SIN NUMERO"))</f>
        <v>CONC 2085</v>
      </c>
      <c r="Q163" t="str">
        <f ca="1">IF($P163="","",IF(LEFT(UPPER($S163),9)="VERIFICAR","VERIFICAR",IF($A163="","SIN ESTADO",IF(AND($A163="Firmada",$H163=""),"FALTA FECHA DE FIRMA",IF(N($T163)=0,IF(AND(ISNUMBER($H163),$H163&gt;=DATE(2024,1,1)),"FALTA EN FIRMADAS","OK"),IF(OR($A163="Pendiente de presentación",$A163="Observado",$A163="En análisis",$A163="En instrucción",$A163="Suspendida",$A163="IT circulando",$A163="Para resolución",$A163="TDC"),"ABIERTA PERO ESTÁ EN FIRMADAS",IF($H163&lt;&gt;INDEX(firmadas!$F:$F,$T163),"FIRMA DISTINTA EN firmadas ("&amp;IF(INDEX(firmadas!$F:$F,$T163)="","vacía",DAY(INDEX(firmadas!$F:$F,$T163))&amp;"/"&amp;MONTH(INDEX(firmadas!$F:$F,$T163))&amp;"/"&amp;YEAR(INDEX(firmadas!$F:$F,$T163)))&amp;")",IF($G163&lt;&gt;INDEX(firmadas!$E:$E,$T163),"INGRESO DISTINTO EN firmadas ("&amp;IF(INDEX(firmadas!$E:$E,$T163)="","vacía",DAY(INDEX(firmadas!$E:$E,$T163))&amp;"/"&amp;MONTH(INDEX(firmadas!$E:$E,$T163))&amp;"/"&amp;YEAR(INDEX(firmadas!$E:$E,$T163)))&amp;")","OK"))))))))</f>
        <v>OK</v>
      </c>
      <c r="T163">
        <f ca="1">IF($P163="","",IFERROR(MATCH($P163,firmadas!$N:$N,0),IFERROR(MATCH("*/"&amp;MID($P163,FIND(" ",$P163)+1,9)&amp;"*",firmadas!$B:$B,0),0)))</f>
        <v>0</v>
      </c>
    </row>
    <row r="164" spans="1:20" ht="15" customHeight="1" x14ac:dyDescent="0.25">
      <c r="A164" t="s">
        <v>80</v>
      </c>
      <c r="C164" t="s">
        <v>145</v>
      </c>
      <c r="D164" s="25">
        <v>2086</v>
      </c>
      <c r="E164" t="s">
        <v>398</v>
      </c>
      <c r="F164" t="s">
        <v>399</v>
      </c>
      <c r="G164" s="16">
        <v>46034</v>
      </c>
      <c r="H164" s="16">
        <v>46197</v>
      </c>
      <c r="I164" t="s">
        <v>356</v>
      </c>
      <c r="J164" t="s">
        <v>309</v>
      </c>
      <c r="K164" t="s">
        <v>370</v>
      </c>
      <c r="L164" t="s">
        <v>112</v>
      </c>
      <c r="M164" t="s">
        <v>202</v>
      </c>
      <c r="N164" s="53">
        <f t="shared" ca="1" si="2"/>
        <v>5.4333333333333336</v>
      </c>
      <c r="O164" t="s">
        <v>400</v>
      </c>
      <c r="P164" s="47" t="str">
        <f ca="1">IF(TRIM(SUBSTITUTE(($C164&amp;" "&amp;$D164),CHAR(160)," "))="","",IFERROR(IF(ISNUMBER(SEARCH("INC",($C164&amp;" "&amp;$D164))),"INC",IF(ISNUMBER(SEARCH("OPI",($C164&amp;" "&amp;$D164))),"OPI",IF(ISNUMBER(SEARCH("DP",($C164&amp;" "&amp;$D164))),"DP","CONC")))&amp;" "&amp;TEXT(LOOKUP(9.99E+307,--MID(SUBSTITUTE(($C164&amp;" "&amp;$D164),CHAR(160)," "),SUMPRODUCT(MIN(FIND({0,1,2,3,4,5,6,7,8,9},SUBSTITUTE(($C164&amp;" "&amp;$D164),CHAR(160)," ")&amp;"0123456789"))),ROW(INDIRECT("1:6")))),"0"),"SIN NUMERO"))</f>
        <v>CONC 2086</v>
      </c>
      <c r="Q164" t="str">
        <f ca="1">IF($P164="","",IF(LEFT(UPPER($S164),9)="VERIFICAR","VERIFICAR",IF($A164="","SIN ESTADO",IF(AND($A164="Firmada",$H164=""),"FALTA FECHA DE FIRMA",IF(N($T164)=0,IF(AND(ISNUMBER($H164),$H164&gt;=DATE(2024,1,1)),"FALTA EN FIRMADAS","OK"),IF(OR($A164="Pendiente de presentación",$A164="Observado",$A164="En análisis",$A164="En instrucción",$A164="Suspendida",$A164="IT circulando",$A164="Para resolución",$A164="TDC"),"ABIERTA PERO ESTÁ EN FIRMADAS",IF($H164&lt;&gt;INDEX(firmadas!$F:$F,$T164),"FIRMA DISTINTA EN firmadas ("&amp;IF(INDEX(firmadas!$F:$F,$T164)="","vacía",DAY(INDEX(firmadas!$F:$F,$T164))&amp;"/"&amp;MONTH(INDEX(firmadas!$F:$F,$T164))&amp;"/"&amp;YEAR(INDEX(firmadas!$F:$F,$T164)))&amp;")",IF($G164&lt;&gt;INDEX(firmadas!$E:$E,$T164),"INGRESO DISTINTO EN firmadas ("&amp;IF(INDEX(firmadas!$E:$E,$T164)="","vacía",DAY(INDEX(firmadas!$E:$E,$T164))&amp;"/"&amp;MONTH(INDEX(firmadas!$E:$E,$T164))&amp;"/"&amp;YEAR(INDEX(firmadas!$E:$E,$T164)))&amp;")","OK"))))))))</f>
        <v>OK</v>
      </c>
      <c r="T164">
        <f ca="1">IF($P164="","",IFERROR(MATCH($P164,firmadas!$N:$N,0),IFERROR(MATCH("*/"&amp;MID($P164,FIND(" ",$P164)+1,9)&amp;"*",firmadas!$B:$B,0),0)))</f>
        <v>253</v>
      </c>
    </row>
    <row r="165" spans="1:20" ht="15" customHeight="1" x14ac:dyDescent="0.25">
      <c r="A165" t="s">
        <v>80</v>
      </c>
      <c r="C165" t="s">
        <v>145</v>
      </c>
      <c r="D165" s="25">
        <v>2087</v>
      </c>
      <c r="E165" t="s">
        <v>401</v>
      </c>
      <c r="F165" t="s">
        <v>402</v>
      </c>
      <c r="G165" s="16">
        <v>46041</v>
      </c>
      <c r="H165" s="16">
        <v>46134</v>
      </c>
      <c r="I165" t="s">
        <v>356</v>
      </c>
      <c r="J165" t="s">
        <v>309</v>
      </c>
      <c r="K165" t="s">
        <v>112</v>
      </c>
      <c r="L165" t="s">
        <v>370</v>
      </c>
      <c r="M165" t="s">
        <v>202</v>
      </c>
      <c r="N165" s="53">
        <f t="shared" ca="1" si="2"/>
        <v>3.1</v>
      </c>
      <c r="P165" s="47" t="str">
        <f ca="1">IF(TRIM(SUBSTITUTE(($C165&amp;" "&amp;$D165),CHAR(160)," "))="","",IFERROR(IF(ISNUMBER(SEARCH("INC",($C165&amp;" "&amp;$D165))),"INC",IF(ISNUMBER(SEARCH("OPI",($C165&amp;" "&amp;$D165))),"OPI",IF(ISNUMBER(SEARCH("DP",($C165&amp;" "&amp;$D165))),"DP","CONC")))&amp;" "&amp;TEXT(LOOKUP(9.99E+307,--MID(SUBSTITUTE(($C165&amp;" "&amp;$D165),CHAR(160)," "),SUMPRODUCT(MIN(FIND({0,1,2,3,4,5,6,7,8,9},SUBSTITUTE(($C165&amp;" "&amp;$D165),CHAR(160)," ")&amp;"0123456789"))),ROW(INDIRECT("1:6")))),"0"),"SIN NUMERO"))</f>
        <v>CONC 2087</v>
      </c>
      <c r="Q165" t="str">
        <f ca="1">IF($P165="","",IF(LEFT(UPPER($S165),9)="VERIFICAR","VERIFICAR",IF($A165="","SIN ESTADO",IF(AND($A165="Firmada",$H165=""),"FALTA FECHA DE FIRMA",IF(N($T165)=0,IF(AND(ISNUMBER($H165),$H165&gt;=DATE(2024,1,1)),"FALTA EN FIRMADAS","OK"),IF(OR($A165="Pendiente de presentación",$A165="Observado",$A165="En análisis",$A165="En instrucción",$A165="Suspendida",$A165="IT circulando",$A165="Para resolución",$A165="TDC"),"ABIERTA PERO ESTÁ EN FIRMADAS",IF($H165&lt;&gt;INDEX(firmadas!$F:$F,$T165),"FIRMA DISTINTA EN firmadas ("&amp;IF(INDEX(firmadas!$F:$F,$T165)="","vacía",DAY(INDEX(firmadas!$F:$F,$T165))&amp;"/"&amp;MONTH(INDEX(firmadas!$F:$F,$T165))&amp;"/"&amp;YEAR(INDEX(firmadas!$F:$F,$T165)))&amp;")",IF($G165&lt;&gt;INDEX(firmadas!$E:$E,$T165),"INGRESO DISTINTO EN firmadas ("&amp;IF(INDEX(firmadas!$E:$E,$T165)="","vacía",DAY(INDEX(firmadas!$E:$E,$T165))&amp;"/"&amp;MONTH(INDEX(firmadas!$E:$E,$T165))&amp;"/"&amp;YEAR(INDEX(firmadas!$E:$E,$T165)))&amp;")","OK"))))))))</f>
        <v>OK</v>
      </c>
      <c r="T165">
        <f ca="1">IF($P165="","",IFERROR(MATCH($P165,firmadas!$N:$N,0),IFERROR(MATCH("*/"&amp;MID($P165,FIND(" ",$P165)+1,9)&amp;"*",firmadas!$B:$B,0),0)))</f>
        <v>233</v>
      </c>
    </row>
    <row r="166" spans="1:20" ht="15" customHeight="1" x14ac:dyDescent="0.25">
      <c r="A166" s="44" t="s">
        <v>274</v>
      </c>
      <c r="C166" t="s">
        <v>145</v>
      </c>
      <c r="D166" s="25">
        <v>2088</v>
      </c>
      <c r="E166" t="s">
        <v>403</v>
      </c>
      <c r="F166" t="s">
        <v>404</v>
      </c>
      <c r="G166" s="16">
        <v>46043</v>
      </c>
      <c r="I166" s="16" t="s">
        <v>187</v>
      </c>
      <c r="J166" t="s">
        <v>405</v>
      </c>
      <c r="K166" t="s">
        <v>96</v>
      </c>
      <c r="L166" t="s">
        <v>112</v>
      </c>
      <c r="M166" t="s">
        <v>83</v>
      </c>
      <c r="N166" s="53">
        <f t="shared" ca="1" si="2"/>
        <v>8.4333333333333336</v>
      </c>
      <c r="O166" s="44" t="s">
        <v>406</v>
      </c>
      <c r="P166" s="47" t="str">
        <f ca="1">IF(TRIM(SUBSTITUTE(($C166&amp;" "&amp;$D166),CHAR(160)," "))="","",IFERROR(IF(ISNUMBER(SEARCH("INC",($C166&amp;" "&amp;$D166))),"INC",IF(ISNUMBER(SEARCH("OPI",($C166&amp;" "&amp;$D166))),"OPI",IF(ISNUMBER(SEARCH("DP",($C166&amp;" "&amp;$D166))),"DP","CONC")))&amp;" "&amp;TEXT(LOOKUP(9.99E+307,--MID(SUBSTITUTE(($C166&amp;" "&amp;$D166),CHAR(160)," "),SUMPRODUCT(MIN(FIND({0,1,2,3,4,5,6,7,8,9},SUBSTITUTE(($C166&amp;" "&amp;$D166),CHAR(160)," ")&amp;"0123456789"))),ROW(INDIRECT("1:6")))),"0"),"SIN NUMERO"))</f>
        <v>CONC 2088</v>
      </c>
      <c r="Q166" t="str">
        <f ca="1">IF($P166="","",IF(LEFT(UPPER($S166),9)="VERIFICAR","VERIFICAR",IF($A166="","SIN ESTADO",IF(AND($A166="Firmada",$H166=""),"FALTA FECHA DE FIRMA",IF(N($T166)=0,IF(AND(ISNUMBER($H166),$H166&gt;=DATE(2024,1,1)),"FALTA EN FIRMADAS","OK"),IF(OR($A166="Pendiente de presentación",$A166="Observado",$A166="En análisis",$A166="En instrucción",$A166="Suspendida",$A166="IT circulando",$A166="Para resolución",$A166="TDC"),"ABIERTA PERO ESTÁ EN FIRMADAS",IF($H166&lt;&gt;INDEX(firmadas!$F:$F,$T166),"FIRMA DISTINTA EN firmadas ("&amp;IF(INDEX(firmadas!$F:$F,$T166)="","vacía",DAY(INDEX(firmadas!$F:$F,$T166))&amp;"/"&amp;MONTH(INDEX(firmadas!$F:$F,$T166))&amp;"/"&amp;YEAR(INDEX(firmadas!$F:$F,$T166)))&amp;")",IF($G166&lt;&gt;INDEX(firmadas!$E:$E,$T166),"INGRESO DISTINTO EN firmadas ("&amp;IF(INDEX(firmadas!$E:$E,$T166)="","vacía",DAY(INDEX(firmadas!$E:$E,$T166))&amp;"/"&amp;MONTH(INDEX(firmadas!$E:$E,$T166))&amp;"/"&amp;YEAR(INDEX(firmadas!$E:$E,$T166)))&amp;")","OK"))))))))</f>
        <v>OK</v>
      </c>
      <c r="T166">
        <f ca="1">IF($P166="","",IFERROR(MATCH($P166,firmadas!$N:$N,0),IFERROR(MATCH("*/"&amp;MID($P166,FIND(" ",$P166)+1,9)&amp;"*",firmadas!$B:$B,0),0)))</f>
        <v>0</v>
      </c>
    </row>
    <row r="167" spans="1:20" ht="15" customHeight="1" x14ac:dyDescent="0.25">
      <c r="A167" t="s">
        <v>80</v>
      </c>
      <c r="C167" t="s">
        <v>145</v>
      </c>
      <c r="D167" s="25">
        <v>2089</v>
      </c>
      <c r="E167" t="s">
        <v>407</v>
      </c>
      <c r="F167" t="s">
        <v>408</v>
      </c>
      <c r="G167" s="16">
        <v>46049</v>
      </c>
      <c r="H167" s="16">
        <v>46080</v>
      </c>
      <c r="I167" t="s">
        <v>110</v>
      </c>
      <c r="J167" t="s">
        <v>309</v>
      </c>
      <c r="K167" t="s">
        <v>370</v>
      </c>
      <c r="L167" t="s">
        <v>112</v>
      </c>
      <c r="M167" t="s">
        <v>202</v>
      </c>
      <c r="N167" s="53">
        <f t="shared" ca="1" si="2"/>
        <v>1.0333333333333334</v>
      </c>
      <c r="P167" s="47" t="str">
        <f ca="1">IF(TRIM(SUBSTITUTE(($C167&amp;" "&amp;$D167),CHAR(160)," "))="","",IFERROR(IF(ISNUMBER(SEARCH("INC",($C167&amp;" "&amp;$D167))),"INC",IF(ISNUMBER(SEARCH("OPI",($C167&amp;" "&amp;$D167))),"OPI",IF(ISNUMBER(SEARCH("DP",($C167&amp;" "&amp;$D167))),"DP","CONC")))&amp;" "&amp;TEXT(LOOKUP(9.99E+307,--MID(SUBSTITUTE(($C167&amp;" "&amp;$D167),CHAR(160)," "),SUMPRODUCT(MIN(FIND({0,1,2,3,4,5,6,7,8,9},SUBSTITUTE(($C167&amp;" "&amp;$D167),CHAR(160)," ")&amp;"0123456789"))),ROW(INDIRECT("1:6")))),"0"),"SIN NUMERO"))</f>
        <v>CONC 2089</v>
      </c>
      <c r="Q167" t="str">
        <f ca="1">IF($P167="","",IF(LEFT(UPPER($S167),9)="VERIFICAR","VERIFICAR",IF($A167="","SIN ESTADO",IF(AND($A167="Firmada",$H167=""),"FALTA FECHA DE FIRMA",IF(N($T167)=0,IF(AND(ISNUMBER($H167),$H167&gt;=DATE(2024,1,1)),"FALTA EN FIRMADAS","OK"),IF(OR($A167="Pendiente de presentación",$A167="Observado",$A167="En análisis",$A167="En instrucción",$A167="Suspendida",$A167="IT circulando",$A167="Para resolución",$A167="TDC"),"ABIERTA PERO ESTÁ EN FIRMADAS",IF($H167&lt;&gt;INDEX(firmadas!$F:$F,$T167),"FIRMA DISTINTA EN firmadas ("&amp;IF(INDEX(firmadas!$F:$F,$T167)="","vacía",DAY(INDEX(firmadas!$F:$F,$T167))&amp;"/"&amp;MONTH(INDEX(firmadas!$F:$F,$T167))&amp;"/"&amp;YEAR(INDEX(firmadas!$F:$F,$T167)))&amp;")",IF($G167&lt;&gt;INDEX(firmadas!$E:$E,$T167),"INGRESO DISTINTO EN firmadas ("&amp;IF(INDEX(firmadas!$E:$E,$T167)="","vacía",DAY(INDEX(firmadas!$E:$E,$T167))&amp;"/"&amp;MONTH(INDEX(firmadas!$E:$E,$T167))&amp;"/"&amp;YEAR(INDEX(firmadas!$E:$E,$T167)))&amp;")","OK"))))))))</f>
        <v>OK</v>
      </c>
      <c r="T167">
        <f ca="1">IF($P167="","",IFERROR(MATCH($P167,firmadas!$N:$N,0),IFERROR(MATCH("*/"&amp;MID($P167,FIND(" ",$P167)+1,9)&amp;"*",firmadas!$B:$B,0),0)))</f>
        <v>210</v>
      </c>
    </row>
    <row r="168" spans="1:20" ht="15" customHeight="1" x14ac:dyDescent="0.25">
      <c r="A168" s="44" t="s">
        <v>80</v>
      </c>
      <c r="C168" t="s">
        <v>409</v>
      </c>
      <c r="D168" s="25">
        <v>2090</v>
      </c>
      <c r="E168" t="s">
        <v>410</v>
      </c>
      <c r="F168" t="s">
        <v>411</v>
      </c>
      <c r="G168" s="16">
        <v>46051</v>
      </c>
      <c r="H168" s="16">
        <v>46283</v>
      </c>
      <c r="I168" s="16" t="s">
        <v>138</v>
      </c>
      <c r="J168" t="s">
        <v>309</v>
      </c>
      <c r="K168" t="s">
        <v>133</v>
      </c>
      <c r="L168" t="s">
        <v>370</v>
      </c>
      <c r="M168" t="s">
        <v>83</v>
      </c>
      <c r="N168" s="53">
        <f t="shared" ca="1" si="2"/>
        <v>7.7333333333333334</v>
      </c>
      <c r="O168" s="44" t="s">
        <v>412</v>
      </c>
      <c r="P168" s="47" t="str">
        <f ca="1">IF(TRIM(SUBSTITUTE(($C168&amp;" "&amp;$D168),CHAR(160)," "))="","",IFERROR(IF(ISNUMBER(SEARCH("INC",($C168&amp;" "&amp;$D168))),"INC",IF(ISNUMBER(SEARCH("OPI",($C168&amp;" "&amp;$D168))),"OPI",IF(ISNUMBER(SEARCH("DP",($C168&amp;" "&amp;$D168))),"DP","CONC")))&amp;" "&amp;TEXT(LOOKUP(9.99E+307,--MID(SUBSTITUTE(($C168&amp;" "&amp;$D168),CHAR(160)," "),SUMPRODUCT(MIN(FIND({0,1,2,3,4,5,6,7,8,9},SUBSTITUTE(($C168&amp;" "&amp;$D168),CHAR(160)," ")&amp;"0123456789"))),ROW(INDIRECT("1:6")))),"0"),"SIN NUMERO"))</f>
        <v>CONC 2090</v>
      </c>
      <c r="Q168" t="str">
        <f ca="1">IF($P168="","",IF(LEFT(UPPER($S168),9)="VERIFICAR","VERIFICAR",IF($A168="","SIN ESTADO",IF(AND($A168="Firmada",$H168=""),"FALTA FECHA DE FIRMA",IF(N($T168)=0,IF(AND(ISNUMBER($H168),$H168&gt;=DATE(2024,1,1)),"FALTA EN FIRMADAS","OK"),IF(OR($A168="Pendiente de presentación",$A168="Observado",$A168="En análisis",$A168="En instrucción",$A168="Suspendida",$A168="IT circulando",$A168="Para resolución",$A168="TDC"),"ABIERTA PERO ESTÁ EN FIRMADAS",IF($H168&lt;&gt;INDEX(firmadas!$F:$F,$T168),"FIRMA DISTINTA EN firmadas ("&amp;IF(INDEX(firmadas!$F:$F,$T168)="","vacía",DAY(INDEX(firmadas!$F:$F,$T168))&amp;"/"&amp;MONTH(INDEX(firmadas!$F:$F,$T168))&amp;"/"&amp;YEAR(INDEX(firmadas!$F:$F,$T168)))&amp;")",IF($G168&lt;&gt;INDEX(firmadas!$E:$E,$T168),"INGRESO DISTINTO EN firmadas ("&amp;IF(INDEX(firmadas!$E:$E,$T168)="","vacía",DAY(INDEX(firmadas!$E:$E,$T168))&amp;"/"&amp;MONTH(INDEX(firmadas!$E:$E,$T168))&amp;"/"&amp;YEAR(INDEX(firmadas!$E:$E,$T168)))&amp;")","OK"))))))))</f>
        <v>OK</v>
      </c>
      <c r="T168">
        <f ca="1">IF($P168="","",IFERROR(MATCH($P168,firmadas!$N:$N,0),IFERROR(MATCH("*/"&amp;MID($P168,FIND(" ",$P168)+1,9)&amp;"*",firmadas!$B:$B,0),0)))</f>
        <v>279</v>
      </c>
    </row>
    <row r="169" spans="1:20" ht="15" customHeight="1" x14ac:dyDescent="0.25">
      <c r="A169" t="s">
        <v>80</v>
      </c>
      <c r="C169" t="s">
        <v>145</v>
      </c>
      <c r="D169" s="25">
        <v>2091</v>
      </c>
      <c r="E169" t="s">
        <v>413</v>
      </c>
      <c r="F169" t="s">
        <v>414</v>
      </c>
      <c r="G169" s="16">
        <v>46071</v>
      </c>
      <c r="H169" s="16">
        <v>46220</v>
      </c>
      <c r="I169" t="s">
        <v>309</v>
      </c>
      <c r="J169" t="s">
        <v>110</v>
      </c>
      <c r="K169" t="s">
        <v>112</v>
      </c>
      <c r="L169" t="s">
        <v>370</v>
      </c>
      <c r="M169" t="s">
        <v>202</v>
      </c>
      <c r="N169" s="53">
        <f t="shared" ca="1" si="2"/>
        <v>4.9666666666666668</v>
      </c>
      <c r="O169" t="s">
        <v>415</v>
      </c>
      <c r="P169" s="47" t="str">
        <f ca="1">IF(TRIM(SUBSTITUTE(($C169&amp;" "&amp;$D169),CHAR(160)," "))="","",IFERROR(IF(ISNUMBER(SEARCH("INC",($C169&amp;" "&amp;$D169))),"INC",IF(ISNUMBER(SEARCH("OPI",($C169&amp;" "&amp;$D169))),"OPI",IF(ISNUMBER(SEARCH("DP",($C169&amp;" "&amp;$D169))),"DP","CONC")))&amp;" "&amp;TEXT(LOOKUP(9.99E+307,--MID(SUBSTITUTE(($C169&amp;" "&amp;$D169),CHAR(160)," "),SUMPRODUCT(MIN(FIND({0,1,2,3,4,5,6,7,8,9},SUBSTITUTE(($C169&amp;" "&amp;$D169),CHAR(160)," ")&amp;"0123456789"))),ROW(INDIRECT("1:6")))),"0"),"SIN NUMERO"))</f>
        <v>CONC 2091</v>
      </c>
      <c r="Q169" t="str">
        <f ca="1">IF($P169="","",IF(LEFT(UPPER($S169),9)="VERIFICAR","VERIFICAR",IF($A169="","SIN ESTADO",IF(AND($A169="Firmada",$H169=""),"FALTA FECHA DE FIRMA",IF(N($T169)=0,IF(AND(ISNUMBER($H169),$H169&gt;=DATE(2024,1,1)),"FALTA EN FIRMADAS","OK"),IF(OR($A169="Pendiente de presentación",$A169="Observado",$A169="En análisis",$A169="En instrucción",$A169="Suspendida",$A169="IT circulando",$A169="Para resolución",$A169="TDC"),"ABIERTA PERO ESTÁ EN FIRMADAS",IF($H169&lt;&gt;INDEX(firmadas!$F:$F,$T169),"FIRMA DISTINTA EN firmadas ("&amp;IF(INDEX(firmadas!$F:$F,$T169)="","vacía",DAY(INDEX(firmadas!$F:$F,$T169))&amp;"/"&amp;MONTH(INDEX(firmadas!$F:$F,$T169))&amp;"/"&amp;YEAR(INDEX(firmadas!$F:$F,$T169)))&amp;")",IF($G169&lt;&gt;INDEX(firmadas!$E:$E,$T169),"INGRESO DISTINTO EN firmadas ("&amp;IF(INDEX(firmadas!$E:$E,$T169)="","vacía",DAY(INDEX(firmadas!$E:$E,$T169))&amp;"/"&amp;MONTH(INDEX(firmadas!$E:$E,$T169))&amp;"/"&amp;YEAR(INDEX(firmadas!$E:$E,$T169)))&amp;")","OK"))))))))</f>
        <v>OK</v>
      </c>
      <c r="T169">
        <f ca="1">IF($P169="","",IFERROR(MATCH($P169,firmadas!$N:$N,0),IFERROR(MATCH("*/"&amp;MID($P169,FIND(" ",$P169)+1,9)&amp;"*",firmadas!$B:$B,0),0)))</f>
        <v>259</v>
      </c>
    </row>
    <row r="170" spans="1:20" ht="15" customHeight="1" x14ac:dyDescent="0.25">
      <c r="A170" t="s">
        <v>319</v>
      </c>
      <c r="C170" t="s">
        <v>409</v>
      </c>
      <c r="D170" s="25">
        <v>2092</v>
      </c>
      <c r="E170" t="s">
        <v>416</v>
      </c>
      <c r="F170" t="s">
        <v>417</v>
      </c>
      <c r="G170" s="16">
        <v>46071</v>
      </c>
      <c r="I170" s="16" t="s">
        <v>138</v>
      </c>
      <c r="J170" t="s">
        <v>115</v>
      </c>
      <c r="K170" t="s">
        <v>133</v>
      </c>
      <c r="L170" t="s">
        <v>127</v>
      </c>
      <c r="M170" t="s">
        <v>83</v>
      </c>
      <c r="N170" s="53">
        <f t="shared" ca="1" si="2"/>
        <v>7.5</v>
      </c>
      <c r="O170" s="44" t="s">
        <v>418</v>
      </c>
      <c r="P170" s="47" t="str">
        <f ca="1">IF(TRIM(SUBSTITUTE(($C170&amp;" "&amp;$D170),CHAR(160)," "))="","",IFERROR(IF(ISNUMBER(SEARCH("INC",($C170&amp;" "&amp;$D170))),"INC",IF(ISNUMBER(SEARCH("OPI",($C170&amp;" "&amp;$D170))),"OPI",IF(ISNUMBER(SEARCH("DP",($C170&amp;" "&amp;$D170))),"DP","CONC")))&amp;" "&amp;TEXT(LOOKUP(9.99E+307,--MID(SUBSTITUTE(($C170&amp;" "&amp;$D170),CHAR(160)," "),SUMPRODUCT(MIN(FIND({0,1,2,3,4,5,6,7,8,9},SUBSTITUTE(($C170&amp;" "&amp;$D170),CHAR(160)," ")&amp;"0123456789"))),ROW(INDIRECT("1:6")))),"0"),"SIN NUMERO"))</f>
        <v>CONC 2092</v>
      </c>
      <c r="Q170" t="str">
        <f ca="1">IF($P170="","",IF(LEFT(UPPER($S170),9)="VERIFICAR","VERIFICAR",IF($A170="","SIN ESTADO",IF(AND($A170="Firmada",$H170=""),"FALTA FECHA DE FIRMA",IF(N($T170)=0,IF(AND(ISNUMBER($H170),$H170&gt;=DATE(2024,1,1)),"FALTA EN FIRMADAS","OK"),IF(OR($A170="Pendiente de presentación",$A170="Observado",$A170="En análisis",$A170="En instrucción",$A170="Suspendida",$A170="IT circulando",$A170="Para resolución",$A170="TDC"),"ABIERTA PERO ESTÁ EN FIRMADAS",IF($H170&lt;&gt;INDEX(firmadas!$F:$F,$T170),"FIRMA DISTINTA EN firmadas ("&amp;IF(INDEX(firmadas!$F:$F,$T170)="","vacía",DAY(INDEX(firmadas!$F:$F,$T170))&amp;"/"&amp;MONTH(INDEX(firmadas!$F:$F,$T170))&amp;"/"&amp;YEAR(INDEX(firmadas!$F:$F,$T170)))&amp;")",IF($G170&lt;&gt;INDEX(firmadas!$E:$E,$T170),"INGRESO DISTINTO EN firmadas ("&amp;IF(INDEX(firmadas!$E:$E,$T170)="","vacía",DAY(INDEX(firmadas!$E:$E,$T170))&amp;"/"&amp;MONTH(INDEX(firmadas!$E:$E,$T170))&amp;"/"&amp;YEAR(INDEX(firmadas!$E:$E,$T170)))&amp;")","OK"))))))))</f>
        <v>OK</v>
      </c>
      <c r="T170">
        <f ca="1">IF($P170="","",IFERROR(MATCH($P170,firmadas!$N:$N,0),IFERROR(MATCH("*/"&amp;MID($P170,FIND(" ",$P170)+1,9)&amp;"*",firmadas!$B:$B,0),0)))</f>
        <v>0</v>
      </c>
    </row>
    <row r="171" spans="1:20" ht="15" customHeight="1" x14ac:dyDescent="0.25">
      <c r="A171" s="44" t="s">
        <v>80</v>
      </c>
      <c r="C171" t="s">
        <v>145</v>
      </c>
      <c r="D171" s="25">
        <v>2093</v>
      </c>
      <c r="E171" t="s">
        <v>419</v>
      </c>
      <c r="F171" t="s">
        <v>420</v>
      </c>
      <c r="G171" s="16">
        <v>46073</v>
      </c>
      <c r="H171" s="26">
        <v>46246</v>
      </c>
      <c r="I171" t="s">
        <v>309</v>
      </c>
      <c r="J171" t="s">
        <v>110</v>
      </c>
      <c r="K171" t="s">
        <v>112</v>
      </c>
      <c r="L171" t="s">
        <v>370</v>
      </c>
      <c r="M171" t="s">
        <v>202</v>
      </c>
      <c r="N171" s="53">
        <f t="shared" ca="1" si="2"/>
        <v>5.7666666666666666</v>
      </c>
      <c r="O171" t="s">
        <v>421</v>
      </c>
      <c r="P171" s="47" t="str">
        <f ca="1">IF(TRIM(SUBSTITUTE(($C171&amp;" "&amp;$D171),CHAR(160)," "))="","",IFERROR(IF(ISNUMBER(SEARCH("INC",($C171&amp;" "&amp;$D171))),"INC",IF(ISNUMBER(SEARCH("OPI",($C171&amp;" "&amp;$D171))),"OPI",IF(ISNUMBER(SEARCH("DP",($C171&amp;" "&amp;$D171))),"DP","CONC")))&amp;" "&amp;TEXT(LOOKUP(9.99E+307,--MID(SUBSTITUTE(($C171&amp;" "&amp;$D171),CHAR(160)," "),SUMPRODUCT(MIN(FIND({0,1,2,3,4,5,6,7,8,9},SUBSTITUTE(($C171&amp;" "&amp;$D171),CHAR(160)," ")&amp;"0123456789"))),ROW(INDIRECT("1:6")))),"0"),"SIN NUMERO"))</f>
        <v>CONC 2093</v>
      </c>
      <c r="Q171" t="str">
        <f ca="1">IF($P171="","",IF(LEFT(UPPER($S171),9)="VERIFICAR","VERIFICAR",IF($A171="","SIN ESTADO",IF(AND($A171="Firmada",$H171=""),"FALTA FECHA DE FIRMA",IF(N($T171)=0,IF(AND(ISNUMBER($H171),$H171&gt;=DATE(2024,1,1)),"FALTA EN FIRMADAS","OK"),IF(OR($A171="Pendiente de presentación",$A171="Observado",$A171="En análisis",$A171="En instrucción",$A171="Suspendida",$A171="IT circulando",$A171="Para resolución",$A171="TDC"),"ABIERTA PERO ESTÁ EN FIRMADAS",IF($H171&lt;&gt;INDEX(firmadas!$F:$F,$T171),"FIRMA DISTINTA EN firmadas ("&amp;IF(INDEX(firmadas!$F:$F,$T171)="","vacía",DAY(INDEX(firmadas!$F:$F,$T171))&amp;"/"&amp;MONTH(INDEX(firmadas!$F:$F,$T171))&amp;"/"&amp;YEAR(INDEX(firmadas!$F:$F,$T171)))&amp;")",IF($G171&lt;&gt;INDEX(firmadas!$E:$E,$T171),"INGRESO DISTINTO EN firmadas ("&amp;IF(INDEX(firmadas!$E:$E,$T171)="","vacía",DAY(INDEX(firmadas!$E:$E,$T171))&amp;"/"&amp;MONTH(INDEX(firmadas!$E:$E,$T171))&amp;"/"&amp;YEAR(INDEX(firmadas!$E:$E,$T171)))&amp;")","OK"))))))))</f>
        <v>OK</v>
      </c>
      <c r="T171">
        <f ca="1">IF($P171="","",IFERROR(MATCH($P171,firmadas!$N:$N,0),IFERROR(MATCH("*/"&amp;MID($P171,FIND(" ",$P171)+1,9)&amp;"*",firmadas!$B:$B,0),0)))</f>
        <v>269</v>
      </c>
    </row>
    <row r="172" spans="1:20" ht="15" customHeight="1" x14ac:dyDescent="0.25">
      <c r="A172" t="s">
        <v>319</v>
      </c>
      <c r="C172" t="s">
        <v>409</v>
      </c>
      <c r="D172" s="25">
        <v>2094</v>
      </c>
      <c r="E172" t="s">
        <v>422</v>
      </c>
      <c r="F172" t="s">
        <v>423</v>
      </c>
      <c r="G172" s="16">
        <v>46076</v>
      </c>
      <c r="I172" s="16" t="s">
        <v>93</v>
      </c>
      <c r="J172" t="s">
        <v>424</v>
      </c>
      <c r="K172" t="s">
        <v>197</v>
      </c>
      <c r="L172" t="s">
        <v>104</v>
      </c>
      <c r="M172" t="s">
        <v>83</v>
      </c>
      <c r="N172" s="53">
        <f t="shared" ca="1" si="2"/>
        <v>7.333333333333333</v>
      </c>
      <c r="O172" s="44" t="s">
        <v>425</v>
      </c>
      <c r="P172" s="47" t="str">
        <f ca="1">IF(TRIM(SUBSTITUTE(($C172&amp;" "&amp;$D172),CHAR(160)," "))="","",IFERROR(IF(ISNUMBER(SEARCH("INC",($C172&amp;" "&amp;$D172))),"INC",IF(ISNUMBER(SEARCH("OPI",($C172&amp;" "&amp;$D172))),"OPI",IF(ISNUMBER(SEARCH("DP",($C172&amp;" "&amp;$D172))),"DP","CONC")))&amp;" "&amp;TEXT(LOOKUP(9.99E+307,--MID(SUBSTITUTE(($C172&amp;" "&amp;$D172),CHAR(160)," "),SUMPRODUCT(MIN(FIND({0,1,2,3,4,5,6,7,8,9},SUBSTITUTE(($C172&amp;" "&amp;$D172),CHAR(160)," ")&amp;"0123456789"))),ROW(INDIRECT("1:6")))),"0"),"SIN NUMERO"))</f>
        <v>CONC 2094</v>
      </c>
      <c r="Q172" t="str">
        <f ca="1">IF($P172="","",IF(LEFT(UPPER($S172),9)="VERIFICAR","VERIFICAR",IF($A172="","SIN ESTADO",IF(AND($A172="Firmada",$H172=""),"FALTA FECHA DE FIRMA",IF(N($T172)=0,IF(AND(ISNUMBER($H172),$H172&gt;=DATE(2024,1,1)),"FALTA EN FIRMADAS","OK"),IF(OR($A172="Pendiente de presentación",$A172="Observado",$A172="En análisis",$A172="En instrucción",$A172="Suspendida",$A172="IT circulando",$A172="Para resolución",$A172="TDC"),"ABIERTA PERO ESTÁ EN FIRMADAS",IF($H172&lt;&gt;INDEX(firmadas!$F:$F,$T172),"FIRMA DISTINTA EN firmadas ("&amp;IF(INDEX(firmadas!$F:$F,$T172)="","vacía",DAY(INDEX(firmadas!$F:$F,$T172))&amp;"/"&amp;MONTH(INDEX(firmadas!$F:$F,$T172))&amp;"/"&amp;YEAR(INDEX(firmadas!$F:$F,$T172)))&amp;")",IF($G172&lt;&gt;INDEX(firmadas!$E:$E,$T172),"INGRESO DISTINTO EN firmadas ("&amp;IF(INDEX(firmadas!$E:$E,$T172)="","vacía",DAY(INDEX(firmadas!$E:$E,$T172))&amp;"/"&amp;MONTH(INDEX(firmadas!$E:$E,$T172))&amp;"/"&amp;YEAR(INDEX(firmadas!$E:$E,$T172)))&amp;")","OK"))))))))</f>
        <v>OK</v>
      </c>
      <c r="T172">
        <f ca="1">IF($P172="","",IFERROR(MATCH($P172,firmadas!$N:$N,0),IFERROR(MATCH("*/"&amp;MID($P172,FIND(" ",$P172)+1,9)&amp;"*",firmadas!$B:$B,0),0)))</f>
        <v>0</v>
      </c>
    </row>
    <row r="173" spans="1:20" ht="15" customHeight="1" x14ac:dyDescent="0.25">
      <c r="A173" s="44" t="s">
        <v>80</v>
      </c>
      <c r="C173" t="s">
        <v>409</v>
      </c>
      <c r="D173" s="25">
        <v>2095</v>
      </c>
      <c r="E173" t="s">
        <v>426</v>
      </c>
      <c r="F173" t="s">
        <v>427</v>
      </c>
      <c r="G173" s="16">
        <v>46083</v>
      </c>
      <c r="H173" s="16">
        <v>46265</v>
      </c>
      <c r="I173" s="16" t="s">
        <v>124</v>
      </c>
      <c r="J173" t="s">
        <v>356</v>
      </c>
      <c r="K173" t="s">
        <v>96</v>
      </c>
      <c r="L173" t="s">
        <v>197</v>
      </c>
      <c r="M173" t="s">
        <v>83</v>
      </c>
      <c r="N173" s="53">
        <f t="shared" ca="1" si="2"/>
        <v>6.0666666666666664</v>
      </c>
      <c r="O173" s="44" t="s">
        <v>428</v>
      </c>
      <c r="P173" s="47" t="str">
        <f ca="1">IF(TRIM(SUBSTITUTE(($C173&amp;" "&amp;$D173),CHAR(160)," "))="","",IFERROR(IF(ISNUMBER(SEARCH("INC",($C173&amp;" "&amp;$D173))),"INC",IF(ISNUMBER(SEARCH("OPI",($C173&amp;" "&amp;$D173))),"OPI",IF(ISNUMBER(SEARCH("DP",($C173&amp;" "&amp;$D173))),"DP","CONC")))&amp;" "&amp;TEXT(LOOKUP(9.99E+307,--MID(SUBSTITUTE(($C173&amp;" "&amp;$D173),CHAR(160)," "),SUMPRODUCT(MIN(FIND({0,1,2,3,4,5,6,7,8,9},SUBSTITUTE(($C173&amp;" "&amp;$D173),CHAR(160)," ")&amp;"0123456789"))),ROW(INDIRECT("1:6")))),"0"),"SIN NUMERO"))</f>
        <v>CONC 2095</v>
      </c>
      <c r="Q173" t="str">
        <f ca="1">IF($P173="","",IF(LEFT(UPPER($S173),9)="VERIFICAR","VERIFICAR",IF($A173="","SIN ESTADO",IF(AND($A173="Firmada",$H173=""),"FALTA FECHA DE FIRMA",IF(N($T173)=0,IF(AND(ISNUMBER($H173),$H173&gt;=DATE(2024,1,1)),"FALTA EN FIRMADAS","OK"),IF(OR($A173="Pendiente de presentación",$A173="Observado",$A173="En análisis",$A173="En instrucción",$A173="Suspendida",$A173="IT circulando",$A173="Para resolución",$A173="TDC"),"ABIERTA PERO ESTÁ EN FIRMADAS",IF($H173&lt;&gt;INDEX(firmadas!$F:$F,$T173),"FIRMA DISTINTA EN firmadas ("&amp;IF(INDEX(firmadas!$F:$F,$T173)="","vacía",DAY(INDEX(firmadas!$F:$F,$T173))&amp;"/"&amp;MONTH(INDEX(firmadas!$F:$F,$T173))&amp;"/"&amp;YEAR(INDEX(firmadas!$F:$F,$T173)))&amp;")",IF($G173&lt;&gt;INDEX(firmadas!$E:$E,$T173),"INGRESO DISTINTO EN firmadas ("&amp;IF(INDEX(firmadas!$E:$E,$T173)="","vacía",DAY(INDEX(firmadas!$E:$E,$T173))&amp;"/"&amp;MONTH(INDEX(firmadas!$E:$E,$T173))&amp;"/"&amp;YEAR(INDEX(firmadas!$E:$E,$T173)))&amp;")","OK"))))))))</f>
        <v>OK</v>
      </c>
      <c r="T173">
        <f ca="1">IF($P173="","",IFERROR(MATCH($P173,firmadas!$N:$N,0),IFERROR(MATCH("*/"&amp;MID($P173,FIND(" ",$P173)+1,9)&amp;"*",firmadas!$B:$B,0),0)))</f>
        <v>273</v>
      </c>
    </row>
    <row r="174" spans="1:20" ht="15" customHeight="1" x14ac:dyDescent="0.25">
      <c r="A174" t="s">
        <v>319</v>
      </c>
      <c r="C174" t="s">
        <v>409</v>
      </c>
      <c r="D174" s="25">
        <v>2096</v>
      </c>
      <c r="E174" t="s">
        <v>429</v>
      </c>
      <c r="F174" t="s">
        <v>430</v>
      </c>
      <c r="G174" s="16">
        <v>46087</v>
      </c>
      <c r="I174" s="16" t="s">
        <v>187</v>
      </c>
      <c r="J174" t="s">
        <v>138</v>
      </c>
      <c r="K174" t="s">
        <v>133</v>
      </c>
      <c r="L174" t="s">
        <v>370</v>
      </c>
      <c r="M174" t="s">
        <v>83</v>
      </c>
      <c r="N174" s="53">
        <f t="shared" ca="1" si="2"/>
        <v>6.9666666666666668</v>
      </c>
      <c r="O174" s="44" t="s">
        <v>431</v>
      </c>
      <c r="P174" s="47" t="str">
        <f ca="1">IF(TRIM(SUBSTITUTE(($C174&amp;" "&amp;$D174),CHAR(160)," "))="","",IFERROR(IF(ISNUMBER(SEARCH("INC",($C174&amp;" "&amp;$D174))),"INC",IF(ISNUMBER(SEARCH("OPI",($C174&amp;" "&amp;$D174))),"OPI",IF(ISNUMBER(SEARCH("DP",($C174&amp;" "&amp;$D174))),"DP","CONC")))&amp;" "&amp;TEXT(LOOKUP(9.99E+307,--MID(SUBSTITUTE(($C174&amp;" "&amp;$D174),CHAR(160)," "),SUMPRODUCT(MIN(FIND({0,1,2,3,4,5,6,7,8,9},SUBSTITUTE(($C174&amp;" "&amp;$D174),CHAR(160)," ")&amp;"0123456789"))),ROW(INDIRECT("1:6")))),"0"),"SIN NUMERO"))</f>
        <v>CONC 2096</v>
      </c>
      <c r="Q174" t="str">
        <f ca="1">IF($P174="","",IF(LEFT(UPPER($S174),9)="VERIFICAR","VERIFICAR",IF($A174="","SIN ESTADO",IF(AND($A174="Firmada",$H174=""),"FALTA FECHA DE FIRMA",IF(N($T174)=0,IF(AND(ISNUMBER($H174),$H174&gt;=DATE(2024,1,1)),"FALTA EN FIRMADAS","OK"),IF(OR($A174="Pendiente de presentación",$A174="Observado",$A174="En análisis",$A174="En instrucción",$A174="Suspendida",$A174="IT circulando",$A174="Para resolución",$A174="TDC"),"ABIERTA PERO ESTÁ EN FIRMADAS",IF($H174&lt;&gt;INDEX(firmadas!$F:$F,$T174),"FIRMA DISTINTA EN firmadas ("&amp;IF(INDEX(firmadas!$F:$F,$T174)="","vacía",DAY(INDEX(firmadas!$F:$F,$T174))&amp;"/"&amp;MONTH(INDEX(firmadas!$F:$F,$T174))&amp;"/"&amp;YEAR(INDEX(firmadas!$F:$F,$T174)))&amp;")",IF($G174&lt;&gt;INDEX(firmadas!$E:$E,$T174),"INGRESO DISTINTO EN firmadas ("&amp;IF(INDEX(firmadas!$E:$E,$T174)="","vacía",DAY(INDEX(firmadas!$E:$E,$T174))&amp;"/"&amp;MONTH(INDEX(firmadas!$E:$E,$T174))&amp;"/"&amp;YEAR(INDEX(firmadas!$E:$E,$T174)))&amp;")","OK"))))))))</f>
        <v>OK</v>
      </c>
      <c r="T174">
        <f ca="1">IF($P174="","",IFERROR(MATCH($P174,firmadas!$N:$N,0),IFERROR(MATCH("*/"&amp;MID($P174,FIND(" ",$P174)+1,9)&amp;"*",firmadas!$B:$B,0),0)))</f>
        <v>0</v>
      </c>
    </row>
    <row r="175" spans="1:20" ht="15" customHeight="1" x14ac:dyDescent="0.25">
      <c r="A175" t="s">
        <v>319</v>
      </c>
      <c r="C175" t="s">
        <v>409</v>
      </c>
      <c r="D175" s="25">
        <v>2097</v>
      </c>
      <c r="E175" t="s">
        <v>432</v>
      </c>
      <c r="F175" t="s">
        <v>433</v>
      </c>
      <c r="G175" s="16">
        <v>46101</v>
      </c>
      <c r="I175" s="16" t="s">
        <v>187</v>
      </c>
      <c r="J175" t="s">
        <v>138</v>
      </c>
      <c r="K175" t="s">
        <v>197</v>
      </c>
      <c r="L175" t="s">
        <v>104</v>
      </c>
      <c r="M175" t="s">
        <v>83</v>
      </c>
      <c r="N175" s="53">
        <f t="shared" ca="1" si="2"/>
        <v>6.5</v>
      </c>
      <c r="O175" s="44" t="s">
        <v>434</v>
      </c>
      <c r="P175" s="47" t="str">
        <f ca="1">IF(TRIM(SUBSTITUTE(($C175&amp;" "&amp;$D175),CHAR(160)," "))="","",IFERROR(IF(ISNUMBER(SEARCH("INC",($C175&amp;" "&amp;$D175))),"INC",IF(ISNUMBER(SEARCH("OPI",($C175&amp;" "&amp;$D175))),"OPI",IF(ISNUMBER(SEARCH("DP",($C175&amp;" "&amp;$D175))),"DP","CONC")))&amp;" "&amp;TEXT(LOOKUP(9.99E+307,--MID(SUBSTITUTE(($C175&amp;" "&amp;$D175),CHAR(160)," "),SUMPRODUCT(MIN(FIND({0,1,2,3,4,5,6,7,8,9},SUBSTITUTE(($C175&amp;" "&amp;$D175),CHAR(160)," ")&amp;"0123456789"))),ROW(INDIRECT("1:6")))),"0"),"SIN NUMERO"))</f>
        <v>CONC 2097</v>
      </c>
      <c r="Q175" t="str">
        <f ca="1">IF($P175="","",IF(LEFT(UPPER($S175),9)="VERIFICAR","VERIFICAR",IF($A175="","SIN ESTADO",IF(AND($A175="Firmada",$H175=""),"FALTA FECHA DE FIRMA",IF(N($T175)=0,IF(AND(ISNUMBER($H175),$H175&gt;=DATE(2024,1,1)),"FALTA EN FIRMADAS","OK"),IF(OR($A175="Pendiente de presentación",$A175="Observado",$A175="En análisis",$A175="En instrucción",$A175="Suspendida",$A175="IT circulando",$A175="Para resolución",$A175="TDC"),"ABIERTA PERO ESTÁ EN FIRMADAS",IF($H175&lt;&gt;INDEX(firmadas!$F:$F,$T175),"FIRMA DISTINTA EN firmadas ("&amp;IF(INDEX(firmadas!$F:$F,$T175)="","vacía",DAY(INDEX(firmadas!$F:$F,$T175))&amp;"/"&amp;MONTH(INDEX(firmadas!$F:$F,$T175))&amp;"/"&amp;YEAR(INDEX(firmadas!$F:$F,$T175)))&amp;")",IF($G175&lt;&gt;INDEX(firmadas!$E:$E,$T175),"INGRESO DISTINTO EN firmadas ("&amp;IF(INDEX(firmadas!$E:$E,$T175)="","vacía",DAY(INDEX(firmadas!$E:$E,$T175))&amp;"/"&amp;MONTH(INDEX(firmadas!$E:$E,$T175))&amp;"/"&amp;YEAR(INDEX(firmadas!$E:$E,$T175)))&amp;")","OK"))))))))</f>
        <v>OK</v>
      </c>
      <c r="R175" s="44" t="s">
        <v>435</v>
      </c>
      <c r="T175">
        <f ca="1">IF($P175="","",IFERROR(MATCH($P175,firmadas!$N:$N,0),IFERROR(MATCH("*/"&amp;MID($P175,FIND(" ",$P175)+1,9)&amp;"*",firmadas!$B:$B,0),0)))</f>
        <v>0</v>
      </c>
    </row>
    <row r="176" spans="1:20" ht="15" customHeight="1" x14ac:dyDescent="0.25">
      <c r="A176" t="s">
        <v>80</v>
      </c>
      <c r="C176" t="s">
        <v>145</v>
      </c>
      <c r="D176" s="25">
        <v>2098</v>
      </c>
      <c r="E176" t="s">
        <v>436</v>
      </c>
      <c r="F176" t="s">
        <v>437</v>
      </c>
      <c r="G176" s="16">
        <v>46122</v>
      </c>
      <c r="H176" s="16">
        <v>46129</v>
      </c>
      <c r="I176" t="s">
        <v>110</v>
      </c>
      <c r="J176" t="s">
        <v>115</v>
      </c>
      <c r="K176" t="s">
        <v>370</v>
      </c>
      <c r="L176" t="s">
        <v>112</v>
      </c>
      <c r="M176" t="s">
        <v>202</v>
      </c>
      <c r="N176" s="53">
        <f t="shared" ca="1" si="2"/>
        <v>0.23333333333333334</v>
      </c>
      <c r="P176" s="47" t="str">
        <f ca="1">IF(TRIM(SUBSTITUTE(($C176&amp;" "&amp;$D176),CHAR(160)," "))="","",IFERROR(IF(ISNUMBER(SEARCH("INC",($C176&amp;" "&amp;$D176))),"INC",IF(ISNUMBER(SEARCH("OPI",($C176&amp;" "&amp;$D176))),"OPI",IF(ISNUMBER(SEARCH("DP",($C176&amp;" "&amp;$D176))),"DP","CONC")))&amp;" "&amp;TEXT(LOOKUP(9.99E+307,--MID(SUBSTITUTE(($C176&amp;" "&amp;$D176),CHAR(160)," "),SUMPRODUCT(MIN(FIND({0,1,2,3,4,5,6,7,8,9},SUBSTITUTE(($C176&amp;" "&amp;$D176),CHAR(160)," ")&amp;"0123456789"))),ROW(INDIRECT("1:6")))),"0"),"SIN NUMERO"))</f>
        <v>CONC 2098</v>
      </c>
      <c r="Q176" t="str">
        <f ca="1">IF($P176="","",IF(LEFT(UPPER($S176),9)="VERIFICAR","VERIFICAR",IF($A176="","SIN ESTADO",IF(AND($A176="Firmada",$H176=""),"FALTA FECHA DE FIRMA",IF(N($T176)=0,IF(AND(ISNUMBER($H176),$H176&gt;=DATE(2024,1,1)),"FALTA EN FIRMADAS","OK"),IF(OR($A176="Pendiente de presentación",$A176="Observado",$A176="En análisis",$A176="En instrucción",$A176="Suspendida",$A176="IT circulando",$A176="Para resolución",$A176="TDC"),"ABIERTA PERO ESTÁ EN FIRMADAS",IF($H176&lt;&gt;INDEX(firmadas!$F:$F,$T176),"FIRMA DISTINTA EN firmadas ("&amp;IF(INDEX(firmadas!$F:$F,$T176)="","vacía",DAY(INDEX(firmadas!$F:$F,$T176))&amp;"/"&amp;MONTH(INDEX(firmadas!$F:$F,$T176))&amp;"/"&amp;YEAR(INDEX(firmadas!$F:$F,$T176)))&amp;")",IF($G176&lt;&gt;INDEX(firmadas!$E:$E,$T176),"INGRESO DISTINTO EN firmadas ("&amp;IF(INDEX(firmadas!$E:$E,$T176)="","vacía",DAY(INDEX(firmadas!$E:$E,$T176))&amp;"/"&amp;MONTH(INDEX(firmadas!$E:$E,$T176))&amp;"/"&amp;YEAR(INDEX(firmadas!$E:$E,$T176)))&amp;")","OK"))))))))</f>
        <v>OK</v>
      </c>
      <c r="T176">
        <f ca="1">IF($P176="","",IFERROR(MATCH($P176,firmadas!$N:$N,0),IFERROR(MATCH("*/"&amp;MID($P176,FIND(" ",$P176)+1,9)&amp;"*",firmadas!$B:$B,0),0)))</f>
        <v>230</v>
      </c>
    </row>
    <row r="177" spans="1:20" ht="15" customHeight="1" x14ac:dyDescent="0.25">
      <c r="A177" t="s">
        <v>80</v>
      </c>
      <c r="C177" t="s">
        <v>145</v>
      </c>
      <c r="D177" s="25">
        <v>2099</v>
      </c>
      <c r="E177" t="s">
        <v>438</v>
      </c>
      <c r="F177" t="s">
        <v>439</v>
      </c>
      <c r="G177" s="16">
        <v>46127</v>
      </c>
      <c r="H177" s="16">
        <v>46163</v>
      </c>
      <c r="I177" t="s">
        <v>115</v>
      </c>
      <c r="J177" t="s">
        <v>88</v>
      </c>
      <c r="K177" t="s">
        <v>112</v>
      </c>
      <c r="L177" t="s">
        <v>370</v>
      </c>
      <c r="M177" t="s">
        <v>202</v>
      </c>
      <c r="N177" s="53">
        <f t="shared" ca="1" si="2"/>
        <v>1.2</v>
      </c>
      <c r="P177" s="47" t="str">
        <f ca="1">IF(TRIM(SUBSTITUTE(($C177&amp;" "&amp;$D177),CHAR(160)," "))="","",IFERROR(IF(ISNUMBER(SEARCH("INC",($C177&amp;" "&amp;$D177))),"INC",IF(ISNUMBER(SEARCH("OPI",($C177&amp;" "&amp;$D177))),"OPI",IF(ISNUMBER(SEARCH("DP",($C177&amp;" "&amp;$D177))),"DP","CONC")))&amp;" "&amp;TEXT(LOOKUP(9.99E+307,--MID(SUBSTITUTE(($C177&amp;" "&amp;$D177),CHAR(160)," "),SUMPRODUCT(MIN(FIND({0,1,2,3,4,5,6,7,8,9},SUBSTITUTE(($C177&amp;" "&amp;$D177),CHAR(160)," ")&amp;"0123456789"))),ROW(INDIRECT("1:6")))),"0"),"SIN NUMERO"))</f>
        <v>CONC 2099</v>
      </c>
      <c r="Q177" t="str">
        <f ca="1">IF($P177="","",IF(LEFT(UPPER($S177),9)="VERIFICAR","VERIFICAR",IF($A177="","SIN ESTADO",IF(AND($A177="Firmada",$H177=""),"FALTA FECHA DE FIRMA",IF(N($T177)=0,IF(AND(ISNUMBER($H177),$H177&gt;=DATE(2024,1,1)),"FALTA EN FIRMADAS","OK"),IF(OR($A177="Pendiente de presentación",$A177="Observado",$A177="En análisis",$A177="En instrucción",$A177="Suspendida",$A177="IT circulando",$A177="Para resolución",$A177="TDC"),"ABIERTA PERO ESTÁ EN FIRMADAS",IF($H177&lt;&gt;INDEX(firmadas!$F:$F,$T177),"FIRMA DISTINTA EN firmadas ("&amp;IF(INDEX(firmadas!$F:$F,$T177)="","vacía",DAY(INDEX(firmadas!$F:$F,$T177))&amp;"/"&amp;MONTH(INDEX(firmadas!$F:$F,$T177))&amp;"/"&amp;YEAR(INDEX(firmadas!$F:$F,$T177)))&amp;")",IF($G177&lt;&gt;INDEX(firmadas!$E:$E,$T177),"INGRESO DISTINTO EN firmadas ("&amp;IF(INDEX(firmadas!$E:$E,$T177)="","vacía",DAY(INDEX(firmadas!$E:$E,$T177))&amp;"/"&amp;MONTH(INDEX(firmadas!$E:$E,$T177))&amp;"/"&amp;YEAR(INDEX(firmadas!$E:$E,$T177)))&amp;")","OK"))))))))</f>
        <v>OK</v>
      </c>
      <c r="T177">
        <f ca="1">IF($P177="","",IFERROR(MATCH($P177,firmadas!$N:$N,0),IFERROR(MATCH("*/"&amp;MID($P177,FIND(" ",$P177)+1,9)&amp;"*",firmadas!$B:$B,0),0)))</f>
        <v>242</v>
      </c>
    </row>
    <row r="178" spans="1:20" ht="15" customHeight="1" x14ac:dyDescent="0.25">
      <c r="A178" t="s">
        <v>80</v>
      </c>
      <c r="C178" t="s">
        <v>145</v>
      </c>
      <c r="D178" s="25">
        <v>2100</v>
      </c>
      <c r="E178" t="s">
        <v>440</v>
      </c>
      <c r="F178" t="s">
        <v>441</v>
      </c>
      <c r="G178" s="16">
        <v>46139</v>
      </c>
      <c r="H178" s="16">
        <v>46231</v>
      </c>
      <c r="I178" t="s">
        <v>110</v>
      </c>
      <c r="J178" t="s">
        <v>115</v>
      </c>
      <c r="K178" t="s">
        <v>112</v>
      </c>
      <c r="L178" t="s">
        <v>370</v>
      </c>
      <c r="M178" t="s">
        <v>202</v>
      </c>
      <c r="N178" s="53">
        <f t="shared" ca="1" si="2"/>
        <v>3.0666666666666669</v>
      </c>
      <c r="P178" s="47" t="str">
        <f ca="1">IF(TRIM(SUBSTITUTE(($C178&amp;" "&amp;$D178),CHAR(160)," "))="","",IFERROR(IF(ISNUMBER(SEARCH("INC",($C178&amp;" "&amp;$D178))),"INC",IF(ISNUMBER(SEARCH("OPI",($C178&amp;" "&amp;$D178))),"OPI",IF(ISNUMBER(SEARCH("DP",($C178&amp;" "&amp;$D178))),"DP","CONC")))&amp;" "&amp;TEXT(LOOKUP(9.99E+307,--MID(SUBSTITUTE(($C178&amp;" "&amp;$D178),CHAR(160)," "),SUMPRODUCT(MIN(FIND({0,1,2,3,4,5,6,7,8,9},SUBSTITUTE(($C178&amp;" "&amp;$D178),CHAR(160)," ")&amp;"0123456789"))),ROW(INDIRECT("1:6")))),"0"),"SIN NUMERO"))</f>
        <v>CONC 2100</v>
      </c>
      <c r="Q178" t="str">
        <f ca="1">IF($P178="","",IF(LEFT(UPPER($S178),9)="VERIFICAR","VERIFICAR",IF($A178="","SIN ESTADO",IF(AND($A178="Firmada",$H178=""),"FALTA FECHA DE FIRMA",IF(N($T178)=0,IF(AND(ISNUMBER($H178),$H178&gt;=DATE(2024,1,1)),"FALTA EN FIRMADAS","OK"),IF(OR($A178="Pendiente de presentación",$A178="Observado",$A178="En análisis",$A178="En instrucción",$A178="Suspendida",$A178="IT circulando",$A178="Para resolución",$A178="TDC"),"ABIERTA PERO ESTÁ EN FIRMADAS",IF($H178&lt;&gt;INDEX(firmadas!$F:$F,$T178),"FIRMA DISTINTA EN firmadas ("&amp;IF(INDEX(firmadas!$F:$F,$T178)="","vacía",DAY(INDEX(firmadas!$F:$F,$T178))&amp;"/"&amp;MONTH(INDEX(firmadas!$F:$F,$T178))&amp;"/"&amp;YEAR(INDEX(firmadas!$F:$F,$T178)))&amp;")",IF($G178&lt;&gt;INDEX(firmadas!$E:$E,$T178),"INGRESO DISTINTO EN firmadas ("&amp;IF(INDEX(firmadas!$E:$E,$T178)="","vacía",DAY(INDEX(firmadas!$E:$E,$T178))&amp;"/"&amp;MONTH(INDEX(firmadas!$E:$E,$T178))&amp;"/"&amp;YEAR(INDEX(firmadas!$E:$E,$T178)))&amp;")","OK"))))))))</f>
        <v>OK</v>
      </c>
      <c r="T178">
        <f ca="1">IF($P178="","",IFERROR(MATCH($P178,firmadas!$N:$N,0),IFERROR(MATCH("*/"&amp;MID($P178,FIND(" ",$P178)+1,9)&amp;"*",firmadas!$B:$B,0),0)))</f>
        <v>263</v>
      </c>
    </row>
    <row r="179" spans="1:20" ht="15" customHeight="1" x14ac:dyDescent="0.25">
      <c r="A179" t="s">
        <v>80</v>
      </c>
      <c r="C179" t="s">
        <v>145</v>
      </c>
      <c r="D179" s="25">
        <v>2101</v>
      </c>
      <c r="E179" s="44" t="s">
        <v>442</v>
      </c>
      <c r="F179" s="41" t="s">
        <v>443</v>
      </c>
      <c r="G179" s="16">
        <v>46148</v>
      </c>
      <c r="H179" s="16">
        <v>46175</v>
      </c>
      <c r="I179" s="44" t="s">
        <v>88</v>
      </c>
      <c r="J179" s="44" t="s">
        <v>115</v>
      </c>
      <c r="K179" s="44" t="s">
        <v>112</v>
      </c>
      <c r="L179" s="44" t="s">
        <v>127</v>
      </c>
      <c r="M179" t="s">
        <v>83</v>
      </c>
      <c r="N179" s="53">
        <f t="shared" ca="1" si="2"/>
        <v>0.9</v>
      </c>
      <c r="P179" s="47" t="str">
        <f ca="1">IF(TRIM(SUBSTITUTE(($C179&amp;" "&amp;$D179),CHAR(160)," "))="","",IFERROR(IF(ISNUMBER(SEARCH("INC",($C179&amp;" "&amp;$D179))),"INC",IF(ISNUMBER(SEARCH("OPI",($C179&amp;" "&amp;$D179))),"OPI",IF(ISNUMBER(SEARCH("DP",($C179&amp;" "&amp;$D179))),"DP","CONC")))&amp;" "&amp;TEXT(LOOKUP(9.99E+307,--MID(SUBSTITUTE(($C179&amp;" "&amp;$D179),CHAR(160)," "),SUMPRODUCT(MIN(FIND({0,1,2,3,4,5,6,7,8,9},SUBSTITUTE(($C179&amp;" "&amp;$D179),CHAR(160)," ")&amp;"0123456789"))),ROW(INDIRECT("1:6")))),"0"),"SIN NUMERO"))</f>
        <v>CONC 2101</v>
      </c>
      <c r="Q179" t="str">
        <f ca="1">IF($P179="","",IF(LEFT(UPPER($S179),9)="VERIFICAR","VERIFICAR",IF($A179="","SIN ESTADO",IF(AND($A179="Firmada",$H179=""),"FALTA FECHA DE FIRMA",IF(N($T179)=0,IF(AND(ISNUMBER($H179),$H179&gt;=DATE(2024,1,1)),"FALTA EN FIRMADAS","OK"),IF(OR($A179="Pendiente de presentación",$A179="Observado",$A179="En análisis",$A179="En instrucción",$A179="Suspendida",$A179="IT circulando",$A179="Para resolución",$A179="TDC"),"ABIERTA PERO ESTÁ EN FIRMADAS",IF($H179&lt;&gt;INDEX(firmadas!$F:$F,$T179),"FIRMA DISTINTA EN firmadas ("&amp;IF(INDEX(firmadas!$F:$F,$T179)="","vacía",DAY(INDEX(firmadas!$F:$F,$T179))&amp;"/"&amp;MONTH(INDEX(firmadas!$F:$F,$T179))&amp;"/"&amp;YEAR(INDEX(firmadas!$F:$F,$T179)))&amp;")",IF($G179&lt;&gt;INDEX(firmadas!$E:$E,$T179),"INGRESO DISTINTO EN firmadas ("&amp;IF(INDEX(firmadas!$E:$E,$T179)="","vacía",DAY(INDEX(firmadas!$E:$E,$T179))&amp;"/"&amp;MONTH(INDEX(firmadas!$E:$E,$T179))&amp;"/"&amp;YEAR(INDEX(firmadas!$E:$E,$T179)))&amp;")","OK"))))))))</f>
        <v>OK</v>
      </c>
      <c r="T179">
        <f ca="1">IF($P179="","",IFERROR(MATCH($P179,firmadas!$N:$N,0),IFERROR(MATCH("*/"&amp;MID($P179,FIND(" ",$P179)+1,9)&amp;"*",firmadas!$B:$B,0),0)))</f>
        <v>246</v>
      </c>
    </row>
    <row r="180" spans="1:20" ht="15" customHeight="1" x14ac:dyDescent="0.25">
      <c r="A180" t="s">
        <v>80</v>
      </c>
      <c r="C180" t="s">
        <v>145</v>
      </c>
      <c r="D180" s="25">
        <v>2102</v>
      </c>
      <c r="E180" t="s">
        <v>444</v>
      </c>
      <c r="F180" t="s">
        <v>445</v>
      </c>
      <c r="G180" s="16">
        <v>46149</v>
      </c>
      <c r="H180" s="16">
        <v>46184</v>
      </c>
      <c r="I180" t="s">
        <v>115</v>
      </c>
      <c r="J180" t="s">
        <v>88</v>
      </c>
      <c r="K180" t="s">
        <v>112</v>
      </c>
      <c r="L180" t="s">
        <v>370</v>
      </c>
      <c r="M180" t="s">
        <v>202</v>
      </c>
      <c r="N180" s="53">
        <f t="shared" ca="1" si="2"/>
        <v>1.1666666666666667</v>
      </c>
      <c r="P180" s="47" t="str">
        <f ca="1">IF(TRIM(SUBSTITUTE(($C180&amp;" "&amp;$D180),CHAR(160)," "))="","",IFERROR(IF(ISNUMBER(SEARCH("INC",($C180&amp;" "&amp;$D180))),"INC",IF(ISNUMBER(SEARCH("OPI",($C180&amp;" "&amp;$D180))),"OPI",IF(ISNUMBER(SEARCH("DP",($C180&amp;" "&amp;$D180))),"DP","CONC")))&amp;" "&amp;TEXT(LOOKUP(9.99E+307,--MID(SUBSTITUTE(($C180&amp;" "&amp;$D180),CHAR(160)," "),SUMPRODUCT(MIN(FIND({0,1,2,3,4,5,6,7,8,9},SUBSTITUTE(($C180&amp;" "&amp;$D180),CHAR(160)," ")&amp;"0123456789"))),ROW(INDIRECT("1:6")))),"0"),"SIN NUMERO"))</f>
        <v>CONC 2102</v>
      </c>
      <c r="Q180" t="str">
        <f ca="1">IF($P180="","",IF(LEFT(UPPER($S180),9)="VERIFICAR","VERIFICAR",IF($A180="","SIN ESTADO",IF(AND($A180="Firmada",$H180=""),"FALTA FECHA DE FIRMA",IF(N($T180)=0,IF(AND(ISNUMBER($H180),$H180&gt;=DATE(2024,1,1)),"FALTA EN FIRMADAS","OK"),IF(OR($A180="Pendiente de presentación",$A180="Observado",$A180="En análisis",$A180="En instrucción",$A180="Suspendida",$A180="IT circulando",$A180="Para resolución",$A180="TDC"),"ABIERTA PERO ESTÁ EN FIRMADAS",IF($H180&lt;&gt;INDEX(firmadas!$F:$F,$T180),"FIRMA DISTINTA EN firmadas ("&amp;IF(INDEX(firmadas!$F:$F,$T180)="","vacía",DAY(INDEX(firmadas!$F:$F,$T180))&amp;"/"&amp;MONTH(INDEX(firmadas!$F:$F,$T180))&amp;"/"&amp;YEAR(INDEX(firmadas!$F:$F,$T180)))&amp;")",IF($G180&lt;&gt;INDEX(firmadas!$E:$E,$T180),"INGRESO DISTINTO EN firmadas ("&amp;IF(INDEX(firmadas!$E:$E,$T180)="","vacía",DAY(INDEX(firmadas!$E:$E,$T180))&amp;"/"&amp;MONTH(INDEX(firmadas!$E:$E,$T180))&amp;"/"&amp;YEAR(INDEX(firmadas!$E:$E,$T180)))&amp;")","OK"))))))))</f>
        <v>OK</v>
      </c>
      <c r="T180">
        <f ca="1">IF($P180="","",IFERROR(MATCH($P180,firmadas!$N:$N,0),IFERROR(MATCH("*/"&amp;MID($P180,FIND(" ",$P180)+1,9)&amp;"*",firmadas!$B:$B,0),0)))</f>
        <v>248</v>
      </c>
    </row>
    <row r="181" spans="1:20" ht="15" customHeight="1" x14ac:dyDescent="0.25">
      <c r="A181" t="s">
        <v>274</v>
      </c>
      <c r="C181" t="s">
        <v>409</v>
      </c>
      <c r="D181" s="25">
        <v>2103</v>
      </c>
      <c r="E181" t="s">
        <v>446</v>
      </c>
      <c r="F181" t="s">
        <v>447</v>
      </c>
      <c r="G181" s="16">
        <v>46150</v>
      </c>
      <c r="I181" s="16" t="s">
        <v>110</v>
      </c>
      <c r="J181" t="s">
        <v>115</v>
      </c>
      <c r="K181" t="s">
        <v>370</v>
      </c>
      <c r="L181" t="s">
        <v>112</v>
      </c>
      <c r="M181" t="s">
        <v>83</v>
      </c>
      <c r="N181" s="53">
        <f t="shared" ca="1" si="2"/>
        <v>4.8666666666666663</v>
      </c>
      <c r="O181" s="44" t="s">
        <v>448</v>
      </c>
      <c r="P181" s="47" t="str">
        <f ca="1">IF(TRIM(SUBSTITUTE(($C181&amp;" "&amp;$D181),CHAR(160)," "))="","",IFERROR(IF(ISNUMBER(SEARCH("INC",($C181&amp;" "&amp;$D181))),"INC",IF(ISNUMBER(SEARCH("OPI",($C181&amp;" "&amp;$D181))),"OPI",IF(ISNUMBER(SEARCH("DP",($C181&amp;" "&amp;$D181))),"DP","CONC")))&amp;" "&amp;TEXT(LOOKUP(9.99E+307,--MID(SUBSTITUTE(($C181&amp;" "&amp;$D181),CHAR(160)," "),SUMPRODUCT(MIN(FIND({0,1,2,3,4,5,6,7,8,9},SUBSTITUTE(($C181&amp;" "&amp;$D181),CHAR(160)," ")&amp;"0123456789"))),ROW(INDIRECT("1:6")))),"0"),"SIN NUMERO"))</f>
        <v>CONC 2103</v>
      </c>
      <c r="Q181" t="str">
        <f ca="1">IF($P181="","",IF(LEFT(UPPER($S181),9)="VERIFICAR","VERIFICAR",IF($A181="","SIN ESTADO",IF(AND($A181="Firmada",$H181=""),"FALTA FECHA DE FIRMA",IF(N($T181)=0,IF(AND(ISNUMBER($H181),$H181&gt;=DATE(2024,1,1)),"FALTA EN FIRMADAS","OK"),IF(OR($A181="Pendiente de presentación",$A181="Observado",$A181="En análisis",$A181="En instrucción",$A181="Suspendida",$A181="IT circulando",$A181="Para resolución",$A181="TDC"),"ABIERTA PERO ESTÁ EN FIRMADAS",IF($H181&lt;&gt;INDEX(firmadas!$F:$F,$T181),"FIRMA DISTINTA EN firmadas ("&amp;IF(INDEX(firmadas!$F:$F,$T181)="","vacía",DAY(INDEX(firmadas!$F:$F,$T181))&amp;"/"&amp;MONTH(INDEX(firmadas!$F:$F,$T181))&amp;"/"&amp;YEAR(INDEX(firmadas!$F:$F,$T181)))&amp;")",IF($G181&lt;&gt;INDEX(firmadas!$E:$E,$T181),"INGRESO DISTINTO EN firmadas ("&amp;IF(INDEX(firmadas!$E:$E,$T181)="","vacía",DAY(INDEX(firmadas!$E:$E,$T181))&amp;"/"&amp;MONTH(INDEX(firmadas!$E:$E,$T181))&amp;"/"&amp;YEAR(INDEX(firmadas!$E:$E,$T181)))&amp;")","OK"))))))))</f>
        <v>OK</v>
      </c>
      <c r="T181">
        <f ca="1">IF($P181="","",IFERROR(MATCH($P181,firmadas!$N:$N,0),IFERROR(MATCH("*/"&amp;MID($P181,FIND(" ",$P181)+1,9)&amp;"*",firmadas!$B:$B,0),0)))</f>
        <v>0</v>
      </c>
    </row>
    <row r="182" spans="1:20" ht="15" customHeight="1" x14ac:dyDescent="0.25">
      <c r="A182" t="s">
        <v>80</v>
      </c>
      <c r="C182" t="s">
        <v>145</v>
      </c>
      <c r="D182" s="25">
        <v>2104</v>
      </c>
      <c r="E182" t="s">
        <v>449</v>
      </c>
      <c r="F182" t="s">
        <v>450</v>
      </c>
      <c r="G182" s="16">
        <v>46153</v>
      </c>
      <c r="H182" s="16">
        <v>46244</v>
      </c>
      <c r="I182" t="s">
        <v>115</v>
      </c>
      <c r="J182" t="s">
        <v>88</v>
      </c>
      <c r="K182" t="s">
        <v>112</v>
      </c>
      <c r="L182" t="s">
        <v>370</v>
      </c>
      <c r="M182" t="s">
        <v>202</v>
      </c>
      <c r="N182" s="53">
        <f t="shared" ca="1" si="2"/>
        <v>3.0333333333333332</v>
      </c>
      <c r="P182" s="47" t="str">
        <f ca="1">IF(TRIM(SUBSTITUTE(($C182&amp;" "&amp;$D182),CHAR(160)," "))="","",IFERROR(IF(ISNUMBER(SEARCH("INC",($C182&amp;" "&amp;$D182))),"INC",IF(ISNUMBER(SEARCH("OPI",($C182&amp;" "&amp;$D182))),"OPI",IF(ISNUMBER(SEARCH("DP",($C182&amp;" "&amp;$D182))),"DP","CONC")))&amp;" "&amp;TEXT(LOOKUP(9.99E+307,--MID(SUBSTITUTE(($C182&amp;" "&amp;$D182),CHAR(160)," "),SUMPRODUCT(MIN(FIND({0,1,2,3,4,5,6,7,8,9},SUBSTITUTE(($C182&amp;" "&amp;$D182),CHAR(160)," ")&amp;"0123456789"))),ROW(INDIRECT("1:6")))),"0"),"SIN NUMERO"))</f>
        <v>CONC 2104</v>
      </c>
      <c r="Q182" t="str">
        <f ca="1">IF($P182="","",IF(LEFT(UPPER($S182),9)="VERIFICAR","VERIFICAR",IF($A182="","SIN ESTADO",IF(AND($A182="Firmada",$H182=""),"FALTA FECHA DE FIRMA",IF(N($T182)=0,IF(AND(ISNUMBER($H182),$H182&gt;=DATE(2024,1,1)),"FALTA EN FIRMADAS","OK"),IF(OR($A182="Pendiente de presentación",$A182="Observado",$A182="En análisis",$A182="En instrucción",$A182="Suspendida",$A182="IT circulando",$A182="Para resolución",$A182="TDC"),"ABIERTA PERO ESTÁ EN FIRMADAS",IF($H182&lt;&gt;INDEX(firmadas!$F:$F,$T182),"FIRMA DISTINTA EN firmadas ("&amp;IF(INDEX(firmadas!$F:$F,$T182)="","vacía",DAY(INDEX(firmadas!$F:$F,$T182))&amp;"/"&amp;MONTH(INDEX(firmadas!$F:$F,$T182))&amp;"/"&amp;YEAR(INDEX(firmadas!$F:$F,$T182)))&amp;")",IF($G182&lt;&gt;INDEX(firmadas!$E:$E,$T182),"INGRESO DISTINTO EN firmadas ("&amp;IF(INDEX(firmadas!$E:$E,$T182)="","vacía",DAY(INDEX(firmadas!$E:$E,$T182))&amp;"/"&amp;MONTH(INDEX(firmadas!$E:$E,$T182))&amp;"/"&amp;YEAR(INDEX(firmadas!$E:$E,$T182)))&amp;")","OK"))))))))</f>
        <v>OK</v>
      </c>
      <c r="T182">
        <f ca="1">IF($P182="","",IFERROR(MATCH($P182,firmadas!$N:$N,0),IFERROR(MATCH("*/"&amp;MID($P182,FIND(" ",$P182)+1,9)&amp;"*",firmadas!$B:$B,0),0)))</f>
        <v>267</v>
      </c>
    </row>
    <row r="183" spans="1:20" ht="15" customHeight="1" x14ac:dyDescent="0.25">
      <c r="A183" t="s">
        <v>319</v>
      </c>
      <c r="C183" t="s">
        <v>409</v>
      </c>
      <c r="D183" s="25">
        <v>2105</v>
      </c>
      <c r="E183" t="s">
        <v>451</v>
      </c>
      <c r="F183" t="s">
        <v>452</v>
      </c>
      <c r="G183" s="16">
        <v>46154</v>
      </c>
      <c r="I183" s="16" t="s">
        <v>115</v>
      </c>
      <c r="J183" t="s">
        <v>138</v>
      </c>
      <c r="K183" t="s">
        <v>197</v>
      </c>
      <c r="L183" t="s">
        <v>96</v>
      </c>
      <c r="M183" t="s">
        <v>83</v>
      </c>
      <c r="N183" s="53">
        <f t="shared" ca="1" si="2"/>
        <v>4.7333333333333334</v>
      </c>
      <c r="O183" s="44" t="s">
        <v>453</v>
      </c>
      <c r="P183" s="47" t="str">
        <f ca="1">IF(TRIM(SUBSTITUTE(($C183&amp;" "&amp;$D183),CHAR(160)," "))="","",IFERROR(IF(ISNUMBER(SEARCH("INC",($C183&amp;" "&amp;$D183))),"INC",IF(ISNUMBER(SEARCH("OPI",($C183&amp;" "&amp;$D183))),"OPI",IF(ISNUMBER(SEARCH("DP",($C183&amp;" "&amp;$D183))),"DP","CONC")))&amp;" "&amp;TEXT(LOOKUP(9.99E+307,--MID(SUBSTITUTE(($C183&amp;" "&amp;$D183),CHAR(160)," "),SUMPRODUCT(MIN(FIND({0,1,2,3,4,5,6,7,8,9},SUBSTITUTE(($C183&amp;" "&amp;$D183),CHAR(160)," ")&amp;"0123456789"))),ROW(INDIRECT("1:6")))),"0"),"SIN NUMERO"))</f>
        <v>CONC 2105</v>
      </c>
      <c r="Q183" t="str">
        <f ca="1">IF($P183="","",IF(LEFT(UPPER($S183),9)="VERIFICAR","VERIFICAR",IF($A183="","SIN ESTADO",IF(AND($A183="Firmada",$H183=""),"FALTA FECHA DE FIRMA",IF(N($T183)=0,IF(AND(ISNUMBER($H183),$H183&gt;=DATE(2024,1,1)),"FALTA EN FIRMADAS","OK"),IF(OR($A183="Pendiente de presentación",$A183="Observado",$A183="En análisis",$A183="En instrucción",$A183="Suspendida",$A183="IT circulando",$A183="Para resolución",$A183="TDC"),"ABIERTA PERO ESTÁ EN FIRMADAS",IF($H183&lt;&gt;INDEX(firmadas!$F:$F,$T183),"FIRMA DISTINTA EN firmadas ("&amp;IF(INDEX(firmadas!$F:$F,$T183)="","vacía",DAY(INDEX(firmadas!$F:$F,$T183))&amp;"/"&amp;MONTH(INDEX(firmadas!$F:$F,$T183))&amp;"/"&amp;YEAR(INDEX(firmadas!$F:$F,$T183)))&amp;")",IF($G183&lt;&gt;INDEX(firmadas!$E:$E,$T183),"INGRESO DISTINTO EN firmadas ("&amp;IF(INDEX(firmadas!$E:$E,$T183)="","vacía",DAY(INDEX(firmadas!$E:$E,$T183))&amp;"/"&amp;MONTH(INDEX(firmadas!$E:$E,$T183))&amp;"/"&amp;YEAR(INDEX(firmadas!$E:$E,$T183)))&amp;")","OK"))))))))</f>
        <v>OK</v>
      </c>
      <c r="T183">
        <f ca="1">IF($P183="","",IFERROR(MATCH($P183,firmadas!$N:$N,0),IFERROR(MATCH("*/"&amp;MID($P183,FIND(" ",$P183)+1,9)&amp;"*",firmadas!$B:$B,0),0)))</f>
        <v>0</v>
      </c>
    </row>
    <row r="184" spans="1:20" ht="15" customHeight="1" x14ac:dyDescent="0.25">
      <c r="A184" t="s">
        <v>80</v>
      </c>
      <c r="C184" t="s">
        <v>145</v>
      </c>
      <c r="D184" s="25">
        <v>2106</v>
      </c>
      <c r="E184" t="s">
        <v>454</v>
      </c>
      <c r="F184" t="s">
        <v>455</v>
      </c>
      <c r="G184" s="16">
        <v>46156</v>
      </c>
      <c r="H184" s="16">
        <v>46157</v>
      </c>
      <c r="I184" t="s">
        <v>115</v>
      </c>
      <c r="J184" t="s">
        <v>88</v>
      </c>
      <c r="K184" t="s">
        <v>112</v>
      </c>
      <c r="L184" t="s">
        <v>370</v>
      </c>
      <c r="M184" t="s">
        <v>202</v>
      </c>
      <c r="N184" s="53">
        <f t="shared" ca="1" si="2"/>
        <v>3.3333333333333333E-2</v>
      </c>
      <c r="P184" s="47" t="str">
        <f ca="1">IF(TRIM(SUBSTITUTE(($C184&amp;" "&amp;$D184),CHAR(160)," "))="","",IFERROR(IF(ISNUMBER(SEARCH("INC",($C184&amp;" "&amp;$D184))),"INC",IF(ISNUMBER(SEARCH("OPI",($C184&amp;" "&amp;$D184))),"OPI",IF(ISNUMBER(SEARCH("DP",($C184&amp;" "&amp;$D184))),"DP","CONC")))&amp;" "&amp;TEXT(LOOKUP(9.99E+307,--MID(SUBSTITUTE(($C184&amp;" "&amp;$D184),CHAR(160)," "),SUMPRODUCT(MIN(FIND({0,1,2,3,4,5,6,7,8,9},SUBSTITUTE(($C184&amp;" "&amp;$D184),CHAR(160)," ")&amp;"0123456789"))),ROW(INDIRECT("1:6")))),"0"),"SIN NUMERO"))</f>
        <v>CONC 2106</v>
      </c>
      <c r="Q184" t="str">
        <f ca="1">IF($P184="","",IF(LEFT(UPPER($S184),9)="VERIFICAR","VERIFICAR",IF($A184="","SIN ESTADO",IF(AND($A184="Firmada",$H184=""),"FALTA FECHA DE FIRMA",IF(N($T184)=0,IF(AND(ISNUMBER($H184),$H184&gt;=DATE(2024,1,1)),"FALTA EN FIRMADAS","OK"),IF(OR($A184="Pendiente de presentación",$A184="Observado",$A184="En análisis",$A184="En instrucción",$A184="Suspendida",$A184="IT circulando",$A184="Para resolución",$A184="TDC"),"ABIERTA PERO ESTÁ EN FIRMADAS",IF($H184&lt;&gt;INDEX(firmadas!$F:$F,$T184),"FIRMA DISTINTA EN firmadas ("&amp;IF(INDEX(firmadas!$F:$F,$T184)="","vacía",DAY(INDEX(firmadas!$F:$F,$T184))&amp;"/"&amp;MONTH(INDEX(firmadas!$F:$F,$T184))&amp;"/"&amp;YEAR(INDEX(firmadas!$F:$F,$T184)))&amp;")",IF($G184&lt;&gt;INDEX(firmadas!$E:$E,$T184),"INGRESO DISTINTO EN firmadas ("&amp;IF(INDEX(firmadas!$E:$E,$T184)="","vacía",DAY(INDEX(firmadas!$E:$E,$T184))&amp;"/"&amp;MONTH(INDEX(firmadas!$E:$E,$T184))&amp;"/"&amp;YEAR(INDEX(firmadas!$E:$E,$T184)))&amp;")","OK"))))))))</f>
        <v>OK</v>
      </c>
      <c r="T184">
        <f ca="1">IF($P184="","",IFERROR(MATCH($P184,firmadas!$N:$N,0),IFERROR(MATCH("*/"&amp;MID($P184,FIND(" ",$P184)+1,9)&amp;"*",firmadas!$B:$B,0),0)))</f>
        <v>239</v>
      </c>
    </row>
    <row r="185" spans="1:20" ht="15" customHeight="1" x14ac:dyDescent="0.25">
      <c r="A185" t="s">
        <v>80</v>
      </c>
      <c r="C185" t="s">
        <v>145</v>
      </c>
      <c r="D185" s="25">
        <v>2107</v>
      </c>
      <c r="E185" t="s">
        <v>456</v>
      </c>
      <c r="F185" t="s">
        <v>457</v>
      </c>
      <c r="G185" s="16">
        <v>46156</v>
      </c>
      <c r="H185" s="16">
        <v>46185</v>
      </c>
      <c r="I185" t="s">
        <v>110</v>
      </c>
      <c r="J185" t="s">
        <v>115</v>
      </c>
      <c r="K185" t="s">
        <v>370</v>
      </c>
      <c r="L185" t="s">
        <v>112</v>
      </c>
      <c r="M185" t="s">
        <v>202</v>
      </c>
      <c r="N185" s="53">
        <f t="shared" ca="1" si="2"/>
        <v>0.96666666666666667</v>
      </c>
      <c r="P185" s="47" t="str">
        <f ca="1">IF(TRIM(SUBSTITUTE(($C185&amp;" "&amp;$D185),CHAR(160)," "))="","",IFERROR(IF(ISNUMBER(SEARCH("INC",($C185&amp;" "&amp;$D185))),"INC",IF(ISNUMBER(SEARCH("OPI",($C185&amp;" "&amp;$D185))),"OPI",IF(ISNUMBER(SEARCH("DP",($C185&amp;" "&amp;$D185))),"DP","CONC")))&amp;" "&amp;TEXT(LOOKUP(9.99E+307,--MID(SUBSTITUTE(($C185&amp;" "&amp;$D185),CHAR(160)," "),SUMPRODUCT(MIN(FIND({0,1,2,3,4,5,6,7,8,9},SUBSTITUTE(($C185&amp;" "&amp;$D185),CHAR(160)," ")&amp;"0123456789"))),ROW(INDIRECT("1:6")))),"0"),"SIN NUMERO"))</f>
        <v>CONC 2107</v>
      </c>
      <c r="Q185" t="str">
        <f ca="1">IF($P185="","",IF(LEFT(UPPER($S185),9)="VERIFICAR","VERIFICAR",IF($A185="","SIN ESTADO",IF(AND($A185="Firmada",$H185=""),"FALTA FECHA DE FIRMA",IF(N($T185)=0,IF(AND(ISNUMBER($H185),$H185&gt;=DATE(2024,1,1)),"FALTA EN FIRMADAS","OK"),IF(OR($A185="Pendiente de presentación",$A185="Observado",$A185="En análisis",$A185="En instrucción",$A185="Suspendida",$A185="IT circulando",$A185="Para resolución",$A185="TDC"),"ABIERTA PERO ESTÁ EN FIRMADAS",IF($H185&lt;&gt;INDEX(firmadas!$F:$F,$T185),"FIRMA DISTINTA EN firmadas ("&amp;IF(INDEX(firmadas!$F:$F,$T185)="","vacía",DAY(INDEX(firmadas!$F:$F,$T185))&amp;"/"&amp;MONTH(INDEX(firmadas!$F:$F,$T185))&amp;"/"&amp;YEAR(INDEX(firmadas!$F:$F,$T185)))&amp;")",IF($G185&lt;&gt;INDEX(firmadas!$E:$E,$T185),"INGRESO DISTINTO EN firmadas ("&amp;IF(INDEX(firmadas!$E:$E,$T185)="","vacía",DAY(INDEX(firmadas!$E:$E,$T185))&amp;"/"&amp;MONTH(INDEX(firmadas!$E:$E,$T185))&amp;"/"&amp;YEAR(INDEX(firmadas!$E:$E,$T185)))&amp;")","OK"))))))))</f>
        <v>OK</v>
      </c>
      <c r="T185">
        <f ca="1">IF($P185="","",IFERROR(MATCH($P185,firmadas!$N:$N,0),IFERROR(MATCH("*/"&amp;MID($P185,FIND(" ",$P185)+1,9)&amp;"*",firmadas!$B:$B,0),0)))</f>
        <v>249</v>
      </c>
    </row>
    <row r="186" spans="1:20" ht="15" customHeight="1" x14ac:dyDescent="0.25">
      <c r="A186" t="s">
        <v>319</v>
      </c>
      <c r="C186" t="s">
        <v>409</v>
      </c>
      <c r="D186" s="25">
        <v>2108</v>
      </c>
      <c r="E186" t="s">
        <v>458</v>
      </c>
      <c r="F186" t="s">
        <v>459</v>
      </c>
      <c r="G186" s="16">
        <v>46160</v>
      </c>
      <c r="I186" s="16" t="s">
        <v>138</v>
      </c>
      <c r="J186" t="s">
        <v>405</v>
      </c>
      <c r="K186" t="s">
        <v>104</v>
      </c>
      <c r="L186" t="s">
        <v>96</v>
      </c>
      <c r="M186" t="s">
        <v>83</v>
      </c>
      <c r="N186" s="53">
        <f t="shared" ca="1" si="2"/>
        <v>4.5333333333333332</v>
      </c>
      <c r="P186" s="47" t="str">
        <f ca="1">IF(TRIM(SUBSTITUTE(($C186&amp;" "&amp;$D186),CHAR(160)," "))="","",IFERROR(IF(ISNUMBER(SEARCH("INC",($C186&amp;" "&amp;$D186))),"INC",IF(ISNUMBER(SEARCH("OPI",($C186&amp;" "&amp;$D186))),"OPI",IF(ISNUMBER(SEARCH("DP",($C186&amp;" "&amp;$D186))),"DP","CONC")))&amp;" "&amp;TEXT(LOOKUP(9.99E+307,--MID(SUBSTITUTE(($C186&amp;" "&amp;$D186),CHAR(160)," "),SUMPRODUCT(MIN(FIND({0,1,2,3,4,5,6,7,8,9},SUBSTITUTE(($C186&amp;" "&amp;$D186),CHAR(160)," ")&amp;"0123456789"))),ROW(INDIRECT("1:6")))),"0"),"SIN NUMERO"))</f>
        <v>CONC 2108</v>
      </c>
      <c r="Q186" t="str">
        <f ca="1">IF($P186="","",IF(LEFT(UPPER($S186),9)="VERIFICAR","VERIFICAR",IF($A186="","SIN ESTADO",IF(AND($A186="Firmada",$H186=""),"FALTA FECHA DE FIRMA",IF(N($T186)=0,IF(AND(ISNUMBER($H186),$H186&gt;=DATE(2024,1,1)),"FALTA EN FIRMADAS","OK"),IF(OR($A186="Pendiente de presentación",$A186="Observado",$A186="En análisis",$A186="En instrucción",$A186="Suspendida",$A186="IT circulando",$A186="Para resolución",$A186="TDC"),"ABIERTA PERO ESTÁ EN FIRMADAS",IF($H186&lt;&gt;INDEX(firmadas!$F:$F,$T186),"FIRMA DISTINTA EN firmadas ("&amp;IF(INDEX(firmadas!$F:$F,$T186)="","vacía",DAY(INDEX(firmadas!$F:$F,$T186))&amp;"/"&amp;MONTH(INDEX(firmadas!$F:$F,$T186))&amp;"/"&amp;YEAR(INDEX(firmadas!$F:$F,$T186)))&amp;")",IF($G186&lt;&gt;INDEX(firmadas!$E:$E,$T186),"INGRESO DISTINTO EN firmadas ("&amp;IF(INDEX(firmadas!$E:$E,$T186)="","vacía",DAY(INDEX(firmadas!$E:$E,$T186))&amp;"/"&amp;MONTH(INDEX(firmadas!$E:$E,$T186))&amp;"/"&amp;YEAR(INDEX(firmadas!$E:$E,$T186)))&amp;")","OK"))))))))</f>
        <v>OK</v>
      </c>
      <c r="T186">
        <f ca="1">IF($P186="","",IFERROR(MATCH($P186,firmadas!$N:$N,0),IFERROR(MATCH("*/"&amp;MID($P186,FIND(" ",$P186)+1,9)&amp;"*",firmadas!$B:$B,0),0)))</f>
        <v>0</v>
      </c>
    </row>
    <row r="187" spans="1:20" ht="15" customHeight="1" x14ac:dyDescent="0.25">
      <c r="A187" t="s">
        <v>80</v>
      </c>
      <c r="C187" t="s">
        <v>145</v>
      </c>
      <c r="D187" s="25">
        <v>2109</v>
      </c>
      <c r="E187" t="s">
        <v>460</v>
      </c>
      <c r="F187" t="s">
        <v>461</v>
      </c>
      <c r="G187" s="16">
        <v>46163</v>
      </c>
      <c r="H187" s="16">
        <v>46169</v>
      </c>
      <c r="I187" t="s">
        <v>110</v>
      </c>
      <c r="J187" t="s">
        <v>115</v>
      </c>
      <c r="K187" t="s">
        <v>112</v>
      </c>
      <c r="L187" t="s">
        <v>370</v>
      </c>
      <c r="M187" t="s">
        <v>202</v>
      </c>
      <c r="N187" s="53">
        <f t="shared" ca="1" si="2"/>
        <v>0.2</v>
      </c>
      <c r="O187" s="54">
        <v>46169</v>
      </c>
      <c r="P187" s="47" t="str">
        <f ca="1">IF(TRIM(SUBSTITUTE(($C187&amp;" "&amp;$D187),CHAR(160)," "))="","",IFERROR(IF(ISNUMBER(SEARCH("INC",($C187&amp;" "&amp;$D187))),"INC",IF(ISNUMBER(SEARCH("OPI",($C187&amp;" "&amp;$D187))),"OPI",IF(ISNUMBER(SEARCH("DP",($C187&amp;" "&amp;$D187))),"DP","CONC")))&amp;" "&amp;TEXT(LOOKUP(9.99E+307,--MID(SUBSTITUTE(($C187&amp;" "&amp;$D187),CHAR(160)," "),SUMPRODUCT(MIN(FIND({0,1,2,3,4,5,6,7,8,9},SUBSTITUTE(($C187&amp;" "&amp;$D187),CHAR(160)," ")&amp;"0123456789"))),ROW(INDIRECT("1:6")))),"0"),"SIN NUMERO"))</f>
        <v>CONC 2109</v>
      </c>
      <c r="Q187" t="str">
        <f ca="1">IF($P187="","",IF(LEFT(UPPER($S187),9)="VERIFICAR","VERIFICAR",IF($A187="","SIN ESTADO",IF(AND($A187="Firmada",$H187=""),"FALTA FECHA DE FIRMA",IF(N($T187)=0,IF(AND(ISNUMBER($H187),$H187&gt;=DATE(2024,1,1)),"FALTA EN FIRMADAS","OK"),IF(OR($A187="Pendiente de presentación",$A187="Observado",$A187="En análisis",$A187="En instrucción",$A187="Suspendida",$A187="IT circulando",$A187="Para resolución",$A187="TDC"),"ABIERTA PERO ESTÁ EN FIRMADAS",IF($H187&lt;&gt;INDEX(firmadas!$F:$F,$T187),"FIRMA DISTINTA EN firmadas ("&amp;IF(INDEX(firmadas!$F:$F,$T187)="","vacía",DAY(INDEX(firmadas!$F:$F,$T187))&amp;"/"&amp;MONTH(INDEX(firmadas!$F:$F,$T187))&amp;"/"&amp;YEAR(INDEX(firmadas!$F:$F,$T187)))&amp;")",IF($G187&lt;&gt;INDEX(firmadas!$E:$E,$T187),"INGRESO DISTINTO EN firmadas ("&amp;IF(INDEX(firmadas!$E:$E,$T187)="","vacía",DAY(INDEX(firmadas!$E:$E,$T187))&amp;"/"&amp;MONTH(INDEX(firmadas!$E:$E,$T187))&amp;"/"&amp;YEAR(INDEX(firmadas!$E:$E,$T187)))&amp;")","OK"))))))))</f>
        <v>OK</v>
      </c>
      <c r="T187">
        <f ca="1">IF($P187="","",IFERROR(MATCH($P187,firmadas!$N:$N,0),IFERROR(MATCH("*/"&amp;MID($P187,FIND(" ",$P187)+1,9)&amp;"*",firmadas!$B:$B,0),0)))</f>
        <v>243</v>
      </c>
    </row>
    <row r="188" spans="1:20" ht="15" customHeight="1" x14ac:dyDescent="0.25">
      <c r="A188" t="s">
        <v>80</v>
      </c>
      <c r="C188" t="s">
        <v>145</v>
      </c>
      <c r="D188" s="25">
        <v>2110</v>
      </c>
      <c r="E188" t="s">
        <v>462</v>
      </c>
      <c r="F188" t="s">
        <v>463</v>
      </c>
      <c r="G188" s="16">
        <v>46164</v>
      </c>
      <c r="H188" s="16">
        <v>46199</v>
      </c>
      <c r="I188" t="s">
        <v>110</v>
      </c>
      <c r="J188" t="s">
        <v>115</v>
      </c>
      <c r="K188" t="s">
        <v>112</v>
      </c>
      <c r="L188" t="s">
        <v>370</v>
      </c>
      <c r="M188" t="s">
        <v>202</v>
      </c>
      <c r="N188" s="53">
        <f t="shared" ca="1" si="2"/>
        <v>1.1666666666666667</v>
      </c>
      <c r="P188" s="47" t="str">
        <f ca="1">IF(TRIM(SUBSTITUTE(($C188&amp;" "&amp;$D188),CHAR(160)," "))="","",IFERROR(IF(ISNUMBER(SEARCH("INC",($C188&amp;" "&amp;$D188))),"INC",IF(ISNUMBER(SEARCH("OPI",($C188&amp;" "&amp;$D188))),"OPI",IF(ISNUMBER(SEARCH("DP",($C188&amp;" "&amp;$D188))),"DP","CONC")))&amp;" "&amp;TEXT(LOOKUP(9.99E+307,--MID(SUBSTITUTE(($C188&amp;" "&amp;$D188),CHAR(160)," "),SUMPRODUCT(MIN(FIND({0,1,2,3,4,5,6,7,8,9},SUBSTITUTE(($C188&amp;" "&amp;$D188),CHAR(160)," ")&amp;"0123456789"))),ROW(INDIRECT("1:6")))),"0"),"SIN NUMERO"))</f>
        <v>CONC 2110</v>
      </c>
      <c r="Q188" t="str">
        <f ca="1">IF($P188="","",IF(LEFT(UPPER($S188),9)="VERIFICAR","VERIFICAR",IF($A188="","SIN ESTADO",IF(AND($A188="Firmada",$H188=""),"FALTA FECHA DE FIRMA",IF(N($T188)=0,IF(AND(ISNUMBER($H188),$H188&gt;=DATE(2024,1,1)),"FALTA EN FIRMADAS","OK"),IF(OR($A188="Pendiente de presentación",$A188="Observado",$A188="En análisis",$A188="En instrucción",$A188="Suspendida",$A188="IT circulando",$A188="Para resolución",$A188="TDC"),"ABIERTA PERO ESTÁ EN FIRMADAS",IF($H188&lt;&gt;INDEX(firmadas!$F:$F,$T188),"FIRMA DISTINTA EN firmadas ("&amp;IF(INDEX(firmadas!$F:$F,$T188)="","vacía",DAY(INDEX(firmadas!$F:$F,$T188))&amp;"/"&amp;MONTH(INDEX(firmadas!$F:$F,$T188))&amp;"/"&amp;YEAR(INDEX(firmadas!$F:$F,$T188)))&amp;")",IF($G188&lt;&gt;INDEX(firmadas!$E:$E,$T188),"INGRESO DISTINTO EN firmadas ("&amp;IF(INDEX(firmadas!$E:$E,$T188)="","vacía",DAY(INDEX(firmadas!$E:$E,$T188))&amp;"/"&amp;MONTH(INDEX(firmadas!$E:$E,$T188))&amp;"/"&amp;YEAR(INDEX(firmadas!$E:$E,$T188)))&amp;")","OK"))))))))</f>
        <v>OK</v>
      </c>
      <c r="T188">
        <f ca="1">IF($P188="","",IFERROR(MATCH($P188,firmadas!$N:$N,0),IFERROR(MATCH("*/"&amp;MID($P188,FIND(" ",$P188)+1,9)&amp;"*",firmadas!$B:$B,0),0)))</f>
        <v>254</v>
      </c>
    </row>
    <row r="189" spans="1:20" ht="15" customHeight="1" x14ac:dyDescent="0.25">
      <c r="A189" t="s">
        <v>80</v>
      </c>
      <c r="C189" t="s">
        <v>145</v>
      </c>
      <c r="D189" s="25">
        <v>2111</v>
      </c>
      <c r="E189" t="s">
        <v>464</v>
      </c>
      <c r="F189" t="s">
        <v>465</v>
      </c>
      <c r="G189" s="16">
        <v>46168</v>
      </c>
      <c r="H189" s="26">
        <v>46248</v>
      </c>
      <c r="I189" t="s">
        <v>115</v>
      </c>
      <c r="J189" t="s">
        <v>88</v>
      </c>
      <c r="K189" t="s">
        <v>112</v>
      </c>
      <c r="L189" t="s">
        <v>370</v>
      </c>
      <c r="M189" t="s">
        <v>202</v>
      </c>
      <c r="N189" s="53">
        <f t="shared" ca="1" si="2"/>
        <v>2.6666666666666665</v>
      </c>
      <c r="P189" s="47" t="str">
        <f ca="1">IF(TRIM(SUBSTITUTE(($C189&amp;" "&amp;$D189),CHAR(160)," "))="","",IFERROR(IF(ISNUMBER(SEARCH("INC",($C189&amp;" "&amp;$D189))),"INC",IF(ISNUMBER(SEARCH("OPI",($C189&amp;" "&amp;$D189))),"OPI",IF(ISNUMBER(SEARCH("DP",($C189&amp;" "&amp;$D189))),"DP","CONC")))&amp;" "&amp;TEXT(LOOKUP(9.99E+307,--MID(SUBSTITUTE(($C189&amp;" "&amp;$D189),CHAR(160)," "),SUMPRODUCT(MIN(FIND({0,1,2,3,4,5,6,7,8,9},SUBSTITUTE(($C189&amp;" "&amp;$D189),CHAR(160)," ")&amp;"0123456789"))),ROW(INDIRECT("1:6")))),"0"),"SIN NUMERO"))</f>
        <v>CONC 2111</v>
      </c>
      <c r="Q189" t="str">
        <f ca="1">IF($P189="","",IF(LEFT(UPPER($S189),9)="VERIFICAR","VERIFICAR",IF($A189="","SIN ESTADO",IF(AND($A189="Firmada",$H189=""),"FALTA FECHA DE FIRMA",IF(N($T189)=0,IF(AND(ISNUMBER($H189),$H189&gt;=DATE(2024,1,1)),"FALTA EN FIRMADAS","OK"),IF(OR($A189="Pendiente de presentación",$A189="Observado",$A189="En análisis",$A189="En instrucción",$A189="Suspendida",$A189="IT circulando",$A189="Para resolución",$A189="TDC"),"ABIERTA PERO ESTÁ EN FIRMADAS",IF($H189&lt;&gt;INDEX(firmadas!$F:$F,$T189),"FIRMA DISTINTA EN firmadas ("&amp;IF(INDEX(firmadas!$F:$F,$T189)="","vacía",DAY(INDEX(firmadas!$F:$F,$T189))&amp;"/"&amp;MONTH(INDEX(firmadas!$F:$F,$T189))&amp;"/"&amp;YEAR(INDEX(firmadas!$F:$F,$T189)))&amp;")",IF($G189&lt;&gt;INDEX(firmadas!$E:$E,$T189),"INGRESO DISTINTO EN firmadas ("&amp;IF(INDEX(firmadas!$E:$E,$T189)="","vacía",DAY(INDEX(firmadas!$E:$E,$T189))&amp;"/"&amp;MONTH(INDEX(firmadas!$E:$E,$T189))&amp;"/"&amp;YEAR(INDEX(firmadas!$E:$E,$T189)))&amp;")","OK"))))))))</f>
        <v>OK</v>
      </c>
      <c r="T189">
        <f ca="1">IF($P189="","",IFERROR(MATCH($P189,firmadas!$N:$N,0),IFERROR(MATCH("*/"&amp;MID($P189,FIND(" ",$P189)+1,9)&amp;"*",firmadas!$B:$B,0),0)))</f>
        <v>270</v>
      </c>
    </row>
    <row r="190" spans="1:20" ht="15" customHeight="1" x14ac:dyDescent="0.25">
      <c r="A190" t="s">
        <v>80</v>
      </c>
      <c r="C190" t="s">
        <v>145</v>
      </c>
      <c r="D190" s="25">
        <v>2112</v>
      </c>
      <c r="E190" t="s">
        <v>466</v>
      </c>
      <c r="F190" t="s">
        <v>467</v>
      </c>
      <c r="G190" s="16">
        <v>46169</v>
      </c>
      <c r="H190" s="16">
        <v>46231</v>
      </c>
      <c r="I190" t="s">
        <v>138</v>
      </c>
      <c r="J190" t="s">
        <v>187</v>
      </c>
      <c r="K190" t="s">
        <v>197</v>
      </c>
      <c r="L190" t="s">
        <v>104</v>
      </c>
      <c r="M190" t="s">
        <v>202</v>
      </c>
      <c r="N190" s="53">
        <f t="shared" ca="1" si="2"/>
        <v>2.0666666666666669</v>
      </c>
      <c r="P190" s="47" t="str">
        <f ca="1">IF(TRIM(SUBSTITUTE(($C190&amp;" "&amp;$D190),CHAR(160)," "))="","",IFERROR(IF(ISNUMBER(SEARCH("INC",($C190&amp;" "&amp;$D190))),"INC",IF(ISNUMBER(SEARCH("OPI",($C190&amp;" "&amp;$D190))),"OPI",IF(ISNUMBER(SEARCH("DP",($C190&amp;" "&amp;$D190))),"DP","CONC")))&amp;" "&amp;TEXT(LOOKUP(9.99E+307,--MID(SUBSTITUTE(($C190&amp;" "&amp;$D190),CHAR(160)," "),SUMPRODUCT(MIN(FIND({0,1,2,3,4,5,6,7,8,9},SUBSTITUTE(($C190&amp;" "&amp;$D190),CHAR(160)," ")&amp;"0123456789"))),ROW(INDIRECT("1:6")))),"0"),"SIN NUMERO"))</f>
        <v>CONC 2112</v>
      </c>
      <c r="Q190" t="str">
        <f ca="1">IF($P190="","",IF(LEFT(UPPER($S190),9)="VERIFICAR","VERIFICAR",IF($A190="","SIN ESTADO",IF(AND($A190="Firmada",$H190=""),"FALTA FECHA DE FIRMA",IF(N($T190)=0,IF(AND(ISNUMBER($H190),$H190&gt;=DATE(2024,1,1)),"FALTA EN FIRMADAS","OK"),IF(OR($A190="Pendiente de presentación",$A190="Observado",$A190="En análisis",$A190="En instrucción",$A190="Suspendida",$A190="IT circulando",$A190="Para resolución",$A190="TDC"),"ABIERTA PERO ESTÁ EN FIRMADAS",IF($H190&lt;&gt;INDEX(firmadas!$F:$F,$T190),"FIRMA DISTINTA EN firmadas ("&amp;IF(INDEX(firmadas!$F:$F,$T190)="","vacía",DAY(INDEX(firmadas!$F:$F,$T190))&amp;"/"&amp;MONTH(INDEX(firmadas!$F:$F,$T190))&amp;"/"&amp;YEAR(INDEX(firmadas!$F:$F,$T190)))&amp;")",IF($G190&lt;&gt;INDEX(firmadas!$E:$E,$T190),"INGRESO DISTINTO EN firmadas ("&amp;IF(INDEX(firmadas!$E:$E,$T190)="","vacía",DAY(INDEX(firmadas!$E:$E,$T190))&amp;"/"&amp;MONTH(INDEX(firmadas!$E:$E,$T190))&amp;"/"&amp;YEAR(INDEX(firmadas!$E:$E,$T190)))&amp;")","OK"))))))))</f>
        <v>OK</v>
      </c>
      <c r="T190">
        <f ca="1">IF($P190="","",IFERROR(MATCH($P190,firmadas!$N:$N,0),IFERROR(MATCH("*/"&amp;MID($P190,FIND(" ",$P190)+1,9)&amp;"*",firmadas!$B:$B,0),0)))</f>
        <v>264</v>
      </c>
    </row>
    <row r="191" spans="1:20" ht="15" customHeight="1" x14ac:dyDescent="0.25">
      <c r="A191" t="s">
        <v>80</v>
      </c>
      <c r="C191" t="s">
        <v>145</v>
      </c>
      <c r="D191" s="25">
        <v>2113</v>
      </c>
      <c r="E191" t="s">
        <v>468</v>
      </c>
      <c r="F191" t="s">
        <v>469</v>
      </c>
      <c r="G191" s="16">
        <v>46169</v>
      </c>
      <c r="H191" s="16">
        <v>46231</v>
      </c>
      <c r="I191" t="s">
        <v>138</v>
      </c>
      <c r="J191" t="s">
        <v>187</v>
      </c>
      <c r="K191" t="s">
        <v>197</v>
      </c>
      <c r="L191" t="s">
        <v>104</v>
      </c>
      <c r="M191" t="s">
        <v>202</v>
      </c>
      <c r="N191" s="53">
        <f t="shared" ca="1" si="2"/>
        <v>2.0666666666666669</v>
      </c>
      <c r="P191" s="47" t="str">
        <f ca="1">IF(TRIM(SUBSTITUTE(($C191&amp;" "&amp;$D191),CHAR(160)," "))="","",IFERROR(IF(ISNUMBER(SEARCH("INC",($C191&amp;" "&amp;$D191))),"INC",IF(ISNUMBER(SEARCH("OPI",($C191&amp;" "&amp;$D191))),"OPI",IF(ISNUMBER(SEARCH("DP",($C191&amp;" "&amp;$D191))),"DP","CONC")))&amp;" "&amp;TEXT(LOOKUP(9.99E+307,--MID(SUBSTITUTE(($C191&amp;" "&amp;$D191),CHAR(160)," "),SUMPRODUCT(MIN(FIND({0,1,2,3,4,5,6,7,8,9},SUBSTITUTE(($C191&amp;" "&amp;$D191),CHAR(160)," ")&amp;"0123456789"))),ROW(INDIRECT("1:6")))),"0"),"SIN NUMERO"))</f>
        <v>CONC 2113</v>
      </c>
      <c r="Q191" t="str">
        <f ca="1">IF($P191="","",IF(LEFT(UPPER($S191),9)="VERIFICAR","VERIFICAR",IF($A191="","SIN ESTADO",IF(AND($A191="Firmada",$H191=""),"FALTA FECHA DE FIRMA",IF(N($T191)=0,IF(AND(ISNUMBER($H191),$H191&gt;=DATE(2024,1,1)),"FALTA EN FIRMADAS","OK"),IF(OR($A191="Pendiente de presentación",$A191="Observado",$A191="En análisis",$A191="En instrucción",$A191="Suspendida",$A191="IT circulando",$A191="Para resolución",$A191="TDC"),"ABIERTA PERO ESTÁ EN FIRMADAS",IF($H191&lt;&gt;INDEX(firmadas!$F:$F,$T191),"FIRMA DISTINTA EN firmadas ("&amp;IF(INDEX(firmadas!$F:$F,$T191)="","vacía",DAY(INDEX(firmadas!$F:$F,$T191))&amp;"/"&amp;MONTH(INDEX(firmadas!$F:$F,$T191))&amp;"/"&amp;YEAR(INDEX(firmadas!$F:$F,$T191)))&amp;")",IF($G191&lt;&gt;INDEX(firmadas!$E:$E,$T191),"INGRESO DISTINTO EN firmadas ("&amp;IF(INDEX(firmadas!$E:$E,$T191)="","vacía",DAY(INDEX(firmadas!$E:$E,$T191))&amp;"/"&amp;MONTH(INDEX(firmadas!$E:$E,$T191))&amp;"/"&amp;YEAR(INDEX(firmadas!$E:$E,$T191)))&amp;")","OK"))))))))</f>
        <v>OK</v>
      </c>
      <c r="T191">
        <f ca="1">IF($P191="","",IFERROR(MATCH($P191,firmadas!$N:$N,0),IFERROR(MATCH("*/"&amp;MID($P191,FIND(" ",$P191)+1,9)&amp;"*",firmadas!$B:$B,0),0)))</f>
        <v>264</v>
      </c>
    </row>
    <row r="192" spans="1:20" ht="15" customHeight="1" x14ac:dyDescent="0.25">
      <c r="A192" t="s">
        <v>80</v>
      </c>
      <c r="C192" t="s">
        <v>145</v>
      </c>
      <c r="D192" s="25">
        <v>2114</v>
      </c>
      <c r="E192" t="s">
        <v>470</v>
      </c>
      <c r="F192" t="s">
        <v>471</v>
      </c>
      <c r="G192" s="16">
        <v>46169</v>
      </c>
      <c r="H192" s="16">
        <v>46231</v>
      </c>
      <c r="I192" t="s">
        <v>138</v>
      </c>
      <c r="J192" t="s">
        <v>187</v>
      </c>
      <c r="K192" t="s">
        <v>197</v>
      </c>
      <c r="L192" t="s">
        <v>104</v>
      </c>
      <c r="M192" t="s">
        <v>202</v>
      </c>
      <c r="N192" s="53">
        <f t="shared" ca="1" si="2"/>
        <v>2.0666666666666669</v>
      </c>
      <c r="P192" s="47" t="str">
        <f ca="1">IF(TRIM(SUBSTITUTE(($C192&amp;" "&amp;$D192),CHAR(160)," "))="","",IFERROR(IF(ISNUMBER(SEARCH("INC",($C192&amp;" "&amp;$D192))),"INC",IF(ISNUMBER(SEARCH("OPI",($C192&amp;" "&amp;$D192))),"OPI",IF(ISNUMBER(SEARCH("DP",($C192&amp;" "&amp;$D192))),"DP","CONC")))&amp;" "&amp;TEXT(LOOKUP(9.99E+307,--MID(SUBSTITUTE(($C192&amp;" "&amp;$D192),CHAR(160)," "),SUMPRODUCT(MIN(FIND({0,1,2,3,4,5,6,7,8,9},SUBSTITUTE(($C192&amp;" "&amp;$D192),CHAR(160)," ")&amp;"0123456789"))),ROW(INDIRECT("1:6")))),"0"),"SIN NUMERO"))</f>
        <v>CONC 2114</v>
      </c>
      <c r="Q192" t="str">
        <f ca="1">IF($P192="","",IF(LEFT(UPPER($S192),9)="VERIFICAR","VERIFICAR",IF($A192="","SIN ESTADO",IF(AND($A192="Firmada",$H192=""),"FALTA FECHA DE FIRMA",IF(N($T192)=0,IF(AND(ISNUMBER($H192),$H192&gt;=DATE(2024,1,1)),"FALTA EN FIRMADAS","OK"),IF(OR($A192="Pendiente de presentación",$A192="Observado",$A192="En análisis",$A192="En instrucción",$A192="Suspendida",$A192="IT circulando",$A192="Para resolución",$A192="TDC"),"ABIERTA PERO ESTÁ EN FIRMADAS",IF($H192&lt;&gt;INDEX(firmadas!$F:$F,$T192),"FIRMA DISTINTA EN firmadas ("&amp;IF(INDEX(firmadas!$F:$F,$T192)="","vacía",DAY(INDEX(firmadas!$F:$F,$T192))&amp;"/"&amp;MONTH(INDEX(firmadas!$F:$F,$T192))&amp;"/"&amp;YEAR(INDEX(firmadas!$F:$F,$T192)))&amp;")",IF($G192&lt;&gt;INDEX(firmadas!$E:$E,$T192),"INGRESO DISTINTO EN firmadas ("&amp;IF(INDEX(firmadas!$E:$E,$T192)="","vacía",DAY(INDEX(firmadas!$E:$E,$T192))&amp;"/"&amp;MONTH(INDEX(firmadas!$E:$E,$T192))&amp;"/"&amp;YEAR(INDEX(firmadas!$E:$E,$T192)))&amp;")","OK"))))))))</f>
        <v>OK</v>
      </c>
      <c r="T192">
        <f ca="1">IF($P192="","",IFERROR(MATCH($P192,firmadas!$N:$N,0),IFERROR(MATCH("*/"&amp;MID($P192,FIND(" ",$P192)+1,9)&amp;"*",firmadas!$B:$B,0),0)))</f>
        <v>264</v>
      </c>
    </row>
    <row r="193" spans="1:20" ht="15" customHeight="1" x14ac:dyDescent="0.25">
      <c r="A193" t="s">
        <v>319</v>
      </c>
      <c r="C193" t="s">
        <v>409</v>
      </c>
      <c r="D193" s="25">
        <v>2115</v>
      </c>
      <c r="E193" t="s">
        <v>472</v>
      </c>
      <c r="F193" t="s">
        <v>473</v>
      </c>
      <c r="G193" s="16">
        <v>46177</v>
      </c>
      <c r="I193" s="16" t="s">
        <v>138</v>
      </c>
      <c r="J193" t="s">
        <v>115</v>
      </c>
      <c r="K193" t="s">
        <v>197</v>
      </c>
      <c r="L193" t="s">
        <v>96</v>
      </c>
      <c r="M193" t="s">
        <v>83</v>
      </c>
      <c r="N193" s="53">
        <f t="shared" ca="1" si="2"/>
        <v>3.9666666666666668</v>
      </c>
      <c r="O193" s="44" t="s">
        <v>435</v>
      </c>
      <c r="P193" s="47" t="str">
        <f ca="1">IF(TRIM(SUBSTITUTE(($C193&amp;" "&amp;$D193),CHAR(160)," "))="","",IFERROR(IF(ISNUMBER(SEARCH("INC",($C193&amp;" "&amp;$D193))),"INC",IF(ISNUMBER(SEARCH("OPI",($C193&amp;" "&amp;$D193))),"OPI",IF(ISNUMBER(SEARCH("DP",($C193&amp;" "&amp;$D193))),"DP","CONC")))&amp;" "&amp;TEXT(LOOKUP(9.99E+307,--MID(SUBSTITUTE(($C193&amp;" "&amp;$D193),CHAR(160)," "),SUMPRODUCT(MIN(FIND({0,1,2,3,4,5,6,7,8,9},SUBSTITUTE(($C193&amp;" "&amp;$D193),CHAR(160)," ")&amp;"0123456789"))),ROW(INDIRECT("1:6")))),"0"),"SIN NUMERO"))</f>
        <v>CONC 2115</v>
      </c>
      <c r="Q193" t="str">
        <f ca="1">IF($P193="","",IF(LEFT(UPPER($S193),9)="VERIFICAR","VERIFICAR",IF($A193="","SIN ESTADO",IF(AND($A193="Firmada",$H193=""),"FALTA FECHA DE FIRMA",IF(N($T193)=0,IF(AND(ISNUMBER($H193),$H193&gt;=DATE(2024,1,1)),"FALTA EN FIRMADAS","OK"),IF(OR($A193="Pendiente de presentación",$A193="Observado",$A193="En análisis",$A193="En instrucción",$A193="Suspendida",$A193="IT circulando",$A193="Para resolución",$A193="TDC"),"ABIERTA PERO ESTÁ EN FIRMADAS",IF($H193&lt;&gt;INDEX(firmadas!$F:$F,$T193),"FIRMA DISTINTA EN firmadas ("&amp;IF(INDEX(firmadas!$F:$F,$T193)="","vacía",DAY(INDEX(firmadas!$F:$F,$T193))&amp;"/"&amp;MONTH(INDEX(firmadas!$F:$F,$T193))&amp;"/"&amp;YEAR(INDEX(firmadas!$F:$F,$T193)))&amp;")",IF($G193&lt;&gt;INDEX(firmadas!$E:$E,$T193),"INGRESO DISTINTO EN firmadas ("&amp;IF(INDEX(firmadas!$E:$E,$T193)="","vacía",DAY(INDEX(firmadas!$E:$E,$T193))&amp;"/"&amp;MONTH(INDEX(firmadas!$E:$E,$T193))&amp;"/"&amp;YEAR(INDEX(firmadas!$E:$E,$T193)))&amp;")","OK"))))))))</f>
        <v>OK</v>
      </c>
      <c r="T193">
        <f ca="1">IF($P193="","",IFERROR(MATCH($P193,firmadas!$N:$N,0),IFERROR(MATCH("*/"&amp;MID($P193,FIND(" ",$P193)+1,9)&amp;"*",firmadas!$B:$B,0),0)))</f>
        <v>0</v>
      </c>
    </row>
    <row r="194" spans="1:20" ht="15" customHeight="1" x14ac:dyDescent="0.25">
      <c r="A194" t="s">
        <v>319</v>
      </c>
      <c r="C194" t="s">
        <v>145</v>
      </c>
      <c r="D194" s="25">
        <v>2116</v>
      </c>
      <c r="E194" t="s">
        <v>474</v>
      </c>
      <c r="F194" t="s">
        <v>475</v>
      </c>
      <c r="G194" s="16">
        <v>46177</v>
      </c>
      <c r="I194" t="s">
        <v>110</v>
      </c>
      <c r="J194" t="s">
        <v>115</v>
      </c>
      <c r="K194" t="s">
        <v>112</v>
      </c>
      <c r="L194" t="s">
        <v>370</v>
      </c>
      <c r="M194" t="s">
        <v>202</v>
      </c>
      <c r="N194" s="53">
        <f t="shared" ref="N194:N257" ca="1" si="3">IF($G194="","",(IF($H194="",TODAY(),$H194)-$G194)/30)</f>
        <v>3.9666666666666668</v>
      </c>
      <c r="P194" s="47" t="str">
        <f ca="1">IF(TRIM(SUBSTITUTE(($C194&amp;" "&amp;$D194),CHAR(160)," "))="","",IFERROR(IF(ISNUMBER(SEARCH("INC",($C194&amp;" "&amp;$D194))),"INC",IF(ISNUMBER(SEARCH("OPI",($C194&amp;" "&amp;$D194))),"OPI",IF(ISNUMBER(SEARCH("DP",($C194&amp;" "&amp;$D194))),"DP","CONC")))&amp;" "&amp;TEXT(LOOKUP(9.99E+307,--MID(SUBSTITUTE(($C194&amp;" "&amp;$D194),CHAR(160)," "),SUMPRODUCT(MIN(FIND({0,1,2,3,4,5,6,7,8,9},SUBSTITUTE(($C194&amp;" "&amp;$D194),CHAR(160)," ")&amp;"0123456789"))),ROW(INDIRECT("1:6")))),"0"),"SIN NUMERO"))</f>
        <v>CONC 2116</v>
      </c>
      <c r="Q194" t="str">
        <f ca="1">IF($P194="","",IF(LEFT(UPPER($S194),9)="VERIFICAR","VERIFICAR",IF($A194="","SIN ESTADO",IF(AND($A194="Firmada",$H194=""),"FALTA FECHA DE FIRMA",IF(N($T194)=0,IF(AND(ISNUMBER($H194),$H194&gt;=DATE(2024,1,1)),"FALTA EN FIRMADAS","OK"),IF(OR($A194="Pendiente de presentación",$A194="Observado",$A194="En análisis",$A194="En instrucción",$A194="Suspendida",$A194="IT circulando",$A194="Para resolución",$A194="TDC"),"ABIERTA PERO ESTÁ EN FIRMADAS",IF($H194&lt;&gt;INDEX(firmadas!$F:$F,$T194),"FIRMA DISTINTA EN firmadas ("&amp;IF(INDEX(firmadas!$F:$F,$T194)="","vacía",DAY(INDEX(firmadas!$F:$F,$T194))&amp;"/"&amp;MONTH(INDEX(firmadas!$F:$F,$T194))&amp;"/"&amp;YEAR(INDEX(firmadas!$F:$F,$T194)))&amp;")",IF($G194&lt;&gt;INDEX(firmadas!$E:$E,$T194),"INGRESO DISTINTO EN firmadas ("&amp;IF(INDEX(firmadas!$E:$E,$T194)="","vacía",DAY(INDEX(firmadas!$E:$E,$T194))&amp;"/"&amp;MONTH(INDEX(firmadas!$E:$E,$T194))&amp;"/"&amp;YEAR(INDEX(firmadas!$E:$E,$T194)))&amp;")","OK"))))))))</f>
        <v>OK</v>
      </c>
      <c r="T194">
        <f ca="1">IF($P194="","",IFERROR(MATCH($P194,firmadas!$N:$N,0),IFERROR(MATCH("*/"&amp;MID($P194,FIND(" ",$P194)+1,9)&amp;"*",firmadas!$B:$B,0),0)))</f>
        <v>0</v>
      </c>
    </row>
    <row r="195" spans="1:20" ht="15" customHeight="1" x14ac:dyDescent="0.25">
      <c r="A195" t="s">
        <v>80</v>
      </c>
      <c r="C195" t="s">
        <v>145</v>
      </c>
      <c r="D195" s="25">
        <v>2117</v>
      </c>
      <c r="E195" t="s">
        <v>476</v>
      </c>
      <c r="F195" t="s">
        <v>477</v>
      </c>
      <c r="G195" s="16">
        <v>46177</v>
      </c>
      <c r="H195" s="16">
        <v>46276</v>
      </c>
      <c r="I195" t="s">
        <v>115</v>
      </c>
      <c r="J195" t="s">
        <v>110</v>
      </c>
      <c r="K195" t="s">
        <v>112</v>
      </c>
      <c r="L195" t="s">
        <v>370</v>
      </c>
      <c r="M195" t="s">
        <v>202</v>
      </c>
      <c r="N195" s="53">
        <f t="shared" ca="1" si="3"/>
        <v>3.3</v>
      </c>
      <c r="P195" s="47" t="str">
        <f ca="1">IF(TRIM(SUBSTITUTE(($C195&amp;" "&amp;$D195),CHAR(160)," "))="","",IFERROR(IF(ISNUMBER(SEARCH("INC",($C195&amp;" "&amp;$D195))),"INC",IF(ISNUMBER(SEARCH("OPI",($C195&amp;" "&amp;$D195))),"OPI",IF(ISNUMBER(SEARCH("DP",($C195&amp;" "&amp;$D195))),"DP","CONC")))&amp;" "&amp;TEXT(LOOKUP(9.99E+307,--MID(SUBSTITUTE(($C195&amp;" "&amp;$D195),CHAR(160)," "),SUMPRODUCT(MIN(FIND({0,1,2,3,4,5,6,7,8,9},SUBSTITUTE(($C195&amp;" "&amp;$D195),CHAR(160)," ")&amp;"0123456789"))),ROW(INDIRECT("1:6")))),"0"),"SIN NUMERO"))</f>
        <v>CONC 2117</v>
      </c>
      <c r="Q195" t="str">
        <f ca="1">IF($P195="","",IF(LEFT(UPPER($S195),9)="VERIFICAR","VERIFICAR",IF($A195="","SIN ESTADO",IF(AND($A195="Firmada",$H195=""),"FALTA FECHA DE FIRMA",IF(N($T195)=0,IF(AND(ISNUMBER($H195),$H195&gt;=DATE(2024,1,1)),"FALTA EN FIRMADAS","OK"),IF(OR($A195="Pendiente de presentación",$A195="Observado",$A195="En análisis",$A195="En instrucción",$A195="Suspendida",$A195="IT circulando",$A195="Para resolución",$A195="TDC"),"ABIERTA PERO ESTÁ EN FIRMADAS",IF($H195&lt;&gt;INDEX(firmadas!$F:$F,$T195),"FIRMA DISTINTA EN firmadas ("&amp;IF(INDEX(firmadas!$F:$F,$T195)="","vacía",DAY(INDEX(firmadas!$F:$F,$T195))&amp;"/"&amp;MONTH(INDEX(firmadas!$F:$F,$T195))&amp;"/"&amp;YEAR(INDEX(firmadas!$F:$F,$T195)))&amp;")",IF($G195&lt;&gt;INDEX(firmadas!$E:$E,$T195),"INGRESO DISTINTO EN firmadas ("&amp;IF(INDEX(firmadas!$E:$E,$T195)="","vacía",DAY(INDEX(firmadas!$E:$E,$T195))&amp;"/"&amp;MONTH(INDEX(firmadas!$E:$E,$T195))&amp;"/"&amp;YEAR(INDEX(firmadas!$E:$E,$T195)))&amp;")","OK"))))))))</f>
        <v>OK</v>
      </c>
      <c r="T195">
        <f ca="1">IF($P195="","",IFERROR(MATCH($P195,firmadas!$N:$N,0),IFERROR(MATCH("*/"&amp;MID($P195,FIND(" ",$P195)+1,9)&amp;"*",firmadas!$B:$B,0),0)))</f>
        <v>277</v>
      </c>
    </row>
    <row r="196" spans="1:20" ht="15" customHeight="1" x14ac:dyDescent="0.25">
      <c r="A196" t="s">
        <v>319</v>
      </c>
      <c r="C196" t="s">
        <v>409</v>
      </c>
      <c r="D196" s="25">
        <v>2118</v>
      </c>
      <c r="E196" t="s">
        <v>478</v>
      </c>
      <c r="F196" t="s">
        <v>479</v>
      </c>
      <c r="G196" s="16">
        <v>46181</v>
      </c>
      <c r="I196" s="16" t="s">
        <v>110</v>
      </c>
      <c r="J196" t="s">
        <v>187</v>
      </c>
      <c r="K196" t="s">
        <v>127</v>
      </c>
      <c r="L196" t="s">
        <v>96</v>
      </c>
      <c r="M196" t="s">
        <v>83</v>
      </c>
      <c r="N196" s="53">
        <f t="shared" ca="1" si="3"/>
        <v>3.8333333333333335</v>
      </c>
      <c r="O196" s="44" t="s">
        <v>480</v>
      </c>
      <c r="P196" s="47" t="str">
        <f ca="1">IF(TRIM(SUBSTITUTE(($C196&amp;" "&amp;$D196),CHAR(160)," "))="","",IFERROR(IF(ISNUMBER(SEARCH("INC",($C196&amp;" "&amp;$D196))),"INC",IF(ISNUMBER(SEARCH("OPI",($C196&amp;" "&amp;$D196))),"OPI",IF(ISNUMBER(SEARCH("DP",($C196&amp;" "&amp;$D196))),"DP","CONC")))&amp;" "&amp;TEXT(LOOKUP(9.99E+307,--MID(SUBSTITUTE(($C196&amp;" "&amp;$D196),CHAR(160)," "),SUMPRODUCT(MIN(FIND({0,1,2,3,4,5,6,7,8,9},SUBSTITUTE(($C196&amp;" "&amp;$D196),CHAR(160)," ")&amp;"0123456789"))),ROW(INDIRECT("1:6")))),"0"),"SIN NUMERO"))</f>
        <v>CONC 2118</v>
      </c>
      <c r="Q196" t="str">
        <f ca="1">IF($P196="","",IF(LEFT(UPPER($S196),9)="VERIFICAR","VERIFICAR",IF($A196="","SIN ESTADO",IF(AND($A196="Firmada",$H196=""),"FALTA FECHA DE FIRMA",IF(N($T196)=0,IF(AND(ISNUMBER($H196),$H196&gt;=DATE(2024,1,1)),"FALTA EN FIRMADAS","OK"),IF(OR($A196="Pendiente de presentación",$A196="Observado",$A196="En análisis",$A196="En instrucción",$A196="Suspendida",$A196="IT circulando",$A196="Para resolución",$A196="TDC"),"ABIERTA PERO ESTÁ EN FIRMADAS",IF($H196&lt;&gt;INDEX(firmadas!$F:$F,$T196),"FIRMA DISTINTA EN firmadas ("&amp;IF(INDEX(firmadas!$F:$F,$T196)="","vacía",DAY(INDEX(firmadas!$F:$F,$T196))&amp;"/"&amp;MONTH(INDEX(firmadas!$F:$F,$T196))&amp;"/"&amp;YEAR(INDEX(firmadas!$F:$F,$T196)))&amp;")",IF($G196&lt;&gt;INDEX(firmadas!$E:$E,$T196),"INGRESO DISTINTO EN firmadas ("&amp;IF(INDEX(firmadas!$E:$E,$T196)="","vacía",DAY(INDEX(firmadas!$E:$E,$T196))&amp;"/"&amp;MONTH(INDEX(firmadas!$E:$E,$T196))&amp;"/"&amp;YEAR(INDEX(firmadas!$E:$E,$T196)))&amp;")","OK"))))))))</f>
        <v>OK</v>
      </c>
      <c r="T196">
        <f ca="1">IF($P196="","",IFERROR(MATCH($P196,firmadas!$N:$N,0),IFERROR(MATCH("*/"&amp;MID($P196,FIND(" ",$P196)+1,9)&amp;"*",firmadas!$B:$B,0),0)))</f>
        <v>0</v>
      </c>
    </row>
    <row r="197" spans="1:20" ht="15" customHeight="1" x14ac:dyDescent="0.25">
      <c r="A197" t="s">
        <v>319</v>
      </c>
      <c r="C197" t="s">
        <v>145</v>
      </c>
      <c r="D197" s="25">
        <v>2119</v>
      </c>
      <c r="E197" t="s">
        <v>481</v>
      </c>
      <c r="F197" t="s">
        <v>482</v>
      </c>
      <c r="G197" s="16">
        <v>46181</v>
      </c>
      <c r="I197" t="s">
        <v>115</v>
      </c>
      <c r="J197" t="s">
        <v>110</v>
      </c>
      <c r="K197" t="s">
        <v>370</v>
      </c>
      <c r="L197" t="s">
        <v>112</v>
      </c>
      <c r="M197" t="s">
        <v>202</v>
      </c>
      <c r="N197" s="53">
        <f t="shared" ca="1" si="3"/>
        <v>3.8333333333333335</v>
      </c>
      <c r="P197" s="47" t="str">
        <f ca="1">IF(TRIM(SUBSTITUTE(($C197&amp;" "&amp;$D197),CHAR(160)," "))="","",IFERROR(IF(ISNUMBER(SEARCH("INC",($C197&amp;" "&amp;$D197))),"INC",IF(ISNUMBER(SEARCH("OPI",($C197&amp;" "&amp;$D197))),"OPI",IF(ISNUMBER(SEARCH("DP",($C197&amp;" "&amp;$D197))),"DP","CONC")))&amp;" "&amp;TEXT(LOOKUP(9.99E+307,--MID(SUBSTITUTE(($C197&amp;" "&amp;$D197),CHAR(160)," "),SUMPRODUCT(MIN(FIND({0,1,2,3,4,5,6,7,8,9},SUBSTITUTE(($C197&amp;" "&amp;$D197),CHAR(160)," ")&amp;"0123456789"))),ROW(INDIRECT("1:6")))),"0"),"SIN NUMERO"))</f>
        <v>CONC 2119</v>
      </c>
      <c r="Q197" t="str">
        <f ca="1">IF($P197="","",IF(LEFT(UPPER($S197),9)="VERIFICAR","VERIFICAR",IF($A197="","SIN ESTADO",IF(AND($A197="Firmada",$H197=""),"FALTA FECHA DE FIRMA",IF(N($T197)=0,IF(AND(ISNUMBER($H197),$H197&gt;=DATE(2024,1,1)),"FALTA EN FIRMADAS","OK"),IF(OR($A197="Pendiente de presentación",$A197="Observado",$A197="En análisis",$A197="En instrucción",$A197="Suspendida",$A197="IT circulando",$A197="Para resolución",$A197="TDC"),"ABIERTA PERO ESTÁ EN FIRMADAS",IF($H197&lt;&gt;INDEX(firmadas!$F:$F,$T197),"FIRMA DISTINTA EN firmadas ("&amp;IF(INDEX(firmadas!$F:$F,$T197)="","vacía",DAY(INDEX(firmadas!$F:$F,$T197))&amp;"/"&amp;MONTH(INDEX(firmadas!$F:$F,$T197))&amp;"/"&amp;YEAR(INDEX(firmadas!$F:$F,$T197)))&amp;")",IF($G197&lt;&gt;INDEX(firmadas!$E:$E,$T197),"INGRESO DISTINTO EN firmadas ("&amp;IF(INDEX(firmadas!$E:$E,$T197)="","vacía",DAY(INDEX(firmadas!$E:$E,$T197))&amp;"/"&amp;MONTH(INDEX(firmadas!$E:$E,$T197))&amp;"/"&amp;YEAR(INDEX(firmadas!$E:$E,$T197)))&amp;")","OK"))))))))</f>
        <v>OK</v>
      </c>
      <c r="T197">
        <f ca="1">IF($P197="","",IFERROR(MATCH($P197,firmadas!$N:$N,0),IFERROR(MATCH("*/"&amp;MID($P197,FIND(" ",$P197)+1,9)&amp;"*",firmadas!$B:$B,0),0)))</f>
        <v>0</v>
      </c>
    </row>
    <row r="198" spans="1:20" ht="15" customHeight="1" x14ac:dyDescent="0.25">
      <c r="A198" t="s">
        <v>80</v>
      </c>
      <c r="C198" t="s">
        <v>145</v>
      </c>
      <c r="D198" s="25">
        <v>2120</v>
      </c>
      <c r="E198" t="s">
        <v>483</v>
      </c>
      <c r="F198" t="s">
        <v>484</v>
      </c>
      <c r="G198" s="16">
        <v>46184</v>
      </c>
      <c r="H198" s="16">
        <v>46225</v>
      </c>
      <c r="I198" t="s">
        <v>110</v>
      </c>
      <c r="J198" t="s">
        <v>115</v>
      </c>
      <c r="K198" t="s">
        <v>112</v>
      </c>
      <c r="L198" t="s">
        <v>370</v>
      </c>
      <c r="M198" t="s">
        <v>202</v>
      </c>
      <c r="N198" s="53">
        <f t="shared" ca="1" si="3"/>
        <v>1.3666666666666667</v>
      </c>
      <c r="P198" s="47" t="str">
        <f ca="1">IF(TRIM(SUBSTITUTE(($C198&amp;" "&amp;$D198),CHAR(160)," "))="","",IFERROR(IF(ISNUMBER(SEARCH("INC",($C198&amp;" "&amp;$D198))),"INC",IF(ISNUMBER(SEARCH("OPI",($C198&amp;" "&amp;$D198))),"OPI",IF(ISNUMBER(SEARCH("DP",($C198&amp;" "&amp;$D198))),"DP","CONC")))&amp;" "&amp;TEXT(LOOKUP(9.99E+307,--MID(SUBSTITUTE(($C198&amp;" "&amp;$D198),CHAR(160)," "),SUMPRODUCT(MIN(FIND({0,1,2,3,4,5,6,7,8,9},SUBSTITUTE(($C198&amp;" "&amp;$D198),CHAR(160)," ")&amp;"0123456789"))),ROW(INDIRECT("1:6")))),"0"),"SIN NUMERO"))</f>
        <v>CONC 2120</v>
      </c>
      <c r="Q198" t="str">
        <f ca="1">IF($P198="","",IF(LEFT(UPPER($S198),9)="VERIFICAR","VERIFICAR",IF($A198="","SIN ESTADO",IF(AND($A198="Firmada",$H198=""),"FALTA FECHA DE FIRMA",IF(N($T198)=0,IF(AND(ISNUMBER($H198),$H198&gt;=DATE(2024,1,1)),"FALTA EN FIRMADAS","OK"),IF(OR($A198="Pendiente de presentación",$A198="Observado",$A198="En análisis",$A198="En instrucción",$A198="Suspendida",$A198="IT circulando",$A198="Para resolución",$A198="TDC"),"ABIERTA PERO ESTÁ EN FIRMADAS",IF($H198&lt;&gt;INDEX(firmadas!$F:$F,$T198),"FIRMA DISTINTA EN firmadas ("&amp;IF(INDEX(firmadas!$F:$F,$T198)="","vacía",DAY(INDEX(firmadas!$F:$F,$T198))&amp;"/"&amp;MONTH(INDEX(firmadas!$F:$F,$T198))&amp;"/"&amp;YEAR(INDEX(firmadas!$F:$F,$T198)))&amp;")",IF($G198&lt;&gt;INDEX(firmadas!$E:$E,$T198),"INGRESO DISTINTO EN firmadas ("&amp;IF(INDEX(firmadas!$E:$E,$T198)="","vacía",DAY(INDEX(firmadas!$E:$E,$T198))&amp;"/"&amp;MONTH(INDEX(firmadas!$E:$E,$T198))&amp;"/"&amp;YEAR(INDEX(firmadas!$E:$E,$T198)))&amp;")","OK"))))))))</f>
        <v>OK</v>
      </c>
      <c r="T198">
        <f ca="1">IF($P198="","",IFERROR(MATCH($P198,firmadas!$N:$N,0),IFERROR(MATCH("*/"&amp;MID($P198,FIND(" ",$P198)+1,9)&amp;"*",firmadas!$B:$B,0),0)))</f>
        <v>262</v>
      </c>
    </row>
    <row r="199" spans="1:20" ht="15" customHeight="1" x14ac:dyDescent="0.25">
      <c r="A199" t="s">
        <v>319</v>
      </c>
      <c r="C199" t="s">
        <v>145</v>
      </c>
      <c r="D199" s="25">
        <v>2121</v>
      </c>
      <c r="E199" t="s">
        <v>485</v>
      </c>
      <c r="F199" t="s">
        <v>486</v>
      </c>
      <c r="G199" s="16">
        <v>46184</v>
      </c>
      <c r="I199" t="s">
        <v>115</v>
      </c>
      <c r="J199" t="s">
        <v>88</v>
      </c>
      <c r="K199" t="s">
        <v>112</v>
      </c>
      <c r="L199" t="s">
        <v>370</v>
      </c>
      <c r="M199" t="s">
        <v>202</v>
      </c>
      <c r="N199" s="53">
        <f t="shared" ca="1" si="3"/>
        <v>3.7333333333333334</v>
      </c>
      <c r="P199" s="47" t="str">
        <f ca="1">IF(TRIM(SUBSTITUTE(($C199&amp;" "&amp;$D199),CHAR(160)," "))="","",IFERROR(IF(ISNUMBER(SEARCH("INC",($C199&amp;" "&amp;$D199))),"INC",IF(ISNUMBER(SEARCH("OPI",($C199&amp;" "&amp;$D199))),"OPI",IF(ISNUMBER(SEARCH("DP",($C199&amp;" "&amp;$D199))),"DP","CONC")))&amp;" "&amp;TEXT(LOOKUP(9.99E+307,--MID(SUBSTITUTE(($C199&amp;" "&amp;$D199),CHAR(160)," "),SUMPRODUCT(MIN(FIND({0,1,2,3,4,5,6,7,8,9},SUBSTITUTE(($C199&amp;" "&amp;$D199),CHAR(160)," ")&amp;"0123456789"))),ROW(INDIRECT("1:6")))),"0"),"SIN NUMERO"))</f>
        <v>CONC 2121</v>
      </c>
      <c r="Q199" t="str">
        <f ca="1">IF($P199="","",IF(LEFT(UPPER($S199),9)="VERIFICAR","VERIFICAR",IF($A199="","SIN ESTADO",IF(AND($A199="Firmada",$H199=""),"FALTA FECHA DE FIRMA",IF(N($T199)=0,IF(AND(ISNUMBER($H199),$H199&gt;=DATE(2024,1,1)),"FALTA EN FIRMADAS","OK"),IF(OR($A199="Pendiente de presentación",$A199="Observado",$A199="En análisis",$A199="En instrucción",$A199="Suspendida",$A199="IT circulando",$A199="Para resolución",$A199="TDC"),"ABIERTA PERO ESTÁ EN FIRMADAS",IF($H199&lt;&gt;INDEX(firmadas!$F:$F,$T199),"FIRMA DISTINTA EN firmadas ("&amp;IF(INDEX(firmadas!$F:$F,$T199)="","vacía",DAY(INDEX(firmadas!$F:$F,$T199))&amp;"/"&amp;MONTH(INDEX(firmadas!$F:$F,$T199))&amp;"/"&amp;YEAR(INDEX(firmadas!$F:$F,$T199)))&amp;")",IF($G199&lt;&gt;INDEX(firmadas!$E:$E,$T199),"INGRESO DISTINTO EN firmadas ("&amp;IF(INDEX(firmadas!$E:$E,$T199)="","vacía",DAY(INDEX(firmadas!$E:$E,$T199))&amp;"/"&amp;MONTH(INDEX(firmadas!$E:$E,$T199))&amp;"/"&amp;YEAR(INDEX(firmadas!$E:$E,$T199)))&amp;")","OK"))))))))</f>
        <v>OK</v>
      </c>
      <c r="T199">
        <f ca="1">IF($P199="","",IFERROR(MATCH($P199,firmadas!$N:$N,0),IFERROR(MATCH("*/"&amp;MID($P199,FIND(" ",$P199)+1,9)&amp;"*",firmadas!$B:$B,0),0)))</f>
        <v>0</v>
      </c>
    </row>
    <row r="200" spans="1:20" ht="15" customHeight="1" x14ac:dyDescent="0.25">
      <c r="A200" t="s">
        <v>80</v>
      </c>
      <c r="C200" t="s">
        <v>145</v>
      </c>
      <c r="D200" s="25">
        <v>2122</v>
      </c>
      <c r="E200" t="s">
        <v>487</v>
      </c>
      <c r="F200" t="s">
        <v>488</v>
      </c>
      <c r="G200" s="16">
        <v>46185</v>
      </c>
      <c r="H200" s="16">
        <v>46206</v>
      </c>
      <c r="I200" t="s">
        <v>110</v>
      </c>
      <c r="J200" t="s">
        <v>115</v>
      </c>
      <c r="K200" t="s">
        <v>370</v>
      </c>
      <c r="L200" t="s">
        <v>112</v>
      </c>
      <c r="M200" t="s">
        <v>202</v>
      </c>
      <c r="N200" s="53">
        <f t="shared" ca="1" si="3"/>
        <v>0.7</v>
      </c>
      <c r="P200" s="47" t="str">
        <f ca="1">IF(TRIM(SUBSTITUTE(($C200&amp;" "&amp;$D200),CHAR(160)," "))="","",IFERROR(IF(ISNUMBER(SEARCH("INC",($C200&amp;" "&amp;$D200))),"INC",IF(ISNUMBER(SEARCH("OPI",($C200&amp;" "&amp;$D200))),"OPI",IF(ISNUMBER(SEARCH("DP",($C200&amp;" "&amp;$D200))),"DP","CONC")))&amp;" "&amp;TEXT(LOOKUP(9.99E+307,--MID(SUBSTITUTE(($C200&amp;" "&amp;$D200),CHAR(160)," "),SUMPRODUCT(MIN(FIND({0,1,2,3,4,5,6,7,8,9},SUBSTITUTE(($C200&amp;" "&amp;$D200),CHAR(160)," ")&amp;"0123456789"))),ROW(INDIRECT("1:6")))),"0"),"SIN NUMERO"))</f>
        <v>CONC 2122</v>
      </c>
      <c r="Q200" t="str">
        <f ca="1">IF($P200="","",IF(LEFT(UPPER($S200),9)="VERIFICAR","VERIFICAR",IF($A200="","SIN ESTADO",IF(AND($A200="Firmada",$H200=""),"FALTA FECHA DE FIRMA",IF(N($T200)=0,IF(AND(ISNUMBER($H200),$H200&gt;=DATE(2024,1,1)),"FALTA EN FIRMADAS","OK"),IF(OR($A200="Pendiente de presentación",$A200="Observado",$A200="En análisis",$A200="En instrucción",$A200="Suspendida",$A200="IT circulando",$A200="Para resolución",$A200="TDC"),"ABIERTA PERO ESTÁ EN FIRMADAS",IF($H200&lt;&gt;INDEX(firmadas!$F:$F,$T200),"FIRMA DISTINTA EN firmadas ("&amp;IF(INDEX(firmadas!$F:$F,$T200)="","vacía",DAY(INDEX(firmadas!$F:$F,$T200))&amp;"/"&amp;MONTH(INDEX(firmadas!$F:$F,$T200))&amp;"/"&amp;YEAR(INDEX(firmadas!$F:$F,$T200)))&amp;")",IF($G200&lt;&gt;INDEX(firmadas!$E:$E,$T200),"INGRESO DISTINTO EN firmadas ("&amp;IF(INDEX(firmadas!$E:$E,$T200)="","vacía",DAY(INDEX(firmadas!$E:$E,$T200))&amp;"/"&amp;MONTH(INDEX(firmadas!$E:$E,$T200))&amp;"/"&amp;YEAR(INDEX(firmadas!$E:$E,$T200)))&amp;")","OK"))))))))</f>
        <v>OK</v>
      </c>
      <c r="T200">
        <f ca="1">IF($P200="","",IFERROR(MATCH($P200,firmadas!$N:$N,0),IFERROR(MATCH("*/"&amp;MID($P200,FIND(" ",$P200)+1,9)&amp;"*",firmadas!$B:$B,0),0)))</f>
        <v>257</v>
      </c>
    </row>
    <row r="201" spans="1:20" ht="15" customHeight="1" x14ac:dyDescent="0.25">
      <c r="A201" t="s">
        <v>80</v>
      </c>
      <c r="C201" t="s">
        <v>145</v>
      </c>
      <c r="D201" s="25">
        <v>2123</v>
      </c>
      <c r="E201" t="s">
        <v>489</v>
      </c>
      <c r="F201" t="s">
        <v>490</v>
      </c>
      <c r="G201" s="16">
        <v>46189</v>
      </c>
      <c r="H201" s="16">
        <v>46203</v>
      </c>
      <c r="I201" t="s">
        <v>115</v>
      </c>
      <c r="J201" t="s">
        <v>88</v>
      </c>
      <c r="K201" t="s">
        <v>112</v>
      </c>
      <c r="L201" t="s">
        <v>370</v>
      </c>
      <c r="M201" t="s">
        <v>202</v>
      </c>
      <c r="N201" s="53">
        <f t="shared" ca="1" si="3"/>
        <v>0.46666666666666667</v>
      </c>
      <c r="P201" s="47" t="str">
        <f ca="1">IF(TRIM(SUBSTITUTE(($C201&amp;" "&amp;$D201),CHAR(160)," "))="","",IFERROR(IF(ISNUMBER(SEARCH("INC",($C201&amp;" "&amp;$D201))),"INC",IF(ISNUMBER(SEARCH("OPI",($C201&amp;" "&amp;$D201))),"OPI",IF(ISNUMBER(SEARCH("DP",($C201&amp;" "&amp;$D201))),"DP","CONC")))&amp;" "&amp;TEXT(LOOKUP(9.99E+307,--MID(SUBSTITUTE(($C201&amp;" "&amp;$D201),CHAR(160)," "),SUMPRODUCT(MIN(FIND({0,1,2,3,4,5,6,7,8,9},SUBSTITUTE(($C201&amp;" "&amp;$D201),CHAR(160)," ")&amp;"0123456789"))),ROW(INDIRECT("1:6")))),"0"),"SIN NUMERO"))</f>
        <v>CONC 2123</v>
      </c>
      <c r="Q201" t="str">
        <f ca="1">IF($P201="","",IF(LEFT(UPPER($S201),9)="VERIFICAR","VERIFICAR",IF($A201="","SIN ESTADO",IF(AND($A201="Firmada",$H201=""),"FALTA FECHA DE FIRMA",IF(N($T201)=0,IF(AND(ISNUMBER($H201),$H201&gt;=DATE(2024,1,1)),"FALTA EN FIRMADAS","OK"),IF(OR($A201="Pendiente de presentación",$A201="Observado",$A201="En análisis",$A201="En instrucción",$A201="Suspendida",$A201="IT circulando",$A201="Para resolución",$A201="TDC"),"ABIERTA PERO ESTÁ EN FIRMADAS",IF($H201&lt;&gt;INDEX(firmadas!$F:$F,$T201),"FIRMA DISTINTA EN firmadas ("&amp;IF(INDEX(firmadas!$F:$F,$T201)="","vacía",DAY(INDEX(firmadas!$F:$F,$T201))&amp;"/"&amp;MONTH(INDEX(firmadas!$F:$F,$T201))&amp;"/"&amp;YEAR(INDEX(firmadas!$F:$F,$T201)))&amp;")",IF($G201&lt;&gt;INDEX(firmadas!$E:$E,$T201),"INGRESO DISTINTO EN firmadas ("&amp;IF(INDEX(firmadas!$E:$E,$T201)="","vacía",DAY(INDEX(firmadas!$E:$E,$T201))&amp;"/"&amp;MONTH(INDEX(firmadas!$E:$E,$T201))&amp;"/"&amp;YEAR(INDEX(firmadas!$E:$E,$T201)))&amp;")","OK"))))))))</f>
        <v>OK</v>
      </c>
      <c r="T201">
        <f ca="1">IF($P201="","",IFERROR(MATCH($P201,firmadas!$N:$N,0),IFERROR(MATCH("*/"&amp;MID($P201,FIND(" ",$P201)+1,9)&amp;"*",firmadas!$B:$B,0),0)))</f>
        <v>256</v>
      </c>
    </row>
    <row r="202" spans="1:20" ht="15" customHeight="1" x14ac:dyDescent="0.25">
      <c r="A202" t="s">
        <v>80</v>
      </c>
      <c r="C202" t="s">
        <v>145</v>
      </c>
      <c r="D202" s="25">
        <v>2124</v>
      </c>
      <c r="E202" t="s">
        <v>491</v>
      </c>
      <c r="F202" t="s">
        <v>492</v>
      </c>
      <c r="G202" s="16">
        <v>46190</v>
      </c>
      <c r="H202" s="26">
        <v>46238</v>
      </c>
      <c r="I202" t="s">
        <v>110</v>
      </c>
      <c r="J202" t="s">
        <v>115</v>
      </c>
      <c r="K202" t="s">
        <v>370</v>
      </c>
      <c r="L202" t="s">
        <v>112</v>
      </c>
      <c r="M202" t="s">
        <v>202</v>
      </c>
      <c r="N202" s="53">
        <f t="shared" ca="1" si="3"/>
        <v>1.6</v>
      </c>
      <c r="P202" s="47" t="str">
        <f ca="1">IF(TRIM(SUBSTITUTE(($C202&amp;" "&amp;$D202),CHAR(160)," "))="","",IFERROR(IF(ISNUMBER(SEARCH("INC",($C202&amp;" "&amp;$D202))),"INC",IF(ISNUMBER(SEARCH("OPI",($C202&amp;" "&amp;$D202))),"OPI",IF(ISNUMBER(SEARCH("DP",($C202&amp;" "&amp;$D202))),"DP","CONC")))&amp;" "&amp;TEXT(LOOKUP(9.99E+307,--MID(SUBSTITUTE(($C202&amp;" "&amp;$D202),CHAR(160)," "),SUMPRODUCT(MIN(FIND({0,1,2,3,4,5,6,7,8,9},SUBSTITUTE(($C202&amp;" "&amp;$D202),CHAR(160)," ")&amp;"0123456789"))),ROW(INDIRECT("1:6")))),"0"),"SIN NUMERO"))</f>
        <v>CONC 2124</v>
      </c>
      <c r="Q202" t="str">
        <f ca="1">IF($P202="","",IF(LEFT(UPPER($S202),9)="VERIFICAR","VERIFICAR",IF($A202="","SIN ESTADO",IF(AND($A202="Firmada",$H202=""),"FALTA FECHA DE FIRMA",IF(N($T202)=0,IF(AND(ISNUMBER($H202),$H202&gt;=DATE(2024,1,1)),"FALTA EN FIRMADAS","OK"),IF(OR($A202="Pendiente de presentación",$A202="Observado",$A202="En análisis",$A202="En instrucción",$A202="Suspendida",$A202="IT circulando",$A202="Para resolución",$A202="TDC"),"ABIERTA PERO ESTÁ EN FIRMADAS",IF($H202&lt;&gt;INDEX(firmadas!$F:$F,$T202),"FIRMA DISTINTA EN firmadas ("&amp;IF(INDEX(firmadas!$F:$F,$T202)="","vacía",DAY(INDEX(firmadas!$F:$F,$T202))&amp;"/"&amp;MONTH(INDEX(firmadas!$F:$F,$T202))&amp;"/"&amp;YEAR(INDEX(firmadas!$F:$F,$T202)))&amp;")",IF($G202&lt;&gt;INDEX(firmadas!$E:$E,$T202),"INGRESO DISTINTO EN firmadas ("&amp;IF(INDEX(firmadas!$E:$E,$T202)="","vacía",DAY(INDEX(firmadas!$E:$E,$T202))&amp;"/"&amp;MONTH(INDEX(firmadas!$E:$E,$T202))&amp;"/"&amp;YEAR(INDEX(firmadas!$E:$E,$T202)))&amp;")","OK"))))))))</f>
        <v>OK</v>
      </c>
      <c r="T202">
        <f ca="1">IF($P202="","",IFERROR(MATCH($P202,firmadas!$N:$N,0),IFERROR(MATCH("*/"&amp;MID($P202,FIND(" ",$P202)+1,9)&amp;"*",firmadas!$B:$B,0),0)))</f>
        <v>265</v>
      </c>
    </row>
    <row r="203" spans="1:20" ht="15" customHeight="1" x14ac:dyDescent="0.25">
      <c r="A203" t="s">
        <v>319</v>
      </c>
      <c r="C203" t="s">
        <v>145</v>
      </c>
      <c r="D203" s="25">
        <v>2125</v>
      </c>
      <c r="E203" t="s">
        <v>493</v>
      </c>
      <c r="F203" t="s">
        <v>494</v>
      </c>
      <c r="G203" s="16">
        <v>46192</v>
      </c>
      <c r="I203" t="s">
        <v>138</v>
      </c>
      <c r="J203" t="s">
        <v>187</v>
      </c>
      <c r="K203" t="s">
        <v>197</v>
      </c>
      <c r="L203" t="s">
        <v>133</v>
      </c>
      <c r="M203" t="s">
        <v>83</v>
      </c>
      <c r="N203" s="53">
        <f t="shared" ca="1" si="3"/>
        <v>3.4666666666666668</v>
      </c>
      <c r="P203" s="47" t="str">
        <f ca="1">IF(TRIM(SUBSTITUTE(($C203&amp;" "&amp;$D203),CHAR(160)," "))="","",IFERROR(IF(ISNUMBER(SEARCH("INC",($C203&amp;" "&amp;$D203))),"INC",IF(ISNUMBER(SEARCH("OPI",($C203&amp;" "&amp;$D203))),"OPI",IF(ISNUMBER(SEARCH("DP",($C203&amp;" "&amp;$D203))),"DP","CONC")))&amp;" "&amp;TEXT(LOOKUP(9.99E+307,--MID(SUBSTITUTE(($C203&amp;" "&amp;$D203),CHAR(160)," "),SUMPRODUCT(MIN(FIND({0,1,2,3,4,5,6,7,8,9},SUBSTITUTE(($C203&amp;" "&amp;$D203),CHAR(160)," ")&amp;"0123456789"))),ROW(INDIRECT("1:6")))),"0"),"SIN NUMERO"))</f>
        <v>CONC 2125</v>
      </c>
      <c r="Q203" t="str">
        <f ca="1">IF($P203="","",IF(LEFT(UPPER($S203),9)="VERIFICAR","VERIFICAR",IF($A203="","SIN ESTADO",IF(AND($A203="Firmada",$H203=""),"FALTA FECHA DE FIRMA",IF(N($T203)=0,IF(AND(ISNUMBER($H203),$H203&gt;=DATE(2024,1,1)),"FALTA EN FIRMADAS","OK"),IF(OR($A203="Pendiente de presentación",$A203="Observado",$A203="En análisis",$A203="En instrucción",$A203="Suspendida",$A203="IT circulando",$A203="Para resolución",$A203="TDC"),"ABIERTA PERO ESTÁ EN FIRMADAS",IF($H203&lt;&gt;INDEX(firmadas!$F:$F,$T203),"FIRMA DISTINTA EN firmadas ("&amp;IF(INDEX(firmadas!$F:$F,$T203)="","vacía",DAY(INDEX(firmadas!$F:$F,$T203))&amp;"/"&amp;MONTH(INDEX(firmadas!$F:$F,$T203))&amp;"/"&amp;YEAR(INDEX(firmadas!$F:$F,$T203)))&amp;")",IF($G203&lt;&gt;INDEX(firmadas!$E:$E,$T203),"INGRESO DISTINTO EN firmadas ("&amp;IF(INDEX(firmadas!$E:$E,$T203)="","vacía",DAY(INDEX(firmadas!$E:$E,$T203))&amp;"/"&amp;MONTH(INDEX(firmadas!$E:$E,$T203))&amp;"/"&amp;YEAR(INDEX(firmadas!$E:$E,$T203)))&amp;")","OK"))))))))</f>
        <v>OK</v>
      </c>
      <c r="T203">
        <f ca="1">IF($P203="","",IFERROR(MATCH($P203,firmadas!$N:$N,0),IFERROR(MATCH("*/"&amp;MID($P203,FIND(" ",$P203)+1,9)&amp;"*",firmadas!$B:$B,0),0)))</f>
        <v>0</v>
      </c>
    </row>
    <row r="204" spans="1:20" ht="15" customHeight="1" x14ac:dyDescent="0.25">
      <c r="A204" t="s">
        <v>80</v>
      </c>
      <c r="C204" t="s">
        <v>145</v>
      </c>
      <c r="D204" s="25">
        <v>2126</v>
      </c>
      <c r="E204" t="s">
        <v>495</v>
      </c>
      <c r="F204" t="s">
        <v>496</v>
      </c>
      <c r="G204" s="26">
        <v>46199</v>
      </c>
      <c r="H204" s="16">
        <v>46211</v>
      </c>
      <c r="I204" t="s">
        <v>110</v>
      </c>
      <c r="J204" t="s">
        <v>115</v>
      </c>
      <c r="K204" t="s">
        <v>112</v>
      </c>
      <c r="L204" t="s">
        <v>497</v>
      </c>
      <c r="M204" t="s">
        <v>202</v>
      </c>
      <c r="N204" s="53">
        <f t="shared" ca="1" si="3"/>
        <v>0.4</v>
      </c>
      <c r="P204" s="47" t="str">
        <f ca="1">IF(TRIM(SUBSTITUTE(($C204&amp;" "&amp;$D204),CHAR(160)," "))="","",IFERROR(IF(ISNUMBER(SEARCH("INC",($C204&amp;" "&amp;$D204))),"INC",IF(ISNUMBER(SEARCH("OPI",($C204&amp;" "&amp;$D204))),"OPI",IF(ISNUMBER(SEARCH("DP",($C204&amp;" "&amp;$D204))),"DP","CONC")))&amp;" "&amp;TEXT(LOOKUP(9.99E+307,--MID(SUBSTITUTE(($C204&amp;" "&amp;$D204),CHAR(160)," "),SUMPRODUCT(MIN(FIND({0,1,2,3,4,5,6,7,8,9},SUBSTITUTE(($C204&amp;" "&amp;$D204),CHAR(160)," ")&amp;"0123456789"))),ROW(INDIRECT("1:6")))),"0"),"SIN NUMERO"))</f>
        <v>CONC 2126</v>
      </c>
      <c r="Q204" t="str">
        <f ca="1">IF($P204="","",IF(LEFT(UPPER($S204),9)="VERIFICAR","VERIFICAR",IF($A204="","SIN ESTADO",IF(AND($A204="Firmada",$H204=""),"FALTA FECHA DE FIRMA",IF(N($T204)=0,IF(AND(ISNUMBER($H204),$H204&gt;=DATE(2024,1,1)),"FALTA EN FIRMADAS","OK"),IF(OR($A204="Pendiente de presentación",$A204="Observado",$A204="En análisis",$A204="En instrucción",$A204="Suspendida",$A204="IT circulando",$A204="Para resolución",$A204="TDC"),"ABIERTA PERO ESTÁ EN FIRMADAS",IF($H204&lt;&gt;INDEX(firmadas!$F:$F,$T204),"FIRMA DISTINTA EN firmadas ("&amp;IF(INDEX(firmadas!$F:$F,$T204)="","vacía",DAY(INDEX(firmadas!$F:$F,$T204))&amp;"/"&amp;MONTH(INDEX(firmadas!$F:$F,$T204))&amp;"/"&amp;YEAR(INDEX(firmadas!$F:$F,$T204)))&amp;")",IF($G204&lt;&gt;INDEX(firmadas!$E:$E,$T204),"INGRESO DISTINTO EN firmadas ("&amp;IF(INDEX(firmadas!$E:$E,$T204)="","vacía",DAY(INDEX(firmadas!$E:$E,$T204))&amp;"/"&amp;MONTH(INDEX(firmadas!$E:$E,$T204))&amp;"/"&amp;YEAR(INDEX(firmadas!$E:$E,$T204)))&amp;")","OK"))))))))</f>
        <v>OK</v>
      </c>
      <c r="T204">
        <f ca="1">IF($P204="","",IFERROR(MATCH($P204,firmadas!$N:$N,0),IFERROR(MATCH("*/"&amp;MID($P204,FIND(" ",$P204)+1,9)&amp;"*",firmadas!$B:$B,0),0)))</f>
        <v>258</v>
      </c>
    </row>
    <row r="205" spans="1:20" ht="15" customHeight="1" x14ac:dyDescent="0.25">
      <c r="A205" t="s">
        <v>319</v>
      </c>
      <c r="C205" t="s">
        <v>145</v>
      </c>
      <c r="D205" s="25">
        <v>2127</v>
      </c>
      <c r="E205" t="s">
        <v>498</v>
      </c>
      <c r="F205" t="s">
        <v>499</v>
      </c>
      <c r="G205" s="16">
        <v>46203</v>
      </c>
      <c r="I205" t="s">
        <v>93</v>
      </c>
      <c r="J205" t="s">
        <v>124</v>
      </c>
      <c r="K205" t="s">
        <v>104</v>
      </c>
      <c r="L205" t="s">
        <v>197</v>
      </c>
      <c r="M205" t="s">
        <v>83</v>
      </c>
      <c r="N205" s="53">
        <f t="shared" ca="1" si="3"/>
        <v>3.1</v>
      </c>
      <c r="P205" s="47" t="str">
        <f ca="1">IF(TRIM(SUBSTITUTE(($C205&amp;" "&amp;$D205),CHAR(160)," "))="","",IFERROR(IF(ISNUMBER(SEARCH("INC",($C205&amp;" "&amp;$D205))),"INC",IF(ISNUMBER(SEARCH("OPI",($C205&amp;" "&amp;$D205))),"OPI",IF(ISNUMBER(SEARCH("DP",($C205&amp;" "&amp;$D205))),"DP","CONC")))&amp;" "&amp;TEXT(LOOKUP(9.99E+307,--MID(SUBSTITUTE(($C205&amp;" "&amp;$D205),CHAR(160)," "),SUMPRODUCT(MIN(FIND({0,1,2,3,4,5,6,7,8,9},SUBSTITUTE(($C205&amp;" "&amp;$D205),CHAR(160)," ")&amp;"0123456789"))),ROW(INDIRECT("1:6")))),"0"),"SIN NUMERO"))</f>
        <v>CONC 2127</v>
      </c>
      <c r="Q205" t="str">
        <f ca="1">IF($P205="","",IF(LEFT(UPPER($S205),9)="VERIFICAR","VERIFICAR",IF($A205="","SIN ESTADO",IF(AND($A205="Firmada",$H205=""),"FALTA FECHA DE FIRMA",IF(N($T205)=0,IF(AND(ISNUMBER($H205),$H205&gt;=DATE(2024,1,1)),"FALTA EN FIRMADAS","OK"),IF(OR($A205="Pendiente de presentación",$A205="Observado",$A205="En análisis",$A205="En instrucción",$A205="Suspendida",$A205="IT circulando",$A205="Para resolución",$A205="TDC"),"ABIERTA PERO ESTÁ EN FIRMADAS",IF($H205&lt;&gt;INDEX(firmadas!$F:$F,$T205),"FIRMA DISTINTA EN firmadas ("&amp;IF(INDEX(firmadas!$F:$F,$T205)="","vacía",DAY(INDEX(firmadas!$F:$F,$T205))&amp;"/"&amp;MONTH(INDEX(firmadas!$F:$F,$T205))&amp;"/"&amp;YEAR(INDEX(firmadas!$F:$F,$T205)))&amp;")",IF($G205&lt;&gt;INDEX(firmadas!$E:$E,$T205),"INGRESO DISTINTO EN firmadas ("&amp;IF(INDEX(firmadas!$E:$E,$T205)="","vacía",DAY(INDEX(firmadas!$E:$E,$T205))&amp;"/"&amp;MONTH(INDEX(firmadas!$E:$E,$T205))&amp;"/"&amp;YEAR(INDEX(firmadas!$E:$E,$T205)))&amp;")","OK"))))))))</f>
        <v>OK</v>
      </c>
      <c r="T205">
        <f ca="1">IF($P205="","",IFERROR(MATCH($P205,firmadas!$N:$N,0),IFERROR(MATCH("*/"&amp;MID($P205,FIND(" ",$P205)+1,9)&amp;"*",firmadas!$B:$B,0),0)))</f>
        <v>0</v>
      </c>
    </row>
    <row r="206" spans="1:20" ht="15" customHeight="1" x14ac:dyDescent="0.25">
      <c r="A206" t="s">
        <v>80</v>
      </c>
      <c r="C206" t="s">
        <v>145</v>
      </c>
      <c r="D206" s="25">
        <v>2129</v>
      </c>
      <c r="E206" t="s">
        <v>500</v>
      </c>
      <c r="F206" t="s">
        <v>501</v>
      </c>
      <c r="G206" s="16">
        <v>46216</v>
      </c>
      <c r="H206" s="16">
        <v>46224</v>
      </c>
      <c r="I206" t="s">
        <v>115</v>
      </c>
      <c r="J206" t="s">
        <v>88</v>
      </c>
      <c r="K206" t="s">
        <v>112</v>
      </c>
      <c r="L206" t="s">
        <v>370</v>
      </c>
      <c r="M206" t="s">
        <v>202</v>
      </c>
      <c r="N206" s="53">
        <f t="shared" ca="1" si="3"/>
        <v>0.26666666666666666</v>
      </c>
      <c r="P206" s="47" t="str">
        <f ca="1">IF(TRIM(SUBSTITUTE(($C206&amp;" "&amp;$D206),CHAR(160)," "))="","",IFERROR(IF(ISNUMBER(SEARCH("INC",($C206&amp;" "&amp;$D206))),"INC",IF(ISNUMBER(SEARCH("OPI",($C206&amp;" "&amp;$D206))),"OPI",IF(ISNUMBER(SEARCH("DP",($C206&amp;" "&amp;$D206))),"DP","CONC")))&amp;" "&amp;TEXT(LOOKUP(9.99E+307,--MID(SUBSTITUTE(($C206&amp;" "&amp;$D206),CHAR(160)," "),SUMPRODUCT(MIN(FIND({0,1,2,3,4,5,6,7,8,9},SUBSTITUTE(($C206&amp;" "&amp;$D206),CHAR(160)," ")&amp;"0123456789"))),ROW(INDIRECT("1:6")))),"0"),"SIN NUMERO"))</f>
        <v>CONC 2129</v>
      </c>
      <c r="Q206" t="str">
        <f ca="1">IF($P206="","",IF(LEFT(UPPER($S206),9)="VERIFICAR","VERIFICAR",IF($A206="","SIN ESTADO",IF(AND($A206="Firmada",$H206=""),"FALTA FECHA DE FIRMA",IF(N($T206)=0,IF(AND(ISNUMBER($H206),$H206&gt;=DATE(2024,1,1)),"FALTA EN FIRMADAS","OK"),IF(OR($A206="Pendiente de presentación",$A206="Observado",$A206="En análisis",$A206="En instrucción",$A206="Suspendida",$A206="IT circulando",$A206="Para resolución",$A206="TDC"),"ABIERTA PERO ESTÁ EN FIRMADAS",IF($H206&lt;&gt;INDEX(firmadas!$F:$F,$T206),"FIRMA DISTINTA EN firmadas ("&amp;IF(INDEX(firmadas!$F:$F,$T206)="","vacía",DAY(INDEX(firmadas!$F:$F,$T206))&amp;"/"&amp;MONTH(INDEX(firmadas!$F:$F,$T206))&amp;"/"&amp;YEAR(INDEX(firmadas!$F:$F,$T206)))&amp;")",IF($G206&lt;&gt;INDEX(firmadas!$E:$E,$T206),"INGRESO DISTINTO EN firmadas ("&amp;IF(INDEX(firmadas!$E:$E,$T206)="","vacía",DAY(INDEX(firmadas!$E:$E,$T206))&amp;"/"&amp;MONTH(INDEX(firmadas!$E:$E,$T206))&amp;"/"&amp;YEAR(INDEX(firmadas!$E:$E,$T206)))&amp;")","OK"))))))))</f>
        <v>OK</v>
      </c>
      <c r="T206">
        <f ca="1">IF($P206="","",IFERROR(MATCH($P206,firmadas!$N:$N,0),IFERROR(MATCH("*/"&amp;MID($P206,FIND(" ",$P206)+1,9)&amp;"*",firmadas!$B:$B,0),0)))</f>
        <v>261</v>
      </c>
    </row>
    <row r="207" spans="1:20" ht="15" customHeight="1" x14ac:dyDescent="0.25">
      <c r="A207" s="44" t="s">
        <v>80</v>
      </c>
      <c r="C207" t="s">
        <v>145</v>
      </c>
      <c r="D207" s="25">
        <v>2128</v>
      </c>
      <c r="E207" t="s">
        <v>502</v>
      </c>
      <c r="F207" t="s">
        <v>503</v>
      </c>
      <c r="G207" s="16">
        <v>46216</v>
      </c>
      <c r="H207" s="26">
        <v>46248</v>
      </c>
      <c r="I207" t="s">
        <v>88</v>
      </c>
      <c r="J207" t="s">
        <v>115</v>
      </c>
      <c r="K207" t="s">
        <v>112</v>
      </c>
      <c r="L207" t="s">
        <v>370</v>
      </c>
      <c r="M207" t="s">
        <v>202</v>
      </c>
      <c r="N207" s="53">
        <f t="shared" ca="1" si="3"/>
        <v>1.0666666666666667</v>
      </c>
      <c r="P207" s="47" t="str">
        <f ca="1">IF(TRIM(SUBSTITUTE(($C207&amp;" "&amp;$D207),CHAR(160)," "))="","",IFERROR(IF(ISNUMBER(SEARCH("INC",($C207&amp;" "&amp;$D207))),"INC",IF(ISNUMBER(SEARCH("OPI",($C207&amp;" "&amp;$D207))),"OPI",IF(ISNUMBER(SEARCH("DP",($C207&amp;" "&amp;$D207))),"DP","CONC")))&amp;" "&amp;TEXT(LOOKUP(9.99E+307,--MID(SUBSTITUTE(($C207&amp;" "&amp;$D207),CHAR(160)," "),SUMPRODUCT(MIN(FIND({0,1,2,3,4,5,6,7,8,9},SUBSTITUTE(($C207&amp;" "&amp;$D207),CHAR(160)," ")&amp;"0123456789"))),ROW(INDIRECT("1:6")))),"0"),"SIN NUMERO"))</f>
        <v>CONC 2128</v>
      </c>
      <c r="Q207" t="str">
        <f ca="1">IF($P207="","",IF(LEFT(UPPER($S207),9)="VERIFICAR","VERIFICAR",IF($A207="","SIN ESTADO",IF(AND($A207="Firmada",$H207=""),"FALTA FECHA DE FIRMA",IF(N($T207)=0,IF(AND(ISNUMBER($H207),$H207&gt;=DATE(2024,1,1)),"FALTA EN FIRMADAS","OK"),IF(OR($A207="Pendiente de presentación",$A207="Observado",$A207="En análisis",$A207="En instrucción",$A207="Suspendida",$A207="IT circulando",$A207="Para resolución",$A207="TDC"),"ABIERTA PERO ESTÁ EN FIRMADAS",IF($H207&lt;&gt;INDEX(firmadas!$F:$F,$T207),"FIRMA DISTINTA EN firmadas ("&amp;IF(INDEX(firmadas!$F:$F,$T207)="","vacía",DAY(INDEX(firmadas!$F:$F,$T207))&amp;"/"&amp;MONTH(INDEX(firmadas!$F:$F,$T207))&amp;"/"&amp;YEAR(INDEX(firmadas!$F:$F,$T207)))&amp;")",IF($G207&lt;&gt;INDEX(firmadas!$E:$E,$T207),"INGRESO DISTINTO EN firmadas ("&amp;IF(INDEX(firmadas!$E:$E,$T207)="","vacía",DAY(INDEX(firmadas!$E:$E,$T207))&amp;"/"&amp;MONTH(INDEX(firmadas!$E:$E,$T207))&amp;"/"&amp;YEAR(INDEX(firmadas!$E:$E,$T207)))&amp;")","OK"))))))))</f>
        <v>OK</v>
      </c>
      <c r="T207">
        <f ca="1">IF($P207="","",IFERROR(MATCH($P207,firmadas!$N:$N,0),IFERROR(MATCH("*/"&amp;MID($P207,FIND(" ",$P207)+1,9)&amp;"*",firmadas!$B:$B,0),0)))</f>
        <v>271</v>
      </c>
    </row>
    <row r="208" spans="1:20" ht="15" customHeight="1" x14ac:dyDescent="0.25">
      <c r="A208" t="s">
        <v>80</v>
      </c>
      <c r="C208" t="s">
        <v>145</v>
      </c>
      <c r="D208" s="25">
        <v>2130</v>
      </c>
      <c r="E208" t="s">
        <v>504</v>
      </c>
      <c r="F208" t="s">
        <v>505</v>
      </c>
      <c r="G208" s="16">
        <v>46216</v>
      </c>
      <c r="H208" s="16">
        <v>46267</v>
      </c>
      <c r="I208" t="s">
        <v>88</v>
      </c>
      <c r="J208" t="s">
        <v>115</v>
      </c>
      <c r="K208" t="s">
        <v>370</v>
      </c>
      <c r="L208" t="s">
        <v>112</v>
      </c>
      <c r="M208" t="s">
        <v>202</v>
      </c>
      <c r="N208" s="53">
        <f t="shared" ca="1" si="3"/>
        <v>1.7</v>
      </c>
      <c r="P208" s="47" t="str">
        <f ca="1">IF(TRIM(SUBSTITUTE(($C208&amp;" "&amp;$D208),CHAR(160)," "))="","",IFERROR(IF(ISNUMBER(SEARCH("INC",($C208&amp;" "&amp;$D208))),"INC",IF(ISNUMBER(SEARCH("OPI",($C208&amp;" "&amp;$D208))),"OPI",IF(ISNUMBER(SEARCH("DP",($C208&amp;" "&amp;$D208))),"DP","CONC")))&amp;" "&amp;TEXT(LOOKUP(9.99E+307,--MID(SUBSTITUTE(($C208&amp;" "&amp;$D208),CHAR(160)," "),SUMPRODUCT(MIN(FIND({0,1,2,3,4,5,6,7,8,9},SUBSTITUTE(($C208&amp;" "&amp;$D208),CHAR(160)," ")&amp;"0123456789"))),ROW(INDIRECT("1:6")))),"0"),"SIN NUMERO"))</f>
        <v>CONC 2130</v>
      </c>
      <c r="Q208" t="str">
        <f ca="1">IF($P208="","",IF(LEFT(UPPER($S208),9)="VERIFICAR","VERIFICAR",IF($A208="","SIN ESTADO",IF(AND($A208="Firmada",$H208=""),"FALTA FECHA DE FIRMA",IF(N($T208)=0,IF(AND(ISNUMBER($H208),$H208&gt;=DATE(2024,1,1)),"FALTA EN FIRMADAS","OK"),IF(OR($A208="Pendiente de presentación",$A208="Observado",$A208="En análisis",$A208="En instrucción",$A208="Suspendida",$A208="IT circulando",$A208="Para resolución",$A208="TDC"),"ABIERTA PERO ESTÁ EN FIRMADAS",IF($H208&lt;&gt;INDEX(firmadas!$F:$F,$T208),"FIRMA DISTINTA EN firmadas ("&amp;IF(INDEX(firmadas!$F:$F,$T208)="","vacía",DAY(INDEX(firmadas!$F:$F,$T208))&amp;"/"&amp;MONTH(INDEX(firmadas!$F:$F,$T208))&amp;"/"&amp;YEAR(INDEX(firmadas!$F:$F,$T208)))&amp;")",IF($G208&lt;&gt;INDEX(firmadas!$E:$E,$T208),"INGRESO DISTINTO EN firmadas ("&amp;IF(INDEX(firmadas!$E:$E,$T208)="","vacía",DAY(INDEX(firmadas!$E:$E,$T208))&amp;"/"&amp;MONTH(INDEX(firmadas!$E:$E,$T208))&amp;"/"&amp;YEAR(INDEX(firmadas!$E:$E,$T208)))&amp;")","OK"))))))))</f>
        <v>OK</v>
      </c>
      <c r="T208">
        <f ca="1">IF($P208="","",IFERROR(MATCH($P208,firmadas!$N:$N,0),IFERROR(MATCH("*/"&amp;MID($P208,FIND(" ",$P208)+1,9)&amp;"*",firmadas!$B:$B,0),0)))</f>
        <v>274</v>
      </c>
    </row>
    <row r="209" spans="1:20" ht="15" customHeight="1" x14ac:dyDescent="0.25">
      <c r="A209" t="s">
        <v>319</v>
      </c>
      <c r="C209" t="s">
        <v>145</v>
      </c>
      <c r="D209" s="25">
        <v>2131</v>
      </c>
      <c r="E209" t="s">
        <v>506</v>
      </c>
      <c r="F209" t="s">
        <v>507</v>
      </c>
      <c r="G209" s="16">
        <v>46217</v>
      </c>
      <c r="I209" t="s">
        <v>93</v>
      </c>
      <c r="J209" t="s">
        <v>138</v>
      </c>
      <c r="K209" t="s">
        <v>112</v>
      </c>
      <c r="L209" t="s">
        <v>497</v>
      </c>
      <c r="M209" t="s">
        <v>83</v>
      </c>
      <c r="N209" s="53">
        <f t="shared" ca="1" si="3"/>
        <v>2.6333333333333333</v>
      </c>
      <c r="P209" s="47" t="str">
        <f ca="1">IF(TRIM(SUBSTITUTE(($C209&amp;" "&amp;$D209),CHAR(160)," "))="","",IFERROR(IF(ISNUMBER(SEARCH("INC",($C209&amp;" "&amp;$D209))),"INC",IF(ISNUMBER(SEARCH("OPI",($C209&amp;" "&amp;$D209))),"OPI",IF(ISNUMBER(SEARCH("DP",($C209&amp;" "&amp;$D209))),"DP","CONC")))&amp;" "&amp;TEXT(LOOKUP(9.99E+307,--MID(SUBSTITUTE(($C209&amp;" "&amp;$D209),CHAR(160)," "),SUMPRODUCT(MIN(FIND({0,1,2,3,4,5,6,7,8,9},SUBSTITUTE(($C209&amp;" "&amp;$D209),CHAR(160)," ")&amp;"0123456789"))),ROW(INDIRECT("1:6")))),"0"),"SIN NUMERO"))</f>
        <v>CONC 2131</v>
      </c>
      <c r="Q209" t="str">
        <f ca="1">IF($P209="","",IF(LEFT(UPPER($S209),9)="VERIFICAR","VERIFICAR",IF($A209="","SIN ESTADO",IF(AND($A209="Firmada",$H209=""),"FALTA FECHA DE FIRMA",IF(N($T209)=0,IF(AND(ISNUMBER($H209),$H209&gt;=DATE(2024,1,1)),"FALTA EN FIRMADAS","OK"),IF(OR($A209="Pendiente de presentación",$A209="Observado",$A209="En análisis",$A209="En instrucción",$A209="Suspendida",$A209="IT circulando",$A209="Para resolución",$A209="TDC"),"ABIERTA PERO ESTÁ EN FIRMADAS",IF($H209&lt;&gt;INDEX(firmadas!$F:$F,$T209),"FIRMA DISTINTA EN firmadas ("&amp;IF(INDEX(firmadas!$F:$F,$T209)="","vacía",DAY(INDEX(firmadas!$F:$F,$T209))&amp;"/"&amp;MONTH(INDEX(firmadas!$F:$F,$T209))&amp;"/"&amp;YEAR(INDEX(firmadas!$F:$F,$T209)))&amp;")",IF($G209&lt;&gt;INDEX(firmadas!$E:$E,$T209),"INGRESO DISTINTO EN firmadas ("&amp;IF(INDEX(firmadas!$E:$E,$T209)="","vacía",DAY(INDEX(firmadas!$E:$E,$T209))&amp;"/"&amp;MONTH(INDEX(firmadas!$E:$E,$T209))&amp;"/"&amp;YEAR(INDEX(firmadas!$E:$E,$T209)))&amp;")","OK"))))))))</f>
        <v>OK</v>
      </c>
      <c r="T209">
        <f ca="1">IF($P209="","",IFERROR(MATCH($P209,firmadas!$N:$N,0),IFERROR(MATCH("*/"&amp;MID($P209,FIND(" ",$P209)+1,9)&amp;"*",firmadas!$B:$B,0),0)))</f>
        <v>0</v>
      </c>
    </row>
    <row r="210" spans="1:20" ht="15" customHeight="1" x14ac:dyDescent="0.25">
      <c r="A210" t="s">
        <v>319</v>
      </c>
      <c r="C210" t="s">
        <v>145</v>
      </c>
      <c r="D210" s="25">
        <v>2132</v>
      </c>
      <c r="E210" t="s">
        <v>508</v>
      </c>
      <c r="F210" t="s">
        <v>509</v>
      </c>
      <c r="G210" s="16">
        <v>46219</v>
      </c>
      <c r="I210" t="s">
        <v>138</v>
      </c>
      <c r="J210" t="s">
        <v>115</v>
      </c>
      <c r="K210" t="s">
        <v>127</v>
      </c>
      <c r="L210" t="s">
        <v>133</v>
      </c>
      <c r="M210" t="s">
        <v>83</v>
      </c>
      <c r="N210" s="53">
        <f t="shared" ca="1" si="3"/>
        <v>2.5666666666666669</v>
      </c>
      <c r="P210" s="47" t="str">
        <f ca="1">IF(TRIM(SUBSTITUTE(($C210&amp;" "&amp;$D210),CHAR(160)," "))="","",IFERROR(IF(ISNUMBER(SEARCH("INC",($C210&amp;" "&amp;$D210))),"INC",IF(ISNUMBER(SEARCH("OPI",($C210&amp;" "&amp;$D210))),"OPI",IF(ISNUMBER(SEARCH("DP",($C210&amp;" "&amp;$D210))),"DP","CONC")))&amp;" "&amp;TEXT(LOOKUP(9.99E+307,--MID(SUBSTITUTE(($C210&amp;" "&amp;$D210),CHAR(160)," "),SUMPRODUCT(MIN(FIND({0,1,2,3,4,5,6,7,8,9},SUBSTITUTE(($C210&amp;" "&amp;$D210),CHAR(160)," ")&amp;"0123456789"))),ROW(INDIRECT("1:6")))),"0"),"SIN NUMERO"))</f>
        <v>CONC 2132</v>
      </c>
      <c r="Q210" t="str">
        <f ca="1">IF($P210="","",IF(LEFT(UPPER($S210),9)="VERIFICAR","VERIFICAR",IF($A210="","SIN ESTADO",IF(AND($A210="Firmada",$H210=""),"FALTA FECHA DE FIRMA",IF(N($T210)=0,IF(AND(ISNUMBER($H210),$H210&gt;=DATE(2024,1,1)),"FALTA EN FIRMADAS","OK"),IF(OR($A210="Pendiente de presentación",$A210="Observado",$A210="En análisis",$A210="En instrucción",$A210="Suspendida",$A210="IT circulando",$A210="Para resolución",$A210="TDC"),"ABIERTA PERO ESTÁ EN FIRMADAS",IF($H210&lt;&gt;INDEX(firmadas!$F:$F,$T210),"FIRMA DISTINTA EN firmadas ("&amp;IF(INDEX(firmadas!$F:$F,$T210)="","vacía",DAY(INDEX(firmadas!$F:$F,$T210))&amp;"/"&amp;MONTH(INDEX(firmadas!$F:$F,$T210))&amp;"/"&amp;YEAR(INDEX(firmadas!$F:$F,$T210)))&amp;")",IF($G210&lt;&gt;INDEX(firmadas!$E:$E,$T210),"INGRESO DISTINTO EN firmadas ("&amp;IF(INDEX(firmadas!$E:$E,$T210)="","vacía",DAY(INDEX(firmadas!$E:$E,$T210))&amp;"/"&amp;MONTH(INDEX(firmadas!$E:$E,$T210))&amp;"/"&amp;YEAR(INDEX(firmadas!$E:$E,$T210)))&amp;")","OK"))))))))</f>
        <v>OK</v>
      </c>
      <c r="T210">
        <f ca="1">IF($P210="","",IFERROR(MATCH($P210,firmadas!$N:$N,0),IFERROR(MATCH("*/"&amp;MID($P210,FIND(" ",$P210)+1,9)&amp;"*",firmadas!$B:$B,0),0)))</f>
        <v>0</v>
      </c>
    </row>
    <row r="211" spans="1:20" ht="15" customHeight="1" x14ac:dyDescent="0.25">
      <c r="A211" s="44" t="s">
        <v>80</v>
      </c>
      <c r="C211" t="s">
        <v>145</v>
      </c>
      <c r="D211" s="25">
        <v>2133</v>
      </c>
      <c r="E211" t="s">
        <v>510</v>
      </c>
      <c r="F211" t="s">
        <v>511</v>
      </c>
      <c r="G211" s="16">
        <v>46227</v>
      </c>
      <c r="H211" s="26">
        <v>46239</v>
      </c>
      <c r="I211" t="s">
        <v>88</v>
      </c>
      <c r="J211" t="s">
        <v>115</v>
      </c>
      <c r="K211" t="s">
        <v>370</v>
      </c>
      <c r="L211" t="s">
        <v>112</v>
      </c>
      <c r="M211" t="s">
        <v>202</v>
      </c>
      <c r="N211" s="53">
        <f t="shared" ca="1" si="3"/>
        <v>0.4</v>
      </c>
      <c r="P211" s="47" t="str">
        <f ca="1">IF(TRIM(SUBSTITUTE(($C211&amp;" "&amp;$D211),CHAR(160)," "))="","",IFERROR(IF(ISNUMBER(SEARCH("INC",($C211&amp;" "&amp;$D211))),"INC",IF(ISNUMBER(SEARCH("OPI",($C211&amp;" "&amp;$D211))),"OPI",IF(ISNUMBER(SEARCH("DP",($C211&amp;" "&amp;$D211))),"DP","CONC")))&amp;" "&amp;TEXT(LOOKUP(9.99E+307,--MID(SUBSTITUTE(($C211&amp;" "&amp;$D211),CHAR(160)," "),SUMPRODUCT(MIN(FIND({0,1,2,3,4,5,6,7,8,9},SUBSTITUTE(($C211&amp;" "&amp;$D211),CHAR(160)," ")&amp;"0123456789"))),ROW(INDIRECT("1:6")))),"0"),"SIN NUMERO"))</f>
        <v>CONC 2133</v>
      </c>
      <c r="Q211" t="str">
        <f ca="1">IF($P211="","",IF(LEFT(UPPER($S211),9)="VERIFICAR","VERIFICAR",IF($A211="","SIN ESTADO",IF(AND($A211="Firmada",$H211=""),"FALTA FECHA DE FIRMA",IF(N($T211)=0,IF(AND(ISNUMBER($H211),$H211&gt;=DATE(2024,1,1)),"FALTA EN FIRMADAS","OK"),IF(OR($A211="Pendiente de presentación",$A211="Observado",$A211="En análisis",$A211="En instrucción",$A211="Suspendida",$A211="IT circulando",$A211="Para resolución",$A211="TDC"),"ABIERTA PERO ESTÁ EN FIRMADAS",IF($H211&lt;&gt;INDEX(firmadas!$F:$F,$T211),"FIRMA DISTINTA EN firmadas ("&amp;IF(INDEX(firmadas!$F:$F,$T211)="","vacía",DAY(INDEX(firmadas!$F:$F,$T211))&amp;"/"&amp;MONTH(INDEX(firmadas!$F:$F,$T211))&amp;"/"&amp;YEAR(INDEX(firmadas!$F:$F,$T211)))&amp;")",IF($G211&lt;&gt;INDEX(firmadas!$E:$E,$T211),"INGRESO DISTINTO EN firmadas ("&amp;IF(INDEX(firmadas!$E:$E,$T211)="","vacía",DAY(INDEX(firmadas!$E:$E,$T211))&amp;"/"&amp;MONTH(INDEX(firmadas!$E:$E,$T211))&amp;"/"&amp;YEAR(INDEX(firmadas!$E:$E,$T211)))&amp;")","OK"))))))))</f>
        <v>OK</v>
      </c>
      <c r="T211">
        <f ca="1">IF($P211="","",IFERROR(MATCH($P211,firmadas!$N:$N,0),IFERROR(MATCH("*/"&amp;MID($P211,FIND(" ",$P211)+1,9)&amp;"*",firmadas!$B:$B,0),0)))</f>
        <v>266</v>
      </c>
    </row>
    <row r="212" spans="1:20" ht="15" customHeight="1" x14ac:dyDescent="0.25">
      <c r="A212" t="s">
        <v>319</v>
      </c>
      <c r="C212" t="s">
        <v>145</v>
      </c>
      <c r="D212" s="25">
        <v>2134</v>
      </c>
      <c r="E212" t="s">
        <v>512</v>
      </c>
      <c r="F212" t="s">
        <v>513</v>
      </c>
      <c r="G212" s="16">
        <v>46233</v>
      </c>
      <c r="I212" t="s">
        <v>115</v>
      </c>
      <c r="J212" t="s">
        <v>88</v>
      </c>
      <c r="K212" t="s">
        <v>370</v>
      </c>
      <c r="L212" t="s">
        <v>112</v>
      </c>
      <c r="M212" t="s">
        <v>202</v>
      </c>
      <c r="N212" s="53">
        <f t="shared" ca="1" si="3"/>
        <v>2.1</v>
      </c>
      <c r="P212" s="47" t="str">
        <f ca="1">IF(TRIM(SUBSTITUTE(($C212&amp;" "&amp;$D212),CHAR(160)," "))="","",IFERROR(IF(ISNUMBER(SEARCH("INC",($C212&amp;" "&amp;$D212))),"INC",IF(ISNUMBER(SEARCH("OPI",($C212&amp;" "&amp;$D212))),"OPI",IF(ISNUMBER(SEARCH("DP",($C212&amp;" "&amp;$D212))),"DP","CONC")))&amp;" "&amp;TEXT(LOOKUP(9.99E+307,--MID(SUBSTITUTE(($C212&amp;" "&amp;$D212),CHAR(160)," "),SUMPRODUCT(MIN(FIND({0,1,2,3,4,5,6,7,8,9},SUBSTITUTE(($C212&amp;" "&amp;$D212),CHAR(160)," ")&amp;"0123456789"))),ROW(INDIRECT("1:6")))),"0"),"SIN NUMERO"))</f>
        <v>CONC 2134</v>
      </c>
      <c r="Q212" t="str">
        <f ca="1">IF($P212="","",IF(LEFT(UPPER($S212),9)="VERIFICAR","VERIFICAR",IF($A212="","SIN ESTADO",IF(AND($A212="Firmada",$H212=""),"FALTA FECHA DE FIRMA",IF(N($T212)=0,IF(AND(ISNUMBER($H212),$H212&gt;=DATE(2024,1,1)),"FALTA EN FIRMADAS","OK"),IF(OR($A212="Pendiente de presentación",$A212="Observado",$A212="En análisis",$A212="En instrucción",$A212="Suspendida",$A212="IT circulando",$A212="Para resolución",$A212="TDC"),"ABIERTA PERO ESTÁ EN FIRMADAS",IF($H212&lt;&gt;INDEX(firmadas!$F:$F,$T212),"FIRMA DISTINTA EN firmadas ("&amp;IF(INDEX(firmadas!$F:$F,$T212)="","vacía",DAY(INDEX(firmadas!$F:$F,$T212))&amp;"/"&amp;MONTH(INDEX(firmadas!$F:$F,$T212))&amp;"/"&amp;YEAR(INDEX(firmadas!$F:$F,$T212)))&amp;")",IF($G212&lt;&gt;INDEX(firmadas!$E:$E,$T212),"INGRESO DISTINTO EN firmadas ("&amp;IF(INDEX(firmadas!$E:$E,$T212)="","vacía",DAY(INDEX(firmadas!$E:$E,$T212))&amp;"/"&amp;MONTH(INDEX(firmadas!$E:$E,$T212))&amp;"/"&amp;YEAR(INDEX(firmadas!$E:$E,$T212)))&amp;")","OK"))))))))</f>
        <v>OK</v>
      </c>
      <c r="T212">
        <f ca="1">IF($P212="","",IFERROR(MATCH($P212,firmadas!$N:$N,0),IFERROR(MATCH("*/"&amp;MID($P212,FIND(" ",$P212)+1,9)&amp;"*",firmadas!$B:$B,0),0)))</f>
        <v>0</v>
      </c>
    </row>
    <row r="213" spans="1:20" ht="15" customHeight="1" x14ac:dyDescent="0.25">
      <c r="A213" t="s">
        <v>80</v>
      </c>
      <c r="C213" t="s">
        <v>145</v>
      </c>
      <c r="D213" s="25">
        <v>2135</v>
      </c>
      <c r="E213" t="s">
        <v>514</v>
      </c>
      <c r="F213" t="s">
        <v>515</v>
      </c>
      <c r="G213" s="16">
        <v>46234</v>
      </c>
      <c r="H213" s="16">
        <v>46273</v>
      </c>
      <c r="I213" t="s">
        <v>115</v>
      </c>
      <c r="J213" t="s">
        <v>88</v>
      </c>
      <c r="K213" t="s">
        <v>370</v>
      </c>
      <c r="L213" t="s">
        <v>112</v>
      </c>
      <c r="M213" t="s">
        <v>202</v>
      </c>
      <c r="N213" s="53">
        <f t="shared" ca="1" si="3"/>
        <v>1.3</v>
      </c>
      <c r="P213" s="47" t="str">
        <f ca="1">IF(TRIM(SUBSTITUTE(($C213&amp;" "&amp;$D213),CHAR(160)," "))="","",IFERROR(IF(ISNUMBER(SEARCH("INC",($C213&amp;" "&amp;$D213))),"INC",IF(ISNUMBER(SEARCH("OPI",($C213&amp;" "&amp;$D213))),"OPI",IF(ISNUMBER(SEARCH("DP",($C213&amp;" "&amp;$D213))),"DP","CONC")))&amp;" "&amp;TEXT(LOOKUP(9.99E+307,--MID(SUBSTITUTE(($C213&amp;" "&amp;$D213),CHAR(160)," "),SUMPRODUCT(MIN(FIND({0,1,2,3,4,5,6,7,8,9},SUBSTITUTE(($C213&amp;" "&amp;$D213),CHAR(160)," ")&amp;"0123456789"))),ROW(INDIRECT("1:6")))),"0"),"SIN NUMERO"))</f>
        <v>CONC 2135</v>
      </c>
      <c r="Q213" t="str">
        <f ca="1">IF($P213="","",IF(LEFT(UPPER($S213),9)="VERIFICAR","VERIFICAR",IF($A213="","SIN ESTADO",IF(AND($A213="Firmada",$H213=""),"FALTA FECHA DE FIRMA",IF(N($T213)=0,IF(AND(ISNUMBER($H213),$H213&gt;=DATE(2024,1,1)),"FALTA EN FIRMADAS","OK"),IF(OR($A213="Pendiente de presentación",$A213="Observado",$A213="En análisis",$A213="En instrucción",$A213="Suspendida",$A213="IT circulando",$A213="Para resolución",$A213="TDC"),"ABIERTA PERO ESTÁ EN FIRMADAS",IF($H213&lt;&gt;INDEX(firmadas!$F:$F,$T213),"FIRMA DISTINTA EN firmadas ("&amp;IF(INDEX(firmadas!$F:$F,$T213)="","vacía",DAY(INDEX(firmadas!$F:$F,$T213))&amp;"/"&amp;MONTH(INDEX(firmadas!$F:$F,$T213))&amp;"/"&amp;YEAR(INDEX(firmadas!$F:$F,$T213)))&amp;")",IF($G213&lt;&gt;INDEX(firmadas!$E:$E,$T213),"INGRESO DISTINTO EN firmadas ("&amp;IF(INDEX(firmadas!$E:$E,$T213)="","vacía",DAY(INDEX(firmadas!$E:$E,$T213))&amp;"/"&amp;MONTH(INDEX(firmadas!$E:$E,$T213))&amp;"/"&amp;YEAR(INDEX(firmadas!$E:$E,$T213)))&amp;")","OK"))))))))</f>
        <v>OK</v>
      </c>
      <c r="T213">
        <f ca="1">IF($P213="","",IFERROR(MATCH($P213,firmadas!$N:$N,0),IFERROR(MATCH("*/"&amp;MID($P213,FIND(" ",$P213)+1,9)&amp;"*",firmadas!$B:$B,0),0)))</f>
        <v>276</v>
      </c>
    </row>
    <row r="214" spans="1:20" ht="15" customHeight="1" x14ac:dyDescent="0.25">
      <c r="A214" t="s">
        <v>319</v>
      </c>
      <c r="C214" t="s">
        <v>145</v>
      </c>
      <c r="D214" s="25">
        <v>2136</v>
      </c>
      <c r="E214" s="44" t="s">
        <v>516</v>
      </c>
      <c r="F214" s="44" t="s">
        <v>517</v>
      </c>
      <c r="G214" s="26">
        <v>46237</v>
      </c>
      <c r="I214" s="44" t="s">
        <v>88</v>
      </c>
      <c r="J214" s="44" t="s">
        <v>115</v>
      </c>
      <c r="K214" s="44" t="s">
        <v>112</v>
      </c>
      <c r="L214" s="44" t="s">
        <v>370</v>
      </c>
      <c r="M214" t="s">
        <v>202</v>
      </c>
      <c r="N214" s="53">
        <f t="shared" ca="1" si="3"/>
        <v>1.9666666666666666</v>
      </c>
      <c r="P214" s="47" t="str">
        <f ca="1">IF(TRIM(SUBSTITUTE(($C214&amp;" "&amp;$D214),CHAR(160)," "))="","",IFERROR(IF(ISNUMBER(SEARCH("INC",($C214&amp;" "&amp;$D214))),"INC",IF(ISNUMBER(SEARCH("OPI",($C214&amp;" "&amp;$D214))),"OPI",IF(ISNUMBER(SEARCH("DP",($C214&amp;" "&amp;$D214))),"DP","CONC")))&amp;" "&amp;TEXT(LOOKUP(9.99E+307,--MID(SUBSTITUTE(($C214&amp;" "&amp;$D214),CHAR(160)," "),SUMPRODUCT(MIN(FIND({0,1,2,3,4,5,6,7,8,9},SUBSTITUTE(($C214&amp;" "&amp;$D214),CHAR(160)," ")&amp;"0123456789"))),ROW(INDIRECT("1:6")))),"0"),"SIN NUMERO"))</f>
        <v>CONC 2136</v>
      </c>
      <c r="Q214" t="str">
        <f ca="1">IF($P214="","",IF(LEFT(UPPER($S214),9)="VERIFICAR","VERIFICAR",IF($A214="","SIN ESTADO",IF(AND($A214="Firmada",$H214=""),"FALTA FECHA DE FIRMA",IF(N($T214)=0,IF(AND(ISNUMBER($H214),$H214&gt;=DATE(2024,1,1)),"FALTA EN FIRMADAS","OK"),IF(OR($A214="Pendiente de presentación",$A214="Observado",$A214="En análisis",$A214="En instrucción",$A214="Suspendida",$A214="IT circulando",$A214="Para resolución",$A214="TDC"),"ABIERTA PERO ESTÁ EN FIRMADAS",IF($H214&lt;&gt;INDEX(firmadas!$F:$F,$T214),"FIRMA DISTINTA EN firmadas ("&amp;IF(INDEX(firmadas!$F:$F,$T214)="","vacía",DAY(INDEX(firmadas!$F:$F,$T214))&amp;"/"&amp;MONTH(INDEX(firmadas!$F:$F,$T214))&amp;"/"&amp;YEAR(INDEX(firmadas!$F:$F,$T214)))&amp;")",IF($G214&lt;&gt;INDEX(firmadas!$E:$E,$T214),"INGRESO DISTINTO EN firmadas ("&amp;IF(INDEX(firmadas!$E:$E,$T214)="","vacía",DAY(INDEX(firmadas!$E:$E,$T214))&amp;"/"&amp;MONTH(INDEX(firmadas!$E:$E,$T214))&amp;"/"&amp;YEAR(INDEX(firmadas!$E:$E,$T214)))&amp;")","OK"))))))))</f>
        <v>OK</v>
      </c>
      <c r="T214">
        <f ca="1">IF($P214="","",IFERROR(MATCH($P214,firmadas!$N:$N,0),IFERROR(MATCH("*/"&amp;MID($P214,FIND(" ",$P214)+1,9)&amp;"*",firmadas!$B:$B,0),0)))</f>
        <v>0</v>
      </c>
    </row>
    <row r="215" spans="1:20" ht="15" customHeight="1" x14ac:dyDescent="0.25">
      <c r="A215" s="44" t="s">
        <v>80</v>
      </c>
      <c r="C215" t="s">
        <v>145</v>
      </c>
      <c r="D215" s="25">
        <v>2137</v>
      </c>
      <c r="E215" s="44" t="s">
        <v>518</v>
      </c>
      <c r="F215" s="44" t="s">
        <v>519</v>
      </c>
      <c r="G215" s="26">
        <v>46239</v>
      </c>
      <c r="H215" s="26">
        <v>46248</v>
      </c>
      <c r="I215" s="44" t="s">
        <v>88</v>
      </c>
      <c r="J215" s="44" t="s">
        <v>115</v>
      </c>
      <c r="K215" s="44" t="s">
        <v>112</v>
      </c>
      <c r="L215" s="44" t="s">
        <v>370</v>
      </c>
      <c r="M215" t="s">
        <v>202</v>
      </c>
      <c r="N215" s="53">
        <f t="shared" ca="1" si="3"/>
        <v>0.3</v>
      </c>
      <c r="P215" s="47" t="str">
        <f ca="1">IF(TRIM(SUBSTITUTE(($C215&amp;" "&amp;$D215),CHAR(160)," "))="","",IFERROR(IF(ISNUMBER(SEARCH("INC",($C215&amp;" "&amp;$D215))),"INC",IF(ISNUMBER(SEARCH("OPI",($C215&amp;" "&amp;$D215))),"OPI",IF(ISNUMBER(SEARCH("DP",($C215&amp;" "&amp;$D215))),"DP","CONC")))&amp;" "&amp;TEXT(LOOKUP(9.99E+307,--MID(SUBSTITUTE(($C215&amp;" "&amp;$D215),CHAR(160)," "),SUMPRODUCT(MIN(FIND({0,1,2,3,4,5,6,7,8,9},SUBSTITUTE(($C215&amp;" "&amp;$D215),CHAR(160)," ")&amp;"0123456789"))),ROW(INDIRECT("1:6")))),"0"),"SIN NUMERO"))</f>
        <v>CONC 2137</v>
      </c>
      <c r="Q215" t="str">
        <f ca="1">IF($P215="","",IF(LEFT(UPPER($S215),9)="VERIFICAR","VERIFICAR",IF($A215="","SIN ESTADO",IF(AND($A215="Firmada",$H215=""),"FALTA FECHA DE FIRMA",IF(N($T215)=0,IF(AND(ISNUMBER($H215),$H215&gt;=DATE(2024,1,1)),"FALTA EN FIRMADAS","OK"),IF(OR($A215="Pendiente de presentación",$A215="Observado",$A215="En análisis",$A215="En instrucción",$A215="Suspendida",$A215="IT circulando",$A215="Para resolución",$A215="TDC"),"ABIERTA PERO ESTÁ EN FIRMADAS",IF($H215&lt;&gt;INDEX(firmadas!$F:$F,$T215),"FIRMA DISTINTA EN firmadas ("&amp;IF(INDEX(firmadas!$F:$F,$T215)="","vacía",DAY(INDEX(firmadas!$F:$F,$T215))&amp;"/"&amp;MONTH(INDEX(firmadas!$F:$F,$T215))&amp;"/"&amp;YEAR(INDEX(firmadas!$F:$F,$T215)))&amp;")",IF($G215&lt;&gt;INDEX(firmadas!$E:$E,$T215),"INGRESO DISTINTO EN firmadas ("&amp;IF(INDEX(firmadas!$E:$E,$T215)="","vacía",DAY(INDEX(firmadas!$E:$E,$T215))&amp;"/"&amp;MONTH(INDEX(firmadas!$E:$E,$T215))&amp;"/"&amp;YEAR(INDEX(firmadas!$E:$E,$T215)))&amp;")","OK"))))))))</f>
        <v>OK</v>
      </c>
      <c r="T215">
        <f ca="1">IF($P215="","",IFERROR(MATCH($P215,firmadas!$N:$N,0),IFERROR(MATCH("*/"&amp;MID($P215,FIND(" ",$P215)+1,9)&amp;"*",firmadas!$B:$B,0),0)))</f>
        <v>272</v>
      </c>
    </row>
    <row r="216" spans="1:20" ht="15" customHeight="1" x14ac:dyDescent="0.25">
      <c r="A216" t="s">
        <v>80</v>
      </c>
      <c r="C216" t="s">
        <v>145</v>
      </c>
      <c r="D216" s="25">
        <v>2138</v>
      </c>
      <c r="E216" s="44" t="s">
        <v>520</v>
      </c>
      <c r="F216" s="44" t="s">
        <v>521</v>
      </c>
      <c r="G216" s="26">
        <v>46239</v>
      </c>
      <c r="H216" s="16">
        <v>46276</v>
      </c>
      <c r="I216" s="44" t="s">
        <v>88</v>
      </c>
      <c r="J216" s="44" t="s">
        <v>115</v>
      </c>
      <c r="K216" s="44" t="s">
        <v>112</v>
      </c>
      <c r="L216" s="44" t="s">
        <v>370</v>
      </c>
      <c r="M216" t="s">
        <v>202</v>
      </c>
      <c r="N216" s="53">
        <f t="shared" ca="1" si="3"/>
        <v>1.2333333333333334</v>
      </c>
      <c r="P216" s="47" t="str">
        <f ca="1">IF(TRIM(SUBSTITUTE(($C216&amp;" "&amp;$D216),CHAR(160)," "))="","",IFERROR(IF(ISNUMBER(SEARCH("INC",($C216&amp;" "&amp;$D216))),"INC",IF(ISNUMBER(SEARCH("OPI",($C216&amp;" "&amp;$D216))),"OPI",IF(ISNUMBER(SEARCH("DP",($C216&amp;" "&amp;$D216))),"DP","CONC")))&amp;" "&amp;TEXT(LOOKUP(9.99E+307,--MID(SUBSTITUTE(($C216&amp;" "&amp;$D216),CHAR(160)," "),SUMPRODUCT(MIN(FIND({0,1,2,3,4,5,6,7,8,9},SUBSTITUTE(($C216&amp;" "&amp;$D216),CHAR(160)," ")&amp;"0123456789"))),ROW(INDIRECT("1:6")))),"0"),"SIN NUMERO"))</f>
        <v>CONC 2138</v>
      </c>
      <c r="Q216" t="str">
        <f ca="1">IF($P216="","",IF(LEFT(UPPER($S216),9)="VERIFICAR","VERIFICAR",IF($A216="","SIN ESTADO",IF(AND($A216="Firmada",$H216=""),"FALTA FECHA DE FIRMA",IF(N($T216)=0,IF(AND(ISNUMBER($H216),$H216&gt;=DATE(2024,1,1)),"FALTA EN FIRMADAS","OK"),IF(OR($A216="Pendiente de presentación",$A216="Observado",$A216="En análisis",$A216="En instrucción",$A216="Suspendida",$A216="IT circulando",$A216="Para resolución",$A216="TDC"),"ABIERTA PERO ESTÁ EN FIRMADAS",IF($H216&lt;&gt;INDEX(firmadas!$F:$F,$T216),"FIRMA DISTINTA EN firmadas ("&amp;IF(INDEX(firmadas!$F:$F,$T216)="","vacía",DAY(INDEX(firmadas!$F:$F,$T216))&amp;"/"&amp;MONTH(INDEX(firmadas!$F:$F,$T216))&amp;"/"&amp;YEAR(INDEX(firmadas!$F:$F,$T216)))&amp;")",IF($G216&lt;&gt;INDEX(firmadas!$E:$E,$T216),"INGRESO DISTINTO EN firmadas ("&amp;IF(INDEX(firmadas!$E:$E,$T216)="","vacía",DAY(INDEX(firmadas!$E:$E,$T216))&amp;"/"&amp;MONTH(INDEX(firmadas!$E:$E,$T216))&amp;"/"&amp;YEAR(INDEX(firmadas!$E:$E,$T216)))&amp;")","OK"))))))))</f>
        <v>OK</v>
      </c>
      <c r="T216">
        <f ca="1">IF($P216="","",IFERROR(MATCH($P216,firmadas!$N:$N,0),IFERROR(MATCH("*/"&amp;MID($P216,FIND(" ",$P216)+1,9)&amp;"*",firmadas!$B:$B,0),0)))</f>
        <v>278</v>
      </c>
    </row>
    <row r="217" spans="1:20" ht="15" customHeight="1" x14ac:dyDescent="0.25">
      <c r="A217" s="44" t="s">
        <v>80</v>
      </c>
      <c r="C217" t="s">
        <v>145</v>
      </c>
      <c r="D217" s="25">
        <v>2139</v>
      </c>
      <c r="E217" s="44" t="s">
        <v>522</v>
      </c>
      <c r="F217" s="44" t="s">
        <v>523</v>
      </c>
      <c r="G217" s="26">
        <v>46244</v>
      </c>
      <c r="H217" s="26">
        <v>46245</v>
      </c>
      <c r="I217" s="44" t="s">
        <v>115</v>
      </c>
      <c r="J217" s="44" t="s">
        <v>88</v>
      </c>
      <c r="K217" s="44" t="s">
        <v>112</v>
      </c>
      <c r="L217" s="44" t="s">
        <v>370</v>
      </c>
      <c r="M217" s="44" t="s">
        <v>202</v>
      </c>
      <c r="N217" s="53">
        <f t="shared" ca="1" si="3"/>
        <v>3.3333333333333333E-2</v>
      </c>
      <c r="P217" s="47" t="str">
        <f ca="1">IF(TRIM(SUBSTITUTE(($C217&amp;" "&amp;$D217),CHAR(160)," "))="","",IFERROR(IF(ISNUMBER(SEARCH("INC",($C217&amp;" "&amp;$D217))),"INC",IF(ISNUMBER(SEARCH("OPI",($C217&amp;" "&amp;$D217))),"OPI",IF(ISNUMBER(SEARCH("DP",($C217&amp;" "&amp;$D217))),"DP","CONC")))&amp;" "&amp;TEXT(LOOKUP(9.99E+307,--MID(SUBSTITUTE(($C217&amp;" "&amp;$D217),CHAR(160)," "),SUMPRODUCT(MIN(FIND({0,1,2,3,4,5,6,7,8,9},SUBSTITUTE(($C217&amp;" "&amp;$D217),CHAR(160)," ")&amp;"0123456789"))),ROW(INDIRECT("1:6")))),"0"),"SIN NUMERO"))</f>
        <v>CONC 2139</v>
      </c>
      <c r="Q217" t="str">
        <f ca="1">IF($P217="","",IF(LEFT(UPPER($S217),9)="VERIFICAR","VERIFICAR",IF($A217="","SIN ESTADO",IF(AND($A217="Firmada",$H217=""),"FALTA FECHA DE FIRMA",IF(N($T217)=0,IF(AND(ISNUMBER($H217),$H217&gt;=DATE(2024,1,1)),"FALTA EN FIRMADAS","OK"),IF(OR($A217="Pendiente de presentación",$A217="Observado",$A217="En análisis",$A217="En instrucción",$A217="Suspendida",$A217="IT circulando",$A217="Para resolución",$A217="TDC"),"ABIERTA PERO ESTÁ EN FIRMADAS",IF($H217&lt;&gt;INDEX(firmadas!$F:$F,$T217),"FIRMA DISTINTA EN firmadas ("&amp;IF(INDEX(firmadas!$F:$F,$T217)="","vacía",DAY(INDEX(firmadas!$F:$F,$T217))&amp;"/"&amp;MONTH(INDEX(firmadas!$F:$F,$T217))&amp;"/"&amp;YEAR(INDEX(firmadas!$F:$F,$T217)))&amp;")",IF($G217&lt;&gt;INDEX(firmadas!$E:$E,$T217),"INGRESO DISTINTO EN firmadas ("&amp;IF(INDEX(firmadas!$E:$E,$T217)="","vacía",DAY(INDEX(firmadas!$E:$E,$T217))&amp;"/"&amp;MONTH(INDEX(firmadas!$E:$E,$T217))&amp;"/"&amp;YEAR(INDEX(firmadas!$E:$E,$T217)))&amp;")","OK"))))))))</f>
        <v>OK</v>
      </c>
      <c r="T217">
        <f ca="1">IF($P217="","",IFERROR(MATCH($P217,firmadas!$N:$N,0),IFERROR(MATCH("*/"&amp;MID($P217,FIND(" ",$P217)+1,9)&amp;"*",firmadas!$B:$B,0),0)))</f>
        <v>268</v>
      </c>
    </row>
    <row r="218" spans="1:20" ht="15" customHeight="1" x14ac:dyDescent="0.25">
      <c r="A218" t="s">
        <v>319</v>
      </c>
      <c r="C218" t="s">
        <v>145</v>
      </c>
      <c r="D218" s="25">
        <v>2140</v>
      </c>
      <c r="E218" s="44" t="s">
        <v>524</v>
      </c>
      <c r="F218" s="44" t="s">
        <v>525</v>
      </c>
      <c r="G218" s="26">
        <v>46244</v>
      </c>
      <c r="I218" s="44" t="s">
        <v>138</v>
      </c>
      <c r="J218" s="44" t="s">
        <v>115</v>
      </c>
      <c r="K218" s="44" t="s">
        <v>133</v>
      </c>
      <c r="L218" s="44" t="s">
        <v>497</v>
      </c>
      <c r="M218" t="s">
        <v>83</v>
      </c>
      <c r="N218" s="53">
        <f t="shared" ca="1" si="3"/>
        <v>1.7333333333333334</v>
      </c>
      <c r="P218" s="47" t="str">
        <f ca="1">IF(TRIM(SUBSTITUTE(($C218&amp;" "&amp;$D218),CHAR(160)," "))="","",IFERROR(IF(ISNUMBER(SEARCH("INC",($C218&amp;" "&amp;$D218))),"INC",IF(ISNUMBER(SEARCH("OPI",($C218&amp;" "&amp;$D218))),"OPI",IF(ISNUMBER(SEARCH("DP",($C218&amp;" "&amp;$D218))),"DP","CONC")))&amp;" "&amp;TEXT(LOOKUP(9.99E+307,--MID(SUBSTITUTE(($C218&amp;" "&amp;$D218),CHAR(160)," "),SUMPRODUCT(MIN(FIND({0,1,2,3,4,5,6,7,8,9},SUBSTITUTE(($C218&amp;" "&amp;$D218),CHAR(160)," ")&amp;"0123456789"))),ROW(INDIRECT("1:6")))),"0"),"SIN NUMERO"))</f>
        <v>CONC 2140</v>
      </c>
      <c r="Q218" t="str">
        <f ca="1">IF($P218="","",IF(LEFT(UPPER($S218),9)="VERIFICAR","VERIFICAR",IF($A218="","SIN ESTADO",IF(AND($A218="Firmada",$H218=""),"FALTA FECHA DE FIRMA",IF(N($T218)=0,IF(AND(ISNUMBER($H218),$H218&gt;=DATE(2024,1,1)),"FALTA EN FIRMADAS","OK"),IF(OR($A218="Pendiente de presentación",$A218="Observado",$A218="En análisis",$A218="En instrucción",$A218="Suspendida",$A218="IT circulando",$A218="Para resolución",$A218="TDC"),"ABIERTA PERO ESTÁ EN FIRMADAS",IF($H218&lt;&gt;INDEX(firmadas!$F:$F,$T218),"FIRMA DISTINTA EN firmadas ("&amp;IF(INDEX(firmadas!$F:$F,$T218)="","vacía",DAY(INDEX(firmadas!$F:$F,$T218))&amp;"/"&amp;MONTH(INDEX(firmadas!$F:$F,$T218))&amp;"/"&amp;YEAR(INDEX(firmadas!$F:$F,$T218)))&amp;")",IF($G218&lt;&gt;INDEX(firmadas!$E:$E,$T218),"INGRESO DISTINTO EN firmadas ("&amp;IF(INDEX(firmadas!$E:$E,$T218)="","vacía",DAY(INDEX(firmadas!$E:$E,$T218))&amp;"/"&amp;MONTH(INDEX(firmadas!$E:$E,$T218))&amp;"/"&amp;YEAR(INDEX(firmadas!$E:$E,$T218)))&amp;")","OK"))))))))</f>
        <v>OK</v>
      </c>
      <c r="T218">
        <f ca="1">IF($P218="","",IFERROR(MATCH($P218,firmadas!$N:$N,0),IFERROR(MATCH("*/"&amp;MID($P218,FIND(" ",$P218)+1,9)&amp;"*",firmadas!$B:$B,0),0)))</f>
        <v>0</v>
      </c>
    </row>
    <row r="219" spans="1:20" ht="15" customHeight="1" x14ac:dyDescent="0.25">
      <c r="A219" t="s">
        <v>319</v>
      </c>
      <c r="C219" t="s">
        <v>145</v>
      </c>
      <c r="D219" s="25">
        <v>2141</v>
      </c>
      <c r="E219" s="44" t="s">
        <v>526</v>
      </c>
      <c r="F219" s="44" t="s">
        <v>527</v>
      </c>
      <c r="G219" s="26">
        <v>46244</v>
      </c>
      <c r="I219" s="44" t="s">
        <v>115</v>
      </c>
      <c r="J219" s="44" t="s">
        <v>88</v>
      </c>
      <c r="K219" s="44" t="s">
        <v>370</v>
      </c>
      <c r="L219" s="44" t="s">
        <v>112</v>
      </c>
      <c r="M219" t="s">
        <v>202</v>
      </c>
      <c r="N219" s="53">
        <f t="shared" ca="1" si="3"/>
        <v>1.7333333333333334</v>
      </c>
      <c r="P219" s="47" t="str">
        <f ca="1">IF(TRIM(SUBSTITUTE(($C219&amp;" "&amp;$D219),CHAR(160)," "))="","",IFERROR(IF(ISNUMBER(SEARCH("INC",($C219&amp;" "&amp;$D219))),"INC",IF(ISNUMBER(SEARCH("OPI",($C219&amp;" "&amp;$D219))),"OPI",IF(ISNUMBER(SEARCH("DP",($C219&amp;" "&amp;$D219))),"DP","CONC")))&amp;" "&amp;TEXT(LOOKUP(9.99E+307,--MID(SUBSTITUTE(($C219&amp;" "&amp;$D219),CHAR(160)," "),SUMPRODUCT(MIN(FIND({0,1,2,3,4,5,6,7,8,9},SUBSTITUTE(($C219&amp;" "&amp;$D219),CHAR(160)," ")&amp;"0123456789"))),ROW(INDIRECT("1:6")))),"0"),"SIN NUMERO"))</f>
        <v>CONC 2141</v>
      </c>
      <c r="Q219" t="str">
        <f ca="1">IF($P219="","",IF(LEFT(UPPER($S219),9)="VERIFICAR","VERIFICAR",IF($A219="","SIN ESTADO",IF(AND($A219="Firmada",$H219=""),"FALTA FECHA DE FIRMA",IF(N($T219)=0,IF(AND(ISNUMBER($H219),$H219&gt;=DATE(2024,1,1)),"FALTA EN FIRMADAS","OK"),IF(OR($A219="Pendiente de presentación",$A219="Observado",$A219="En análisis",$A219="En instrucción",$A219="Suspendida",$A219="IT circulando",$A219="Para resolución",$A219="TDC"),"ABIERTA PERO ESTÁ EN FIRMADAS",IF($H219&lt;&gt;INDEX(firmadas!$F:$F,$T219),"FIRMA DISTINTA EN firmadas ("&amp;IF(INDEX(firmadas!$F:$F,$T219)="","vacía",DAY(INDEX(firmadas!$F:$F,$T219))&amp;"/"&amp;MONTH(INDEX(firmadas!$F:$F,$T219))&amp;"/"&amp;YEAR(INDEX(firmadas!$F:$F,$T219)))&amp;")",IF($G219&lt;&gt;INDEX(firmadas!$E:$E,$T219),"INGRESO DISTINTO EN firmadas ("&amp;IF(INDEX(firmadas!$E:$E,$T219)="","vacía",DAY(INDEX(firmadas!$E:$E,$T219))&amp;"/"&amp;MONTH(INDEX(firmadas!$E:$E,$T219))&amp;"/"&amp;YEAR(INDEX(firmadas!$E:$E,$T219)))&amp;")","OK"))))))))</f>
        <v>OK</v>
      </c>
      <c r="T219">
        <f ca="1">IF($P219="","",IFERROR(MATCH($P219,firmadas!$N:$N,0),IFERROR(MATCH("*/"&amp;MID($P219,FIND(" ",$P219)+1,9)&amp;"*",firmadas!$B:$B,0),0)))</f>
        <v>0</v>
      </c>
    </row>
    <row r="220" spans="1:20" ht="15" customHeight="1" x14ac:dyDescent="0.25">
      <c r="A220" s="44" t="s">
        <v>274</v>
      </c>
      <c r="C220" s="44" t="s">
        <v>145</v>
      </c>
      <c r="D220" s="42">
        <v>2142</v>
      </c>
      <c r="E220" s="44" t="s">
        <v>528</v>
      </c>
      <c r="F220" s="44" t="s">
        <v>529</v>
      </c>
      <c r="G220" s="26">
        <v>46248</v>
      </c>
      <c r="I220" s="44" t="s">
        <v>88</v>
      </c>
      <c r="J220" s="44" t="s">
        <v>115</v>
      </c>
      <c r="K220" s="44" t="s">
        <v>112</v>
      </c>
      <c r="L220" s="44" t="s">
        <v>370</v>
      </c>
      <c r="M220" s="44" t="s">
        <v>202</v>
      </c>
      <c r="N220" s="53">
        <f t="shared" ca="1" si="3"/>
        <v>1.6</v>
      </c>
      <c r="O220" s="44" t="s">
        <v>530</v>
      </c>
      <c r="P220" s="47" t="str">
        <f ca="1">IF(TRIM(SUBSTITUTE(($C220&amp;" "&amp;$D220),CHAR(160)," "))="","",IFERROR(IF(ISNUMBER(SEARCH("INC",($C220&amp;" "&amp;$D220))),"INC",IF(ISNUMBER(SEARCH("OPI",($C220&amp;" "&amp;$D220))),"OPI",IF(ISNUMBER(SEARCH("DP",($C220&amp;" "&amp;$D220))),"DP","CONC")))&amp;" "&amp;TEXT(LOOKUP(9.99E+307,--MID(SUBSTITUTE(($C220&amp;" "&amp;$D220),CHAR(160)," "),SUMPRODUCT(MIN(FIND({0,1,2,3,4,5,6,7,8,9},SUBSTITUTE(($C220&amp;" "&amp;$D220),CHAR(160)," ")&amp;"0123456789"))),ROW(INDIRECT("1:6")))),"0"),"SIN NUMERO"))</f>
        <v>CONC 2142</v>
      </c>
      <c r="Q220" t="str">
        <f ca="1">IF($P220="","",IF(LEFT(UPPER($S220),9)="VERIFICAR","VERIFICAR",IF($A220="","SIN ESTADO",IF(AND($A220="Firmada",$H220=""),"FALTA FECHA DE FIRMA",IF(N($T220)=0,IF(AND(ISNUMBER($H220),$H220&gt;=DATE(2024,1,1)),"FALTA EN FIRMADAS","OK"),IF(OR($A220="Pendiente de presentación",$A220="Observado",$A220="En análisis",$A220="En instrucción",$A220="Suspendida",$A220="IT circulando",$A220="Para resolución",$A220="TDC"),"ABIERTA PERO ESTÁ EN FIRMADAS",IF($H220&lt;&gt;INDEX(firmadas!$F:$F,$T220),"FIRMA DISTINTA EN firmadas ("&amp;IF(INDEX(firmadas!$F:$F,$T220)="","vacía",DAY(INDEX(firmadas!$F:$F,$T220))&amp;"/"&amp;MONTH(INDEX(firmadas!$F:$F,$T220))&amp;"/"&amp;YEAR(INDEX(firmadas!$F:$F,$T220)))&amp;")",IF($G220&lt;&gt;INDEX(firmadas!$E:$E,$T220),"INGRESO DISTINTO EN firmadas ("&amp;IF(INDEX(firmadas!$E:$E,$T220)="","vacía",DAY(INDEX(firmadas!$E:$E,$T220))&amp;"/"&amp;MONTH(INDEX(firmadas!$E:$E,$T220))&amp;"/"&amp;YEAR(INDEX(firmadas!$E:$E,$T220)))&amp;")","OK"))))))))</f>
        <v>OK</v>
      </c>
      <c r="T220">
        <f ca="1">IF($P220="","",IFERROR(MATCH($P220,firmadas!$N:$N,0),IFERROR(MATCH("*/"&amp;MID($P220,FIND(" ",$P220)+1,9)&amp;"*",firmadas!$B:$B,0),0)))</f>
        <v>0</v>
      </c>
    </row>
    <row r="221" spans="1:20" ht="15" customHeight="1" x14ac:dyDescent="0.25">
      <c r="A221" s="44" t="s">
        <v>319</v>
      </c>
      <c r="C221" s="44" t="s">
        <v>145</v>
      </c>
      <c r="D221" s="42">
        <v>2143</v>
      </c>
      <c r="E221" s="44" t="s">
        <v>531</v>
      </c>
      <c r="F221" s="44" t="s">
        <v>532</v>
      </c>
      <c r="G221" s="26">
        <v>46255</v>
      </c>
      <c r="I221" s="44" t="s">
        <v>88</v>
      </c>
      <c r="J221" s="44" t="s">
        <v>115</v>
      </c>
      <c r="K221" s="44" t="s">
        <v>112</v>
      </c>
      <c r="L221" s="44" t="s">
        <v>370</v>
      </c>
      <c r="M221" s="44" t="s">
        <v>202</v>
      </c>
      <c r="N221" s="53">
        <f t="shared" ca="1" si="3"/>
        <v>1.3666666666666667</v>
      </c>
      <c r="P221" s="47" t="str">
        <f ca="1">IF(TRIM(SUBSTITUTE(($C221&amp;" "&amp;$D221),CHAR(160)," "))="","",IFERROR(IF(ISNUMBER(SEARCH("INC",($C221&amp;" "&amp;$D221))),"INC",IF(ISNUMBER(SEARCH("OPI",($C221&amp;" "&amp;$D221))),"OPI",IF(ISNUMBER(SEARCH("DP",($C221&amp;" "&amp;$D221))),"DP","CONC")))&amp;" "&amp;TEXT(LOOKUP(9.99E+307,--MID(SUBSTITUTE(($C221&amp;" "&amp;$D221),CHAR(160)," "),SUMPRODUCT(MIN(FIND({0,1,2,3,4,5,6,7,8,9},SUBSTITUTE(($C221&amp;" "&amp;$D221),CHAR(160)," ")&amp;"0123456789"))),ROW(INDIRECT("1:6")))),"0"),"SIN NUMERO"))</f>
        <v>CONC 2143</v>
      </c>
      <c r="Q221" t="str">
        <f ca="1">IF($P221="","",IF(LEFT(UPPER($S221),9)="VERIFICAR","VERIFICAR",IF($A221="","SIN ESTADO",IF(AND($A221="Firmada",$H221=""),"FALTA FECHA DE FIRMA",IF(N($T221)=0,IF(AND(ISNUMBER($H221),$H221&gt;=DATE(2024,1,1)),"FALTA EN FIRMADAS","OK"),IF(OR($A221="Pendiente de presentación",$A221="Observado",$A221="En análisis",$A221="En instrucción",$A221="Suspendida",$A221="IT circulando",$A221="Para resolución",$A221="TDC"),"ABIERTA PERO ESTÁ EN FIRMADAS",IF($H221&lt;&gt;INDEX(firmadas!$F:$F,$T221),"FIRMA DISTINTA EN firmadas ("&amp;IF(INDEX(firmadas!$F:$F,$T221)="","vacía",DAY(INDEX(firmadas!$F:$F,$T221))&amp;"/"&amp;MONTH(INDEX(firmadas!$F:$F,$T221))&amp;"/"&amp;YEAR(INDEX(firmadas!$F:$F,$T221)))&amp;")",IF($G221&lt;&gt;INDEX(firmadas!$E:$E,$T221),"INGRESO DISTINTO EN firmadas ("&amp;IF(INDEX(firmadas!$E:$E,$T221)="","vacía",DAY(INDEX(firmadas!$E:$E,$T221))&amp;"/"&amp;MONTH(INDEX(firmadas!$E:$E,$T221))&amp;"/"&amp;YEAR(INDEX(firmadas!$E:$E,$T221)))&amp;")","OK"))))))))</f>
        <v>OK</v>
      </c>
      <c r="T221">
        <f ca="1">IF($P221="","",IFERROR(MATCH($P221,firmadas!$N:$N,0),IFERROR(MATCH("*/"&amp;MID($P221,FIND(" ",$P221)+1,9)&amp;"*",firmadas!$B:$B,0),0)))</f>
        <v>0</v>
      </c>
    </row>
    <row r="222" spans="1:20" ht="15" customHeight="1" x14ac:dyDescent="0.25">
      <c r="A222" s="44" t="s">
        <v>319</v>
      </c>
      <c r="C222" s="44" t="s">
        <v>145</v>
      </c>
      <c r="D222" s="42">
        <v>2144</v>
      </c>
      <c r="E222" s="44" t="s">
        <v>533</v>
      </c>
      <c r="F222" s="44" t="s">
        <v>534</v>
      </c>
      <c r="G222" s="26">
        <v>46258</v>
      </c>
      <c r="I222" s="44" t="s">
        <v>115</v>
      </c>
      <c r="J222" s="44" t="s">
        <v>88</v>
      </c>
      <c r="K222" s="44" t="s">
        <v>370</v>
      </c>
      <c r="L222" s="44" t="s">
        <v>112</v>
      </c>
      <c r="M222" s="44" t="s">
        <v>202</v>
      </c>
      <c r="N222" s="53">
        <f t="shared" ca="1" si="3"/>
        <v>1.2666666666666666</v>
      </c>
      <c r="P222" s="47" t="str">
        <f ca="1">IF(TRIM(SUBSTITUTE(($C222&amp;" "&amp;$D222),CHAR(160)," "))="","",IFERROR(IF(ISNUMBER(SEARCH("INC",($C222&amp;" "&amp;$D222))),"INC",IF(ISNUMBER(SEARCH("OPI",($C222&amp;" "&amp;$D222))),"OPI",IF(ISNUMBER(SEARCH("DP",($C222&amp;" "&amp;$D222))),"DP","CONC")))&amp;" "&amp;TEXT(LOOKUP(9.99E+307,--MID(SUBSTITUTE(($C222&amp;" "&amp;$D222),CHAR(160)," "),SUMPRODUCT(MIN(FIND({0,1,2,3,4,5,6,7,8,9},SUBSTITUTE(($C222&amp;" "&amp;$D222),CHAR(160)," ")&amp;"0123456789"))),ROW(INDIRECT("1:6")))),"0"),"SIN NUMERO"))</f>
        <v>CONC 2144</v>
      </c>
      <c r="Q222" t="str">
        <f ca="1">IF($P222="","",IF(LEFT(UPPER($S222),9)="VERIFICAR","VERIFICAR",IF($A222="","SIN ESTADO",IF(AND($A222="Firmada",$H222=""),"FALTA FECHA DE FIRMA",IF(N($T222)=0,IF(AND(ISNUMBER($H222),$H222&gt;=DATE(2024,1,1)),"FALTA EN FIRMADAS","OK"),IF(OR($A222="Pendiente de presentación",$A222="Observado",$A222="En análisis",$A222="En instrucción",$A222="Suspendida",$A222="IT circulando",$A222="Para resolución",$A222="TDC"),"ABIERTA PERO ESTÁ EN FIRMADAS",IF($H222&lt;&gt;INDEX(firmadas!$F:$F,$T222),"FIRMA DISTINTA EN firmadas ("&amp;IF(INDEX(firmadas!$F:$F,$T222)="","vacía",DAY(INDEX(firmadas!$F:$F,$T222))&amp;"/"&amp;MONTH(INDEX(firmadas!$F:$F,$T222))&amp;"/"&amp;YEAR(INDEX(firmadas!$F:$F,$T222)))&amp;")",IF($G222&lt;&gt;INDEX(firmadas!$E:$E,$T222),"INGRESO DISTINTO EN firmadas ("&amp;IF(INDEX(firmadas!$E:$E,$T222)="","vacía",DAY(INDEX(firmadas!$E:$E,$T222))&amp;"/"&amp;MONTH(INDEX(firmadas!$E:$E,$T222))&amp;"/"&amp;YEAR(INDEX(firmadas!$E:$E,$T222)))&amp;")","OK"))))))))</f>
        <v>OK</v>
      </c>
      <c r="T222">
        <f ca="1">IF($P222="","",IFERROR(MATCH($P222,firmadas!$N:$N,0),IFERROR(MATCH("*/"&amp;MID($P222,FIND(" ",$P222)+1,9)&amp;"*",firmadas!$B:$B,0),0)))</f>
        <v>0</v>
      </c>
    </row>
    <row r="223" spans="1:20" ht="15" customHeight="1" x14ac:dyDescent="0.25">
      <c r="A223" s="44" t="s">
        <v>80</v>
      </c>
      <c r="C223" s="44" t="s">
        <v>145</v>
      </c>
      <c r="D223" s="42">
        <v>2145</v>
      </c>
      <c r="E223" s="44" t="s">
        <v>535</v>
      </c>
      <c r="F223" s="44" t="s">
        <v>536</v>
      </c>
      <c r="G223" s="26">
        <v>46262</v>
      </c>
      <c r="I223" s="44" t="s">
        <v>88</v>
      </c>
      <c r="J223" s="44" t="s">
        <v>115</v>
      </c>
      <c r="K223" s="44" t="s">
        <v>112</v>
      </c>
      <c r="L223" s="44" t="s">
        <v>370</v>
      </c>
      <c r="M223" s="44" t="s">
        <v>202</v>
      </c>
      <c r="N223" s="53">
        <f t="shared" ca="1" si="3"/>
        <v>1.1333333333333333</v>
      </c>
      <c r="P223" s="47" t="str">
        <f ca="1">IF(TRIM(SUBSTITUTE(($C223&amp;" "&amp;$D223),CHAR(160)," "))="","",IFERROR(IF(ISNUMBER(SEARCH("INC",($C223&amp;" "&amp;$D223))),"INC",IF(ISNUMBER(SEARCH("OPI",($C223&amp;" "&amp;$D223))),"OPI",IF(ISNUMBER(SEARCH("DP",($C223&amp;" "&amp;$D223))),"DP","CONC")))&amp;" "&amp;TEXT(LOOKUP(9.99E+307,--MID(SUBSTITUTE(($C223&amp;" "&amp;$D223),CHAR(160)," "),SUMPRODUCT(MIN(FIND({0,1,2,3,4,5,6,7,8,9},SUBSTITUTE(($C223&amp;" "&amp;$D223),CHAR(160)," ")&amp;"0123456789"))),ROW(INDIRECT("1:6")))),"0"),"SIN NUMERO"))</f>
        <v>CONC 2145</v>
      </c>
      <c r="Q223" t="str">
        <f ca="1">IF($P223="","",IF(LEFT(UPPER($S223),9)="VERIFICAR","VERIFICAR",IF($A223="","SIN ESTADO",IF(AND($A223="Firmada",$H223=""),"FALTA FECHA DE FIRMA",IF(N($T223)=0,IF(AND(ISNUMBER($H223),$H223&gt;=DATE(2024,1,1)),"FALTA EN FIRMADAS","OK"),IF(OR($A223="Pendiente de presentación",$A223="Observado",$A223="En análisis",$A223="En instrucción",$A223="Suspendida",$A223="IT circulando",$A223="Para resolución",$A223="TDC"),"ABIERTA PERO ESTÁ EN FIRMADAS",IF($H223&lt;&gt;INDEX(firmadas!$F:$F,$T223),"FIRMA DISTINTA EN firmadas ("&amp;IF(INDEX(firmadas!$F:$F,$T223)="","vacía",DAY(INDEX(firmadas!$F:$F,$T223))&amp;"/"&amp;MONTH(INDEX(firmadas!$F:$F,$T223))&amp;"/"&amp;YEAR(INDEX(firmadas!$F:$F,$T223)))&amp;")",IF($G223&lt;&gt;INDEX(firmadas!$E:$E,$T223),"INGRESO DISTINTO EN firmadas ("&amp;IF(INDEX(firmadas!$E:$E,$T223)="","vacía",DAY(INDEX(firmadas!$E:$E,$T223))&amp;"/"&amp;MONTH(INDEX(firmadas!$E:$E,$T223))&amp;"/"&amp;YEAR(INDEX(firmadas!$E:$E,$T223)))&amp;")","OK"))))))))</f>
        <v>FALTA FECHA DE FIRMA</v>
      </c>
      <c r="T223">
        <f ca="1">IF($P223="","",IFERROR(MATCH($P223,firmadas!$N:$N,0),IFERROR(MATCH("*/"&amp;MID($P223,FIND(" ",$P223)+1,9)&amp;"*",firmadas!$B:$B,0),0)))</f>
        <v>280</v>
      </c>
    </row>
    <row r="224" spans="1:20" ht="15" customHeight="1" x14ac:dyDescent="0.25">
      <c r="A224" s="44" t="s">
        <v>319</v>
      </c>
      <c r="C224" s="44" t="s">
        <v>145</v>
      </c>
      <c r="D224" s="42">
        <v>2146</v>
      </c>
      <c r="E224" s="51" t="s">
        <v>1957</v>
      </c>
      <c r="F224" s="16" t="s">
        <v>1958</v>
      </c>
      <c r="G224" s="16">
        <v>46265</v>
      </c>
      <c r="I224" t="s">
        <v>115</v>
      </c>
      <c r="J224" s="51" t="s">
        <v>138</v>
      </c>
      <c r="K224" s="51" t="s">
        <v>497</v>
      </c>
      <c r="L224" s="51" t="s">
        <v>133</v>
      </c>
      <c r="M224" s="53" t="s">
        <v>202</v>
      </c>
      <c r="N224" s="53">
        <f t="shared" ca="1" si="3"/>
        <v>1.0333333333333334</v>
      </c>
      <c r="P224" t="str">
        <f ca="1">IF(TRIM(SUBSTITUTE(($C224&amp;" "&amp;$D224),CHAR(160)," "))="","",IFERROR(IF(ISNUMBER(SEARCH("INC",($C224&amp;" "&amp;$D224))),"INC",IF(ISNUMBER(SEARCH("OPI",($C224&amp;" "&amp;$D224))),"OPI",IF(ISNUMBER(SEARCH("DP",($C224&amp;" "&amp;$D224))),"DP","CONC")))&amp;" "&amp;TEXT(LOOKUP(9.99E+307,--MID(SUBSTITUTE(($C224&amp;" "&amp;$D224),CHAR(160)," "),SUMPRODUCT(MIN(FIND({0,1,2,3,4,5,6,7,8,9},SUBSTITUTE(($C224&amp;" "&amp;$D224),CHAR(160)," ")&amp;"0123456789"))),ROW(INDIRECT("1:6")))),"0"),"SIN NUMERO"))</f>
        <v>CONC 2146</v>
      </c>
      <c r="Q224" t="str">
        <f ca="1">IF($P224="","",IF(LEFT(UPPER($S224),9)="VERIFICAR","VERIFICAR",IF($A224="","SIN ESTADO",IF(AND($A224="Firmada",$H224=""),"FALTA FECHA DE FIRMA",IF(N($T224)=0,IF(AND(ISNUMBER($H224),$H224&gt;=DATE(2024,1,1)),"FALTA EN FIRMADAS","OK"),IF(OR($A224="Pendiente de presentación",$A224="Observado",$A224="En análisis",$A224="En instrucción",$A224="Suspendida",$A224="IT circulando",$A224="Para resolución",$A224="TDC"),"ABIERTA PERO ESTÁ EN FIRMADAS",IF($H224&lt;&gt;INDEX(firmadas!$F:$F,$T224),"FIRMA DISTINTA EN firmadas ("&amp;IF(INDEX(firmadas!$F:$F,$T224)="","vacía",DAY(INDEX(firmadas!$F:$F,$T224))&amp;"/"&amp;MONTH(INDEX(firmadas!$F:$F,$T224))&amp;"/"&amp;YEAR(INDEX(firmadas!$F:$F,$T224)))&amp;")",IF($G224&lt;&gt;INDEX(firmadas!$E:$E,$T224),"INGRESO DISTINTO EN firmadas ("&amp;IF(INDEX(firmadas!$E:$E,$T224)="","vacía",DAY(INDEX(firmadas!$E:$E,$T224))&amp;"/"&amp;MONTH(INDEX(firmadas!$E:$E,$T224))&amp;"/"&amp;YEAR(INDEX(firmadas!$E:$E,$T224)))&amp;")","OK"))))))))</f>
        <v>OK</v>
      </c>
      <c r="T224">
        <f ca="1">IF($P224="","",IFERROR(MATCH($P224,firmadas!$N:$N,0),IFERROR(MATCH("*/"&amp;MID($P224,FIND(" ",$P224)+1,9)&amp;"*",firmadas!$B:$B,0),0)))</f>
        <v>0</v>
      </c>
    </row>
    <row r="225" spans="1:20" ht="15" customHeight="1" x14ac:dyDescent="0.25">
      <c r="A225" s="44" t="s">
        <v>319</v>
      </c>
      <c r="C225" s="44" t="s">
        <v>145</v>
      </c>
      <c r="D225" s="42">
        <v>2147</v>
      </c>
      <c r="E225" s="51" t="s">
        <v>1959</v>
      </c>
      <c r="F225" s="16" t="s">
        <v>1960</v>
      </c>
      <c r="G225" s="16">
        <v>46268</v>
      </c>
      <c r="I225" s="16" t="s">
        <v>115</v>
      </c>
      <c r="J225" t="s">
        <v>138</v>
      </c>
      <c r="K225" s="51" t="s">
        <v>96</v>
      </c>
      <c r="L225" s="51" t="s">
        <v>370</v>
      </c>
      <c r="M225" s="51" t="s">
        <v>83</v>
      </c>
      <c r="N225" s="53">
        <f t="shared" ca="1" si="3"/>
        <v>0.93333333333333335</v>
      </c>
      <c r="P225" t="str">
        <f ca="1">IF(TRIM(SUBSTITUTE(($C225&amp;" "&amp;$D225),CHAR(160)," "))="","",IFERROR(IF(ISNUMBER(SEARCH("INC",($C225&amp;" "&amp;$D225))),"INC",IF(ISNUMBER(SEARCH("OPI",($C225&amp;" "&amp;$D225))),"OPI",IF(ISNUMBER(SEARCH("DP",($C225&amp;" "&amp;$D225))),"DP","CONC")))&amp;" "&amp;TEXT(LOOKUP(9.99E+307,--MID(SUBSTITUTE(($C225&amp;" "&amp;$D225),CHAR(160)," "),SUMPRODUCT(MIN(FIND({0,1,2,3,4,5,6,7,8,9},SUBSTITUTE(($C225&amp;" "&amp;$D225),CHAR(160)," ")&amp;"0123456789"))),ROW(INDIRECT("1:6")))),"0"),"SIN NUMERO"))</f>
        <v>CONC 2147</v>
      </c>
      <c r="Q225" t="str">
        <f ca="1">IF($P225="","",IF(LEFT(UPPER($S225),9)="VERIFICAR","VERIFICAR",IF($A225="","SIN ESTADO",IF(AND($A225="Firmada",$I225=""),"FALTA FECHA DE FIRMA",IF(N($T225)=0,IF(AND(ISNUMBER($I225),$I225&gt;=DATE(2024,1,1)),"FALTA EN FIRMADAS","OK"),IF(OR($A225="Pendiente de presentación",$A225="Observado",$A225="En análisis",$A225="En instrucción",$A225="Suspendida",$A225="IT circulando",$A225="Para resolución",$A225="TDC"),"ABIERTA PERO ESTÁ EN FIRMADAS",IF($I225&lt;&gt;INDEX(firmadas!$F:$F,$T225),"FIRMA DISTINTA EN firmadas ("&amp;IF(INDEX(firmadas!$F:$F,$T225)="","vacía",DAY(INDEX(firmadas!$F:$F,$T225))&amp;"/"&amp;MONTH(INDEX(firmadas!$F:$F,$T225))&amp;"/"&amp;YEAR(INDEX(firmadas!$F:$F,$T225)))&amp;")",IF($G225&lt;&gt;INDEX(firmadas!$E:$E,$T225),"INGRESO DISTINTO EN firmadas ("&amp;IF(INDEX(firmadas!$E:$E,$T225)="","vacía",DAY(INDEX(firmadas!$E:$E,$T225))&amp;"/"&amp;MONTH(INDEX(firmadas!$E:$E,$T225))&amp;"/"&amp;YEAR(INDEX(firmadas!$E:$E,$T225)))&amp;")","OK"))))))))</f>
        <v>OK</v>
      </c>
      <c r="T225">
        <f ca="1">IF($P225="","",IFERROR(MATCH($P225,firmadas!$N:$N,0),IFERROR(MATCH("*/"&amp;MID($P225,FIND(" ",$P225)+1,9)&amp;"*",firmadas!$B:$B,0),0)))</f>
        <v>0</v>
      </c>
    </row>
    <row r="226" spans="1:20" ht="15" customHeight="1" x14ac:dyDescent="0.25">
      <c r="A226" s="44" t="s">
        <v>319</v>
      </c>
      <c r="C226" s="44" t="s">
        <v>145</v>
      </c>
      <c r="D226" s="42">
        <v>2148</v>
      </c>
      <c r="E226" s="51" t="s">
        <v>1961</v>
      </c>
      <c r="F226" s="16" t="s">
        <v>1962</v>
      </c>
      <c r="G226" s="16">
        <v>46272</v>
      </c>
      <c r="I226" t="s">
        <v>88</v>
      </c>
      <c r="J226" s="51" t="s">
        <v>115</v>
      </c>
      <c r="K226" s="51" t="s">
        <v>112</v>
      </c>
      <c r="L226" s="51" t="s">
        <v>370</v>
      </c>
      <c r="M226" s="53" t="s">
        <v>202</v>
      </c>
      <c r="N226" s="53">
        <f t="shared" ca="1" si="3"/>
        <v>0.8</v>
      </c>
      <c r="P226" t="str">
        <f ca="1">IF(TRIM(SUBSTITUTE(($C226&amp;" "&amp;$D226),CHAR(160)," "))="","",IFERROR(IF(ISNUMBER(SEARCH("INC",($C226&amp;" "&amp;$D226))),"INC",IF(ISNUMBER(SEARCH("OPI",($C226&amp;" "&amp;$D226))),"OPI",IF(ISNUMBER(SEARCH("DP",($C226&amp;" "&amp;$D226))),"DP","CONC")))&amp;" "&amp;TEXT(LOOKUP(9.99E+307,--MID(SUBSTITUTE(($C226&amp;" "&amp;$D226),CHAR(160)," "),SUMPRODUCT(MIN(FIND({0,1,2,3,4,5,6,7,8,9},SUBSTITUTE(($C226&amp;" "&amp;$D226),CHAR(160)," ")&amp;"0123456789"))),ROW(INDIRECT("1:6")))),"0"),"SIN NUMERO"))</f>
        <v>CONC 2148</v>
      </c>
      <c r="Q226" t="str">
        <f ca="1">IF($P226="","",IF(LEFT(UPPER($S226),9)="VERIFICAR","VERIFICAR",IF($A226="","SIN ESTADO",IF(AND($A226="Firmada",$H226=""),"FALTA FECHA DE FIRMA",IF(N($T226)=0,IF(AND(ISNUMBER($H226),$H226&gt;=DATE(2024,1,1)),"FALTA EN FIRMADAS","OK"),IF(OR($A226="Pendiente de presentación",$A226="Observado",$A226="En análisis",$A226="En instrucción",$A226="Suspendida",$A226="IT circulando",$A226="Para resolución",$A226="TDC"),"ABIERTA PERO ESTÁ EN FIRMADAS",IF($H226&lt;&gt;INDEX(firmadas!$F:$F,$T226),"FIRMA DISTINTA EN firmadas ("&amp;IF(INDEX(firmadas!$F:$F,$T226)="","vacía",DAY(INDEX(firmadas!$F:$F,$T226))&amp;"/"&amp;MONTH(INDEX(firmadas!$F:$F,$T226))&amp;"/"&amp;YEAR(INDEX(firmadas!$F:$F,$T226)))&amp;")",IF($G226&lt;&gt;INDEX(firmadas!$E:$E,$T226),"INGRESO DISTINTO EN firmadas ("&amp;IF(INDEX(firmadas!$E:$E,$T226)="","vacía",DAY(INDEX(firmadas!$E:$E,$T226))&amp;"/"&amp;MONTH(INDEX(firmadas!$E:$E,$T226))&amp;"/"&amp;YEAR(INDEX(firmadas!$E:$E,$T226)))&amp;")","OK"))))))))</f>
        <v>OK</v>
      </c>
      <c r="T226">
        <f ca="1">IF($P226="","",IFERROR(MATCH($P226,firmadas!$N:$N,0),IFERROR(MATCH("*/"&amp;MID($P226,FIND(" ",$P226)+1,9)&amp;"*",firmadas!$B:$B,0),0)))</f>
        <v>0</v>
      </c>
    </row>
    <row r="227" spans="1:20" ht="15" customHeight="1" x14ac:dyDescent="0.25">
      <c r="A227" s="44" t="s">
        <v>319</v>
      </c>
      <c r="C227" s="44" t="s">
        <v>145</v>
      </c>
      <c r="D227" s="42">
        <v>2149</v>
      </c>
      <c r="E227" s="51" t="s">
        <v>1963</v>
      </c>
      <c r="F227" s="16" t="s">
        <v>1964</v>
      </c>
      <c r="G227" s="16">
        <v>46273</v>
      </c>
      <c r="I227" t="s">
        <v>88</v>
      </c>
      <c r="J227" s="51" t="s">
        <v>115</v>
      </c>
      <c r="K227" s="51" t="s">
        <v>370</v>
      </c>
      <c r="L227" s="51" t="s">
        <v>112</v>
      </c>
      <c r="M227" s="53" t="s">
        <v>202</v>
      </c>
      <c r="N227" s="53">
        <f t="shared" ca="1" si="3"/>
        <v>0.76666666666666672</v>
      </c>
      <c r="P227" t="str">
        <f ca="1">IF(TRIM(SUBSTITUTE(($C227&amp;" "&amp;$D227),CHAR(160)," "))="","",IFERROR(IF(ISNUMBER(SEARCH("INC",($C227&amp;" "&amp;$D227))),"INC",IF(ISNUMBER(SEARCH("OPI",($C227&amp;" "&amp;$D227))),"OPI",IF(ISNUMBER(SEARCH("DP",($C227&amp;" "&amp;$D227))),"DP","CONC")))&amp;" "&amp;TEXT(LOOKUP(9.99E+307,--MID(SUBSTITUTE(($C227&amp;" "&amp;$D227),CHAR(160)," "),SUMPRODUCT(MIN(FIND({0,1,2,3,4,5,6,7,8,9},SUBSTITUTE(($C227&amp;" "&amp;$D227),CHAR(160)," ")&amp;"0123456789"))),ROW(INDIRECT("1:6")))),"0"),"SIN NUMERO"))</f>
        <v>CONC 2149</v>
      </c>
      <c r="Q227" t="str">
        <f ca="1">IF($P227="","",IF(LEFT(UPPER($S227),9)="VERIFICAR","VERIFICAR",IF($A227="","SIN ESTADO",IF(AND($A227="Firmada",$H227=""),"FALTA FECHA DE FIRMA",IF(N($T227)=0,IF(AND(ISNUMBER($H227),$H227&gt;=DATE(2024,1,1)),"FALTA EN FIRMADAS","OK"),IF(OR($A227="Pendiente de presentación",$A227="Observado",$A227="En análisis",$A227="En instrucción",$A227="Suspendida",$A227="IT circulando",$A227="Para resolución",$A227="TDC"),"ABIERTA PERO ESTÁ EN FIRMADAS",IF($H227&lt;&gt;INDEX(firmadas!$F:$F,$T227),"FIRMA DISTINTA EN firmadas ("&amp;IF(INDEX(firmadas!$F:$F,$T227)="","vacía",DAY(INDEX(firmadas!$F:$F,$T227))&amp;"/"&amp;MONTH(INDEX(firmadas!$F:$F,$T227))&amp;"/"&amp;YEAR(INDEX(firmadas!$F:$F,$T227)))&amp;")",IF($G227&lt;&gt;INDEX(firmadas!$E:$E,$T227),"INGRESO DISTINTO EN firmadas ("&amp;IF(INDEX(firmadas!$E:$E,$T227)="","vacía",DAY(INDEX(firmadas!$E:$E,$T227))&amp;"/"&amp;MONTH(INDEX(firmadas!$E:$E,$T227))&amp;"/"&amp;YEAR(INDEX(firmadas!$E:$E,$T227)))&amp;")","OK"))))))))</f>
        <v>OK</v>
      </c>
      <c r="T227">
        <f ca="1">IF($P227="","",IFERROR(MATCH($P227,firmadas!$N:$N,0),IFERROR(MATCH("*/"&amp;MID($P227,FIND(" ",$P227)+1,9)&amp;"*",firmadas!$B:$B,0),0)))</f>
        <v>0</v>
      </c>
    </row>
    <row r="228" spans="1:20" ht="15" customHeight="1" x14ac:dyDescent="0.25">
      <c r="A228" s="44" t="s">
        <v>319</v>
      </c>
      <c r="C228" s="44" t="s">
        <v>145</v>
      </c>
      <c r="D228" s="42">
        <v>2150</v>
      </c>
      <c r="E228" s="51" t="s">
        <v>1965</v>
      </c>
      <c r="F228" s="16" t="s">
        <v>1966</v>
      </c>
      <c r="G228" s="16">
        <v>46276</v>
      </c>
      <c r="I228" t="s">
        <v>124</v>
      </c>
      <c r="J228" s="51" t="s">
        <v>115</v>
      </c>
      <c r="K228" s="51" t="s">
        <v>370</v>
      </c>
      <c r="L228" s="51" t="s">
        <v>112</v>
      </c>
      <c r="M228" s="53" t="s">
        <v>83</v>
      </c>
      <c r="N228" s="53">
        <f t="shared" ca="1" si="3"/>
        <v>0.66666666666666663</v>
      </c>
      <c r="P228" t="str">
        <f ca="1">IF(TRIM(SUBSTITUTE(($C228&amp;" "&amp;$D228),CHAR(160)," "))="","",IFERROR(IF(ISNUMBER(SEARCH("INC",($C228&amp;" "&amp;$D228))),"INC",IF(ISNUMBER(SEARCH("OPI",($C228&amp;" "&amp;$D228))),"OPI",IF(ISNUMBER(SEARCH("DP",($C228&amp;" "&amp;$D228))),"DP","CONC")))&amp;" "&amp;TEXT(LOOKUP(9.99E+307,--MID(SUBSTITUTE(($C228&amp;" "&amp;$D228),CHAR(160)," "),SUMPRODUCT(MIN(FIND({0,1,2,3,4,5,6,7,8,9},SUBSTITUTE(($C228&amp;" "&amp;$D228),CHAR(160)," ")&amp;"0123456789"))),ROW(INDIRECT("1:6")))),"0"),"SIN NUMERO"))</f>
        <v>CONC 2150</v>
      </c>
      <c r="Q228" t="str">
        <f ca="1">IF($P228="","",IF(LEFT(UPPER($S228),9)="VERIFICAR","VERIFICAR",IF($A228="","SIN ESTADO",IF(AND($A228="Firmada",$H228=""),"FALTA FECHA DE FIRMA",IF(N($T228)=0,IF(AND(ISNUMBER($H228),$H228&gt;=DATE(2024,1,1)),"FALTA EN FIRMADAS","OK"),IF(OR($A228="Pendiente de presentación",$A228="Observado",$A228="En análisis",$A228="En instrucción",$A228="Suspendida",$A228="IT circulando",$A228="Para resolución",$A228="TDC"),"ABIERTA PERO ESTÁ EN FIRMADAS",IF($H228&lt;&gt;INDEX(firmadas!$F:$F,$T228),"FIRMA DISTINTA EN firmadas ("&amp;IF(INDEX(firmadas!$F:$F,$T228)="","vacía",DAY(INDEX(firmadas!$F:$F,$T228))&amp;"/"&amp;MONTH(INDEX(firmadas!$F:$F,$T228))&amp;"/"&amp;YEAR(INDEX(firmadas!$F:$F,$T228)))&amp;")",IF($G228&lt;&gt;INDEX(firmadas!$E:$E,$T228),"INGRESO DISTINTO EN firmadas ("&amp;IF(INDEX(firmadas!$E:$E,$T228)="","vacía",DAY(INDEX(firmadas!$E:$E,$T228))&amp;"/"&amp;MONTH(INDEX(firmadas!$E:$E,$T228))&amp;"/"&amp;YEAR(INDEX(firmadas!$E:$E,$T228)))&amp;")","OK"))))))))</f>
        <v>OK</v>
      </c>
      <c r="T228">
        <f ca="1">IF($P228="","",IFERROR(MATCH($P228,firmadas!$N:$N,0),IFERROR(MATCH("*/"&amp;MID($P228,FIND(" ",$P228)+1,9)&amp;"*",firmadas!$B:$B,0),0)))</f>
        <v>0</v>
      </c>
    </row>
    <row r="229" spans="1:20" ht="15" customHeight="1" x14ac:dyDescent="0.25">
      <c r="A229" s="44" t="s">
        <v>319</v>
      </c>
      <c r="C229" s="44" t="s">
        <v>145</v>
      </c>
      <c r="D229" s="42">
        <v>2151</v>
      </c>
      <c r="E229" s="51" t="s">
        <v>1967</v>
      </c>
      <c r="F229" s="16" t="s">
        <v>1968</v>
      </c>
      <c r="G229" s="16">
        <v>46283</v>
      </c>
      <c r="I229" t="s">
        <v>110</v>
      </c>
      <c r="J229" s="51" t="s">
        <v>115</v>
      </c>
      <c r="K229" s="51" t="s">
        <v>112</v>
      </c>
      <c r="L229" s="51" t="s">
        <v>370</v>
      </c>
      <c r="M229" s="53" t="s">
        <v>202</v>
      </c>
      <c r="N229" s="53">
        <f t="shared" ca="1" si="3"/>
        <v>0.43333333333333335</v>
      </c>
      <c r="P229" t="str">
        <f ca="1">IF(TRIM(SUBSTITUTE(($C229&amp;" "&amp;$D229),CHAR(160)," "))="","",IFERROR(IF(ISNUMBER(SEARCH("INC",($C229&amp;" "&amp;$D229))),"INC",IF(ISNUMBER(SEARCH("OPI",($C229&amp;" "&amp;$D229))),"OPI",IF(ISNUMBER(SEARCH("DP",($C229&amp;" "&amp;$D229))),"DP","CONC")))&amp;" "&amp;TEXT(LOOKUP(9.99E+307,--MID(SUBSTITUTE(($C229&amp;" "&amp;$D229),CHAR(160)," "),SUMPRODUCT(MIN(FIND({0,1,2,3,4,5,6,7,8,9},SUBSTITUTE(($C229&amp;" "&amp;$D229),CHAR(160)," ")&amp;"0123456789"))),ROW(INDIRECT("1:6")))),"0"),"SIN NUMERO"))</f>
        <v>CONC 2151</v>
      </c>
      <c r="Q229" t="str">
        <f ca="1">IF($P229="","",IF(LEFT(UPPER($S229),9)="VERIFICAR","VERIFICAR",IF($A229="","SIN ESTADO",IF(AND($A229="Firmada",$H229=""),"FALTA FECHA DE FIRMA",IF(N($T229)=0,IF(AND(ISNUMBER($H229),$H229&gt;=DATE(2024,1,1)),"FALTA EN FIRMADAS","OK"),IF(OR($A229="Pendiente de presentación",$A229="Observado",$A229="En análisis",$A229="En instrucción",$A229="Suspendida",$A229="IT circulando",$A229="Para resolución",$A229="TDC"),"ABIERTA PERO ESTÁ EN FIRMADAS",IF($H229&lt;&gt;INDEX(firmadas!$F:$F,$T229),"FIRMA DISTINTA EN firmadas ("&amp;IF(INDEX(firmadas!$F:$F,$T229)="","vacía",DAY(INDEX(firmadas!$F:$F,$T229))&amp;"/"&amp;MONTH(INDEX(firmadas!$F:$F,$T229))&amp;"/"&amp;YEAR(INDEX(firmadas!$F:$F,$T229)))&amp;")",IF($G229&lt;&gt;INDEX(firmadas!$E:$E,$T229),"INGRESO DISTINTO EN firmadas ("&amp;IF(INDEX(firmadas!$E:$E,$T229)="","vacía",DAY(INDEX(firmadas!$E:$E,$T229))&amp;"/"&amp;MONTH(INDEX(firmadas!$E:$E,$T229))&amp;"/"&amp;YEAR(INDEX(firmadas!$E:$E,$T229)))&amp;")","OK"))))))))</f>
        <v>OK</v>
      </c>
      <c r="T229">
        <f ca="1">IF($P229="","",IFERROR(MATCH($P229,firmadas!$N:$N,0),IFERROR(MATCH("*/"&amp;MID($P229,FIND(" ",$P229)+1,9)&amp;"*",firmadas!$B:$B,0),0)))</f>
        <v>0</v>
      </c>
    </row>
    <row r="230" spans="1:20" ht="15" customHeight="1" x14ac:dyDescent="0.25">
      <c r="A230" s="51" t="s">
        <v>319</v>
      </c>
      <c r="C230" s="51" t="s">
        <v>145</v>
      </c>
      <c r="D230" s="24" t="s">
        <v>1969</v>
      </c>
      <c r="E230" s="51" t="s">
        <v>1970</v>
      </c>
      <c r="F230" s="16" t="s">
        <v>1971</v>
      </c>
      <c r="G230" s="16">
        <v>46286</v>
      </c>
      <c r="I230" t="s">
        <v>124</v>
      </c>
      <c r="J230" s="51" t="s">
        <v>111</v>
      </c>
      <c r="K230" s="51" t="s">
        <v>104</v>
      </c>
      <c r="L230" s="51" t="s">
        <v>497</v>
      </c>
      <c r="M230" s="53" t="s">
        <v>83</v>
      </c>
      <c r="N230" s="53">
        <f t="shared" ca="1" si="3"/>
        <v>0.33333333333333331</v>
      </c>
      <c r="P230" t="str">
        <f ca="1">IF(TRIM(SUBSTITUTE(($C230&amp;" "&amp;$D230),CHAR(160)," "))="","",IFERROR(IF(ISNUMBER(SEARCH("INC",($C230&amp;" "&amp;$D230))),"INC",IF(ISNUMBER(SEARCH("OPI",($C230&amp;" "&amp;$D230))),"OPI",IF(ISNUMBER(SEARCH("DP",($C230&amp;" "&amp;$D230))),"DP","CONC")))&amp;" "&amp;TEXT(LOOKUP(9.99E+307,--MID(SUBSTITUTE(($C230&amp;" "&amp;$D230),CHAR(160)," "),SUMPRODUCT(MIN(FIND({0,1,2,3,4,5,6,7,8,9},SUBSTITUTE(($C230&amp;" "&amp;$D230),CHAR(160)," ")&amp;"0123456789"))),ROW(INDIRECT("1:6")))),"0"),"SIN NUMERO"))</f>
        <v>CONC 2152</v>
      </c>
      <c r="Q230" t="str">
        <f ca="1">IF($P230="","",IF(LEFT(UPPER($S230),9)="VERIFICAR","VERIFICAR",IF($A230="","SIN ESTADO",IF(AND($A230="Firmada",$H230=""),"FALTA FECHA DE FIRMA",IF(N($T230)=0,IF(AND(ISNUMBER($H230),$H230&gt;=DATE(2024,1,1)),"FALTA EN FIRMADAS","OK"),IF(OR($A230="Pendiente de presentación",$A230="Observado",$A230="En análisis",$A230="En instrucción",$A230="Suspendida",$A230="IT circulando",$A230="Para resolución",$A230="TDC"),"ABIERTA PERO ESTÁ EN FIRMADAS",IF($H230&lt;&gt;INDEX(firmadas!$F:$F,$T230),"FIRMA DISTINTA EN firmadas ("&amp;IF(INDEX(firmadas!$F:$F,$T230)="","vacía",DAY(INDEX(firmadas!$F:$F,$T230))&amp;"/"&amp;MONTH(INDEX(firmadas!$F:$F,$T230))&amp;"/"&amp;YEAR(INDEX(firmadas!$F:$F,$T230)))&amp;")",IF($G230&lt;&gt;INDEX(firmadas!$E:$E,$T230),"INGRESO DISTINTO EN firmadas ("&amp;IF(INDEX(firmadas!$E:$E,$T230)="","vacía",DAY(INDEX(firmadas!$E:$E,$T230))&amp;"/"&amp;MONTH(INDEX(firmadas!$E:$E,$T230))&amp;"/"&amp;YEAR(INDEX(firmadas!$E:$E,$T230)))&amp;")","OK"))))))))</f>
        <v>OK</v>
      </c>
      <c r="T230">
        <f ca="1">IF($P230="","",IFERROR(MATCH($P230,firmadas!$N:$N,0),IFERROR(MATCH("*/"&amp;MID($P230,FIND(" ",$P230)+1,9)&amp;"*",firmadas!$B:$B,0),0)))</f>
        <v>0</v>
      </c>
    </row>
    <row r="231" spans="1:20" ht="15" customHeight="1" x14ac:dyDescent="0.25">
      <c r="A231" s="51" t="s">
        <v>319</v>
      </c>
      <c r="C231" s="44" t="s">
        <v>409</v>
      </c>
      <c r="D231" s="24" t="s">
        <v>1974</v>
      </c>
      <c r="E231" s="51" t="s">
        <v>1972</v>
      </c>
      <c r="F231" s="16" t="s">
        <v>1973</v>
      </c>
      <c r="G231" s="16">
        <v>46288</v>
      </c>
      <c r="I231" t="s">
        <v>88</v>
      </c>
      <c r="J231" s="51" t="s">
        <v>115</v>
      </c>
      <c r="K231" s="51" t="s">
        <v>370</v>
      </c>
      <c r="L231" s="51" t="s">
        <v>112</v>
      </c>
      <c r="M231" s="53" t="s">
        <v>202</v>
      </c>
      <c r="N231" s="53">
        <f t="shared" ca="1" si="3"/>
        <v>0.26666666666666666</v>
      </c>
      <c r="P231" t="str">
        <f ca="1">IF(TRIM(SUBSTITUTE(($C231&amp;" "&amp;$D231),CHAR(160)," "))="","",IFERROR(IF(ISNUMBER(SEARCH("INC",($C231&amp;" "&amp;$D231))),"INC",IF(ISNUMBER(SEARCH("OPI",($C231&amp;" "&amp;$D231))),"OPI",IF(ISNUMBER(SEARCH("DP",($C231&amp;" "&amp;$D231))),"DP","CONC")))&amp;" "&amp;TEXT(LOOKUP(9.99E+307,--MID(SUBSTITUTE(($C231&amp;" "&amp;$D231),CHAR(160)," "),SUMPRODUCT(MIN(FIND({0,1,2,3,4,5,6,7,8,9},SUBSTITUTE(($C231&amp;" "&amp;$D231),CHAR(160)," ")&amp;"0123456789"))),ROW(INDIRECT("1:6")))),"0"),"SIN NUMERO"))</f>
        <v>CONC 2153</v>
      </c>
      <c r="Q231" t="str">
        <f ca="1">IF($P231="","",IF(LEFT(UPPER($S231),9)="VERIFICAR","VERIFICAR",IF($A231="","SIN ESTADO",IF(AND($A231="Firmada",$H231=""),"FALTA FECHA DE FIRMA",IF(N($T231)=0,IF(AND(ISNUMBER($H231),$H231&gt;=DATE(2024,1,1)),"FALTA EN FIRMADAS","OK"),IF(OR($A231="Pendiente de presentación",$A231="Observado",$A231="En análisis",$A231="En instrucción",$A231="Suspendida",$A231="IT circulando",$A231="Para resolución",$A231="TDC"),"ABIERTA PERO ESTÁ EN FIRMADAS",IF($H231&lt;&gt;INDEX(firmadas!$F:$F,$T231),"FIRMA DISTINTA EN firmadas ("&amp;IF(INDEX(firmadas!$F:$F,$T231)="","vacía",DAY(INDEX(firmadas!$F:$F,$T231))&amp;"/"&amp;MONTH(INDEX(firmadas!$F:$F,$T231))&amp;"/"&amp;YEAR(INDEX(firmadas!$F:$F,$T231)))&amp;")",IF($G231&lt;&gt;INDEX(firmadas!$E:$E,$T231),"INGRESO DISTINTO EN firmadas ("&amp;IF(INDEX(firmadas!$E:$E,$T231)="","vacía",DAY(INDEX(firmadas!$E:$E,$T231))&amp;"/"&amp;MONTH(INDEX(firmadas!$E:$E,$T231))&amp;"/"&amp;YEAR(INDEX(firmadas!$E:$E,$T231)))&amp;")","OK"))))))))</f>
        <v>OK</v>
      </c>
      <c r="T231">
        <f ca="1">IF($P231="","",IFERROR(MATCH($P231,firmadas!$N:$N,0),IFERROR(MATCH("*/"&amp;MID($P231,FIND(" ",$P231)+1,9)&amp;"*",firmadas!$B:$B,0),0)))</f>
        <v>0</v>
      </c>
    </row>
    <row r="232" spans="1:20" ht="15" customHeight="1" x14ac:dyDescent="0.25">
      <c r="F232" s="16"/>
      <c r="M232" s="53"/>
      <c r="N232" s="53" t="str">
        <f t="shared" ca="1" si="3"/>
        <v/>
      </c>
      <c r="P232" t="str">
        <f ca="1">IF(TRIM(SUBSTITUTE(($C232&amp;" "&amp;$D232),CHAR(160)," "))="","",IFERROR(IF(ISNUMBER(SEARCH("INC",($C232&amp;" "&amp;$D232))),"INC",IF(ISNUMBER(SEARCH("OPI",($C232&amp;" "&amp;$D232))),"OPI",IF(ISNUMBER(SEARCH("DP",($C232&amp;" "&amp;$D232))),"DP","CONC")))&amp;" "&amp;TEXT(LOOKUP(9.99E+307,--MID(SUBSTITUTE(($C232&amp;" "&amp;$D232),CHAR(160)," "),SUMPRODUCT(MIN(FIND({0,1,2,3,4,5,6,7,8,9},SUBSTITUTE(($C232&amp;" "&amp;$D232),CHAR(160)," ")&amp;"0123456789"))),ROW(INDIRECT("1:6")))),"0"),"SIN NUMERO"))</f>
        <v/>
      </c>
      <c r="Q232" t="str">
        <f ca="1">IF($P232="","",IF(LEFT(UPPER($S232),9)="VERIFICAR","VERIFICAR",IF($A232="","SIN ESTADO",IF(AND($A232="Firmada",$H232=""),"FALTA FECHA DE FIRMA",IF(N($T232)=0,IF(AND(ISNUMBER($H232),$H232&gt;=DATE(2024,1,1)),"FALTA EN FIRMADAS","OK"),IF(OR($A232="Pendiente de presentación",$A232="Observado",$A232="En análisis",$A232="En instrucción",$A232="Suspendida",$A232="IT circulando",$A232="Para resolución",$A232="TDC"),"ABIERTA PERO ESTÁ EN FIRMADAS",IF($H232&lt;&gt;INDEX(firmadas!$F:$F,$T232),"FIRMA DISTINTA EN firmadas ("&amp;IF(INDEX(firmadas!$F:$F,$T232)="","vacía",DAY(INDEX(firmadas!$F:$F,$T232))&amp;"/"&amp;MONTH(INDEX(firmadas!$F:$F,$T232))&amp;"/"&amp;YEAR(INDEX(firmadas!$F:$F,$T232)))&amp;")",IF($G232&lt;&gt;INDEX(firmadas!$E:$E,$T232),"INGRESO DISTINTO EN firmadas ("&amp;IF(INDEX(firmadas!$E:$E,$T232)="","vacía",DAY(INDEX(firmadas!$E:$E,$T232))&amp;"/"&amp;MONTH(INDEX(firmadas!$E:$E,$T232))&amp;"/"&amp;YEAR(INDEX(firmadas!$E:$E,$T232)))&amp;")","OK"))))))))</f>
        <v/>
      </c>
      <c r="T232" t="str">
        <f ca="1">IF($P232="","",IFERROR(MATCH($P232,firmadas!$N:$N,0),IFERROR(MATCH("*/"&amp;MID($P232,FIND(" ",$P232)+1,9)&amp;"*",firmadas!$B:$B,0),0)))</f>
        <v/>
      </c>
    </row>
    <row r="233" spans="1:20" ht="15" customHeight="1" x14ac:dyDescent="0.25">
      <c r="F233" s="16"/>
      <c r="M233" s="53"/>
      <c r="N233" s="53" t="str">
        <f t="shared" ca="1" si="3"/>
        <v/>
      </c>
      <c r="P233" t="str">
        <f ca="1">IF(TRIM(SUBSTITUTE(($C233&amp;" "&amp;$D233),CHAR(160)," "))="","",IFERROR(IF(ISNUMBER(SEARCH("INC",($C233&amp;" "&amp;$D233))),"INC",IF(ISNUMBER(SEARCH("OPI",($C233&amp;" "&amp;$D233))),"OPI",IF(ISNUMBER(SEARCH("DP",($C233&amp;" "&amp;$D233))),"DP","CONC")))&amp;" "&amp;TEXT(LOOKUP(9.99E+307,--MID(SUBSTITUTE(($C233&amp;" "&amp;$D233),CHAR(160)," "),SUMPRODUCT(MIN(FIND({0,1,2,3,4,5,6,7,8,9},SUBSTITUTE(($C233&amp;" "&amp;$D233),CHAR(160)," ")&amp;"0123456789"))),ROW(INDIRECT("1:6")))),"0"),"SIN NUMERO"))</f>
        <v/>
      </c>
      <c r="Q233" t="str">
        <f ca="1">IF($P233="","",IF(LEFT(UPPER($S233),9)="VERIFICAR","VERIFICAR",IF($A233="","SIN ESTADO",IF(AND($A233="Firmada",$H233=""),"FALTA FECHA DE FIRMA",IF(N($T233)=0,IF(AND(ISNUMBER($H233),$H233&gt;=DATE(2024,1,1)),"FALTA EN FIRMADAS","OK"),IF(OR($A233="Pendiente de presentación",$A233="Observado",$A233="En análisis",$A233="En instrucción",$A233="Suspendida",$A233="IT circulando",$A233="Para resolución",$A233="TDC"),"ABIERTA PERO ESTÁ EN FIRMADAS",IF($H233&lt;&gt;INDEX(firmadas!$F:$F,$T233),"FIRMA DISTINTA EN firmadas ("&amp;IF(INDEX(firmadas!$F:$F,$T233)="","vacía",DAY(INDEX(firmadas!$F:$F,$T233))&amp;"/"&amp;MONTH(INDEX(firmadas!$F:$F,$T233))&amp;"/"&amp;YEAR(INDEX(firmadas!$F:$F,$T233)))&amp;")",IF($G233&lt;&gt;INDEX(firmadas!$E:$E,$T233),"INGRESO DISTINTO EN firmadas ("&amp;IF(INDEX(firmadas!$E:$E,$T233)="","vacía",DAY(INDEX(firmadas!$E:$E,$T233))&amp;"/"&amp;MONTH(INDEX(firmadas!$E:$E,$T233))&amp;"/"&amp;YEAR(INDEX(firmadas!$E:$E,$T233)))&amp;")","OK"))))))))</f>
        <v/>
      </c>
      <c r="T233" t="str">
        <f ca="1">IF($P233="","",IFERROR(MATCH($P233,firmadas!$N:$N,0),IFERROR(MATCH("*/"&amp;MID($P233,FIND(" ",$P233)+1,9)&amp;"*",firmadas!$B:$B,0),0)))</f>
        <v/>
      </c>
    </row>
    <row r="234" spans="1:20" ht="15" customHeight="1" x14ac:dyDescent="0.25">
      <c r="F234" s="16"/>
      <c r="M234" s="53"/>
      <c r="N234" s="53" t="str">
        <f t="shared" ca="1" si="3"/>
        <v/>
      </c>
      <c r="P234" t="str">
        <f ca="1">IF(TRIM(SUBSTITUTE(($C234&amp;" "&amp;$D234),CHAR(160)," "))="","",IFERROR(IF(ISNUMBER(SEARCH("INC",($C234&amp;" "&amp;$D234))),"INC",IF(ISNUMBER(SEARCH("OPI",($C234&amp;" "&amp;$D234))),"OPI",IF(ISNUMBER(SEARCH("DP",($C234&amp;" "&amp;$D234))),"DP","CONC")))&amp;" "&amp;TEXT(LOOKUP(9.99E+307,--MID(SUBSTITUTE(($C234&amp;" "&amp;$D234),CHAR(160)," "),SUMPRODUCT(MIN(FIND({0,1,2,3,4,5,6,7,8,9},SUBSTITUTE(($C234&amp;" "&amp;$D234),CHAR(160)," ")&amp;"0123456789"))),ROW(INDIRECT("1:6")))),"0"),"SIN NUMERO"))</f>
        <v/>
      </c>
      <c r="Q234" t="str">
        <f ca="1">IF($P234="","",IF(LEFT(UPPER($S234),9)="VERIFICAR","VERIFICAR",IF($A234="","SIN ESTADO",IF(AND($A234="Firmada",$H234=""),"FALTA FECHA DE FIRMA",IF(N($T234)=0,IF(AND(ISNUMBER($H234),$H234&gt;=DATE(2024,1,1)),"FALTA EN FIRMADAS","OK"),IF(OR($A234="Pendiente de presentación",$A234="Observado",$A234="En análisis",$A234="En instrucción",$A234="Suspendida",$A234="IT circulando",$A234="Para resolución",$A234="TDC"),"ABIERTA PERO ESTÁ EN FIRMADAS",IF($H234&lt;&gt;INDEX(firmadas!$F:$F,$T234),"FIRMA DISTINTA EN firmadas ("&amp;IF(INDEX(firmadas!$F:$F,$T234)="","vacía",DAY(INDEX(firmadas!$F:$F,$T234))&amp;"/"&amp;MONTH(INDEX(firmadas!$F:$F,$T234))&amp;"/"&amp;YEAR(INDEX(firmadas!$F:$F,$T234)))&amp;")",IF($G234&lt;&gt;INDEX(firmadas!$E:$E,$T234),"INGRESO DISTINTO EN firmadas ("&amp;IF(INDEX(firmadas!$E:$E,$T234)="","vacía",DAY(INDEX(firmadas!$E:$E,$T234))&amp;"/"&amp;MONTH(INDEX(firmadas!$E:$E,$T234))&amp;"/"&amp;YEAR(INDEX(firmadas!$E:$E,$T234)))&amp;")","OK"))))))))</f>
        <v/>
      </c>
      <c r="T234" t="str">
        <f ca="1">IF($P234="","",IFERROR(MATCH($P234,firmadas!$N:$N,0),IFERROR(MATCH("*/"&amp;MID($P234,FIND(" ",$P234)+1,9)&amp;"*",firmadas!$B:$B,0),0)))</f>
        <v/>
      </c>
    </row>
    <row r="235" spans="1:20" ht="15" customHeight="1" x14ac:dyDescent="0.25">
      <c r="F235" s="16"/>
      <c r="M235" s="53"/>
      <c r="N235" s="53" t="str">
        <f t="shared" ca="1" si="3"/>
        <v/>
      </c>
      <c r="P235" t="str">
        <f ca="1">IF(TRIM(SUBSTITUTE(($C235&amp;" "&amp;$D235),CHAR(160)," "))="","",IFERROR(IF(ISNUMBER(SEARCH("INC",($C235&amp;" "&amp;$D235))),"INC",IF(ISNUMBER(SEARCH("OPI",($C235&amp;" "&amp;$D235))),"OPI",IF(ISNUMBER(SEARCH("DP",($C235&amp;" "&amp;$D235))),"DP","CONC")))&amp;" "&amp;TEXT(LOOKUP(9.99E+307,--MID(SUBSTITUTE(($C235&amp;" "&amp;$D235),CHAR(160)," "),SUMPRODUCT(MIN(FIND({0,1,2,3,4,5,6,7,8,9},SUBSTITUTE(($C235&amp;" "&amp;$D235),CHAR(160)," ")&amp;"0123456789"))),ROW(INDIRECT("1:6")))),"0"),"SIN NUMERO"))</f>
        <v/>
      </c>
      <c r="Q235" t="str">
        <f ca="1">IF($P235="","",IF(LEFT(UPPER($S235),9)="VERIFICAR","VERIFICAR",IF($A235="","SIN ESTADO",IF(AND($A235="Firmada",$H235=""),"FALTA FECHA DE FIRMA",IF(N($T235)=0,IF(AND(ISNUMBER($H235),$H235&gt;=DATE(2024,1,1)),"FALTA EN FIRMADAS","OK"),IF(OR($A235="Pendiente de presentación",$A235="Observado",$A235="En análisis",$A235="En instrucción",$A235="Suspendida",$A235="IT circulando",$A235="Para resolución",$A235="TDC"),"ABIERTA PERO ESTÁ EN FIRMADAS",IF($H235&lt;&gt;INDEX(firmadas!$F:$F,$T235),"FIRMA DISTINTA EN firmadas ("&amp;IF(INDEX(firmadas!$F:$F,$T235)="","vacía",DAY(INDEX(firmadas!$F:$F,$T235))&amp;"/"&amp;MONTH(INDEX(firmadas!$F:$F,$T235))&amp;"/"&amp;YEAR(INDEX(firmadas!$F:$F,$T235)))&amp;")",IF($G235&lt;&gt;INDEX(firmadas!$E:$E,$T235),"INGRESO DISTINTO EN firmadas ("&amp;IF(INDEX(firmadas!$E:$E,$T235)="","vacía",DAY(INDEX(firmadas!$E:$E,$T235))&amp;"/"&amp;MONTH(INDEX(firmadas!$E:$E,$T235))&amp;"/"&amp;YEAR(INDEX(firmadas!$E:$E,$T235)))&amp;")","OK"))))))))</f>
        <v/>
      </c>
      <c r="T235" t="str">
        <f ca="1">IF($P235="","",IFERROR(MATCH($P235,firmadas!$N:$N,0),IFERROR(MATCH("*/"&amp;MID($P235,FIND(" ",$P235)+1,9)&amp;"*",firmadas!$B:$B,0),0)))</f>
        <v/>
      </c>
    </row>
    <row r="236" spans="1:20" ht="15" customHeight="1" x14ac:dyDescent="0.25">
      <c r="F236" s="16"/>
      <c r="M236" s="53"/>
      <c r="N236" s="53" t="str">
        <f t="shared" ca="1" si="3"/>
        <v/>
      </c>
      <c r="P236" t="str">
        <f ca="1">IF(TRIM(SUBSTITUTE(($C236&amp;" "&amp;$D236),CHAR(160)," "))="","",IFERROR(IF(ISNUMBER(SEARCH("INC",($C236&amp;" "&amp;$D236))),"INC",IF(ISNUMBER(SEARCH("OPI",($C236&amp;" "&amp;$D236))),"OPI",IF(ISNUMBER(SEARCH("DP",($C236&amp;" "&amp;$D236))),"DP","CONC")))&amp;" "&amp;TEXT(LOOKUP(9.99E+307,--MID(SUBSTITUTE(($C236&amp;" "&amp;$D236),CHAR(160)," "),SUMPRODUCT(MIN(FIND({0,1,2,3,4,5,6,7,8,9},SUBSTITUTE(($C236&amp;" "&amp;$D236),CHAR(160)," ")&amp;"0123456789"))),ROW(INDIRECT("1:6")))),"0"),"SIN NUMERO"))</f>
        <v/>
      </c>
      <c r="Q236" t="str">
        <f ca="1">IF($P236="","",IF(LEFT(UPPER($S236),9)="VERIFICAR","VERIFICAR",IF($A236="","SIN ESTADO",IF(AND($A236="Firmada",$H236=""),"FALTA FECHA DE FIRMA",IF(N($T236)=0,IF(AND(ISNUMBER($H236),$H236&gt;=DATE(2024,1,1)),"FALTA EN FIRMADAS","OK"),IF(OR($A236="Pendiente de presentación",$A236="Observado",$A236="En análisis",$A236="En instrucción",$A236="Suspendida",$A236="IT circulando",$A236="Para resolución",$A236="TDC"),"ABIERTA PERO ESTÁ EN FIRMADAS",IF($H236&lt;&gt;INDEX(firmadas!$F:$F,$T236),"FIRMA DISTINTA EN firmadas ("&amp;IF(INDEX(firmadas!$F:$F,$T236)="","vacía",DAY(INDEX(firmadas!$F:$F,$T236))&amp;"/"&amp;MONTH(INDEX(firmadas!$F:$F,$T236))&amp;"/"&amp;YEAR(INDEX(firmadas!$F:$F,$T236)))&amp;")",IF($G236&lt;&gt;INDEX(firmadas!$E:$E,$T236),"INGRESO DISTINTO EN firmadas ("&amp;IF(INDEX(firmadas!$E:$E,$T236)="","vacía",DAY(INDEX(firmadas!$E:$E,$T236))&amp;"/"&amp;MONTH(INDEX(firmadas!$E:$E,$T236))&amp;"/"&amp;YEAR(INDEX(firmadas!$E:$E,$T236)))&amp;")","OK"))))))))</f>
        <v/>
      </c>
      <c r="T236" t="str">
        <f ca="1">IF($P236="","",IFERROR(MATCH($P236,firmadas!$N:$N,0),IFERROR(MATCH("*/"&amp;MID($P236,FIND(" ",$P236)+1,9)&amp;"*",firmadas!$B:$B,0),0)))</f>
        <v/>
      </c>
    </row>
    <row r="237" spans="1:20" ht="15" customHeight="1" x14ac:dyDescent="0.25">
      <c r="F237" s="16"/>
      <c r="M237" s="53"/>
      <c r="N237" s="53" t="str">
        <f t="shared" ca="1" si="3"/>
        <v/>
      </c>
      <c r="P237" t="str">
        <f ca="1">IF(TRIM(SUBSTITUTE(($C237&amp;" "&amp;$D237),CHAR(160)," "))="","",IFERROR(IF(ISNUMBER(SEARCH("INC",($C237&amp;" "&amp;$D237))),"INC",IF(ISNUMBER(SEARCH("OPI",($C237&amp;" "&amp;$D237))),"OPI",IF(ISNUMBER(SEARCH("DP",($C237&amp;" "&amp;$D237))),"DP","CONC")))&amp;" "&amp;TEXT(LOOKUP(9.99E+307,--MID(SUBSTITUTE(($C237&amp;" "&amp;$D237),CHAR(160)," "),SUMPRODUCT(MIN(FIND({0,1,2,3,4,5,6,7,8,9},SUBSTITUTE(($C237&amp;" "&amp;$D237),CHAR(160)," ")&amp;"0123456789"))),ROW(INDIRECT("1:6")))),"0"),"SIN NUMERO"))</f>
        <v/>
      </c>
      <c r="Q237" t="str">
        <f ca="1">IF($P237="","",IF(LEFT(UPPER($S237),9)="VERIFICAR","VERIFICAR",IF($A237="","SIN ESTADO",IF(AND($A237="Firmada",$H237=""),"FALTA FECHA DE FIRMA",IF(N($T237)=0,IF(AND(ISNUMBER($H237),$H237&gt;=DATE(2024,1,1)),"FALTA EN FIRMADAS","OK"),IF(OR($A237="Pendiente de presentación",$A237="Observado",$A237="En análisis",$A237="En instrucción",$A237="Suspendida",$A237="IT circulando",$A237="Para resolución",$A237="TDC"),"ABIERTA PERO ESTÁ EN FIRMADAS",IF($H237&lt;&gt;INDEX(firmadas!$F:$F,$T237),"FIRMA DISTINTA EN firmadas ("&amp;IF(INDEX(firmadas!$F:$F,$T237)="","vacía",DAY(INDEX(firmadas!$F:$F,$T237))&amp;"/"&amp;MONTH(INDEX(firmadas!$F:$F,$T237))&amp;"/"&amp;YEAR(INDEX(firmadas!$F:$F,$T237)))&amp;")",IF($G237&lt;&gt;INDEX(firmadas!$E:$E,$T237),"INGRESO DISTINTO EN firmadas ("&amp;IF(INDEX(firmadas!$E:$E,$T237)="","vacía",DAY(INDEX(firmadas!$E:$E,$T237))&amp;"/"&amp;MONTH(INDEX(firmadas!$E:$E,$T237))&amp;"/"&amp;YEAR(INDEX(firmadas!$E:$E,$T237)))&amp;")","OK"))))))))</f>
        <v/>
      </c>
      <c r="T237" t="str">
        <f ca="1">IF($P237="","",IFERROR(MATCH($P237,firmadas!$N:$N,0),IFERROR(MATCH("*/"&amp;MID($P237,FIND(" ",$P237)+1,9)&amp;"*",firmadas!$B:$B,0),0)))</f>
        <v/>
      </c>
    </row>
    <row r="238" spans="1:20" ht="15" customHeight="1" x14ac:dyDescent="0.25">
      <c r="F238" s="16"/>
      <c r="M238" s="53"/>
      <c r="N238" s="53" t="str">
        <f t="shared" ca="1" si="3"/>
        <v/>
      </c>
      <c r="P238" t="str">
        <f ca="1">IF(TRIM(SUBSTITUTE(($C238&amp;" "&amp;$D238),CHAR(160)," "))="","",IFERROR(IF(ISNUMBER(SEARCH("INC",($C238&amp;" "&amp;$D238))),"INC",IF(ISNUMBER(SEARCH("OPI",($C238&amp;" "&amp;$D238))),"OPI",IF(ISNUMBER(SEARCH("DP",($C238&amp;" "&amp;$D238))),"DP","CONC")))&amp;" "&amp;TEXT(LOOKUP(9.99E+307,--MID(SUBSTITUTE(($C238&amp;" "&amp;$D238),CHAR(160)," "),SUMPRODUCT(MIN(FIND({0,1,2,3,4,5,6,7,8,9},SUBSTITUTE(($C238&amp;" "&amp;$D238),CHAR(160)," ")&amp;"0123456789"))),ROW(INDIRECT("1:6")))),"0"),"SIN NUMERO"))</f>
        <v/>
      </c>
      <c r="Q238" t="str">
        <f ca="1">IF($P238="","",IF(LEFT(UPPER($S238),9)="VERIFICAR","VERIFICAR",IF($A238="","SIN ESTADO",IF(AND($A238="Firmada",$H238=""),"FALTA FECHA DE FIRMA",IF(N($T238)=0,IF(AND(ISNUMBER($H238),$H238&gt;=DATE(2024,1,1)),"FALTA EN FIRMADAS","OK"),IF(OR($A238="Pendiente de presentación",$A238="Observado",$A238="En análisis",$A238="En instrucción",$A238="Suspendida",$A238="IT circulando",$A238="Para resolución",$A238="TDC"),"ABIERTA PERO ESTÁ EN FIRMADAS",IF($H238&lt;&gt;INDEX(firmadas!$F:$F,$T238),"FIRMA DISTINTA EN firmadas ("&amp;IF(INDEX(firmadas!$F:$F,$T238)="","vacía",DAY(INDEX(firmadas!$F:$F,$T238))&amp;"/"&amp;MONTH(INDEX(firmadas!$F:$F,$T238))&amp;"/"&amp;YEAR(INDEX(firmadas!$F:$F,$T238)))&amp;")",IF($G238&lt;&gt;INDEX(firmadas!$E:$E,$T238),"INGRESO DISTINTO EN firmadas ("&amp;IF(INDEX(firmadas!$E:$E,$T238)="","vacía",DAY(INDEX(firmadas!$E:$E,$T238))&amp;"/"&amp;MONTH(INDEX(firmadas!$E:$E,$T238))&amp;"/"&amp;YEAR(INDEX(firmadas!$E:$E,$T238)))&amp;")","OK"))))))))</f>
        <v/>
      </c>
      <c r="T238" t="str">
        <f ca="1">IF($P238="","",IFERROR(MATCH($P238,firmadas!$N:$N,0),IFERROR(MATCH("*/"&amp;MID($P238,FIND(" ",$P238)+1,9)&amp;"*",firmadas!$B:$B,0),0)))</f>
        <v/>
      </c>
    </row>
    <row r="239" spans="1:20" ht="15" customHeight="1" x14ac:dyDescent="0.25">
      <c r="F239" s="16"/>
      <c r="M239" s="53"/>
      <c r="N239" s="53" t="str">
        <f t="shared" ca="1" si="3"/>
        <v/>
      </c>
      <c r="P239" t="str">
        <f ca="1">IF(TRIM(SUBSTITUTE(($C239&amp;" "&amp;$D239),CHAR(160)," "))="","",IFERROR(IF(ISNUMBER(SEARCH("INC",($C239&amp;" "&amp;$D239))),"INC",IF(ISNUMBER(SEARCH("OPI",($C239&amp;" "&amp;$D239))),"OPI",IF(ISNUMBER(SEARCH("DP",($C239&amp;" "&amp;$D239))),"DP","CONC")))&amp;" "&amp;TEXT(LOOKUP(9.99E+307,--MID(SUBSTITUTE(($C239&amp;" "&amp;$D239),CHAR(160)," "),SUMPRODUCT(MIN(FIND({0,1,2,3,4,5,6,7,8,9},SUBSTITUTE(($C239&amp;" "&amp;$D239),CHAR(160)," ")&amp;"0123456789"))),ROW(INDIRECT("1:6")))),"0"),"SIN NUMERO"))</f>
        <v/>
      </c>
      <c r="Q239" t="str">
        <f ca="1">IF($P239="","",IF(LEFT(UPPER($S239),9)="VERIFICAR","VERIFICAR",IF($A239="","SIN ESTADO",IF(AND($A239="Firmada",$H239=""),"FALTA FECHA DE FIRMA",IF(N($T239)=0,IF(AND(ISNUMBER($H239),$H239&gt;=DATE(2024,1,1)),"FALTA EN FIRMADAS","OK"),IF(OR($A239="Pendiente de presentación",$A239="Observado",$A239="En análisis",$A239="En instrucción",$A239="Suspendida",$A239="IT circulando",$A239="Para resolución",$A239="TDC"),"ABIERTA PERO ESTÁ EN FIRMADAS",IF($H239&lt;&gt;INDEX(firmadas!$F:$F,$T239),"FIRMA DISTINTA EN firmadas ("&amp;IF(INDEX(firmadas!$F:$F,$T239)="","vacía",DAY(INDEX(firmadas!$F:$F,$T239))&amp;"/"&amp;MONTH(INDEX(firmadas!$F:$F,$T239))&amp;"/"&amp;YEAR(INDEX(firmadas!$F:$F,$T239)))&amp;")",IF($G239&lt;&gt;INDEX(firmadas!$E:$E,$T239),"INGRESO DISTINTO EN firmadas ("&amp;IF(INDEX(firmadas!$E:$E,$T239)="","vacía",DAY(INDEX(firmadas!$E:$E,$T239))&amp;"/"&amp;MONTH(INDEX(firmadas!$E:$E,$T239))&amp;"/"&amp;YEAR(INDEX(firmadas!$E:$E,$T239)))&amp;")","OK"))))))))</f>
        <v/>
      </c>
      <c r="T239" t="str">
        <f ca="1">IF($P239="","",IFERROR(MATCH($P239,firmadas!$N:$N,0),IFERROR(MATCH("*/"&amp;MID($P239,FIND(" ",$P239)+1,9)&amp;"*",firmadas!$B:$B,0),0)))</f>
        <v/>
      </c>
    </row>
    <row r="240" spans="1:20" ht="15" customHeight="1" x14ac:dyDescent="0.25">
      <c r="F240" s="16"/>
      <c r="M240" s="53"/>
      <c r="N240" s="53" t="str">
        <f t="shared" ca="1" si="3"/>
        <v/>
      </c>
      <c r="P240" t="str">
        <f ca="1">IF(TRIM(SUBSTITUTE(($C240&amp;" "&amp;$D240),CHAR(160)," "))="","",IFERROR(IF(ISNUMBER(SEARCH("INC",($C240&amp;" "&amp;$D240))),"INC",IF(ISNUMBER(SEARCH("OPI",($C240&amp;" "&amp;$D240))),"OPI",IF(ISNUMBER(SEARCH("DP",($C240&amp;" "&amp;$D240))),"DP","CONC")))&amp;" "&amp;TEXT(LOOKUP(9.99E+307,--MID(SUBSTITUTE(($C240&amp;" "&amp;$D240),CHAR(160)," "),SUMPRODUCT(MIN(FIND({0,1,2,3,4,5,6,7,8,9},SUBSTITUTE(($C240&amp;" "&amp;$D240),CHAR(160)," ")&amp;"0123456789"))),ROW(INDIRECT("1:6")))),"0"),"SIN NUMERO"))</f>
        <v/>
      </c>
      <c r="Q240" t="str">
        <f ca="1">IF($P240="","",IF(LEFT(UPPER($S240),9)="VERIFICAR","VERIFICAR",IF($A240="","SIN ESTADO",IF(AND($A240="Firmada",$H240=""),"FALTA FECHA DE FIRMA",IF(N($T240)=0,IF(AND(ISNUMBER($H240),$H240&gt;=DATE(2024,1,1)),"FALTA EN FIRMADAS","OK"),IF(OR($A240="Pendiente de presentación",$A240="Observado",$A240="En análisis",$A240="En instrucción",$A240="Suspendida",$A240="IT circulando",$A240="Para resolución",$A240="TDC"),"ABIERTA PERO ESTÁ EN FIRMADAS",IF($H240&lt;&gt;INDEX(firmadas!$F:$F,$T240),"FIRMA DISTINTA EN firmadas ("&amp;IF(INDEX(firmadas!$F:$F,$T240)="","vacía",DAY(INDEX(firmadas!$F:$F,$T240))&amp;"/"&amp;MONTH(INDEX(firmadas!$F:$F,$T240))&amp;"/"&amp;YEAR(INDEX(firmadas!$F:$F,$T240)))&amp;")",IF($G240&lt;&gt;INDEX(firmadas!$E:$E,$T240),"INGRESO DISTINTO EN firmadas ("&amp;IF(INDEX(firmadas!$E:$E,$T240)="","vacía",DAY(INDEX(firmadas!$E:$E,$T240))&amp;"/"&amp;MONTH(INDEX(firmadas!$E:$E,$T240))&amp;"/"&amp;YEAR(INDEX(firmadas!$E:$E,$T240)))&amp;")","OK"))))))))</f>
        <v/>
      </c>
      <c r="T240" t="str">
        <f ca="1">IF($P240="","",IFERROR(MATCH($P240,firmadas!$N:$N,0),IFERROR(MATCH("*/"&amp;MID($P240,FIND(" ",$P240)+1,9)&amp;"*",firmadas!$B:$B,0),0)))</f>
        <v/>
      </c>
    </row>
    <row r="241" spans="6:20" ht="15" customHeight="1" x14ac:dyDescent="0.25">
      <c r="F241" s="16"/>
      <c r="M241" s="53"/>
      <c r="N241" s="53" t="str">
        <f t="shared" ca="1" si="3"/>
        <v/>
      </c>
      <c r="P241" t="str">
        <f ca="1">IF(TRIM(SUBSTITUTE(($C241&amp;" "&amp;$D241),CHAR(160)," "))="","",IFERROR(IF(ISNUMBER(SEARCH("INC",($C241&amp;" "&amp;$D241))),"INC",IF(ISNUMBER(SEARCH("OPI",($C241&amp;" "&amp;$D241))),"OPI",IF(ISNUMBER(SEARCH("DP",($C241&amp;" "&amp;$D241))),"DP","CONC")))&amp;" "&amp;TEXT(LOOKUP(9.99E+307,--MID(SUBSTITUTE(($C241&amp;" "&amp;$D241),CHAR(160)," "),SUMPRODUCT(MIN(FIND({0,1,2,3,4,5,6,7,8,9},SUBSTITUTE(($C241&amp;" "&amp;$D241),CHAR(160)," ")&amp;"0123456789"))),ROW(INDIRECT("1:6")))),"0"),"SIN NUMERO"))</f>
        <v/>
      </c>
      <c r="Q241" t="str">
        <f ca="1">IF($P241="","",IF(LEFT(UPPER($S241),9)="VERIFICAR","VERIFICAR",IF($A241="","SIN ESTADO",IF(AND($A241="Firmada",$H241=""),"FALTA FECHA DE FIRMA",IF(N($T241)=0,IF(AND(ISNUMBER($H241),$H241&gt;=DATE(2024,1,1)),"FALTA EN FIRMADAS","OK"),IF(OR($A241="Pendiente de presentación",$A241="Observado",$A241="En análisis",$A241="En instrucción",$A241="Suspendida",$A241="IT circulando",$A241="Para resolución",$A241="TDC"),"ABIERTA PERO ESTÁ EN FIRMADAS",IF($H241&lt;&gt;INDEX(firmadas!$F:$F,$T241),"FIRMA DISTINTA EN firmadas ("&amp;IF(INDEX(firmadas!$F:$F,$T241)="","vacía",DAY(INDEX(firmadas!$F:$F,$T241))&amp;"/"&amp;MONTH(INDEX(firmadas!$F:$F,$T241))&amp;"/"&amp;YEAR(INDEX(firmadas!$F:$F,$T241)))&amp;")",IF($G241&lt;&gt;INDEX(firmadas!$E:$E,$T241),"INGRESO DISTINTO EN firmadas ("&amp;IF(INDEX(firmadas!$E:$E,$T241)="","vacía",DAY(INDEX(firmadas!$E:$E,$T241))&amp;"/"&amp;MONTH(INDEX(firmadas!$E:$E,$T241))&amp;"/"&amp;YEAR(INDEX(firmadas!$E:$E,$T241)))&amp;")","OK"))))))))</f>
        <v/>
      </c>
      <c r="T241" t="str">
        <f ca="1">IF($P241="","",IFERROR(MATCH($P241,firmadas!$N:$N,0),IFERROR(MATCH("*/"&amp;MID($P241,FIND(" ",$P241)+1,9)&amp;"*",firmadas!$B:$B,0),0)))</f>
        <v/>
      </c>
    </row>
    <row r="242" spans="6:20" ht="15" customHeight="1" x14ac:dyDescent="0.25">
      <c r="F242" s="16"/>
      <c r="M242" s="53"/>
      <c r="N242" s="53" t="str">
        <f t="shared" ca="1" si="3"/>
        <v/>
      </c>
      <c r="P242" t="str">
        <f ca="1">IF(TRIM(SUBSTITUTE(($C242&amp;" "&amp;$D242),CHAR(160)," "))="","",IFERROR(IF(ISNUMBER(SEARCH("INC",($C242&amp;" "&amp;$D242))),"INC",IF(ISNUMBER(SEARCH("OPI",($C242&amp;" "&amp;$D242))),"OPI",IF(ISNUMBER(SEARCH("DP",($C242&amp;" "&amp;$D242))),"DP","CONC")))&amp;" "&amp;TEXT(LOOKUP(9.99E+307,--MID(SUBSTITUTE(($C242&amp;" "&amp;$D242),CHAR(160)," "),SUMPRODUCT(MIN(FIND({0,1,2,3,4,5,6,7,8,9},SUBSTITUTE(($C242&amp;" "&amp;$D242),CHAR(160)," ")&amp;"0123456789"))),ROW(INDIRECT("1:6")))),"0"),"SIN NUMERO"))</f>
        <v/>
      </c>
      <c r="Q242" t="str">
        <f ca="1">IF($P242="","",IF(LEFT(UPPER($S242),9)="VERIFICAR","VERIFICAR",IF($A242="","SIN ESTADO",IF(AND($A242="Firmada",$H242=""),"FALTA FECHA DE FIRMA",IF(N($T242)=0,IF(AND(ISNUMBER($H242),$H242&gt;=DATE(2024,1,1)),"FALTA EN FIRMADAS","OK"),IF(OR($A242="Pendiente de presentación",$A242="Observado",$A242="En análisis",$A242="En instrucción",$A242="Suspendida",$A242="IT circulando",$A242="Para resolución",$A242="TDC"),"ABIERTA PERO ESTÁ EN FIRMADAS",IF($H242&lt;&gt;INDEX(firmadas!$F:$F,$T242),"FIRMA DISTINTA EN firmadas ("&amp;IF(INDEX(firmadas!$F:$F,$T242)="","vacía",DAY(INDEX(firmadas!$F:$F,$T242))&amp;"/"&amp;MONTH(INDEX(firmadas!$F:$F,$T242))&amp;"/"&amp;YEAR(INDEX(firmadas!$F:$F,$T242)))&amp;")",IF($G242&lt;&gt;INDEX(firmadas!$E:$E,$T242),"INGRESO DISTINTO EN firmadas ("&amp;IF(INDEX(firmadas!$E:$E,$T242)="","vacía",DAY(INDEX(firmadas!$E:$E,$T242))&amp;"/"&amp;MONTH(INDEX(firmadas!$E:$E,$T242))&amp;"/"&amp;YEAR(INDEX(firmadas!$E:$E,$T242)))&amp;")","OK"))))))))</f>
        <v/>
      </c>
      <c r="T242" t="str">
        <f ca="1">IF($P242="","",IFERROR(MATCH($P242,firmadas!$N:$N,0),IFERROR(MATCH("*/"&amp;MID($P242,FIND(" ",$P242)+1,9)&amp;"*",firmadas!$B:$B,0),0)))</f>
        <v/>
      </c>
    </row>
    <row r="243" spans="6:20" ht="15" customHeight="1" x14ac:dyDescent="0.25">
      <c r="F243" s="16"/>
      <c r="M243" s="53"/>
      <c r="N243" s="53" t="str">
        <f t="shared" ca="1" si="3"/>
        <v/>
      </c>
      <c r="P243" t="str">
        <f ca="1">IF(TRIM(SUBSTITUTE(($C243&amp;" "&amp;$D243),CHAR(160)," "))="","",IFERROR(IF(ISNUMBER(SEARCH("INC",($C243&amp;" "&amp;$D243))),"INC",IF(ISNUMBER(SEARCH("OPI",($C243&amp;" "&amp;$D243))),"OPI",IF(ISNUMBER(SEARCH("DP",($C243&amp;" "&amp;$D243))),"DP","CONC")))&amp;" "&amp;TEXT(LOOKUP(9.99E+307,--MID(SUBSTITUTE(($C243&amp;" "&amp;$D243),CHAR(160)," "),SUMPRODUCT(MIN(FIND({0,1,2,3,4,5,6,7,8,9},SUBSTITUTE(($C243&amp;" "&amp;$D243),CHAR(160)," ")&amp;"0123456789"))),ROW(INDIRECT("1:6")))),"0"),"SIN NUMERO"))</f>
        <v/>
      </c>
      <c r="Q243" t="str">
        <f ca="1">IF($P243="","",IF(LEFT(UPPER($S243),9)="VERIFICAR","VERIFICAR",IF($A243="","SIN ESTADO",IF(AND($A243="Firmada",$H243=""),"FALTA FECHA DE FIRMA",IF(N($T243)=0,IF(AND(ISNUMBER($H243),$H243&gt;=DATE(2024,1,1)),"FALTA EN FIRMADAS","OK"),IF(OR($A243="Pendiente de presentación",$A243="Observado",$A243="En análisis",$A243="En instrucción",$A243="Suspendida",$A243="IT circulando",$A243="Para resolución",$A243="TDC"),"ABIERTA PERO ESTÁ EN FIRMADAS",IF($H243&lt;&gt;INDEX(firmadas!$F:$F,$T243),"FIRMA DISTINTA EN firmadas ("&amp;IF(INDEX(firmadas!$F:$F,$T243)="","vacía",DAY(INDEX(firmadas!$F:$F,$T243))&amp;"/"&amp;MONTH(INDEX(firmadas!$F:$F,$T243))&amp;"/"&amp;YEAR(INDEX(firmadas!$F:$F,$T243)))&amp;")",IF($G243&lt;&gt;INDEX(firmadas!$E:$E,$T243),"INGRESO DISTINTO EN firmadas ("&amp;IF(INDEX(firmadas!$E:$E,$T243)="","vacía",DAY(INDEX(firmadas!$E:$E,$T243))&amp;"/"&amp;MONTH(INDEX(firmadas!$E:$E,$T243))&amp;"/"&amp;YEAR(INDEX(firmadas!$E:$E,$T243)))&amp;")","OK"))))))))</f>
        <v/>
      </c>
      <c r="T243" t="str">
        <f ca="1">IF($P243="","",IFERROR(MATCH($P243,firmadas!$N:$N,0),IFERROR(MATCH("*/"&amp;MID($P243,FIND(" ",$P243)+1,9)&amp;"*",firmadas!$B:$B,0),0)))</f>
        <v/>
      </c>
    </row>
    <row r="244" spans="6:20" ht="15" customHeight="1" x14ac:dyDescent="0.25">
      <c r="F244" s="16"/>
      <c r="M244" s="53"/>
      <c r="N244" s="53" t="str">
        <f t="shared" ca="1" si="3"/>
        <v/>
      </c>
      <c r="P244" t="str">
        <f ca="1">IF(TRIM(SUBSTITUTE(($C244&amp;" "&amp;$D244),CHAR(160)," "))="","",IFERROR(IF(ISNUMBER(SEARCH("INC",($C244&amp;" "&amp;$D244))),"INC",IF(ISNUMBER(SEARCH("OPI",($C244&amp;" "&amp;$D244))),"OPI",IF(ISNUMBER(SEARCH("DP",($C244&amp;" "&amp;$D244))),"DP","CONC")))&amp;" "&amp;TEXT(LOOKUP(9.99E+307,--MID(SUBSTITUTE(($C244&amp;" "&amp;$D244),CHAR(160)," "),SUMPRODUCT(MIN(FIND({0,1,2,3,4,5,6,7,8,9},SUBSTITUTE(($C244&amp;" "&amp;$D244),CHAR(160)," ")&amp;"0123456789"))),ROW(INDIRECT("1:6")))),"0"),"SIN NUMERO"))</f>
        <v/>
      </c>
      <c r="Q244" t="str">
        <f ca="1">IF($P244="","",IF(LEFT(UPPER($S244),9)="VERIFICAR","VERIFICAR",IF($A244="","SIN ESTADO",IF(AND($A244="Firmada",$H244=""),"FALTA FECHA DE FIRMA",IF(N($T244)=0,IF(AND(ISNUMBER($H244),$H244&gt;=DATE(2024,1,1)),"FALTA EN FIRMADAS","OK"),IF(OR($A244="Pendiente de presentación",$A244="Observado",$A244="En análisis",$A244="En instrucción",$A244="Suspendida",$A244="IT circulando",$A244="Para resolución",$A244="TDC"),"ABIERTA PERO ESTÁ EN FIRMADAS",IF($H244&lt;&gt;INDEX(firmadas!$F:$F,$T244),"FIRMA DISTINTA EN firmadas ("&amp;IF(INDEX(firmadas!$F:$F,$T244)="","vacía",DAY(INDEX(firmadas!$F:$F,$T244))&amp;"/"&amp;MONTH(INDEX(firmadas!$F:$F,$T244))&amp;"/"&amp;YEAR(INDEX(firmadas!$F:$F,$T244)))&amp;")",IF($G244&lt;&gt;INDEX(firmadas!$E:$E,$T244),"INGRESO DISTINTO EN firmadas ("&amp;IF(INDEX(firmadas!$E:$E,$T244)="","vacía",DAY(INDEX(firmadas!$E:$E,$T244))&amp;"/"&amp;MONTH(INDEX(firmadas!$E:$E,$T244))&amp;"/"&amp;YEAR(INDEX(firmadas!$E:$E,$T244)))&amp;")","OK"))))))))</f>
        <v/>
      </c>
      <c r="T244" t="str">
        <f ca="1">IF($P244="","",IFERROR(MATCH($P244,firmadas!$N:$N,0),IFERROR(MATCH("*/"&amp;MID($P244,FIND(" ",$P244)+1,9)&amp;"*",firmadas!$B:$B,0),0)))</f>
        <v/>
      </c>
    </row>
    <row r="245" spans="6:20" ht="15" customHeight="1" x14ac:dyDescent="0.25">
      <c r="F245" s="16"/>
      <c r="M245" s="53"/>
      <c r="N245" s="53" t="str">
        <f t="shared" ca="1" si="3"/>
        <v/>
      </c>
      <c r="P245" t="str">
        <f ca="1">IF(TRIM(SUBSTITUTE(($C245&amp;" "&amp;$D245),CHAR(160)," "))="","",IFERROR(IF(ISNUMBER(SEARCH("INC",($C245&amp;" "&amp;$D245))),"INC",IF(ISNUMBER(SEARCH("OPI",($C245&amp;" "&amp;$D245))),"OPI",IF(ISNUMBER(SEARCH("DP",($C245&amp;" "&amp;$D245))),"DP","CONC")))&amp;" "&amp;TEXT(LOOKUP(9.99E+307,--MID(SUBSTITUTE(($C245&amp;" "&amp;$D245),CHAR(160)," "),SUMPRODUCT(MIN(FIND({0,1,2,3,4,5,6,7,8,9},SUBSTITUTE(($C245&amp;" "&amp;$D245),CHAR(160)," ")&amp;"0123456789"))),ROW(INDIRECT("1:6")))),"0"),"SIN NUMERO"))</f>
        <v/>
      </c>
      <c r="Q245" t="str">
        <f ca="1">IF($P245="","",IF(LEFT(UPPER($S245),9)="VERIFICAR","VERIFICAR",IF($A245="","SIN ESTADO",IF(AND($A245="Firmada",$H245=""),"FALTA FECHA DE FIRMA",IF(N($T245)=0,IF(AND(ISNUMBER($H245),$H245&gt;=DATE(2024,1,1)),"FALTA EN FIRMADAS","OK"),IF(OR($A245="Pendiente de presentación",$A245="Observado",$A245="En análisis",$A245="En instrucción",$A245="Suspendida",$A245="IT circulando",$A245="Para resolución",$A245="TDC"),"ABIERTA PERO ESTÁ EN FIRMADAS",IF($H245&lt;&gt;INDEX(firmadas!$F:$F,$T245),"FIRMA DISTINTA EN firmadas ("&amp;IF(INDEX(firmadas!$F:$F,$T245)="","vacía",DAY(INDEX(firmadas!$F:$F,$T245))&amp;"/"&amp;MONTH(INDEX(firmadas!$F:$F,$T245))&amp;"/"&amp;YEAR(INDEX(firmadas!$F:$F,$T245)))&amp;")",IF($G245&lt;&gt;INDEX(firmadas!$E:$E,$T245),"INGRESO DISTINTO EN firmadas ("&amp;IF(INDEX(firmadas!$E:$E,$T245)="","vacía",DAY(INDEX(firmadas!$E:$E,$T245))&amp;"/"&amp;MONTH(INDEX(firmadas!$E:$E,$T245))&amp;"/"&amp;YEAR(INDEX(firmadas!$E:$E,$T245)))&amp;")","OK"))))))))</f>
        <v/>
      </c>
      <c r="T245" t="str">
        <f ca="1">IF($P245="","",IFERROR(MATCH($P245,firmadas!$N:$N,0),IFERROR(MATCH("*/"&amp;MID($P245,FIND(" ",$P245)+1,9)&amp;"*",firmadas!$B:$B,0),0)))</f>
        <v/>
      </c>
    </row>
    <row r="246" spans="6:20" ht="15" customHeight="1" x14ac:dyDescent="0.25">
      <c r="F246" s="16"/>
      <c r="M246" s="53"/>
      <c r="N246" s="53" t="str">
        <f t="shared" ca="1" si="3"/>
        <v/>
      </c>
      <c r="P246" t="str">
        <f ca="1">IF(TRIM(SUBSTITUTE(($C246&amp;" "&amp;$D246),CHAR(160)," "))="","",IFERROR(IF(ISNUMBER(SEARCH("INC",($C246&amp;" "&amp;$D246))),"INC",IF(ISNUMBER(SEARCH("OPI",($C246&amp;" "&amp;$D246))),"OPI",IF(ISNUMBER(SEARCH("DP",($C246&amp;" "&amp;$D246))),"DP","CONC")))&amp;" "&amp;TEXT(LOOKUP(9.99E+307,--MID(SUBSTITUTE(($C246&amp;" "&amp;$D246),CHAR(160)," "),SUMPRODUCT(MIN(FIND({0,1,2,3,4,5,6,7,8,9},SUBSTITUTE(($C246&amp;" "&amp;$D246),CHAR(160)," ")&amp;"0123456789"))),ROW(INDIRECT("1:6")))),"0"),"SIN NUMERO"))</f>
        <v/>
      </c>
      <c r="Q246" t="str">
        <f ca="1">IF($P246="","",IF(LEFT(UPPER($S246),9)="VERIFICAR","VERIFICAR",IF($A246="","SIN ESTADO",IF(AND($A246="Firmada",$H246=""),"FALTA FECHA DE FIRMA",IF(N($T246)=0,IF(AND(ISNUMBER($H246),$H246&gt;=DATE(2024,1,1)),"FALTA EN FIRMADAS","OK"),IF(OR($A246="Pendiente de presentación",$A246="Observado",$A246="En análisis",$A246="En instrucción",$A246="Suspendida",$A246="IT circulando",$A246="Para resolución",$A246="TDC"),"ABIERTA PERO ESTÁ EN FIRMADAS",IF($H246&lt;&gt;INDEX(firmadas!$F:$F,$T246),"FIRMA DISTINTA EN firmadas ("&amp;IF(INDEX(firmadas!$F:$F,$T246)="","vacía",DAY(INDEX(firmadas!$F:$F,$T246))&amp;"/"&amp;MONTH(INDEX(firmadas!$F:$F,$T246))&amp;"/"&amp;YEAR(INDEX(firmadas!$F:$F,$T246)))&amp;")",IF($G246&lt;&gt;INDEX(firmadas!$E:$E,$T246),"INGRESO DISTINTO EN firmadas ("&amp;IF(INDEX(firmadas!$E:$E,$T246)="","vacía",DAY(INDEX(firmadas!$E:$E,$T246))&amp;"/"&amp;MONTH(INDEX(firmadas!$E:$E,$T246))&amp;"/"&amp;YEAR(INDEX(firmadas!$E:$E,$T246)))&amp;")","OK"))))))))</f>
        <v/>
      </c>
      <c r="T246" t="str">
        <f ca="1">IF($P246="","",IFERROR(MATCH($P246,firmadas!$N:$N,0),IFERROR(MATCH("*/"&amp;MID($P246,FIND(" ",$P246)+1,9)&amp;"*",firmadas!$B:$B,0),0)))</f>
        <v/>
      </c>
    </row>
    <row r="247" spans="6:20" ht="15" customHeight="1" x14ac:dyDescent="0.25">
      <c r="F247" s="16"/>
      <c r="M247" s="53"/>
      <c r="N247" s="53" t="str">
        <f t="shared" ca="1" si="3"/>
        <v/>
      </c>
      <c r="P247" t="str">
        <f ca="1">IF(TRIM(SUBSTITUTE(($C247&amp;" "&amp;$D247),CHAR(160)," "))="","",IFERROR(IF(ISNUMBER(SEARCH("INC",($C247&amp;" "&amp;$D247))),"INC",IF(ISNUMBER(SEARCH("OPI",($C247&amp;" "&amp;$D247))),"OPI",IF(ISNUMBER(SEARCH("DP",($C247&amp;" "&amp;$D247))),"DP","CONC")))&amp;" "&amp;TEXT(LOOKUP(9.99E+307,--MID(SUBSTITUTE(($C247&amp;" "&amp;$D247),CHAR(160)," "),SUMPRODUCT(MIN(FIND({0,1,2,3,4,5,6,7,8,9},SUBSTITUTE(($C247&amp;" "&amp;$D247),CHAR(160)," ")&amp;"0123456789"))),ROW(INDIRECT("1:6")))),"0"),"SIN NUMERO"))</f>
        <v/>
      </c>
      <c r="Q247" t="str">
        <f ca="1">IF($P247="","",IF(LEFT(UPPER($S247),9)="VERIFICAR","VERIFICAR",IF($A247="","SIN ESTADO",IF(AND($A247="Firmada",$H247=""),"FALTA FECHA DE FIRMA",IF(N($T247)=0,IF(AND(ISNUMBER($H247),$H247&gt;=DATE(2024,1,1)),"FALTA EN FIRMADAS","OK"),IF(OR($A247="Pendiente de presentación",$A247="Observado",$A247="En análisis",$A247="En instrucción",$A247="Suspendida",$A247="IT circulando",$A247="Para resolución",$A247="TDC"),"ABIERTA PERO ESTÁ EN FIRMADAS",IF($H247&lt;&gt;INDEX(firmadas!$F:$F,$T247),"FIRMA DISTINTA EN firmadas ("&amp;IF(INDEX(firmadas!$F:$F,$T247)="","vacía",DAY(INDEX(firmadas!$F:$F,$T247))&amp;"/"&amp;MONTH(INDEX(firmadas!$F:$F,$T247))&amp;"/"&amp;YEAR(INDEX(firmadas!$F:$F,$T247)))&amp;")",IF($G247&lt;&gt;INDEX(firmadas!$E:$E,$T247),"INGRESO DISTINTO EN firmadas ("&amp;IF(INDEX(firmadas!$E:$E,$T247)="","vacía",DAY(INDEX(firmadas!$E:$E,$T247))&amp;"/"&amp;MONTH(INDEX(firmadas!$E:$E,$T247))&amp;"/"&amp;YEAR(INDEX(firmadas!$E:$E,$T247)))&amp;")","OK"))))))))</f>
        <v/>
      </c>
      <c r="T247" t="str">
        <f ca="1">IF($P247="","",IFERROR(MATCH($P247,firmadas!$N:$N,0),IFERROR(MATCH("*/"&amp;MID($P247,FIND(" ",$P247)+1,9)&amp;"*",firmadas!$B:$B,0),0)))</f>
        <v/>
      </c>
    </row>
    <row r="248" spans="6:20" ht="15" customHeight="1" x14ac:dyDescent="0.25">
      <c r="F248" s="16"/>
      <c r="M248" s="53"/>
      <c r="N248" s="53" t="str">
        <f t="shared" ca="1" si="3"/>
        <v/>
      </c>
      <c r="P248" t="str">
        <f ca="1">IF(TRIM(SUBSTITUTE(($C248&amp;" "&amp;$D248),CHAR(160)," "))="","",IFERROR(IF(ISNUMBER(SEARCH("INC",($C248&amp;" "&amp;$D248))),"INC",IF(ISNUMBER(SEARCH("OPI",($C248&amp;" "&amp;$D248))),"OPI",IF(ISNUMBER(SEARCH("DP",($C248&amp;" "&amp;$D248))),"DP","CONC")))&amp;" "&amp;TEXT(LOOKUP(9.99E+307,--MID(SUBSTITUTE(($C248&amp;" "&amp;$D248),CHAR(160)," "),SUMPRODUCT(MIN(FIND({0,1,2,3,4,5,6,7,8,9},SUBSTITUTE(($C248&amp;" "&amp;$D248),CHAR(160)," ")&amp;"0123456789"))),ROW(INDIRECT("1:6")))),"0"),"SIN NUMERO"))</f>
        <v/>
      </c>
      <c r="Q248" t="str">
        <f ca="1">IF($P248="","",IF(LEFT(UPPER($S248),9)="VERIFICAR","VERIFICAR",IF($A248="","SIN ESTADO",IF(AND($A248="Firmada",$H248=""),"FALTA FECHA DE FIRMA",IF(N($T248)=0,IF(AND(ISNUMBER($H248),$H248&gt;=DATE(2024,1,1)),"FALTA EN FIRMADAS","OK"),IF(OR($A248="Pendiente de presentación",$A248="Observado",$A248="En análisis",$A248="En instrucción",$A248="Suspendida",$A248="IT circulando",$A248="Para resolución",$A248="TDC"),"ABIERTA PERO ESTÁ EN FIRMADAS",IF($H248&lt;&gt;INDEX(firmadas!$F:$F,$T248),"FIRMA DISTINTA EN firmadas ("&amp;IF(INDEX(firmadas!$F:$F,$T248)="","vacía",DAY(INDEX(firmadas!$F:$F,$T248))&amp;"/"&amp;MONTH(INDEX(firmadas!$F:$F,$T248))&amp;"/"&amp;YEAR(INDEX(firmadas!$F:$F,$T248)))&amp;")",IF($G248&lt;&gt;INDEX(firmadas!$E:$E,$T248),"INGRESO DISTINTO EN firmadas ("&amp;IF(INDEX(firmadas!$E:$E,$T248)="","vacía",DAY(INDEX(firmadas!$E:$E,$T248))&amp;"/"&amp;MONTH(INDEX(firmadas!$E:$E,$T248))&amp;"/"&amp;YEAR(INDEX(firmadas!$E:$E,$T248)))&amp;")","OK"))))))))</f>
        <v/>
      </c>
      <c r="T248" t="str">
        <f ca="1">IF($P248="","",IFERROR(MATCH($P248,firmadas!$N:$N,0),IFERROR(MATCH("*/"&amp;MID($P248,FIND(" ",$P248)+1,9)&amp;"*",firmadas!$B:$B,0),0)))</f>
        <v/>
      </c>
    </row>
    <row r="249" spans="6:20" ht="15" customHeight="1" x14ac:dyDescent="0.25">
      <c r="F249" s="16"/>
      <c r="M249" s="53"/>
      <c r="N249" s="53" t="str">
        <f t="shared" ca="1" si="3"/>
        <v/>
      </c>
      <c r="P249" t="str">
        <f ca="1">IF(TRIM(SUBSTITUTE(($C249&amp;" "&amp;$D249),CHAR(160)," "))="","",IFERROR(IF(ISNUMBER(SEARCH("INC",($C249&amp;" "&amp;$D249))),"INC",IF(ISNUMBER(SEARCH("OPI",($C249&amp;" "&amp;$D249))),"OPI",IF(ISNUMBER(SEARCH("DP",($C249&amp;" "&amp;$D249))),"DP","CONC")))&amp;" "&amp;TEXT(LOOKUP(9.99E+307,--MID(SUBSTITUTE(($C249&amp;" "&amp;$D249),CHAR(160)," "),SUMPRODUCT(MIN(FIND({0,1,2,3,4,5,6,7,8,9},SUBSTITUTE(($C249&amp;" "&amp;$D249),CHAR(160)," ")&amp;"0123456789"))),ROW(INDIRECT("1:6")))),"0"),"SIN NUMERO"))</f>
        <v/>
      </c>
      <c r="Q249" t="str">
        <f ca="1">IF($P249="","",IF(LEFT(UPPER($S249),9)="VERIFICAR","VERIFICAR",IF($A249="","SIN ESTADO",IF(AND($A249="Firmada",$H249=""),"FALTA FECHA DE FIRMA",IF(N($T249)=0,IF(AND(ISNUMBER($H249),$H249&gt;=DATE(2024,1,1)),"FALTA EN FIRMADAS","OK"),IF(OR($A249="Pendiente de presentación",$A249="Observado",$A249="En análisis",$A249="En instrucción",$A249="Suspendida",$A249="IT circulando",$A249="Para resolución",$A249="TDC"),"ABIERTA PERO ESTÁ EN FIRMADAS",IF($H249&lt;&gt;INDEX(firmadas!$F:$F,$T249),"FIRMA DISTINTA EN firmadas ("&amp;IF(INDEX(firmadas!$F:$F,$T249)="","vacía",DAY(INDEX(firmadas!$F:$F,$T249))&amp;"/"&amp;MONTH(INDEX(firmadas!$F:$F,$T249))&amp;"/"&amp;YEAR(INDEX(firmadas!$F:$F,$T249)))&amp;")",IF($G249&lt;&gt;INDEX(firmadas!$E:$E,$T249),"INGRESO DISTINTO EN firmadas ("&amp;IF(INDEX(firmadas!$E:$E,$T249)="","vacía",DAY(INDEX(firmadas!$E:$E,$T249))&amp;"/"&amp;MONTH(INDEX(firmadas!$E:$E,$T249))&amp;"/"&amp;YEAR(INDEX(firmadas!$E:$E,$T249)))&amp;")","OK"))))))))</f>
        <v/>
      </c>
      <c r="T249" t="str">
        <f ca="1">IF($P249="","",IFERROR(MATCH($P249,firmadas!$N:$N,0),IFERROR(MATCH("*/"&amp;MID($P249,FIND(" ",$P249)+1,9)&amp;"*",firmadas!$B:$B,0),0)))</f>
        <v/>
      </c>
    </row>
    <row r="250" spans="6:20" ht="15" customHeight="1" x14ac:dyDescent="0.25">
      <c r="F250" s="16"/>
      <c r="M250" s="53"/>
      <c r="N250" s="53" t="str">
        <f t="shared" ca="1" si="3"/>
        <v/>
      </c>
      <c r="P250" t="str">
        <f ca="1">IF(TRIM(SUBSTITUTE(($C250&amp;" "&amp;$D250),CHAR(160)," "))="","",IFERROR(IF(ISNUMBER(SEARCH("INC",($C250&amp;" "&amp;$D250))),"INC",IF(ISNUMBER(SEARCH("OPI",($C250&amp;" "&amp;$D250))),"OPI",IF(ISNUMBER(SEARCH("DP",($C250&amp;" "&amp;$D250))),"DP","CONC")))&amp;" "&amp;TEXT(LOOKUP(9.99E+307,--MID(SUBSTITUTE(($C250&amp;" "&amp;$D250),CHAR(160)," "),SUMPRODUCT(MIN(FIND({0,1,2,3,4,5,6,7,8,9},SUBSTITUTE(($C250&amp;" "&amp;$D250),CHAR(160)," ")&amp;"0123456789"))),ROW(INDIRECT("1:6")))),"0"),"SIN NUMERO"))</f>
        <v/>
      </c>
      <c r="Q250" t="str">
        <f ca="1">IF($P250="","",IF(LEFT(UPPER($S250),9)="VERIFICAR","VERIFICAR",IF($A250="","SIN ESTADO",IF(AND($A250="Firmada",$H250=""),"FALTA FECHA DE FIRMA",IF(N($T250)=0,IF(AND(ISNUMBER($H250),$H250&gt;=DATE(2024,1,1)),"FALTA EN FIRMADAS","OK"),IF(OR($A250="Pendiente de presentación",$A250="Observado",$A250="En análisis",$A250="En instrucción",$A250="Suspendida",$A250="IT circulando",$A250="Para resolución",$A250="TDC"),"ABIERTA PERO ESTÁ EN FIRMADAS",IF($H250&lt;&gt;INDEX(firmadas!$F:$F,$T250),"FIRMA DISTINTA EN firmadas ("&amp;IF(INDEX(firmadas!$F:$F,$T250)="","vacía",DAY(INDEX(firmadas!$F:$F,$T250))&amp;"/"&amp;MONTH(INDEX(firmadas!$F:$F,$T250))&amp;"/"&amp;YEAR(INDEX(firmadas!$F:$F,$T250)))&amp;")",IF($G250&lt;&gt;INDEX(firmadas!$E:$E,$T250),"INGRESO DISTINTO EN firmadas ("&amp;IF(INDEX(firmadas!$E:$E,$T250)="","vacía",DAY(INDEX(firmadas!$E:$E,$T250))&amp;"/"&amp;MONTH(INDEX(firmadas!$E:$E,$T250))&amp;"/"&amp;YEAR(INDEX(firmadas!$E:$E,$T250)))&amp;")","OK"))))))))</f>
        <v/>
      </c>
      <c r="T250" t="str">
        <f ca="1">IF($P250="","",IFERROR(MATCH($P250,firmadas!$N:$N,0),IFERROR(MATCH("*/"&amp;MID($P250,FIND(" ",$P250)+1,9)&amp;"*",firmadas!$B:$B,0),0)))</f>
        <v/>
      </c>
    </row>
    <row r="251" spans="6:20" ht="15" customHeight="1" x14ac:dyDescent="0.25">
      <c r="F251" s="16"/>
      <c r="M251" s="53"/>
      <c r="N251" s="53" t="str">
        <f t="shared" ca="1" si="3"/>
        <v/>
      </c>
      <c r="P251" t="str">
        <f ca="1">IF(TRIM(SUBSTITUTE(($C251&amp;" "&amp;$D251),CHAR(160)," "))="","",IFERROR(IF(ISNUMBER(SEARCH("INC",($C251&amp;" "&amp;$D251))),"INC",IF(ISNUMBER(SEARCH("OPI",($C251&amp;" "&amp;$D251))),"OPI",IF(ISNUMBER(SEARCH("DP",($C251&amp;" "&amp;$D251))),"DP","CONC")))&amp;" "&amp;TEXT(LOOKUP(9.99E+307,--MID(SUBSTITUTE(($C251&amp;" "&amp;$D251),CHAR(160)," "),SUMPRODUCT(MIN(FIND({0,1,2,3,4,5,6,7,8,9},SUBSTITUTE(($C251&amp;" "&amp;$D251),CHAR(160)," ")&amp;"0123456789"))),ROW(INDIRECT("1:6")))),"0"),"SIN NUMERO"))</f>
        <v/>
      </c>
      <c r="Q251" t="str">
        <f ca="1">IF($P251="","",IF(LEFT(UPPER($S251),9)="VERIFICAR","VERIFICAR",IF($A251="","SIN ESTADO",IF(AND($A251="Firmada",$H251=""),"FALTA FECHA DE FIRMA",IF(N($T251)=0,IF(AND(ISNUMBER($H251),$H251&gt;=DATE(2024,1,1)),"FALTA EN FIRMADAS","OK"),IF(OR($A251="Pendiente de presentación",$A251="Observado",$A251="En análisis",$A251="En instrucción",$A251="Suspendida",$A251="IT circulando",$A251="Para resolución",$A251="TDC"),"ABIERTA PERO ESTÁ EN FIRMADAS",IF($H251&lt;&gt;INDEX(firmadas!$F:$F,$T251),"FIRMA DISTINTA EN firmadas ("&amp;IF(INDEX(firmadas!$F:$F,$T251)="","vacía",DAY(INDEX(firmadas!$F:$F,$T251))&amp;"/"&amp;MONTH(INDEX(firmadas!$F:$F,$T251))&amp;"/"&amp;YEAR(INDEX(firmadas!$F:$F,$T251)))&amp;")",IF($G251&lt;&gt;INDEX(firmadas!$E:$E,$T251),"INGRESO DISTINTO EN firmadas ("&amp;IF(INDEX(firmadas!$E:$E,$T251)="","vacía",DAY(INDEX(firmadas!$E:$E,$T251))&amp;"/"&amp;MONTH(INDEX(firmadas!$E:$E,$T251))&amp;"/"&amp;YEAR(INDEX(firmadas!$E:$E,$T251)))&amp;")","OK"))))))))</f>
        <v/>
      </c>
      <c r="T251" t="str">
        <f ca="1">IF($P251="","",IFERROR(MATCH($P251,firmadas!$N:$N,0),IFERROR(MATCH("*/"&amp;MID($P251,FIND(" ",$P251)+1,9)&amp;"*",firmadas!$B:$B,0),0)))</f>
        <v/>
      </c>
    </row>
    <row r="252" spans="6:20" ht="15" customHeight="1" x14ac:dyDescent="0.25">
      <c r="F252" s="16"/>
      <c r="M252" s="53"/>
      <c r="N252" s="53" t="str">
        <f t="shared" ca="1" si="3"/>
        <v/>
      </c>
      <c r="P252" t="str">
        <f ca="1">IF(TRIM(SUBSTITUTE(($C252&amp;" "&amp;$D252),CHAR(160)," "))="","",IFERROR(IF(ISNUMBER(SEARCH("INC",($C252&amp;" "&amp;$D252))),"INC",IF(ISNUMBER(SEARCH("OPI",($C252&amp;" "&amp;$D252))),"OPI",IF(ISNUMBER(SEARCH("DP",($C252&amp;" "&amp;$D252))),"DP","CONC")))&amp;" "&amp;TEXT(LOOKUP(9.99E+307,--MID(SUBSTITUTE(($C252&amp;" "&amp;$D252),CHAR(160)," "),SUMPRODUCT(MIN(FIND({0,1,2,3,4,5,6,7,8,9},SUBSTITUTE(($C252&amp;" "&amp;$D252),CHAR(160)," ")&amp;"0123456789"))),ROW(INDIRECT("1:6")))),"0"),"SIN NUMERO"))</f>
        <v/>
      </c>
      <c r="Q252" t="str">
        <f ca="1">IF($P252="","",IF(LEFT(UPPER($S252),9)="VERIFICAR","VERIFICAR",IF($A252="","SIN ESTADO",IF(AND($A252="Firmada",$H252=""),"FALTA FECHA DE FIRMA",IF(N($T252)=0,IF(AND(ISNUMBER($H252),$H252&gt;=DATE(2024,1,1)),"FALTA EN FIRMADAS","OK"),IF(OR($A252="Pendiente de presentación",$A252="Observado",$A252="En análisis",$A252="En instrucción",$A252="Suspendida",$A252="IT circulando",$A252="Para resolución",$A252="TDC"),"ABIERTA PERO ESTÁ EN FIRMADAS",IF($H252&lt;&gt;INDEX(firmadas!$F:$F,$T252),"FIRMA DISTINTA EN firmadas ("&amp;IF(INDEX(firmadas!$F:$F,$T252)="","vacía",DAY(INDEX(firmadas!$F:$F,$T252))&amp;"/"&amp;MONTH(INDEX(firmadas!$F:$F,$T252))&amp;"/"&amp;YEAR(INDEX(firmadas!$F:$F,$T252)))&amp;")",IF($G252&lt;&gt;INDEX(firmadas!$E:$E,$T252),"INGRESO DISTINTO EN firmadas ("&amp;IF(INDEX(firmadas!$E:$E,$T252)="","vacía",DAY(INDEX(firmadas!$E:$E,$T252))&amp;"/"&amp;MONTH(INDEX(firmadas!$E:$E,$T252))&amp;"/"&amp;YEAR(INDEX(firmadas!$E:$E,$T252)))&amp;")","OK"))))))))</f>
        <v/>
      </c>
      <c r="T252" t="str">
        <f ca="1">IF($P252="","",IFERROR(MATCH($P252,firmadas!$N:$N,0),IFERROR(MATCH("*/"&amp;MID($P252,FIND(" ",$P252)+1,9)&amp;"*",firmadas!$B:$B,0),0)))</f>
        <v/>
      </c>
    </row>
    <row r="253" spans="6:20" ht="15" customHeight="1" x14ac:dyDescent="0.25">
      <c r="F253" s="16"/>
      <c r="M253" s="53"/>
      <c r="N253" s="53" t="str">
        <f t="shared" ca="1" si="3"/>
        <v/>
      </c>
      <c r="P253" t="str">
        <f ca="1">IF(TRIM(SUBSTITUTE(($C253&amp;" "&amp;$D253),CHAR(160)," "))="","",IFERROR(IF(ISNUMBER(SEARCH("INC",($C253&amp;" "&amp;$D253))),"INC",IF(ISNUMBER(SEARCH("OPI",($C253&amp;" "&amp;$D253))),"OPI",IF(ISNUMBER(SEARCH("DP",($C253&amp;" "&amp;$D253))),"DP","CONC")))&amp;" "&amp;TEXT(LOOKUP(9.99E+307,--MID(SUBSTITUTE(($C253&amp;" "&amp;$D253),CHAR(160)," "),SUMPRODUCT(MIN(FIND({0,1,2,3,4,5,6,7,8,9},SUBSTITUTE(($C253&amp;" "&amp;$D253),CHAR(160)," ")&amp;"0123456789"))),ROW(INDIRECT("1:6")))),"0"),"SIN NUMERO"))</f>
        <v/>
      </c>
      <c r="Q253" t="str">
        <f ca="1">IF($P253="","",IF(LEFT(UPPER($S253),9)="VERIFICAR","VERIFICAR",IF($A253="","SIN ESTADO",IF(AND($A253="Firmada",$H253=""),"FALTA FECHA DE FIRMA",IF(N($T253)=0,IF(AND(ISNUMBER($H253),$H253&gt;=DATE(2024,1,1)),"FALTA EN FIRMADAS","OK"),IF(OR($A253="Pendiente de presentación",$A253="Observado",$A253="En análisis",$A253="En instrucción",$A253="Suspendida",$A253="IT circulando",$A253="Para resolución",$A253="TDC"),"ABIERTA PERO ESTÁ EN FIRMADAS",IF($H253&lt;&gt;INDEX(firmadas!$F:$F,$T253),"FIRMA DISTINTA EN firmadas ("&amp;IF(INDEX(firmadas!$F:$F,$T253)="","vacía",DAY(INDEX(firmadas!$F:$F,$T253))&amp;"/"&amp;MONTH(INDEX(firmadas!$F:$F,$T253))&amp;"/"&amp;YEAR(INDEX(firmadas!$F:$F,$T253)))&amp;")",IF($G253&lt;&gt;INDEX(firmadas!$E:$E,$T253),"INGRESO DISTINTO EN firmadas ("&amp;IF(INDEX(firmadas!$E:$E,$T253)="","vacía",DAY(INDEX(firmadas!$E:$E,$T253))&amp;"/"&amp;MONTH(INDEX(firmadas!$E:$E,$T253))&amp;"/"&amp;YEAR(INDEX(firmadas!$E:$E,$T253)))&amp;")","OK"))))))))</f>
        <v/>
      </c>
      <c r="T253" t="str">
        <f ca="1">IF($P253="","",IFERROR(MATCH($P253,firmadas!$N:$N,0),IFERROR(MATCH("*/"&amp;MID($P253,FIND(" ",$P253)+1,9)&amp;"*",firmadas!$B:$B,0),0)))</f>
        <v/>
      </c>
    </row>
    <row r="254" spans="6:20" ht="15" customHeight="1" x14ac:dyDescent="0.25">
      <c r="F254" s="16"/>
      <c r="M254" s="53"/>
      <c r="N254" s="53" t="str">
        <f t="shared" ca="1" si="3"/>
        <v/>
      </c>
      <c r="P254" t="str">
        <f ca="1">IF(TRIM(SUBSTITUTE(($C254&amp;" "&amp;$D254),CHAR(160)," "))="","",IFERROR(IF(ISNUMBER(SEARCH("INC",($C254&amp;" "&amp;$D254))),"INC",IF(ISNUMBER(SEARCH("OPI",($C254&amp;" "&amp;$D254))),"OPI",IF(ISNUMBER(SEARCH("DP",($C254&amp;" "&amp;$D254))),"DP","CONC")))&amp;" "&amp;TEXT(LOOKUP(9.99E+307,--MID(SUBSTITUTE(($C254&amp;" "&amp;$D254),CHAR(160)," "),SUMPRODUCT(MIN(FIND({0,1,2,3,4,5,6,7,8,9},SUBSTITUTE(($C254&amp;" "&amp;$D254),CHAR(160)," ")&amp;"0123456789"))),ROW(INDIRECT("1:6")))),"0"),"SIN NUMERO"))</f>
        <v/>
      </c>
      <c r="Q254" t="str">
        <f ca="1">IF($P254="","",IF(LEFT(UPPER($S254),9)="VERIFICAR","VERIFICAR",IF($A254="","SIN ESTADO",IF(AND($A254="Firmada",$H254=""),"FALTA FECHA DE FIRMA",IF(N($T254)=0,IF(AND(ISNUMBER($H254),$H254&gt;=DATE(2024,1,1)),"FALTA EN FIRMADAS","OK"),IF(OR($A254="Pendiente de presentación",$A254="Observado",$A254="En análisis",$A254="En instrucción",$A254="Suspendida",$A254="IT circulando",$A254="Para resolución",$A254="TDC"),"ABIERTA PERO ESTÁ EN FIRMADAS",IF($H254&lt;&gt;INDEX(firmadas!$F:$F,$T254),"FIRMA DISTINTA EN firmadas ("&amp;IF(INDEX(firmadas!$F:$F,$T254)="","vacía",DAY(INDEX(firmadas!$F:$F,$T254))&amp;"/"&amp;MONTH(INDEX(firmadas!$F:$F,$T254))&amp;"/"&amp;YEAR(INDEX(firmadas!$F:$F,$T254)))&amp;")",IF($G254&lt;&gt;INDEX(firmadas!$E:$E,$T254),"INGRESO DISTINTO EN firmadas ("&amp;IF(INDEX(firmadas!$E:$E,$T254)="","vacía",DAY(INDEX(firmadas!$E:$E,$T254))&amp;"/"&amp;MONTH(INDEX(firmadas!$E:$E,$T254))&amp;"/"&amp;YEAR(INDEX(firmadas!$E:$E,$T254)))&amp;")","OK"))))))))</f>
        <v/>
      </c>
      <c r="T254" t="str">
        <f ca="1">IF($P254="","",IFERROR(MATCH($P254,firmadas!$N:$N,0),IFERROR(MATCH("*/"&amp;MID($P254,FIND(" ",$P254)+1,9)&amp;"*",firmadas!$B:$B,0),0)))</f>
        <v/>
      </c>
    </row>
    <row r="255" spans="6:20" ht="15" customHeight="1" x14ac:dyDescent="0.25">
      <c r="F255" s="16"/>
      <c r="M255" s="53"/>
      <c r="N255" s="53" t="str">
        <f t="shared" ca="1" si="3"/>
        <v/>
      </c>
      <c r="P255" t="str">
        <f ca="1">IF(TRIM(SUBSTITUTE(($C255&amp;" "&amp;$D255),CHAR(160)," "))="","",IFERROR(IF(ISNUMBER(SEARCH("INC",($C255&amp;" "&amp;$D255))),"INC",IF(ISNUMBER(SEARCH("OPI",($C255&amp;" "&amp;$D255))),"OPI",IF(ISNUMBER(SEARCH("DP",($C255&amp;" "&amp;$D255))),"DP","CONC")))&amp;" "&amp;TEXT(LOOKUP(9.99E+307,--MID(SUBSTITUTE(($C255&amp;" "&amp;$D255),CHAR(160)," "),SUMPRODUCT(MIN(FIND({0,1,2,3,4,5,6,7,8,9},SUBSTITUTE(($C255&amp;" "&amp;$D255),CHAR(160)," ")&amp;"0123456789"))),ROW(INDIRECT("1:6")))),"0"),"SIN NUMERO"))</f>
        <v/>
      </c>
      <c r="Q255" t="str">
        <f ca="1">IF($P255="","",IF(LEFT(UPPER($S255),9)="VERIFICAR","VERIFICAR",IF($A255="","SIN ESTADO",IF(AND($A255="Firmada",$H255=""),"FALTA FECHA DE FIRMA",IF(N($T255)=0,IF(AND(ISNUMBER($H255),$H255&gt;=DATE(2024,1,1)),"FALTA EN FIRMADAS","OK"),IF(OR($A255="Pendiente de presentación",$A255="Observado",$A255="En análisis",$A255="En instrucción",$A255="Suspendida",$A255="IT circulando",$A255="Para resolución",$A255="TDC"),"ABIERTA PERO ESTÁ EN FIRMADAS",IF($H255&lt;&gt;INDEX(firmadas!$F:$F,$T255),"FIRMA DISTINTA EN firmadas ("&amp;IF(INDEX(firmadas!$F:$F,$T255)="","vacía",DAY(INDEX(firmadas!$F:$F,$T255))&amp;"/"&amp;MONTH(INDEX(firmadas!$F:$F,$T255))&amp;"/"&amp;YEAR(INDEX(firmadas!$F:$F,$T255)))&amp;")",IF($G255&lt;&gt;INDEX(firmadas!$E:$E,$T255),"INGRESO DISTINTO EN firmadas ("&amp;IF(INDEX(firmadas!$E:$E,$T255)="","vacía",DAY(INDEX(firmadas!$E:$E,$T255))&amp;"/"&amp;MONTH(INDEX(firmadas!$E:$E,$T255))&amp;"/"&amp;YEAR(INDEX(firmadas!$E:$E,$T255)))&amp;")","OK"))))))))</f>
        <v/>
      </c>
      <c r="T255" t="str">
        <f ca="1">IF($P255="","",IFERROR(MATCH($P255,firmadas!$N:$N,0),IFERROR(MATCH("*/"&amp;MID($P255,FIND(" ",$P255)+1,9)&amp;"*",firmadas!$B:$B,0),0)))</f>
        <v/>
      </c>
    </row>
    <row r="256" spans="6:20" ht="15" customHeight="1" x14ac:dyDescent="0.25">
      <c r="F256" s="16"/>
      <c r="M256" s="53"/>
      <c r="N256" s="53" t="str">
        <f t="shared" ca="1" si="3"/>
        <v/>
      </c>
      <c r="P256" t="str">
        <f ca="1">IF(TRIM(SUBSTITUTE(($C256&amp;" "&amp;$D256),CHAR(160)," "))="","",IFERROR(IF(ISNUMBER(SEARCH("INC",($C256&amp;" "&amp;$D256))),"INC",IF(ISNUMBER(SEARCH("OPI",($C256&amp;" "&amp;$D256))),"OPI",IF(ISNUMBER(SEARCH("DP",($C256&amp;" "&amp;$D256))),"DP","CONC")))&amp;" "&amp;TEXT(LOOKUP(9.99E+307,--MID(SUBSTITUTE(($C256&amp;" "&amp;$D256),CHAR(160)," "),SUMPRODUCT(MIN(FIND({0,1,2,3,4,5,6,7,8,9},SUBSTITUTE(($C256&amp;" "&amp;$D256),CHAR(160)," ")&amp;"0123456789"))),ROW(INDIRECT("1:6")))),"0"),"SIN NUMERO"))</f>
        <v/>
      </c>
      <c r="Q256" t="str">
        <f ca="1">IF($P256="","",IF(LEFT(UPPER($S256),9)="VERIFICAR","VERIFICAR",IF($A256="","SIN ESTADO",IF(AND($A256="Firmada",$H256=""),"FALTA FECHA DE FIRMA",IF(N($T256)=0,IF(AND(ISNUMBER($H256),$H256&gt;=DATE(2024,1,1)),"FALTA EN FIRMADAS","OK"),IF(OR($A256="Pendiente de presentación",$A256="Observado",$A256="En análisis",$A256="En instrucción",$A256="Suspendida",$A256="IT circulando",$A256="Para resolución",$A256="TDC"),"ABIERTA PERO ESTÁ EN FIRMADAS",IF($H256&lt;&gt;INDEX(firmadas!$F:$F,$T256),"FIRMA DISTINTA EN firmadas ("&amp;IF(INDEX(firmadas!$F:$F,$T256)="","vacía",DAY(INDEX(firmadas!$F:$F,$T256))&amp;"/"&amp;MONTH(INDEX(firmadas!$F:$F,$T256))&amp;"/"&amp;YEAR(INDEX(firmadas!$F:$F,$T256)))&amp;")",IF($G256&lt;&gt;INDEX(firmadas!$E:$E,$T256),"INGRESO DISTINTO EN firmadas ("&amp;IF(INDEX(firmadas!$E:$E,$T256)="","vacía",DAY(INDEX(firmadas!$E:$E,$T256))&amp;"/"&amp;MONTH(INDEX(firmadas!$E:$E,$T256))&amp;"/"&amp;YEAR(INDEX(firmadas!$E:$E,$T256)))&amp;")","OK"))))))))</f>
        <v/>
      </c>
      <c r="T256" t="str">
        <f ca="1">IF($P256="","",IFERROR(MATCH($P256,firmadas!$N:$N,0),IFERROR(MATCH("*/"&amp;MID($P256,FIND(" ",$P256)+1,9)&amp;"*",firmadas!$B:$B,0),0)))</f>
        <v/>
      </c>
    </row>
    <row r="257" spans="6:20" ht="15" customHeight="1" x14ac:dyDescent="0.25">
      <c r="F257" s="16"/>
      <c r="M257" s="53"/>
      <c r="N257" s="53" t="str">
        <f t="shared" ca="1" si="3"/>
        <v/>
      </c>
      <c r="P257" t="str">
        <f ca="1">IF(TRIM(SUBSTITUTE(($C257&amp;" "&amp;$D257),CHAR(160)," "))="","",IFERROR(IF(ISNUMBER(SEARCH("INC",($C257&amp;" "&amp;$D257))),"INC",IF(ISNUMBER(SEARCH("OPI",($C257&amp;" "&amp;$D257))),"OPI",IF(ISNUMBER(SEARCH("DP",($C257&amp;" "&amp;$D257))),"DP","CONC")))&amp;" "&amp;TEXT(LOOKUP(9.99E+307,--MID(SUBSTITUTE(($C257&amp;" "&amp;$D257),CHAR(160)," "),SUMPRODUCT(MIN(FIND({0,1,2,3,4,5,6,7,8,9},SUBSTITUTE(($C257&amp;" "&amp;$D257),CHAR(160)," ")&amp;"0123456789"))),ROW(INDIRECT("1:6")))),"0"),"SIN NUMERO"))</f>
        <v/>
      </c>
      <c r="Q257" t="str">
        <f ca="1">IF($P257="","",IF(LEFT(UPPER($S257),9)="VERIFICAR","VERIFICAR",IF($A257="","SIN ESTADO",IF(AND($A257="Firmada",$H257=""),"FALTA FECHA DE FIRMA",IF(N($T257)=0,IF(AND(ISNUMBER($H257),$H257&gt;=DATE(2024,1,1)),"FALTA EN FIRMADAS","OK"),IF(OR($A257="Pendiente de presentación",$A257="Observado",$A257="En análisis",$A257="En instrucción",$A257="Suspendida",$A257="IT circulando",$A257="Para resolución",$A257="TDC"),"ABIERTA PERO ESTÁ EN FIRMADAS",IF($H257&lt;&gt;INDEX(firmadas!$F:$F,$T257),"FIRMA DISTINTA EN firmadas ("&amp;IF(INDEX(firmadas!$F:$F,$T257)="","vacía",DAY(INDEX(firmadas!$F:$F,$T257))&amp;"/"&amp;MONTH(INDEX(firmadas!$F:$F,$T257))&amp;"/"&amp;YEAR(INDEX(firmadas!$F:$F,$T257)))&amp;")",IF($G257&lt;&gt;INDEX(firmadas!$E:$E,$T257),"INGRESO DISTINTO EN firmadas ("&amp;IF(INDEX(firmadas!$E:$E,$T257)="","vacía",DAY(INDEX(firmadas!$E:$E,$T257))&amp;"/"&amp;MONTH(INDEX(firmadas!$E:$E,$T257))&amp;"/"&amp;YEAR(INDEX(firmadas!$E:$E,$T257)))&amp;")","OK"))))))))</f>
        <v/>
      </c>
      <c r="T257" t="str">
        <f ca="1">IF($P257="","",IFERROR(MATCH($P257,firmadas!$N:$N,0),IFERROR(MATCH("*/"&amp;MID($P257,FIND(" ",$P257)+1,9)&amp;"*",firmadas!$B:$B,0),0)))</f>
        <v/>
      </c>
    </row>
    <row r="258" spans="6:20" ht="15" customHeight="1" x14ac:dyDescent="0.25">
      <c r="F258" s="16"/>
      <c r="M258" s="53"/>
      <c r="N258" s="53" t="str">
        <f t="shared" ref="N258:N321" ca="1" si="4">IF($G258="","",(IF($H258="",TODAY(),$H258)-$G258)/30)</f>
        <v/>
      </c>
      <c r="P258" t="str">
        <f ca="1">IF(TRIM(SUBSTITUTE(($C258&amp;" "&amp;$D258),CHAR(160)," "))="","",IFERROR(IF(ISNUMBER(SEARCH("INC",($C258&amp;" "&amp;$D258))),"INC",IF(ISNUMBER(SEARCH("OPI",($C258&amp;" "&amp;$D258))),"OPI",IF(ISNUMBER(SEARCH("DP",($C258&amp;" "&amp;$D258))),"DP","CONC")))&amp;" "&amp;TEXT(LOOKUP(9.99E+307,--MID(SUBSTITUTE(($C258&amp;" "&amp;$D258),CHAR(160)," "),SUMPRODUCT(MIN(FIND({0,1,2,3,4,5,6,7,8,9},SUBSTITUTE(($C258&amp;" "&amp;$D258),CHAR(160)," ")&amp;"0123456789"))),ROW(INDIRECT("1:6")))),"0"),"SIN NUMERO"))</f>
        <v/>
      </c>
      <c r="Q258" t="str">
        <f ca="1">IF($P258="","",IF(LEFT(UPPER($S258),9)="VERIFICAR","VERIFICAR",IF($A258="","SIN ESTADO",IF(AND($A258="Firmada",$H258=""),"FALTA FECHA DE FIRMA",IF(N($T258)=0,IF(AND(ISNUMBER($H258),$H258&gt;=DATE(2024,1,1)),"FALTA EN FIRMADAS","OK"),IF(OR($A258="Pendiente de presentación",$A258="Observado",$A258="En análisis",$A258="En instrucción",$A258="Suspendida",$A258="IT circulando",$A258="Para resolución",$A258="TDC"),"ABIERTA PERO ESTÁ EN FIRMADAS",IF($H258&lt;&gt;INDEX(firmadas!$F:$F,$T258),"FIRMA DISTINTA EN firmadas ("&amp;IF(INDEX(firmadas!$F:$F,$T258)="","vacía",DAY(INDEX(firmadas!$F:$F,$T258))&amp;"/"&amp;MONTH(INDEX(firmadas!$F:$F,$T258))&amp;"/"&amp;YEAR(INDEX(firmadas!$F:$F,$T258)))&amp;")",IF($G258&lt;&gt;INDEX(firmadas!$E:$E,$T258),"INGRESO DISTINTO EN firmadas ("&amp;IF(INDEX(firmadas!$E:$E,$T258)="","vacía",DAY(INDEX(firmadas!$E:$E,$T258))&amp;"/"&amp;MONTH(INDEX(firmadas!$E:$E,$T258))&amp;"/"&amp;YEAR(INDEX(firmadas!$E:$E,$T258)))&amp;")","OK"))))))))</f>
        <v/>
      </c>
      <c r="T258" t="str">
        <f ca="1">IF($P258="","",IFERROR(MATCH($P258,firmadas!$N:$N,0),IFERROR(MATCH("*/"&amp;MID($P258,FIND(" ",$P258)+1,9)&amp;"*",firmadas!$B:$B,0),0)))</f>
        <v/>
      </c>
    </row>
    <row r="259" spans="6:20" ht="15" customHeight="1" x14ac:dyDescent="0.25">
      <c r="F259" s="16"/>
      <c r="M259" s="53"/>
      <c r="N259" s="53" t="str">
        <f t="shared" ca="1" si="4"/>
        <v/>
      </c>
      <c r="P259" t="str">
        <f ca="1">IF(TRIM(SUBSTITUTE(($C259&amp;" "&amp;$D259),CHAR(160)," "))="","",IFERROR(IF(ISNUMBER(SEARCH("INC",($C259&amp;" "&amp;$D259))),"INC",IF(ISNUMBER(SEARCH("OPI",($C259&amp;" "&amp;$D259))),"OPI",IF(ISNUMBER(SEARCH("DP",($C259&amp;" "&amp;$D259))),"DP","CONC")))&amp;" "&amp;TEXT(LOOKUP(9.99E+307,--MID(SUBSTITUTE(($C259&amp;" "&amp;$D259),CHAR(160)," "),SUMPRODUCT(MIN(FIND({0,1,2,3,4,5,6,7,8,9},SUBSTITUTE(($C259&amp;" "&amp;$D259),CHAR(160)," ")&amp;"0123456789"))),ROW(INDIRECT("1:6")))),"0"),"SIN NUMERO"))</f>
        <v/>
      </c>
      <c r="Q259" t="str">
        <f ca="1">IF($P259="","",IF(LEFT(UPPER($S259),9)="VERIFICAR","VERIFICAR",IF($A259="","SIN ESTADO",IF(AND($A259="Firmada",$H259=""),"FALTA FECHA DE FIRMA",IF(N($T259)=0,IF(AND(ISNUMBER($H259),$H259&gt;=DATE(2024,1,1)),"FALTA EN FIRMADAS","OK"),IF(OR($A259="Pendiente de presentación",$A259="Observado",$A259="En análisis",$A259="En instrucción",$A259="Suspendida",$A259="IT circulando",$A259="Para resolución",$A259="TDC"),"ABIERTA PERO ESTÁ EN FIRMADAS",IF($H259&lt;&gt;INDEX(firmadas!$F:$F,$T259),"FIRMA DISTINTA EN firmadas ("&amp;IF(INDEX(firmadas!$F:$F,$T259)="","vacía",DAY(INDEX(firmadas!$F:$F,$T259))&amp;"/"&amp;MONTH(INDEX(firmadas!$F:$F,$T259))&amp;"/"&amp;YEAR(INDEX(firmadas!$F:$F,$T259)))&amp;")",IF($G259&lt;&gt;INDEX(firmadas!$E:$E,$T259),"INGRESO DISTINTO EN firmadas ("&amp;IF(INDEX(firmadas!$E:$E,$T259)="","vacía",DAY(INDEX(firmadas!$E:$E,$T259))&amp;"/"&amp;MONTH(INDEX(firmadas!$E:$E,$T259))&amp;"/"&amp;YEAR(INDEX(firmadas!$E:$E,$T259)))&amp;")","OK"))))))))</f>
        <v/>
      </c>
      <c r="T259" t="str">
        <f ca="1">IF($P259="","",IFERROR(MATCH($P259,firmadas!$N:$N,0),IFERROR(MATCH("*/"&amp;MID($P259,FIND(" ",$P259)+1,9)&amp;"*",firmadas!$B:$B,0),0)))</f>
        <v/>
      </c>
    </row>
    <row r="260" spans="6:20" ht="15" customHeight="1" x14ac:dyDescent="0.25">
      <c r="F260" s="16"/>
      <c r="M260" s="53"/>
      <c r="N260" s="53" t="str">
        <f t="shared" ca="1" si="4"/>
        <v/>
      </c>
      <c r="P260" t="str">
        <f ca="1">IF(TRIM(SUBSTITUTE(($C260&amp;" "&amp;$D260),CHAR(160)," "))="","",IFERROR(IF(ISNUMBER(SEARCH("INC",($C260&amp;" "&amp;$D260))),"INC",IF(ISNUMBER(SEARCH("OPI",($C260&amp;" "&amp;$D260))),"OPI",IF(ISNUMBER(SEARCH("DP",($C260&amp;" "&amp;$D260))),"DP","CONC")))&amp;" "&amp;TEXT(LOOKUP(9.99E+307,--MID(SUBSTITUTE(($C260&amp;" "&amp;$D260),CHAR(160)," "),SUMPRODUCT(MIN(FIND({0,1,2,3,4,5,6,7,8,9},SUBSTITUTE(($C260&amp;" "&amp;$D260),CHAR(160)," ")&amp;"0123456789"))),ROW(INDIRECT("1:6")))),"0"),"SIN NUMERO"))</f>
        <v/>
      </c>
      <c r="Q260" t="str">
        <f ca="1">IF($P260="","",IF(LEFT(UPPER($S260),9)="VERIFICAR","VERIFICAR",IF($A260="","SIN ESTADO",IF(AND($A260="Firmada",$H260=""),"FALTA FECHA DE FIRMA",IF(N($T260)=0,IF(AND(ISNUMBER($H260),$H260&gt;=DATE(2024,1,1)),"FALTA EN FIRMADAS","OK"),IF(OR($A260="Pendiente de presentación",$A260="Observado",$A260="En análisis",$A260="En instrucción",$A260="Suspendida",$A260="IT circulando",$A260="Para resolución",$A260="TDC"),"ABIERTA PERO ESTÁ EN FIRMADAS",IF($H260&lt;&gt;INDEX(firmadas!$F:$F,$T260),"FIRMA DISTINTA EN firmadas ("&amp;IF(INDEX(firmadas!$F:$F,$T260)="","vacía",DAY(INDEX(firmadas!$F:$F,$T260))&amp;"/"&amp;MONTH(INDEX(firmadas!$F:$F,$T260))&amp;"/"&amp;YEAR(INDEX(firmadas!$F:$F,$T260)))&amp;")",IF($G260&lt;&gt;INDEX(firmadas!$E:$E,$T260),"INGRESO DISTINTO EN firmadas ("&amp;IF(INDEX(firmadas!$E:$E,$T260)="","vacía",DAY(INDEX(firmadas!$E:$E,$T260))&amp;"/"&amp;MONTH(INDEX(firmadas!$E:$E,$T260))&amp;"/"&amp;YEAR(INDEX(firmadas!$E:$E,$T260)))&amp;")","OK"))))))))</f>
        <v/>
      </c>
      <c r="T260" t="str">
        <f ca="1">IF($P260="","",IFERROR(MATCH($P260,firmadas!$N:$N,0),IFERROR(MATCH("*/"&amp;MID($P260,FIND(" ",$P260)+1,9)&amp;"*",firmadas!$B:$B,0),0)))</f>
        <v/>
      </c>
    </row>
    <row r="261" spans="6:20" ht="15" customHeight="1" x14ac:dyDescent="0.25">
      <c r="F261" s="16"/>
      <c r="M261" s="53"/>
      <c r="N261" s="53" t="str">
        <f t="shared" ca="1" si="4"/>
        <v/>
      </c>
      <c r="P261" t="str">
        <f ca="1">IF(TRIM(SUBSTITUTE(($C261&amp;" "&amp;$D261),CHAR(160)," "))="","",IFERROR(IF(ISNUMBER(SEARCH("INC",($C261&amp;" "&amp;$D261))),"INC",IF(ISNUMBER(SEARCH("OPI",($C261&amp;" "&amp;$D261))),"OPI",IF(ISNUMBER(SEARCH("DP",($C261&amp;" "&amp;$D261))),"DP","CONC")))&amp;" "&amp;TEXT(LOOKUP(9.99E+307,--MID(SUBSTITUTE(($C261&amp;" "&amp;$D261),CHAR(160)," "),SUMPRODUCT(MIN(FIND({0,1,2,3,4,5,6,7,8,9},SUBSTITUTE(($C261&amp;" "&amp;$D261),CHAR(160)," ")&amp;"0123456789"))),ROW(INDIRECT("1:6")))),"0"),"SIN NUMERO"))</f>
        <v/>
      </c>
      <c r="Q261" t="str">
        <f ca="1">IF($P261="","",IF(LEFT(UPPER($S261),9)="VERIFICAR","VERIFICAR",IF($A261="","SIN ESTADO",IF(AND($A261="Firmada",$H261=""),"FALTA FECHA DE FIRMA",IF(N($T261)=0,IF(AND(ISNUMBER($H261),$H261&gt;=DATE(2024,1,1)),"FALTA EN FIRMADAS","OK"),IF(OR($A261="Pendiente de presentación",$A261="Observado",$A261="En análisis",$A261="En instrucción",$A261="Suspendida",$A261="IT circulando",$A261="Para resolución",$A261="TDC"),"ABIERTA PERO ESTÁ EN FIRMADAS",IF($H261&lt;&gt;INDEX(firmadas!$F:$F,$T261),"FIRMA DISTINTA EN firmadas ("&amp;IF(INDEX(firmadas!$F:$F,$T261)="","vacía",DAY(INDEX(firmadas!$F:$F,$T261))&amp;"/"&amp;MONTH(INDEX(firmadas!$F:$F,$T261))&amp;"/"&amp;YEAR(INDEX(firmadas!$F:$F,$T261)))&amp;")",IF($G261&lt;&gt;INDEX(firmadas!$E:$E,$T261),"INGRESO DISTINTO EN firmadas ("&amp;IF(INDEX(firmadas!$E:$E,$T261)="","vacía",DAY(INDEX(firmadas!$E:$E,$T261))&amp;"/"&amp;MONTH(INDEX(firmadas!$E:$E,$T261))&amp;"/"&amp;YEAR(INDEX(firmadas!$E:$E,$T261)))&amp;")","OK"))))))))</f>
        <v/>
      </c>
      <c r="T261" t="str">
        <f ca="1">IF($P261="","",IFERROR(MATCH($P261,firmadas!$N:$N,0),IFERROR(MATCH("*/"&amp;MID($P261,FIND(" ",$P261)+1,9)&amp;"*",firmadas!$B:$B,0),0)))</f>
        <v/>
      </c>
    </row>
    <row r="262" spans="6:20" ht="15" customHeight="1" x14ac:dyDescent="0.25">
      <c r="F262" s="16"/>
      <c r="M262" s="53"/>
      <c r="N262" s="53" t="str">
        <f t="shared" ca="1" si="4"/>
        <v/>
      </c>
      <c r="P262" t="str">
        <f ca="1">IF(TRIM(SUBSTITUTE(($C262&amp;" "&amp;$D262),CHAR(160)," "))="","",IFERROR(IF(ISNUMBER(SEARCH("INC",($C262&amp;" "&amp;$D262))),"INC",IF(ISNUMBER(SEARCH("OPI",($C262&amp;" "&amp;$D262))),"OPI",IF(ISNUMBER(SEARCH("DP",($C262&amp;" "&amp;$D262))),"DP","CONC")))&amp;" "&amp;TEXT(LOOKUP(9.99E+307,--MID(SUBSTITUTE(($C262&amp;" "&amp;$D262),CHAR(160)," "),SUMPRODUCT(MIN(FIND({0,1,2,3,4,5,6,7,8,9},SUBSTITUTE(($C262&amp;" "&amp;$D262),CHAR(160)," ")&amp;"0123456789"))),ROW(INDIRECT("1:6")))),"0"),"SIN NUMERO"))</f>
        <v/>
      </c>
      <c r="Q262" t="str">
        <f ca="1">IF($P262="","",IF(LEFT(UPPER($S262),9)="VERIFICAR","VERIFICAR",IF($A262="","SIN ESTADO",IF(AND($A262="Firmada",$H262=""),"FALTA FECHA DE FIRMA",IF(N($T262)=0,IF(AND(ISNUMBER($H262),$H262&gt;=DATE(2024,1,1)),"FALTA EN FIRMADAS","OK"),IF(OR($A262="Pendiente de presentación",$A262="Observado",$A262="En análisis",$A262="En instrucción",$A262="Suspendida",$A262="IT circulando",$A262="Para resolución",$A262="TDC"),"ABIERTA PERO ESTÁ EN FIRMADAS",IF($H262&lt;&gt;INDEX(firmadas!$F:$F,$T262),"FIRMA DISTINTA EN firmadas ("&amp;IF(INDEX(firmadas!$F:$F,$T262)="","vacía",DAY(INDEX(firmadas!$F:$F,$T262))&amp;"/"&amp;MONTH(INDEX(firmadas!$F:$F,$T262))&amp;"/"&amp;YEAR(INDEX(firmadas!$F:$F,$T262)))&amp;")",IF($G262&lt;&gt;INDEX(firmadas!$E:$E,$T262),"INGRESO DISTINTO EN firmadas ("&amp;IF(INDEX(firmadas!$E:$E,$T262)="","vacía",DAY(INDEX(firmadas!$E:$E,$T262))&amp;"/"&amp;MONTH(INDEX(firmadas!$E:$E,$T262))&amp;"/"&amp;YEAR(INDEX(firmadas!$E:$E,$T262)))&amp;")","OK"))))))))</f>
        <v/>
      </c>
      <c r="T262" t="str">
        <f ca="1">IF($P262="","",IFERROR(MATCH($P262,firmadas!$N:$N,0),IFERROR(MATCH("*/"&amp;MID($P262,FIND(" ",$P262)+1,9)&amp;"*",firmadas!$B:$B,0),0)))</f>
        <v/>
      </c>
    </row>
    <row r="263" spans="6:20" ht="15" customHeight="1" x14ac:dyDescent="0.25">
      <c r="F263" s="16"/>
      <c r="M263" s="53"/>
      <c r="N263" s="53" t="str">
        <f t="shared" ca="1" si="4"/>
        <v/>
      </c>
      <c r="P263" t="str">
        <f ca="1">IF(TRIM(SUBSTITUTE(($C263&amp;" "&amp;$D263),CHAR(160)," "))="","",IFERROR(IF(ISNUMBER(SEARCH("INC",($C263&amp;" "&amp;$D263))),"INC",IF(ISNUMBER(SEARCH("OPI",($C263&amp;" "&amp;$D263))),"OPI",IF(ISNUMBER(SEARCH("DP",($C263&amp;" "&amp;$D263))),"DP","CONC")))&amp;" "&amp;TEXT(LOOKUP(9.99E+307,--MID(SUBSTITUTE(($C263&amp;" "&amp;$D263),CHAR(160)," "),SUMPRODUCT(MIN(FIND({0,1,2,3,4,5,6,7,8,9},SUBSTITUTE(($C263&amp;" "&amp;$D263),CHAR(160)," ")&amp;"0123456789"))),ROW(INDIRECT("1:6")))),"0"),"SIN NUMERO"))</f>
        <v/>
      </c>
      <c r="Q263" t="str">
        <f ca="1">IF($P263="","",IF(LEFT(UPPER($S263),9)="VERIFICAR","VERIFICAR",IF($A263="","SIN ESTADO",IF(AND($A263="Firmada",$H263=""),"FALTA FECHA DE FIRMA",IF(N($T263)=0,IF(AND(ISNUMBER($H263),$H263&gt;=DATE(2024,1,1)),"FALTA EN FIRMADAS","OK"),IF(OR($A263="Pendiente de presentación",$A263="Observado",$A263="En análisis",$A263="En instrucción",$A263="Suspendida",$A263="IT circulando",$A263="Para resolución",$A263="TDC"),"ABIERTA PERO ESTÁ EN FIRMADAS",IF($H263&lt;&gt;INDEX(firmadas!$F:$F,$T263),"FIRMA DISTINTA EN firmadas ("&amp;IF(INDEX(firmadas!$F:$F,$T263)="","vacía",DAY(INDEX(firmadas!$F:$F,$T263))&amp;"/"&amp;MONTH(INDEX(firmadas!$F:$F,$T263))&amp;"/"&amp;YEAR(INDEX(firmadas!$F:$F,$T263)))&amp;")",IF($G263&lt;&gt;INDEX(firmadas!$E:$E,$T263),"INGRESO DISTINTO EN firmadas ("&amp;IF(INDEX(firmadas!$E:$E,$T263)="","vacía",DAY(INDEX(firmadas!$E:$E,$T263))&amp;"/"&amp;MONTH(INDEX(firmadas!$E:$E,$T263))&amp;"/"&amp;YEAR(INDEX(firmadas!$E:$E,$T263)))&amp;")","OK"))))))))</f>
        <v/>
      </c>
      <c r="T263" t="str">
        <f ca="1">IF($P263="","",IFERROR(MATCH($P263,firmadas!$N:$N,0),IFERROR(MATCH("*/"&amp;MID($P263,FIND(" ",$P263)+1,9)&amp;"*",firmadas!$B:$B,0),0)))</f>
        <v/>
      </c>
    </row>
    <row r="264" spans="6:20" ht="15" customHeight="1" x14ac:dyDescent="0.25">
      <c r="F264" s="16"/>
      <c r="M264" s="53"/>
      <c r="N264" s="53" t="str">
        <f t="shared" ca="1" si="4"/>
        <v/>
      </c>
      <c r="P264" t="str">
        <f ca="1">IF(TRIM(SUBSTITUTE(($C264&amp;" "&amp;$D264),CHAR(160)," "))="","",IFERROR(IF(ISNUMBER(SEARCH("INC",($C264&amp;" "&amp;$D264))),"INC",IF(ISNUMBER(SEARCH("OPI",($C264&amp;" "&amp;$D264))),"OPI",IF(ISNUMBER(SEARCH("DP",($C264&amp;" "&amp;$D264))),"DP","CONC")))&amp;" "&amp;TEXT(LOOKUP(9.99E+307,--MID(SUBSTITUTE(($C264&amp;" "&amp;$D264),CHAR(160)," "),SUMPRODUCT(MIN(FIND({0,1,2,3,4,5,6,7,8,9},SUBSTITUTE(($C264&amp;" "&amp;$D264),CHAR(160)," ")&amp;"0123456789"))),ROW(INDIRECT("1:6")))),"0"),"SIN NUMERO"))</f>
        <v/>
      </c>
      <c r="Q264" t="str">
        <f ca="1">IF($P264="","",IF(LEFT(UPPER($S264),9)="VERIFICAR","VERIFICAR",IF($A264="","SIN ESTADO",IF(AND($A264="Firmada",$H264=""),"FALTA FECHA DE FIRMA",IF(N($T264)=0,IF(AND(ISNUMBER($H264),$H264&gt;=DATE(2024,1,1)),"FALTA EN FIRMADAS","OK"),IF(OR($A264="Pendiente de presentación",$A264="Observado",$A264="En análisis",$A264="En instrucción",$A264="Suspendida",$A264="IT circulando",$A264="Para resolución",$A264="TDC"),"ABIERTA PERO ESTÁ EN FIRMADAS",IF($H264&lt;&gt;INDEX(firmadas!$F:$F,$T264),"FIRMA DISTINTA EN firmadas ("&amp;IF(INDEX(firmadas!$F:$F,$T264)="","vacía",DAY(INDEX(firmadas!$F:$F,$T264))&amp;"/"&amp;MONTH(INDEX(firmadas!$F:$F,$T264))&amp;"/"&amp;YEAR(INDEX(firmadas!$F:$F,$T264)))&amp;")",IF($G264&lt;&gt;INDEX(firmadas!$E:$E,$T264),"INGRESO DISTINTO EN firmadas ("&amp;IF(INDEX(firmadas!$E:$E,$T264)="","vacía",DAY(INDEX(firmadas!$E:$E,$T264))&amp;"/"&amp;MONTH(INDEX(firmadas!$E:$E,$T264))&amp;"/"&amp;YEAR(INDEX(firmadas!$E:$E,$T264)))&amp;")","OK"))))))))</f>
        <v/>
      </c>
      <c r="T264" t="str">
        <f ca="1">IF($P264="","",IFERROR(MATCH($P264,firmadas!$N:$N,0),IFERROR(MATCH("*/"&amp;MID($P264,FIND(" ",$P264)+1,9)&amp;"*",firmadas!$B:$B,0),0)))</f>
        <v/>
      </c>
    </row>
    <row r="265" spans="6:20" ht="15" customHeight="1" x14ac:dyDescent="0.25">
      <c r="F265" s="16"/>
      <c r="M265" s="53"/>
      <c r="N265" s="53" t="str">
        <f t="shared" ca="1" si="4"/>
        <v/>
      </c>
      <c r="P265" t="str">
        <f ca="1">IF(TRIM(SUBSTITUTE(($C265&amp;" "&amp;$D265),CHAR(160)," "))="","",IFERROR(IF(ISNUMBER(SEARCH("INC",($C265&amp;" "&amp;$D265))),"INC",IF(ISNUMBER(SEARCH("OPI",($C265&amp;" "&amp;$D265))),"OPI",IF(ISNUMBER(SEARCH("DP",($C265&amp;" "&amp;$D265))),"DP","CONC")))&amp;" "&amp;TEXT(LOOKUP(9.99E+307,--MID(SUBSTITUTE(($C265&amp;" "&amp;$D265),CHAR(160)," "),SUMPRODUCT(MIN(FIND({0,1,2,3,4,5,6,7,8,9},SUBSTITUTE(($C265&amp;" "&amp;$D265),CHAR(160)," ")&amp;"0123456789"))),ROW(INDIRECT("1:6")))),"0"),"SIN NUMERO"))</f>
        <v/>
      </c>
      <c r="Q265" t="str">
        <f ca="1">IF($P265="","",IF(LEFT(UPPER($S265),9)="VERIFICAR","VERIFICAR",IF($A265="","SIN ESTADO",IF(AND($A265="Firmada",$H265=""),"FALTA FECHA DE FIRMA",IF(N($T265)=0,IF(AND(ISNUMBER($H265),$H265&gt;=DATE(2024,1,1)),"FALTA EN FIRMADAS","OK"),IF(OR($A265="Pendiente de presentación",$A265="Observado",$A265="En análisis",$A265="En instrucción",$A265="Suspendida",$A265="IT circulando",$A265="Para resolución",$A265="TDC"),"ABIERTA PERO ESTÁ EN FIRMADAS",IF($H265&lt;&gt;INDEX(firmadas!$F:$F,$T265),"FIRMA DISTINTA EN firmadas ("&amp;IF(INDEX(firmadas!$F:$F,$T265)="","vacía",DAY(INDEX(firmadas!$F:$F,$T265))&amp;"/"&amp;MONTH(INDEX(firmadas!$F:$F,$T265))&amp;"/"&amp;YEAR(INDEX(firmadas!$F:$F,$T265)))&amp;")",IF($G265&lt;&gt;INDEX(firmadas!$E:$E,$T265),"INGRESO DISTINTO EN firmadas ("&amp;IF(INDEX(firmadas!$E:$E,$T265)="","vacía",DAY(INDEX(firmadas!$E:$E,$T265))&amp;"/"&amp;MONTH(INDEX(firmadas!$E:$E,$T265))&amp;"/"&amp;YEAR(INDEX(firmadas!$E:$E,$T265)))&amp;")","OK"))))))))</f>
        <v/>
      </c>
      <c r="T265" t="str">
        <f ca="1">IF($P265="","",IFERROR(MATCH($P265,firmadas!$N:$N,0),IFERROR(MATCH("*/"&amp;MID($P265,FIND(" ",$P265)+1,9)&amp;"*",firmadas!$B:$B,0),0)))</f>
        <v/>
      </c>
    </row>
    <row r="266" spans="6:20" ht="15" customHeight="1" x14ac:dyDescent="0.25">
      <c r="F266" s="16"/>
      <c r="M266" s="53"/>
      <c r="N266" s="53" t="str">
        <f t="shared" ca="1" si="4"/>
        <v/>
      </c>
      <c r="P266" t="str">
        <f ca="1">IF(TRIM(SUBSTITUTE(($C266&amp;" "&amp;$D266),CHAR(160)," "))="","",IFERROR(IF(ISNUMBER(SEARCH("INC",($C266&amp;" "&amp;$D266))),"INC",IF(ISNUMBER(SEARCH("OPI",($C266&amp;" "&amp;$D266))),"OPI",IF(ISNUMBER(SEARCH("DP",($C266&amp;" "&amp;$D266))),"DP","CONC")))&amp;" "&amp;TEXT(LOOKUP(9.99E+307,--MID(SUBSTITUTE(($C266&amp;" "&amp;$D266),CHAR(160)," "),SUMPRODUCT(MIN(FIND({0,1,2,3,4,5,6,7,8,9},SUBSTITUTE(($C266&amp;" "&amp;$D266),CHAR(160)," ")&amp;"0123456789"))),ROW(INDIRECT("1:6")))),"0"),"SIN NUMERO"))</f>
        <v/>
      </c>
      <c r="Q266" t="str">
        <f ca="1">IF($P266="","",IF(LEFT(UPPER($S266),9)="VERIFICAR","VERIFICAR",IF($A266="","SIN ESTADO",IF(AND($A266="Firmada",$H266=""),"FALTA FECHA DE FIRMA",IF(N($T266)=0,IF(AND(ISNUMBER($H266),$H266&gt;=DATE(2024,1,1)),"FALTA EN FIRMADAS","OK"),IF(OR($A266="Pendiente de presentación",$A266="Observado",$A266="En análisis",$A266="En instrucción",$A266="Suspendida",$A266="IT circulando",$A266="Para resolución",$A266="TDC"),"ABIERTA PERO ESTÁ EN FIRMADAS",IF($H266&lt;&gt;INDEX(firmadas!$F:$F,$T266),"FIRMA DISTINTA EN firmadas ("&amp;IF(INDEX(firmadas!$F:$F,$T266)="","vacía",DAY(INDEX(firmadas!$F:$F,$T266))&amp;"/"&amp;MONTH(INDEX(firmadas!$F:$F,$T266))&amp;"/"&amp;YEAR(INDEX(firmadas!$F:$F,$T266)))&amp;")",IF($G266&lt;&gt;INDEX(firmadas!$E:$E,$T266),"INGRESO DISTINTO EN firmadas ("&amp;IF(INDEX(firmadas!$E:$E,$T266)="","vacía",DAY(INDEX(firmadas!$E:$E,$T266))&amp;"/"&amp;MONTH(INDEX(firmadas!$E:$E,$T266))&amp;"/"&amp;YEAR(INDEX(firmadas!$E:$E,$T266)))&amp;")","OK"))))))))</f>
        <v/>
      </c>
      <c r="T266" t="str">
        <f ca="1">IF($P266="","",IFERROR(MATCH($P266,firmadas!$N:$N,0),IFERROR(MATCH("*/"&amp;MID($P266,FIND(" ",$P266)+1,9)&amp;"*",firmadas!$B:$B,0),0)))</f>
        <v/>
      </c>
    </row>
    <row r="267" spans="6:20" ht="15" customHeight="1" x14ac:dyDescent="0.25">
      <c r="F267" s="16"/>
      <c r="M267" s="53"/>
      <c r="N267" s="53" t="str">
        <f t="shared" ca="1" si="4"/>
        <v/>
      </c>
      <c r="P267" t="str">
        <f ca="1">IF(TRIM(SUBSTITUTE(($C267&amp;" "&amp;$D267),CHAR(160)," "))="","",IFERROR(IF(ISNUMBER(SEARCH("INC",($C267&amp;" "&amp;$D267))),"INC",IF(ISNUMBER(SEARCH("OPI",($C267&amp;" "&amp;$D267))),"OPI",IF(ISNUMBER(SEARCH("DP",($C267&amp;" "&amp;$D267))),"DP","CONC")))&amp;" "&amp;TEXT(LOOKUP(9.99E+307,--MID(SUBSTITUTE(($C267&amp;" "&amp;$D267),CHAR(160)," "),SUMPRODUCT(MIN(FIND({0,1,2,3,4,5,6,7,8,9},SUBSTITUTE(($C267&amp;" "&amp;$D267),CHAR(160)," ")&amp;"0123456789"))),ROW(INDIRECT("1:6")))),"0"),"SIN NUMERO"))</f>
        <v/>
      </c>
      <c r="Q267" t="str">
        <f ca="1">IF($P267="","",IF(LEFT(UPPER($S267),9)="VERIFICAR","VERIFICAR",IF($A267="","SIN ESTADO",IF(AND($A267="Firmada",$H267=""),"FALTA FECHA DE FIRMA",IF(N($T267)=0,IF(AND(ISNUMBER($H267),$H267&gt;=DATE(2024,1,1)),"FALTA EN FIRMADAS","OK"),IF(OR($A267="Pendiente de presentación",$A267="Observado",$A267="En análisis",$A267="En instrucción",$A267="Suspendida",$A267="IT circulando",$A267="Para resolución",$A267="TDC"),"ABIERTA PERO ESTÁ EN FIRMADAS",IF($H267&lt;&gt;INDEX(firmadas!$F:$F,$T267),"FIRMA DISTINTA EN firmadas ("&amp;IF(INDEX(firmadas!$F:$F,$T267)="","vacía",DAY(INDEX(firmadas!$F:$F,$T267))&amp;"/"&amp;MONTH(INDEX(firmadas!$F:$F,$T267))&amp;"/"&amp;YEAR(INDEX(firmadas!$F:$F,$T267)))&amp;")",IF($G267&lt;&gt;INDEX(firmadas!$E:$E,$T267),"INGRESO DISTINTO EN firmadas ("&amp;IF(INDEX(firmadas!$E:$E,$T267)="","vacía",DAY(INDEX(firmadas!$E:$E,$T267))&amp;"/"&amp;MONTH(INDEX(firmadas!$E:$E,$T267))&amp;"/"&amp;YEAR(INDEX(firmadas!$E:$E,$T267)))&amp;")","OK"))))))))</f>
        <v/>
      </c>
      <c r="T267" t="str">
        <f ca="1">IF($P267="","",IFERROR(MATCH($P267,firmadas!$N:$N,0),IFERROR(MATCH("*/"&amp;MID($P267,FIND(" ",$P267)+1,9)&amp;"*",firmadas!$B:$B,0),0)))</f>
        <v/>
      </c>
    </row>
    <row r="268" spans="6:20" ht="15" customHeight="1" x14ac:dyDescent="0.25">
      <c r="F268" s="16"/>
      <c r="M268" s="53"/>
      <c r="N268" s="53" t="str">
        <f t="shared" ca="1" si="4"/>
        <v/>
      </c>
      <c r="P268" t="str">
        <f ca="1">IF(TRIM(SUBSTITUTE(($C268&amp;" "&amp;$D268),CHAR(160)," "))="","",IFERROR(IF(ISNUMBER(SEARCH("INC",($C268&amp;" "&amp;$D268))),"INC",IF(ISNUMBER(SEARCH("OPI",($C268&amp;" "&amp;$D268))),"OPI",IF(ISNUMBER(SEARCH("DP",($C268&amp;" "&amp;$D268))),"DP","CONC")))&amp;" "&amp;TEXT(LOOKUP(9.99E+307,--MID(SUBSTITUTE(($C268&amp;" "&amp;$D268),CHAR(160)," "),SUMPRODUCT(MIN(FIND({0,1,2,3,4,5,6,7,8,9},SUBSTITUTE(($C268&amp;" "&amp;$D268),CHAR(160)," ")&amp;"0123456789"))),ROW(INDIRECT("1:6")))),"0"),"SIN NUMERO"))</f>
        <v/>
      </c>
      <c r="Q268" t="str">
        <f ca="1">IF($P268="","",IF(LEFT(UPPER($S268),9)="VERIFICAR","VERIFICAR",IF($A268="","SIN ESTADO",IF(AND($A268="Firmada",$H268=""),"FALTA FECHA DE FIRMA",IF(N($T268)=0,IF(AND(ISNUMBER($H268),$H268&gt;=DATE(2024,1,1)),"FALTA EN FIRMADAS","OK"),IF(OR($A268="Pendiente de presentación",$A268="Observado",$A268="En análisis",$A268="En instrucción",$A268="Suspendida",$A268="IT circulando",$A268="Para resolución",$A268="TDC"),"ABIERTA PERO ESTÁ EN FIRMADAS",IF($H268&lt;&gt;INDEX(firmadas!$F:$F,$T268),"FIRMA DISTINTA EN firmadas ("&amp;IF(INDEX(firmadas!$F:$F,$T268)="","vacía",DAY(INDEX(firmadas!$F:$F,$T268))&amp;"/"&amp;MONTH(INDEX(firmadas!$F:$F,$T268))&amp;"/"&amp;YEAR(INDEX(firmadas!$F:$F,$T268)))&amp;")",IF($G268&lt;&gt;INDEX(firmadas!$E:$E,$T268),"INGRESO DISTINTO EN firmadas ("&amp;IF(INDEX(firmadas!$E:$E,$T268)="","vacía",DAY(INDEX(firmadas!$E:$E,$T268))&amp;"/"&amp;MONTH(INDEX(firmadas!$E:$E,$T268))&amp;"/"&amp;YEAR(INDEX(firmadas!$E:$E,$T268)))&amp;")","OK"))))))))</f>
        <v/>
      </c>
      <c r="T268" t="str">
        <f ca="1">IF($P268="","",IFERROR(MATCH($P268,firmadas!$N:$N,0),IFERROR(MATCH("*/"&amp;MID($P268,FIND(" ",$P268)+1,9)&amp;"*",firmadas!$B:$B,0),0)))</f>
        <v/>
      </c>
    </row>
    <row r="269" spans="6:20" ht="15" customHeight="1" x14ac:dyDescent="0.25">
      <c r="F269" s="16"/>
      <c r="M269" s="53"/>
      <c r="N269" s="53" t="str">
        <f t="shared" ca="1" si="4"/>
        <v/>
      </c>
      <c r="P269" t="str">
        <f ca="1">IF(TRIM(SUBSTITUTE(($C269&amp;" "&amp;$D269),CHAR(160)," "))="","",IFERROR(IF(ISNUMBER(SEARCH("INC",($C269&amp;" "&amp;$D269))),"INC",IF(ISNUMBER(SEARCH("OPI",($C269&amp;" "&amp;$D269))),"OPI",IF(ISNUMBER(SEARCH("DP",($C269&amp;" "&amp;$D269))),"DP","CONC")))&amp;" "&amp;TEXT(LOOKUP(9.99E+307,--MID(SUBSTITUTE(($C269&amp;" "&amp;$D269),CHAR(160)," "),SUMPRODUCT(MIN(FIND({0,1,2,3,4,5,6,7,8,9},SUBSTITUTE(($C269&amp;" "&amp;$D269),CHAR(160)," ")&amp;"0123456789"))),ROW(INDIRECT("1:6")))),"0"),"SIN NUMERO"))</f>
        <v/>
      </c>
      <c r="Q269" t="str">
        <f ca="1">IF($P269="","",IF(LEFT(UPPER($S269),9)="VERIFICAR","VERIFICAR",IF($A269="","SIN ESTADO",IF(AND($A269="Firmada",$H269=""),"FALTA FECHA DE FIRMA",IF(N($T269)=0,IF(AND(ISNUMBER($H269),$H269&gt;=DATE(2024,1,1)),"FALTA EN FIRMADAS","OK"),IF(OR($A269="Pendiente de presentación",$A269="Observado",$A269="En análisis",$A269="En instrucción",$A269="Suspendida",$A269="IT circulando",$A269="Para resolución",$A269="TDC"),"ABIERTA PERO ESTÁ EN FIRMADAS",IF($H269&lt;&gt;INDEX(firmadas!$F:$F,$T269),"FIRMA DISTINTA EN firmadas ("&amp;IF(INDEX(firmadas!$F:$F,$T269)="","vacía",DAY(INDEX(firmadas!$F:$F,$T269))&amp;"/"&amp;MONTH(INDEX(firmadas!$F:$F,$T269))&amp;"/"&amp;YEAR(INDEX(firmadas!$F:$F,$T269)))&amp;")",IF($G269&lt;&gt;INDEX(firmadas!$E:$E,$T269),"INGRESO DISTINTO EN firmadas ("&amp;IF(INDEX(firmadas!$E:$E,$T269)="","vacía",DAY(INDEX(firmadas!$E:$E,$T269))&amp;"/"&amp;MONTH(INDEX(firmadas!$E:$E,$T269))&amp;"/"&amp;YEAR(INDEX(firmadas!$E:$E,$T269)))&amp;")","OK"))))))))</f>
        <v/>
      </c>
      <c r="T269" t="str">
        <f ca="1">IF($P269="","",IFERROR(MATCH($P269,firmadas!$N:$N,0),IFERROR(MATCH("*/"&amp;MID($P269,FIND(" ",$P269)+1,9)&amp;"*",firmadas!$B:$B,0),0)))</f>
        <v/>
      </c>
    </row>
    <row r="270" spans="6:20" ht="15" customHeight="1" x14ac:dyDescent="0.25">
      <c r="F270" s="16"/>
      <c r="M270" s="53"/>
      <c r="N270" s="53" t="str">
        <f t="shared" ca="1" si="4"/>
        <v/>
      </c>
      <c r="P270" t="str">
        <f ca="1">IF(TRIM(SUBSTITUTE(($C270&amp;" "&amp;$D270),CHAR(160)," "))="","",IFERROR(IF(ISNUMBER(SEARCH("INC",($C270&amp;" "&amp;$D270))),"INC",IF(ISNUMBER(SEARCH("OPI",($C270&amp;" "&amp;$D270))),"OPI",IF(ISNUMBER(SEARCH("DP",($C270&amp;" "&amp;$D270))),"DP","CONC")))&amp;" "&amp;TEXT(LOOKUP(9.99E+307,--MID(SUBSTITUTE(($C270&amp;" "&amp;$D270),CHAR(160)," "),SUMPRODUCT(MIN(FIND({0,1,2,3,4,5,6,7,8,9},SUBSTITUTE(($C270&amp;" "&amp;$D270),CHAR(160)," ")&amp;"0123456789"))),ROW(INDIRECT("1:6")))),"0"),"SIN NUMERO"))</f>
        <v/>
      </c>
      <c r="Q270" t="str">
        <f ca="1">IF($P270="","",IF(LEFT(UPPER($S270),9)="VERIFICAR","VERIFICAR",IF($A270="","SIN ESTADO",IF(AND($A270="Firmada",$H270=""),"FALTA FECHA DE FIRMA",IF(N($T270)=0,IF(AND(ISNUMBER($H270),$H270&gt;=DATE(2024,1,1)),"FALTA EN FIRMADAS","OK"),IF(OR($A270="Pendiente de presentación",$A270="Observado",$A270="En análisis",$A270="En instrucción",$A270="Suspendida",$A270="IT circulando",$A270="Para resolución",$A270="TDC"),"ABIERTA PERO ESTÁ EN FIRMADAS",IF($H270&lt;&gt;INDEX(firmadas!$F:$F,$T270),"FIRMA DISTINTA EN firmadas ("&amp;IF(INDEX(firmadas!$F:$F,$T270)="","vacía",DAY(INDEX(firmadas!$F:$F,$T270))&amp;"/"&amp;MONTH(INDEX(firmadas!$F:$F,$T270))&amp;"/"&amp;YEAR(INDEX(firmadas!$F:$F,$T270)))&amp;")",IF($G270&lt;&gt;INDEX(firmadas!$E:$E,$T270),"INGRESO DISTINTO EN firmadas ("&amp;IF(INDEX(firmadas!$E:$E,$T270)="","vacía",DAY(INDEX(firmadas!$E:$E,$T270))&amp;"/"&amp;MONTH(INDEX(firmadas!$E:$E,$T270))&amp;"/"&amp;YEAR(INDEX(firmadas!$E:$E,$T270)))&amp;")","OK"))))))))</f>
        <v/>
      </c>
      <c r="T270" t="str">
        <f ca="1">IF($P270="","",IFERROR(MATCH($P270,firmadas!$N:$N,0),IFERROR(MATCH("*/"&amp;MID($P270,FIND(" ",$P270)+1,9)&amp;"*",firmadas!$B:$B,0),0)))</f>
        <v/>
      </c>
    </row>
    <row r="271" spans="6:20" ht="15" customHeight="1" x14ac:dyDescent="0.25">
      <c r="F271" s="16"/>
      <c r="M271" s="53"/>
      <c r="N271" s="53" t="str">
        <f t="shared" ca="1" si="4"/>
        <v/>
      </c>
      <c r="P271" t="str">
        <f ca="1">IF(TRIM(SUBSTITUTE(($C271&amp;" "&amp;$D271),CHAR(160)," "))="","",IFERROR(IF(ISNUMBER(SEARCH("INC",($C271&amp;" "&amp;$D271))),"INC",IF(ISNUMBER(SEARCH("OPI",($C271&amp;" "&amp;$D271))),"OPI",IF(ISNUMBER(SEARCH("DP",($C271&amp;" "&amp;$D271))),"DP","CONC")))&amp;" "&amp;TEXT(LOOKUP(9.99E+307,--MID(SUBSTITUTE(($C271&amp;" "&amp;$D271),CHAR(160)," "),SUMPRODUCT(MIN(FIND({0,1,2,3,4,5,6,7,8,9},SUBSTITUTE(($C271&amp;" "&amp;$D271),CHAR(160)," ")&amp;"0123456789"))),ROW(INDIRECT("1:6")))),"0"),"SIN NUMERO"))</f>
        <v/>
      </c>
      <c r="Q271" t="str">
        <f ca="1">IF($P271="","",IF(LEFT(UPPER($S271),9)="VERIFICAR","VERIFICAR",IF($A271="","SIN ESTADO",IF(AND($A271="Firmada",$H271=""),"FALTA FECHA DE FIRMA",IF(N($T271)=0,IF(AND(ISNUMBER($H271),$H271&gt;=DATE(2024,1,1)),"FALTA EN FIRMADAS","OK"),IF(OR($A271="Pendiente de presentación",$A271="Observado",$A271="En análisis",$A271="En instrucción",$A271="Suspendida",$A271="IT circulando",$A271="Para resolución",$A271="TDC"),"ABIERTA PERO ESTÁ EN FIRMADAS",IF($H271&lt;&gt;INDEX(firmadas!$F:$F,$T271),"FIRMA DISTINTA EN firmadas ("&amp;IF(INDEX(firmadas!$F:$F,$T271)="","vacía",DAY(INDEX(firmadas!$F:$F,$T271))&amp;"/"&amp;MONTH(INDEX(firmadas!$F:$F,$T271))&amp;"/"&amp;YEAR(INDEX(firmadas!$F:$F,$T271)))&amp;")",IF($G271&lt;&gt;INDEX(firmadas!$E:$E,$T271),"INGRESO DISTINTO EN firmadas ("&amp;IF(INDEX(firmadas!$E:$E,$T271)="","vacía",DAY(INDEX(firmadas!$E:$E,$T271))&amp;"/"&amp;MONTH(INDEX(firmadas!$E:$E,$T271))&amp;"/"&amp;YEAR(INDEX(firmadas!$E:$E,$T271)))&amp;")","OK"))))))))</f>
        <v/>
      </c>
      <c r="T271" t="str">
        <f ca="1">IF($P271="","",IFERROR(MATCH($P271,firmadas!$N:$N,0),IFERROR(MATCH("*/"&amp;MID($P271,FIND(" ",$P271)+1,9)&amp;"*",firmadas!$B:$B,0),0)))</f>
        <v/>
      </c>
    </row>
    <row r="272" spans="6:20" ht="15" customHeight="1" x14ac:dyDescent="0.25">
      <c r="F272" s="16"/>
      <c r="M272" s="53"/>
      <c r="N272" s="53" t="str">
        <f t="shared" ca="1" si="4"/>
        <v/>
      </c>
      <c r="P272" t="str">
        <f ca="1">IF(TRIM(SUBSTITUTE(($C272&amp;" "&amp;$D272),CHAR(160)," "))="","",IFERROR(IF(ISNUMBER(SEARCH("INC",($C272&amp;" "&amp;$D272))),"INC",IF(ISNUMBER(SEARCH("OPI",($C272&amp;" "&amp;$D272))),"OPI",IF(ISNUMBER(SEARCH("DP",($C272&amp;" "&amp;$D272))),"DP","CONC")))&amp;" "&amp;TEXT(LOOKUP(9.99E+307,--MID(SUBSTITUTE(($C272&amp;" "&amp;$D272),CHAR(160)," "),SUMPRODUCT(MIN(FIND({0,1,2,3,4,5,6,7,8,9},SUBSTITUTE(($C272&amp;" "&amp;$D272),CHAR(160)," ")&amp;"0123456789"))),ROW(INDIRECT("1:6")))),"0"),"SIN NUMERO"))</f>
        <v/>
      </c>
      <c r="Q272" t="str">
        <f ca="1">IF($P272="","",IF(LEFT(UPPER($S272),9)="VERIFICAR","VERIFICAR",IF($A272="","SIN ESTADO",IF(AND($A272="Firmada",$H272=""),"FALTA FECHA DE FIRMA",IF(N($T272)=0,IF(AND(ISNUMBER($H272),$H272&gt;=DATE(2024,1,1)),"FALTA EN FIRMADAS","OK"),IF(OR($A272="Pendiente de presentación",$A272="Observado",$A272="En análisis",$A272="En instrucción",$A272="Suspendida",$A272="IT circulando",$A272="Para resolución",$A272="TDC"),"ABIERTA PERO ESTÁ EN FIRMADAS",IF($H272&lt;&gt;INDEX(firmadas!$F:$F,$T272),"FIRMA DISTINTA EN firmadas ("&amp;IF(INDEX(firmadas!$F:$F,$T272)="","vacía",DAY(INDEX(firmadas!$F:$F,$T272))&amp;"/"&amp;MONTH(INDEX(firmadas!$F:$F,$T272))&amp;"/"&amp;YEAR(INDEX(firmadas!$F:$F,$T272)))&amp;")",IF($G272&lt;&gt;INDEX(firmadas!$E:$E,$T272),"INGRESO DISTINTO EN firmadas ("&amp;IF(INDEX(firmadas!$E:$E,$T272)="","vacía",DAY(INDEX(firmadas!$E:$E,$T272))&amp;"/"&amp;MONTH(INDEX(firmadas!$E:$E,$T272))&amp;"/"&amp;YEAR(INDEX(firmadas!$E:$E,$T272)))&amp;")","OK"))))))))</f>
        <v/>
      </c>
      <c r="T272" t="str">
        <f ca="1">IF($P272="","",IFERROR(MATCH($P272,firmadas!$N:$N,0),IFERROR(MATCH("*/"&amp;MID($P272,FIND(" ",$P272)+1,9)&amp;"*",firmadas!$B:$B,0),0)))</f>
        <v/>
      </c>
    </row>
    <row r="273" spans="6:20" ht="15" customHeight="1" x14ac:dyDescent="0.25">
      <c r="F273" s="16"/>
      <c r="M273" s="53"/>
      <c r="N273" s="53" t="str">
        <f t="shared" ca="1" si="4"/>
        <v/>
      </c>
      <c r="P273" t="str">
        <f ca="1">IF(TRIM(SUBSTITUTE(($C273&amp;" "&amp;$D273),CHAR(160)," "))="","",IFERROR(IF(ISNUMBER(SEARCH("INC",($C273&amp;" "&amp;$D273))),"INC",IF(ISNUMBER(SEARCH("OPI",($C273&amp;" "&amp;$D273))),"OPI",IF(ISNUMBER(SEARCH("DP",($C273&amp;" "&amp;$D273))),"DP","CONC")))&amp;" "&amp;TEXT(LOOKUP(9.99E+307,--MID(SUBSTITUTE(($C273&amp;" "&amp;$D273),CHAR(160)," "),SUMPRODUCT(MIN(FIND({0,1,2,3,4,5,6,7,8,9},SUBSTITUTE(($C273&amp;" "&amp;$D273),CHAR(160)," ")&amp;"0123456789"))),ROW(INDIRECT("1:6")))),"0"),"SIN NUMERO"))</f>
        <v/>
      </c>
      <c r="Q273" t="str">
        <f ca="1">IF($P273="","",IF(LEFT(UPPER($S273),9)="VERIFICAR","VERIFICAR",IF($A273="","SIN ESTADO",IF(AND($A273="Firmada",$H273=""),"FALTA FECHA DE FIRMA",IF(N($T273)=0,IF(AND(ISNUMBER($H273),$H273&gt;=DATE(2024,1,1)),"FALTA EN FIRMADAS","OK"),IF(OR($A273="Pendiente de presentación",$A273="Observado",$A273="En análisis",$A273="En instrucción",$A273="Suspendida",$A273="IT circulando",$A273="Para resolución",$A273="TDC"),"ABIERTA PERO ESTÁ EN FIRMADAS",IF($H273&lt;&gt;INDEX(firmadas!$F:$F,$T273),"FIRMA DISTINTA EN firmadas ("&amp;IF(INDEX(firmadas!$F:$F,$T273)="","vacía",DAY(INDEX(firmadas!$F:$F,$T273))&amp;"/"&amp;MONTH(INDEX(firmadas!$F:$F,$T273))&amp;"/"&amp;YEAR(INDEX(firmadas!$F:$F,$T273)))&amp;")",IF($G273&lt;&gt;INDEX(firmadas!$E:$E,$T273),"INGRESO DISTINTO EN firmadas ("&amp;IF(INDEX(firmadas!$E:$E,$T273)="","vacía",DAY(INDEX(firmadas!$E:$E,$T273))&amp;"/"&amp;MONTH(INDEX(firmadas!$E:$E,$T273))&amp;"/"&amp;YEAR(INDEX(firmadas!$E:$E,$T273)))&amp;")","OK"))))))))</f>
        <v/>
      </c>
      <c r="T273" t="str">
        <f ca="1">IF($P273="","",IFERROR(MATCH($P273,firmadas!$N:$N,0),IFERROR(MATCH("*/"&amp;MID($P273,FIND(" ",$P273)+1,9)&amp;"*",firmadas!$B:$B,0),0)))</f>
        <v/>
      </c>
    </row>
    <row r="274" spans="6:20" ht="15" customHeight="1" x14ac:dyDescent="0.25">
      <c r="F274" s="16"/>
      <c r="M274" s="53"/>
      <c r="N274" s="53" t="str">
        <f t="shared" ca="1" si="4"/>
        <v/>
      </c>
      <c r="P274" t="str">
        <f ca="1">IF(TRIM(SUBSTITUTE(($C274&amp;" "&amp;$D274),CHAR(160)," "))="","",IFERROR(IF(ISNUMBER(SEARCH("INC",($C274&amp;" "&amp;$D274))),"INC",IF(ISNUMBER(SEARCH("OPI",($C274&amp;" "&amp;$D274))),"OPI",IF(ISNUMBER(SEARCH("DP",($C274&amp;" "&amp;$D274))),"DP","CONC")))&amp;" "&amp;TEXT(LOOKUP(9.99E+307,--MID(SUBSTITUTE(($C274&amp;" "&amp;$D274),CHAR(160)," "),SUMPRODUCT(MIN(FIND({0,1,2,3,4,5,6,7,8,9},SUBSTITUTE(($C274&amp;" "&amp;$D274),CHAR(160)," ")&amp;"0123456789"))),ROW(INDIRECT("1:6")))),"0"),"SIN NUMERO"))</f>
        <v/>
      </c>
      <c r="Q274" t="str">
        <f ca="1">IF($P274="","",IF(LEFT(UPPER($S274),9)="VERIFICAR","VERIFICAR",IF($A274="","SIN ESTADO",IF(AND($A274="Firmada",$H274=""),"FALTA FECHA DE FIRMA",IF(N($T274)=0,IF(AND(ISNUMBER($H274),$H274&gt;=DATE(2024,1,1)),"FALTA EN FIRMADAS","OK"),IF(OR($A274="Pendiente de presentación",$A274="Observado",$A274="En análisis",$A274="En instrucción",$A274="Suspendida",$A274="IT circulando",$A274="Para resolución",$A274="TDC"),"ABIERTA PERO ESTÁ EN FIRMADAS",IF($H274&lt;&gt;INDEX(firmadas!$F:$F,$T274),"FIRMA DISTINTA EN firmadas ("&amp;IF(INDEX(firmadas!$F:$F,$T274)="","vacía",DAY(INDEX(firmadas!$F:$F,$T274))&amp;"/"&amp;MONTH(INDEX(firmadas!$F:$F,$T274))&amp;"/"&amp;YEAR(INDEX(firmadas!$F:$F,$T274)))&amp;")",IF($G274&lt;&gt;INDEX(firmadas!$E:$E,$T274),"INGRESO DISTINTO EN firmadas ("&amp;IF(INDEX(firmadas!$E:$E,$T274)="","vacía",DAY(INDEX(firmadas!$E:$E,$T274))&amp;"/"&amp;MONTH(INDEX(firmadas!$E:$E,$T274))&amp;"/"&amp;YEAR(INDEX(firmadas!$E:$E,$T274)))&amp;")","OK"))))))))</f>
        <v/>
      </c>
      <c r="T274" t="str">
        <f ca="1">IF($P274="","",IFERROR(MATCH($P274,firmadas!$N:$N,0),IFERROR(MATCH("*/"&amp;MID($P274,FIND(" ",$P274)+1,9)&amp;"*",firmadas!$B:$B,0),0)))</f>
        <v/>
      </c>
    </row>
    <row r="275" spans="6:20" ht="15" customHeight="1" x14ac:dyDescent="0.25">
      <c r="F275" s="16"/>
      <c r="M275" s="53"/>
      <c r="N275" s="53" t="str">
        <f t="shared" ca="1" si="4"/>
        <v/>
      </c>
      <c r="P275" t="str">
        <f ca="1">IF(TRIM(SUBSTITUTE(($C275&amp;" "&amp;$D275),CHAR(160)," "))="","",IFERROR(IF(ISNUMBER(SEARCH("INC",($C275&amp;" "&amp;$D275))),"INC",IF(ISNUMBER(SEARCH("OPI",($C275&amp;" "&amp;$D275))),"OPI",IF(ISNUMBER(SEARCH("DP",($C275&amp;" "&amp;$D275))),"DP","CONC")))&amp;" "&amp;TEXT(LOOKUP(9.99E+307,--MID(SUBSTITUTE(($C275&amp;" "&amp;$D275),CHAR(160)," "),SUMPRODUCT(MIN(FIND({0,1,2,3,4,5,6,7,8,9},SUBSTITUTE(($C275&amp;" "&amp;$D275),CHAR(160)," ")&amp;"0123456789"))),ROW(INDIRECT("1:6")))),"0"),"SIN NUMERO"))</f>
        <v/>
      </c>
      <c r="Q275" t="str">
        <f ca="1">IF($P275="","",IF(LEFT(UPPER($S275),9)="VERIFICAR","VERIFICAR",IF($A275="","SIN ESTADO",IF(AND($A275="Firmada",$H275=""),"FALTA FECHA DE FIRMA",IF(N($T275)=0,IF(AND(ISNUMBER($H275),$H275&gt;=DATE(2024,1,1)),"FALTA EN FIRMADAS","OK"),IF(OR($A275="Pendiente de presentación",$A275="Observado",$A275="En análisis",$A275="En instrucción",$A275="Suspendida",$A275="IT circulando",$A275="Para resolución",$A275="TDC"),"ABIERTA PERO ESTÁ EN FIRMADAS",IF($H275&lt;&gt;INDEX(firmadas!$F:$F,$T275),"FIRMA DISTINTA EN firmadas ("&amp;IF(INDEX(firmadas!$F:$F,$T275)="","vacía",DAY(INDEX(firmadas!$F:$F,$T275))&amp;"/"&amp;MONTH(INDEX(firmadas!$F:$F,$T275))&amp;"/"&amp;YEAR(INDEX(firmadas!$F:$F,$T275)))&amp;")",IF($G275&lt;&gt;INDEX(firmadas!$E:$E,$T275),"INGRESO DISTINTO EN firmadas ("&amp;IF(INDEX(firmadas!$E:$E,$T275)="","vacía",DAY(INDEX(firmadas!$E:$E,$T275))&amp;"/"&amp;MONTH(INDEX(firmadas!$E:$E,$T275))&amp;"/"&amp;YEAR(INDEX(firmadas!$E:$E,$T275)))&amp;")","OK"))))))))</f>
        <v/>
      </c>
      <c r="T275" t="str">
        <f ca="1">IF($P275="","",IFERROR(MATCH($P275,firmadas!$N:$N,0),IFERROR(MATCH("*/"&amp;MID($P275,FIND(" ",$P275)+1,9)&amp;"*",firmadas!$B:$B,0),0)))</f>
        <v/>
      </c>
    </row>
    <row r="276" spans="6:20" ht="15" customHeight="1" x14ac:dyDescent="0.25">
      <c r="F276" s="16"/>
      <c r="M276" s="53"/>
      <c r="N276" s="53" t="str">
        <f t="shared" ca="1" si="4"/>
        <v/>
      </c>
      <c r="P276" t="str">
        <f ca="1">IF(TRIM(SUBSTITUTE(($C276&amp;" "&amp;$D276),CHAR(160)," "))="","",IFERROR(IF(ISNUMBER(SEARCH("INC",($C276&amp;" "&amp;$D276))),"INC",IF(ISNUMBER(SEARCH("OPI",($C276&amp;" "&amp;$D276))),"OPI",IF(ISNUMBER(SEARCH("DP",($C276&amp;" "&amp;$D276))),"DP","CONC")))&amp;" "&amp;TEXT(LOOKUP(9.99E+307,--MID(SUBSTITUTE(($C276&amp;" "&amp;$D276),CHAR(160)," "),SUMPRODUCT(MIN(FIND({0,1,2,3,4,5,6,7,8,9},SUBSTITUTE(($C276&amp;" "&amp;$D276),CHAR(160)," ")&amp;"0123456789"))),ROW(INDIRECT("1:6")))),"0"),"SIN NUMERO"))</f>
        <v/>
      </c>
      <c r="Q276" t="str">
        <f ca="1">IF($P276="","",IF(LEFT(UPPER($S276),9)="VERIFICAR","VERIFICAR",IF($A276="","SIN ESTADO",IF(AND($A276="Firmada",$H276=""),"FALTA FECHA DE FIRMA",IF(N($T276)=0,IF(AND(ISNUMBER($H276),$H276&gt;=DATE(2024,1,1)),"FALTA EN FIRMADAS","OK"),IF(OR($A276="Pendiente de presentación",$A276="Observado",$A276="En análisis",$A276="En instrucción",$A276="Suspendida",$A276="IT circulando",$A276="Para resolución",$A276="TDC"),"ABIERTA PERO ESTÁ EN FIRMADAS",IF($H276&lt;&gt;INDEX(firmadas!$F:$F,$T276),"FIRMA DISTINTA EN firmadas ("&amp;IF(INDEX(firmadas!$F:$F,$T276)="","vacía",DAY(INDEX(firmadas!$F:$F,$T276))&amp;"/"&amp;MONTH(INDEX(firmadas!$F:$F,$T276))&amp;"/"&amp;YEAR(INDEX(firmadas!$F:$F,$T276)))&amp;")",IF($G276&lt;&gt;INDEX(firmadas!$E:$E,$T276),"INGRESO DISTINTO EN firmadas ("&amp;IF(INDEX(firmadas!$E:$E,$T276)="","vacía",DAY(INDEX(firmadas!$E:$E,$T276))&amp;"/"&amp;MONTH(INDEX(firmadas!$E:$E,$T276))&amp;"/"&amp;YEAR(INDEX(firmadas!$E:$E,$T276)))&amp;")","OK"))))))))</f>
        <v/>
      </c>
      <c r="T276" t="str">
        <f ca="1">IF($P276="","",IFERROR(MATCH($P276,firmadas!$N:$N,0),IFERROR(MATCH("*/"&amp;MID($P276,FIND(" ",$P276)+1,9)&amp;"*",firmadas!$B:$B,0),0)))</f>
        <v/>
      </c>
    </row>
    <row r="277" spans="6:20" ht="15" customHeight="1" x14ac:dyDescent="0.25">
      <c r="F277" s="16"/>
      <c r="M277" s="53"/>
      <c r="N277" s="53" t="str">
        <f t="shared" ca="1" si="4"/>
        <v/>
      </c>
      <c r="P277" t="str">
        <f ca="1">IF(TRIM(SUBSTITUTE(($C277&amp;" "&amp;$D277),CHAR(160)," "))="","",IFERROR(IF(ISNUMBER(SEARCH("INC",($C277&amp;" "&amp;$D277))),"INC",IF(ISNUMBER(SEARCH("OPI",($C277&amp;" "&amp;$D277))),"OPI",IF(ISNUMBER(SEARCH("DP",($C277&amp;" "&amp;$D277))),"DP","CONC")))&amp;" "&amp;TEXT(LOOKUP(9.99E+307,--MID(SUBSTITUTE(($C277&amp;" "&amp;$D277),CHAR(160)," "),SUMPRODUCT(MIN(FIND({0,1,2,3,4,5,6,7,8,9},SUBSTITUTE(($C277&amp;" "&amp;$D277),CHAR(160)," ")&amp;"0123456789"))),ROW(INDIRECT("1:6")))),"0"),"SIN NUMERO"))</f>
        <v/>
      </c>
      <c r="Q277" t="str">
        <f ca="1">IF($P277="","",IF(LEFT(UPPER($S277),9)="VERIFICAR","VERIFICAR",IF($A277="","SIN ESTADO",IF(AND($A277="Firmada",$H277=""),"FALTA FECHA DE FIRMA",IF(N($T277)=0,IF(AND(ISNUMBER($H277),$H277&gt;=DATE(2024,1,1)),"FALTA EN FIRMADAS","OK"),IF(OR($A277="Pendiente de presentación",$A277="Observado",$A277="En análisis",$A277="En instrucción",$A277="Suspendida",$A277="IT circulando",$A277="Para resolución",$A277="TDC"),"ABIERTA PERO ESTÁ EN FIRMADAS",IF($H277&lt;&gt;INDEX(firmadas!$F:$F,$T277),"FIRMA DISTINTA EN firmadas ("&amp;IF(INDEX(firmadas!$F:$F,$T277)="","vacía",DAY(INDEX(firmadas!$F:$F,$T277))&amp;"/"&amp;MONTH(INDEX(firmadas!$F:$F,$T277))&amp;"/"&amp;YEAR(INDEX(firmadas!$F:$F,$T277)))&amp;")",IF($G277&lt;&gt;INDEX(firmadas!$E:$E,$T277),"INGRESO DISTINTO EN firmadas ("&amp;IF(INDEX(firmadas!$E:$E,$T277)="","vacía",DAY(INDEX(firmadas!$E:$E,$T277))&amp;"/"&amp;MONTH(INDEX(firmadas!$E:$E,$T277))&amp;"/"&amp;YEAR(INDEX(firmadas!$E:$E,$T277)))&amp;")","OK"))))))))</f>
        <v/>
      </c>
      <c r="T277" t="str">
        <f ca="1">IF($P277="","",IFERROR(MATCH($P277,firmadas!$N:$N,0),IFERROR(MATCH("*/"&amp;MID($P277,FIND(" ",$P277)+1,9)&amp;"*",firmadas!$B:$B,0),0)))</f>
        <v/>
      </c>
    </row>
    <row r="278" spans="6:20" ht="15" customHeight="1" x14ac:dyDescent="0.25">
      <c r="F278" s="16"/>
      <c r="M278" s="53"/>
      <c r="N278" s="53" t="str">
        <f t="shared" ca="1" si="4"/>
        <v/>
      </c>
      <c r="P278" t="str">
        <f ca="1">IF(TRIM(SUBSTITUTE(($C278&amp;" "&amp;$D278),CHAR(160)," "))="","",IFERROR(IF(ISNUMBER(SEARCH("INC",($C278&amp;" "&amp;$D278))),"INC",IF(ISNUMBER(SEARCH("OPI",($C278&amp;" "&amp;$D278))),"OPI",IF(ISNUMBER(SEARCH("DP",($C278&amp;" "&amp;$D278))),"DP","CONC")))&amp;" "&amp;TEXT(LOOKUP(9.99E+307,--MID(SUBSTITUTE(($C278&amp;" "&amp;$D278),CHAR(160)," "),SUMPRODUCT(MIN(FIND({0,1,2,3,4,5,6,7,8,9},SUBSTITUTE(($C278&amp;" "&amp;$D278),CHAR(160)," ")&amp;"0123456789"))),ROW(INDIRECT("1:6")))),"0"),"SIN NUMERO"))</f>
        <v/>
      </c>
      <c r="Q278" t="str">
        <f ca="1">IF($P278="","",IF(LEFT(UPPER($S278),9)="VERIFICAR","VERIFICAR",IF($A278="","SIN ESTADO",IF(AND($A278="Firmada",$H278=""),"FALTA FECHA DE FIRMA",IF(N($T278)=0,IF(AND(ISNUMBER($H278),$H278&gt;=DATE(2024,1,1)),"FALTA EN FIRMADAS","OK"),IF(OR($A278="Pendiente de presentación",$A278="Observado",$A278="En análisis",$A278="En instrucción",$A278="Suspendida",$A278="IT circulando",$A278="Para resolución",$A278="TDC"),"ABIERTA PERO ESTÁ EN FIRMADAS",IF($H278&lt;&gt;INDEX(firmadas!$F:$F,$T278),"FIRMA DISTINTA EN firmadas ("&amp;IF(INDEX(firmadas!$F:$F,$T278)="","vacía",DAY(INDEX(firmadas!$F:$F,$T278))&amp;"/"&amp;MONTH(INDEX(firmadas!$F:$F,$T278))&amp;"/"&amp;YEAR(INDEX(firmadas!$F:$F,$T278)))&amp;")",IF($G278&lt;&gt;INDEX(firmadas!$E:$E,$T278),"INGRESO DISTINTO EN firmadas ("&amp;IF(INDEX(firmadas!$E:$E,$T278)="","vacía",DAY(INDEX(firmadas!$E:$E,$T278))&amp;"/"&amp;MONTH(INDEX(firmadas!$E:$E,$T278))&amp;"/"&amp;YEAR(INDEX(firmadas!$E:$E,$T278)))&amp;")","OK"))))))))</f>
        <v/>
      </c>
      <c r="T278" t="str">
        <f ca="1">IF($P278="","",IFERROR(MATCH($P278,firmadas!$N:$N,0),IFERROR(MATCH("*/"&amp;MID($P278,FIND(" ",$P278)+1,9)&amp;"*",firmadas!$B:$B,0),0)))</f>
        <v/>
      </c>
    </row>
    <row r="279" spans="6:20" ht="15" customHeight="1" x14ac:dyDescent="0.25">
      <c r="F279" s="16"/>
      <c r="M279" s="53"/>
      <c r="N279" s="53" t="str">
        <f t="shared" ca="1" si="4"/>
        <v/>
      </c>
      <c r="P279" t="str">
        <f ca="1">IF(TRIM(SUBSTITUTE(($C279&amp;" "&amp;$D279),CHAR(160)," "))="","",IFERROR(IF(ISNUMBER(SEARCH("INC",($C279&amp;" "&amp;$D279))),"INC",IF(ISNUMBER(SEARCH("OPI",($C279&amp;" "&amp;$D279))),"OPI",IF(ISNUMBER(SEARCH("DP",($C279&amp;" "&amp;$D279))),"DP","CONC")))&amp;" "&amp;TEXT(LOOKUP(9.99E+307,--MID(SUBSTITUTE(($C279&amp;" "&amp;$D279),CHAR(160)," "),SUMPRODUCT(MIN(FIND({0,1,2,3,4,5,6,7,8,9},SUBSTITUTE(($C279&amp;" "&amp;$D279),CHAR(160)," ")&amp;"0123456789"))),ROW(INDIRECT("1:6")))),"0"),"SIN NUMERO"))</f>
        <v/>
      </c>
      <c r="Q279" t="str">
        <f ca="1">IF($P279="","",IF(LEFT(UPPER($S279),9)="VERIFICAR","VERIFICAR",IF($A279="","SIN ESTADO",IF(AND($A279="Firmada",$H279=""),"FALTA FECHA DE FIRMA",IF(N($T279)=0,IF(AND(ISNUMBER($H279),$H279&gt;=DATE(2024,1,1)),"FALTA EN FIRMADAS","OK"),IF(OR($A279="Pendiente de presentación",$A279="Observado",$A279="En análisis",$A279="En instrucción",$A279="Suspendida",$A279="IT circulando",$A279="Para resolución",$A279="TDC"),"ABIERTA PERO ESTÁ EN FIRMADAS",IF($H279&lt;&gt;INDEX(firmadas!$F:$F,$T279),"FIRMA DISTINTA EN firmadas ("&amp;IF(INDEX(firmadas!$F:$F,$T279)="","vacía",DAY(INDEX(firmadas!$F:$F,$T279))&amp;"/"&amp;MONTH(INDEX(firmadas!$F:$F,$T279))&amp;"/"&amp;YEAR(INDEX(firmadas!$F:$F,$T279)))&amp;")",IF($G279&lt;&gt;INDEX(firmadas!$E:$E,$T279),"INGRESO DISTINTO EN firmadas ("&amp;IF(INDEX(firmadas!$E:$E,$T279)="","vacía",DAY(INDEX(firmadas!$E:$E,$T279))&amp;"/"&amp;MONTH(INDEX(firmadas!$E:$E,$T279))&amp;"/"&amp;YEAR(INDEX(firmadas!$E:$E,$T279)))&amp;")","OK"))))))))</f>
        <v/>
      </c>
      <c r="T279" t="str">
        <f ca="1">IF($P279="","",IFERROR(MATCH($P279,firmadas!$N:$N,0),IFERROR(MATCH("*/"&amp;MID($P279,FIND(" ",$P279)+1,9)&amp;"*",firmadas!$B:$B,0),0)))</f>
        <v/>
      </c>
    </row>
    <row r="280" spans="6:20" ht="15" customHeight="1" x14ac:dyDescent="0.25">
      <c r="F280" s="16"/>
      <c r="M280" s="53"/>
      <c r="N280" s="53" t="str">
        <f t="shared" ca="1" si="4"/>
        <v/>
      </c>
      <c r="P280" t="str">
        <f ca="1">IF(TRIM(SUBSTITUTE(($C280&amp;" "&amp;$D280),CHAR(160)," "))="","",IFERROR(IF(ISNUMBER(SEARCH("INC",($C280&amp;" "&amp;$D280))),"INC",IF(ISNUMBER(SEARCH("OPI",($C280&amp;" "&amp;$D280))),"OPI",IF(ISNUMBER(SEARCH("DP",($C280&amp;" "&amp;$D280))),"DP","CONC")))&amp;" "&amp;TEXT(LOOKUP(9.99E+307,--MID(SUBSTITUTE(($C280&amp;" "&amp;$D280),CHAR(160)," "),SUMPRODUCT(MIN(FIND({0,1,2,3,4,5,6,7,8,9},SUBSTITUTE(($C280&amp;" "&amp;$D280),CHAR(160)," ")&amp;"0123456789"))),ROW(INDIRECT("1:6")))),"0"),"SIN NUMERO"))</f>
        <v/>
      </c>
      <c r="Q280" t="str">
        <f ca="1">IF($P280="","",IF(LEFT(UPPER($S280),9)="VERIFICAR","VERIFICAR",IF($A280="","SIN ESTADO",IF(AND($A280="Firmada",$H280=""),"FALTA FECHA DE FIRMA",IF(N($T280)=0,IF(AND(ISNUMBER($H280),$H280&gt;=DATE(2024,1,1)),"FALTA EN FIRMADAS","OK"),IF(OR($A280="Pendiente de presentación",$A280="Observado",$A280="En análisis",$A280="En instrucción",$A280="Suspendida",$A280="IT circulando",$A280="Para resolución",$A280="TDC"),"ABIERTA PERO ESTÁ EN FIRMADAS",IF($H280&lt;&gt;INDEX(firmadas!$F:$F,$T280),"FIRMA DISTINTA EN firmadas ("&amp;IF(INDEX(firmadas!$F:$F,$T280)="","vacía",DAY(INDEX(firmadas!$F:$F,$T280))&amp;"/"&amp;MONTH(INDEX(firmadas!$F:$F,$T280))&amp;"/"&amp;YEAR(INDEX(firmadas!$F:$F,$T280)))&amp;")",IF($G280&lt;&gt;INDEX(firmadas!$E:$E,$T280),"INGRESO DISTINTO EN firmadas ("&amp;IF(INDEX(firmadas!$E:$E,$T280)="","vacía",DAY(INDEX(firmadas!$E:$E,$T280))&amp;"/"&amp;MONTH(INDEX(firmadas!$E:$E,$T280))&amp;"/"&amp;YEAR(INDEX(firmadas!$E:$E,$T280)))&amp;")","OK"))))))))</f>
        <v/>
      </c>
      <c r="T280" t="str">
        <f ca="1">IF($P280="","",IFERROR(MATCH($P280,firmadas!$N:$N,0),IFERROR(MATCH("*/"&amp;MID($P280,FIND(" ",$P280)+1,9)&amp;"*",firmadas!$B:$B,0),0)))</f>
        <v/>
      </c>
    </row>
    <row r="281" spans="6:20" ht="15" customHeight="1" x14ac:dyDescent="0.25">
      <c r="F281" s="16"/>
      <c r="M281" s="53"/>
      <c r="N281" s="53" t="str">
        <f t="shared" ca="1" si="4"/>
        <v/>
      </c>
      <c r="P281" t="str">
        <f ca="1">IF(TRIM(SUBSTITUTE(($C281&amp;" "&amp;$D281),CHAR(160)," "))="","",IFERROR(IF(ISNUMBER(SEARCH("INC",($C281&amp;" "&amp;$D281))),"INC",IF(ISNUMBER(SEARCH("OPI",($C281&amp;" "&amp;$D281))),"OPI",IF(ISNUMBER(SEARCH("DP",($C281&amp;" "&amp;$D281))),"DP","CONC")))&amp;" "&amp;TEXT(LOOKUP(9.99E+307,--MID(SUBSTITUTE(($C281&amp;" "&amp;$D281),CHAR(160)," "),SUMPRODUCT(MIN(FIND({0,1,2,3,4,5,6,7,8,9},SUBSTITUTE(($C281&amp;" "&amp;$D281),CHAR(160)," ")&amp;"0123456789"))),ROW(INDIRECT("1:6")))),"0"),"SIN NUMERO"))</f>
        <v/>
      </c>
      <c r="Q281" t="str">
        <f ca="1">IF($P281="","",IF(LEFT(UPPER($S281),9)="VERIFICAR","VERIFICAR",IF($A281="","SIN ESTADO",IF(AND($A281="Firmada",$H281=""),"FALTA FECHA DE FIRMA",IF(N($T281)=0,IF(AND(ISNUMBER($H281),$H281&gt;=DATE(2024,1,1)),"FALTA EN FIRMADAS","OK"),IF(OR($A281="Pendiente de presentación",$A281="Observado",$A281="En análisis",$A281="En instrucción",$A281="Suspendida",$A281="IT circulando",$A281="Para resolución",$A281="TDC"),"ABIERTA PERO ESTÁ EN FIRMADAS",IF($H281&lt;&gt;INDEX(firmadas!$F:$F,$T281),"FIRMA DISTINTA EN firmadas ("&amp;IF(INDEX(firmadas!$F:$F,$T281)="","vacía",DAY(INDEX(firmadas!$F:$F,$T281))&amp;"/"&amp;MONTH(INDEX(firmadas!$F:$F,$T281))&amp;"/"&amp;YEAR(INDEX(firmadas!$F:$F,$T281)))&amp;")",IF($G281&lt;&gt;INDEX(firmadas!$E:$E,$T281),"INGRESO DISTINTO EN firmadas ("&amp;IF(INDEX(firmadas!$E:$E,$T281)="","vacía",DAY(INDEX(firmadas!$E:$E,$T281))&amp;"/"&amp;MONTH(INDEX(firmadas!$E:$E,$T281))&amp;"/"&amp;YEAR(INDEX(firmadas!$E:$E,$T281)))&amp;")","OK"))))))))</f>
        <v/>
      </c>
      <c r="T281" t="str">
        <f ca="1">IF($P281="","",IFERROR(MATCH($P281,firmadas!$N:$N,0),IFERROR(MATCH("*/"&amp;MID($P281,FIND(" ",$P281)+1,9)&amp;"*",firmadas!$B:$B,0),0)))</f>
        <v/>
      </c>
    </row>
    <row r="282" spans="6:20" ht="15" customHeight="1" x14ac:dyDescent="0.25">
      <c r="F282" s="16"/>
      <c r="M282" s="53"/>
      <c r="N282" s="53" t="str">
        <f t="shared" ca="1" si="4"/>
        <v/>
      </c>
      <c r="P282" t="str">
        <f ca="1">IF(TRIM(SUBSTITUTE(($C282&amp;" "&amp;$D282),CHAR(160)," "))="","",IFERROR(IF(ISNUMBER(SEARCH("INC",($C282&amp;" "&amp;$D282))),"INC",IF(ISNUMBER(SEARCH("OPI",($C282&amp;" "&amp;$D282))),"OPI",IF(ISNUMBER(SEARCH("DP",($C282&amp;" "&amp;$D282))),"DP","CONC")))&amp;" "&amp;TEXT(LOOKUP(9.99E+307,--MID(SUBSTITUTE(($C282&amp;" "&amp;$D282),CHAR(160)," "),SUMPRODUCT(MIN(FIND({0,1,2,3,4,5,6,7,8,9},SUBSTITUTE(($C282&amp;" "&amp;$D282),CHAR(160)," ")&amp;"0123456789"))),ROW(INDIRECT("1:6")))),"0"),"SIN NUMERO"))</f>
        <v/>
      </c>
      <c r="Q282" t="str">
        <f ca="1">IF($P282="","",IF(LEFT(UPPER($S282),9)="VERIFICAR","VERIFICAR",IF($A282="","SIN ESTADO",IF(AND($A282="Firmada",$H282=""),"FALTA FECHA DE FIRMA",IF(N($T282)=0,IF(AND(ISNUMBER($H282),$H282&gt;=DATE(2024,1,1)),"FALTA EN FIRMADAS","OK"),IF(OR($A282="Pendiente de presentación",$A282="Observado",$A282="En análisis",$A282="En instrucción",$A282="Suspendida",$A282="IT circulando",$A282="Para resolución",$A282="TDC"),"ABIERTA PERO ESTÁ EN FIRMADAS",IF($H282&lt;&gt;INDEX(firmadas!$F:$F,$T282),"FIRMA DISTINTA EN firmadas ("&amp;IF(INDEX(firmadas!$F:$F,$T282)="","vacía",DAY(INDEX(firmadas!$F:$F,$T282))&amp;"/"&amp;MONTH(INDEX(firmadas!$F:$F,$T282))&amp;"/"&amp;YEAR(INDEX(firmadas!$F:$F,$T282)))&amp;")",IF($G282&lt;&gt;INDEX(firmadas!$E:$E,$T282),"INGRESO DISTINTO EN firmadas ("&amp;IF(INDEX(firmadas!$E:$E,$T282)="","vacía",DAY(INDEX(firmadas!$E:$E,$T282))&amp;"/"&amp;MONTH(INDEX(firmadas!$E:$E,$T282))&amp;"/"&amp;YEAR(INDEX(firmadas!$E:$E,$T282)))&amp;")","OK"))))))))</f>
        <v/>
      </c>
      <c r="T282" t="str">
        <f ca="1">IF($P282="","",IFERROR(MATCH($P282,firmadas!$N:$N,0),IFERROR(MATCH("*/"&amp;MID($P282,FIND(" ",$P282)+1,9)&amp;"*",firmadas!$B:$B,0),0)))</f>
        <v/>
      </c>
    </row>
    <row r="283" spans="6:20" ht="15" customHeight="1" x14ac:dyDescent="0.25">
      <c r="F283" s="16"/>
      <c r="M283" s="53"/>
      <c r="N283" s="53" t="str">
        <f t="shared" ca="1" si="4"/>
        <v/>
      </c>
      <c r="P283" t="str">
        <f ca="1">IF(TRIM(SUBSTITUTE(($C283&amp;" "&amp;$D283),CHAR(160)," "))="","",IFERROR(IF(ISNUMBER(SEARCH("INC",($C283&amp;" "&amp;$D283))),"INC",IF(ISNUMBER(SEARCH("OPI",($C283&amp;" "&amp;$D283))),"OPI",IF(ISNUMBER(SEARCH("DP",($C283&amp;" "&amp;$D283))),"DP","CONC")))&amp;" "&amp;TEXT(LOOKUP(9.99E+307,--MID(SUBSTITUTE(($C283&amp;" "&amp;$D283),CHAR(160)," "),SUMPRODUCT(MIN(FIND({0,1,2,3,4,5,6,7,8,9},SUBSTITUTE(($C283&amp;" "&amp;$D283),CHAR(160)," ")&amp;"0123456789"))),ROW(INDIRECT("1:6")))),"0"),"SIN NUMERO"))</f>
        <v/>
      </c>
      <c r="Q283" t="str">
        <f ca="1">IF($P283="","",IF(LEFT(UPPER($S283),9)="VERIFICAR","VERIFICAR",IF($A283="","SIN ESTADO",IF(AND($A283="Firmada",$H283=""),"FALTA FECHA DE FIRMA",IF(N($T283)=0,IF(AND(ISNUMBER($H283),$H283&gt;=DATE(2024,1,1)),"FALTA EN FIRMADAS","OK"),IF(OR($A283="Pendiente de presentación",$A283="Observado",$A283="En análisis",$A283="En instrucción",$A283="Suspendida",$A283="IT circulando",$A283="Para resolución",$A283="TDC"),"ABIERTA PERO ESTÁ EN FIRMADAS",IF($H283&lt;&gt;INDEX(firmadas!$F:$F,$T283),"FIRMA DISTINTA EN firmadas ("&amp;IF(INDEX(firmadas!$F:$F,$T283)="","vacía",DAY(INDEX(firmadas!$F:$F,$T283))&amp;"/"&amp;MONTH(INDEX(firmadas!$F:$F,$T283))&amp;"/"&amp;YEAR(INDEX(firmadas!$F:$F,$T283)))&amp;")",IF($G283&lt;&gt;INDEX(firmadas!$E:$E,$T283),"INGRESO DISTINTO EN firmadas ("&amp;IF(INDEX(firmadas!$E:$E,$T283)="","vacía",DAY(INDEX(firmadas!$E:$E,$T283))&amp;"/"&amp;MONTH(INDEX(firmadas!$E:$E,$T283))&amp;"/"&amp;YEAR(INDEX(firmadas!$E:$E,$T283)))&amp;")","OK"))))))))</f>
        <v/>
      </c>
      <c r="T283" t="str">
        <f ca="1">IF($P283="","",IFERROR(MATCH($P283,firmadas!$N:$N,0),IFERROR(MATCH("*/"&amp;MID($P283,FIND(" ",$P283)+1,9)&amp;"*",firmadas!$B:$B,0),0)))</f>
        <v/>
      </c>
    </row>
    <row r="284" spans="6:20" ht="15" customHeight="1" x14ac:dyDescent="0.25">
      <c r="F284" s="16"/>
      <c r="M284" s="53"/>
      <c r="N284" s="53" t="str">
        <f t="shared" ca="1" si="4"/>
        <v/>
      </c>
      <c r="P284" t="str">
        <f ca="1">IF(TRIM(SUBSTITUTE(($C284&amp;" "&amp;$D284),CHAR(160)," "))="","",IFERROR(IF(ISNUMBER(SEARCH("INC",($C284&amp;" "&amp;$D284))),"INC",IF(ISNUMBER(SEARCH("OPI",($C284&amp;" "&amp;$D284))),"OPI",IF(ISNUMBER(SEARCH("DP",($C284&amp;" "&amp;$D284))),"DP","CONC")))&amp;" "&amp;TEXT(LOOKUP(9.99E+307,--MID(SUBSTITUTE(($C284&amp;" "&amp;$D284),CHAR(160)," "),SUMPRODUCT(MIN(FIND({0,1,2,3,4,5,6,7,8,9},SUBSTITUTE(($C284&amp;" "&amp;$D284),CHAR(160)," ")&amp;"0123456789"))),ROW(INDIRECT("1:6")))),"0"),"SIN NUMERO"))</f>
        <v/>
      </c>
      <c r="Q284" t="str">
        <f ca="1">IF($P284="","",IF(LEFT(UPPER($S284),9)="VERIFICAR","VERIFICAR",IF($A284="","SIN ESTADO",IF(AND($A284="Firmada",$H284=""),"FALTA FECHA DE FIRMA",IF(N($T284)=0,IF(AND(ISNUMBER($H284),$H284&gt;=DATE(2024,1,1)),"FALTA EN FIRMADAS","OK"),IF(OR($A284="Pendiente de presentación",$A284="Observado",$A284="En análisis",$A284="En instrucción",$A284="Suspendida",$A284="IT circulando",$A284="Para resolución",$A284="TDC"),"ABIERTA PERO ESTÁ EN FIRMADAS",IF($H284&lt;&gt;INDEX(firmadas!$F:$F,$T284),"FIRMA DISTINTA EN firmadas ("&amp;IF(INDEX(firmadas!$F:$F,$T284)="","vacía",DAY(INDEX(firmadas!$F:$F,$T284))&amp;"/"&amp;MONTH(INDEX(firmadas!$F:$F,$T284))&amp;"/"&amp;YEAR(INDEX(firmadas!$F:$F,$T284)))&amp;")",IF($G284&lt;&gt;INDEX(firmadas!$E:$E,$T284),"INGRESO DISTINTO EN firmadas ("&amp;IF(INDEX(firmadas!$E:$E,$T284)="","vacía",DAY(INDEX(firmadas!$E:$E,$T284))&amp;"/"&amp;MONTH(INDEX(firmadas!$E:$E,$T284))&amp;"/"&amp;YEAR(INDEX(firmadas!$E:$E,$T284)))&amp;")","OK"))))))))</f>
        <v/>
      </c>
      <c r="T284" t="str">
        <f ca="1">IF($P284="","",IFERROR(MATCH($P284,firmadas!$N:$N,0),IFERROR(MATCH("*/"&amp;MID($P284,FIND(" ",$P284)+1,9)&amp;"*",firmadas!$B:$B,0),0)))</f>
        <v/>
      </c>
    </row>
    <row r="285" spans="6:20" ht="15" customHeight="1" x14ac:dyDescent="0.25">
      <c r="F285" s="16"/>
      <c r="M285" s="53"/>
      <c r="N285" s="53" t="str">
        <f t="shared" ca="1" si="4"/>
        <v/>
      </c>
      <c r="P285" t="str">
        <f ca="1">IF(TRIM(SUBSTITUTE(($C285&amp;" "&amp;$D285),CHAR(160)," "))="","",IFERROR(IF(ISNUMBER(SEARCH("INC",($C285&amp;" "&amp;$D285))),"INC",IF(ISNUMBER(SEARCH("OPI",($C285&amp;" "&amp;$D285))),"OPI",IF(ISNUMBER(SEARCH("DP",($C285&amp;" "&amp;$D285))),"DP","CONC")))&amp;" "&amp;TEXT(LOOKUP(9.99E+307,--MID(SUBSTITUTE(($C285&amp;" "&amp;$D285),CHAR(160)," "),SUMPRODUCT(MIN(FIND({0,1,2,3,4,5,6,7,8,9},SUBSTITUTE(($C285&amp;" "&amp;$D285),CHAR(160)," ")&amp;"0123456789"))),ROW(INDIRECT("1:6")))),"0"),"SIN NUMERO"))</f>
        <v/>
      </c>
      <c r="Q285" t="str">
        <f ca="1">IF($P285="","",IF(LEFT(UPPER($S285),9)="VERIFICAR","VERIFICAR",IF($A285="","SIN ESTADO",IF(AND($A285="Firmada",$H285=""),"FALTA FECHA DE FIRMA",IF(N($T285)=0,IF(AND(ISNUMBER($H285),$H285&gt;=DATE(2024,1,1)),"FALTA EN FIRMADAS","OK"),IF(OR($A285="Pendiente de presentación",$A285="Observado",$A285="En análisis",$A285="En instrucción",$A285="Suspendida",$A285="IT circulando",$A285="Para resolución",$A285="TDC"),"ABIERTA PERO ESTÁ EN FIRMADAS",IF($H285&lt;&gt;INDEX(firmadas!$F:$F,$T285),"FIRMA DISTINTA EN firmadas ("&amp;IF(INDEX(firmadas!$F:$F,$T285)="","vacía",DAY(INDEX(firmadas!$F:$F,$T285))&amp;"/"&amp;MONTH(INDEX(firmadas!$F:$F,$T285))&amp;"/"&amp;YEAR(INDEX(firmadas!$F:$F,$T285)))&amp;")",IF($G285&lt;&gt;INDEX(firmadas!$E:$E,$T285),"INGRESO DISTINTO EN firmadas ("&amp;IF(INDEX(firmadas!$E:$E,$T285)="","vacía",DAY(INDEX(firmadas!$E:$E,$T285))&amp;"/"&amp;MONTH(INDEX(firmadas!$E:$E,$T285))&amp;"/"&amp;YEAR(INDEX(firmadas!$E:$E,$T285)))&amp;")","OK"))))))))</f>
        <v/>
      </c>
      <c r="T285" t="str">
        <f ca="1">IF($P285="","",IFERROR(MATCH($P285,firmadas!$N:$N,0),IFERROR(MATCH("*/"&amp;MID($P285,FIND(" ",$P285)+1,9)&amp;"*",firmadas!$B:$B,0),0)))</f>
        <v/>
      </c>
    </row>
    <row r="286" spans="6:20" ht="15" customHeight="1" x14ac:dyDescent="0.25">
      <c r="F286" s="16"/>
      <c r="M286" s="53"/>
      <c r="N286" s="53" t="str">
        <f t="shared" ca="1" si="4"/>
        <v/>
      </c>
      <c r="P286" t="str">
        <f ca="1">IF(TRIM(SUBSTITUTE(($C286&amp;" "&amp;$D286),CHAR(160)," "))="","",IFERROR(IF(ISNUMBER(SEARCH("INC",($C286&amp;" "&amp;$D286))),"INC",IF(ISNUMBER(SEARCH("OPI",($C286&amp;" "&amp;$D286))),"OPI",IF(ISNUMBER(SEARCH("DP",($C286&amp;" "&amp;$D286))),"DP","CONC")))&amp;" "&amp;TEXT(LOOKUP(9.99E+307,--MID(SUBSTITUTE(($C286&amp;" "&amp;$D286),CHAR(160)," "),SUMPRODUCT(MIN(FIND({0,1,2,3,4,5,6,7,8,9},SUBSTITUTE(($C286&amp;" "&amp;$D286),CHAR(160)," ")&amp;"0123456789"))),ROW(INDIRECT("1:6")))),"0"),"SIN NUMERO"))</f>
        <v/>
      </c>
      <c r="Q286" t="str">
        <f ca="1">IF($P286="","",IF(LEFT(UPPER($S286),9)="VERIFICAR","VERIFICAR",IF($A286="","SIN ESTADO",IF(AND($A286="Firmada",$H286=""),"FALTA FECHA DE FIRMA",IF(N($T286)=0,IF(AND(ISNUMBER($H286),$H286&gt;=DATE(2024,1,1)),"FALTA EN FIRMADAS","OK"),IF(OR($A286="Pendiente de presentación",$A286="Observado",$A286="En análisis",$A286="En instrucción",$A286="Suspendida",$A286="IT circulando",$A286="Para resolución",$A286="TDC"),"ABIERTA PERO ESTÁ EN FIRMADAS",IF($H286&lt;&gt;INDEX(firmadas!$F:$F,$T286),"FIRMA DISTINTA EN firmadas ("&amp;IF(INDEX(firmadas!$F:$F,$T286)="","vacía",DAY(INDEX(firmadas!$F:$F,$T286))&amp;"/"&amp;MONTH(INDEX(firmadas!$F:$F,$T286))&amp;"/"&amp;YEAR(INDEX(firmadas!$F:$F,$T286)))&amp;")",IF($G286&lt;&gt;INDEX(firmadas!$E:$E,$T286),"INGRESO DISTINTO EN firmadas ("&amp;IF(INDEX(firmadas!$E:$E,$T286)="","vacía",DAY(INDEX(firmadas!$E:$E,$T286))&amp;"/"&amp;MONTH(INDEX(firmadas!$E:$E,$T286))&amp;"/"&amp;YEAR(INDEX(firmadas!$E:$E,$T286)))&amp;")","OK"))))))))</f>
        <v/>
      </c>
      <c r="T286" t="str">
        <f ca="1">IF($P286="","",IFERROR(MATCH($P286,firmadas!$N:$N,0),IFERROR(MATCH("*/"&amp;MID($P286,FIND(" ",$P286)+1,9)&amp;"*",firmadas!$B:$B,0),0)))</f>
        <v/>
      </c>
    </row>
    <row r="287" spans="6:20" ht="15" customHeight="1" x14ac:dyDescent="0.25">
      <c r="F287" s="16"/>
      <c r="M287" s="53"/>
      <c r="N287" s="53" t="str">
        <f t="shared" ca="1" si="4"/>
        <v/>
      </c>
      <c r="P287" t="str">
        <f ca="1">IF(TRIM(SUBSTITUTE(($C287&amp;" "&amp;$D287),CHAR(160)," "))="","",IFERROR(IF(ISNUMBER(SEARCH("INC",($C287&amp;" "&amp;$D287))),"INC",IF(ISNUMBER(SEARCH("OPI",($C287&amp;" "&amp;$D287))),"OPI",IF(ISNUMBER(SEARCH("DP",($C287&amp;" "&amp;$D287))),"DP","CONC")))&amp;" "&amp;TEXT(LOOKUP(9.99E+307,--MID(SUBSTITUTE(($C287&amp;" "&amp;$D287),CHAR(160)," "),SUMPRODUCT(MIN(FIND({0,1,2,3,4,5,6,7,8,9},SUBSTITUTE(($C287&amp;" "&amp;$D287),CHAR(160)," ")&amp;"0123456789"))),ROW(INDIRECT("1:6")))),"0"),"SIN NUMERO"))</f>
        <v/>
      </c>
      <c r="Q287" t="str">
        <f ca="1">IF($P287="","",IF(LEFT(UPPER($S287),9)="VERIFICAR","VERIFICAR",IF($A287="","SIN ESTADO",IF(AND($A287="Firmada",$H287=""),"FALTA FECHA DE FIRMA",IF(N($T287)=0,IF(AND(ISNUMBER($H287),$H287&gt;=DATE(2024,1,1)),"FALTA EN FIRMADAS","OK"),IF(OR($A287="Pendiente de presentación",$A287="Observado",$A287="En análisis",$A287="En instrucción",$A287="Suspendida",$A287="IT circulando",$A287="Para resolución",$A287="TDC"),"ABIERTA PERO ESTÁ EN FIRMADAS",IF($H287&lt;&gt;INDEX(firmadas!$F:$F,$T287),"FIRMA DISTINTA EN firmadas ("&amp;IF(INDEX(firmadas!$F:$F,$T287)="","vacía",DAY(INDEX(firmadas!$F:$F,$T287))&amp;"/"&amp;MONTH(INDEX(firmadas!$F:$F,$T287))&amp;"/"&amp;YEAR(INDEX(firmadas!$F:$F,$T287)))&amp;")",IF($G287&lt;&gt;INDEX(firmadas!$E:$E,$T287),"INGRESO DISTINTO EN firmadas ("&amp;IF(INDEX(firmadas!$E:$E,$T287)="","vacía",DAY(INDEX(firmadas!$E:$E,$T287))&amp;"/"&amp;MONTH(INDEX(firmadas!$E:$E,$T287))&amp;"/"&amp;YEAR(INDEX(firmadas!$E:$E,$T287)))&amp;")","OK"))))))))</f>
        <v/>
      </c>
      <c r="T287" t="str">
        <f ca="1">IF($P287="","",IFERROR(MATCH($P287,firmadas!$N:$N,0),IFERROR(MATCH("*/"&amp;MID($P287,FIND(" ",$P287)+1,9)&amp;"*",firmadas!$B:$B,0),0)))</f>
        <v/>
      </c>
    </row>
    <row r="288" spans="6:20" ht="15" customHeight="1" x14ac:dyDescent="0.25">
      <c r="F288" s="16"/>
      <c r="M288" s="53"/>
      <c r="N288" s="53" t="str">
        <f t="shared" ca="1" si="4"/>
        <v/>
      </c>
      <c r="P288" t="str">
        <f ca="1">IF(TRIM(SUBSTITUTE(($C288&amp;" "&amp;$D288),CHAR(160)," "))="","",IFERROR(IF(ISNUMBER(SEARCH("INC",($C288&amp;" "&amp;$D288))),"INC",IF(ISNUMBER(SEARCH("OPI",($C288&amp;" "&amp;$D288))),"OPI",IF(ISNUMBER(SEARCH("DP",($C288&amp;" "&amp;$D288))),"DP","CONC")))&amp;" "&amp;TEXT(LOOKUP(9.99E+307,--MID(SUBSTITUTE(($C288&amp;" "&amp;$D288),CHAR(160)," "),SUMPRODUCT(MIN(FIND({0,1,2,3,4,5,6,7,8,9},SUBSTITUTE(($C288&amp;" "&amp;$D288),CHAR(160)," ")&amp;"0123456789"))),ROW(INDIRECT("1:6")))),"0"),"SIN NUMERO"))</f>
        <v/>
      </c>
      <c r="Q288" t="str">
        <f ca="1">IF($P288="","",IF(LEFT(UPPER($S288),9)="VERIFICAR","VERIFICAR",IF($A288="","SIN ESTADO",IF(AND($A288="Firmada",$H288=""),"FALTA FECHA DE FIRMA",IF(N($T288)=0,IF(AND(ISNUMBER($H288),$H288&gt;=DATE(2024,1,1)),"FALTA EN FIRMADAS","OK"),IF(OR($A288="Pendiente de presentación",$A288="Observado",$A288="En análisis",$A288="En instrucción",$A288="Suspendida",$A288="IT circulando",$A288="Para resolución",$A288="TDC"),"ABIERTA PERO ESTÁ EN FIRMADAS",IF($H288&lt;&gt;INDEX(firmadas!$F:$F,$T288),"FIRMA DISTINTA EN firmadas ("&amp;IF(INDEX(firmadas!$F:$F,$T288)="","vacía",DAY(INDEX(firmadas!$F:$F,$T288))&amp;"/"&amp;MONTH(INDEX(firmadas!$F:$F,$T288))&amp;"/"&amp;YEAR(INDEX(firmadas!$F:$F,$T288)))&amp;")",IF($G288&lt;&gt;INDEX(firmadas!$E:$E,$T288),"INGRESO DISTINTO EN firmadas ("&amp;IF(INDEX(firmadas!$E:$E,$T288)="","vacía",DAY(INDEX(firmadas!$E:$E,$T288))&amp;"/"&amp;MONTH(INDEX(firmadas!$E:$E,$T288))&amp;"/"&amp;YEAR(INDEX(firmadas!$E:$E,$T288)))&amp;")","OK"))))))))</f>
        <v/>
      </c>
      <c r="T288" t="str">
        <f ca="1">IF($P288="","",IFERROR(MATCH($P288,firmadas!$N:$N,0),IFERROR(MATCH("*/"&amp;MID($P288,FIND(" ",$P288)+1,9)&amp;"*",firmadas!$B:$B,0),0)))</f>
        <v/>
      </c>
    </row>
    <row r="289" spans="6:20" ht="15" customHeight="1" x14ac:dyDescent="0.25">
      <c r="F289" s="16"/>
      <c r="M289" s="53"/>
      <c r="N289" s="53" t="str">
        <f t="shared" ca="1" si="4"/>
        <v/>
      </c>
      <c r="P289" t="str">
        <f ca="1">IF(TRIM(SUBSTITUTE(($C289&amp;" "&amp;$D289),CHAR(160)," "))="","",IFERROR(IF(ISNUMBER(SEARCH("INC",($C289&amp;" "&amp;$D289))),"INC",IF(ISNUMBER(SEARCH("OPI",($C289&amp;" "&amp;$D289))),"OPI",IF(ISNUMBER(SEARCH("DP",($C289&amp;" "&amp;$D289))),"DP","CONC")))&amp;" "&amp;TEXT(LOOKUP(9.99E+307,--MID(SUBSTITUTE(($C289&amp;" "&amp;$D289),CHAR(160)," "),SUMPRODUCT(MIN(FIND({0,1,2,3,4,5,6,7,8,9},SUBSTITUTE(($C289&amp;" "&amp;$D289),CHAR(160)," ")&amp;"0123456789"))),ROW(INDIRECT("1:6")))),"0"),"SIN NUMERO"))</f>
        <v/>
      </c>
      <c r="Q289" t="str">
        <f ca="1">IF($P289="","",IF(LEFT(UPPER($S289),9)="VERIFICAR","VERIFICAR",IF($A289="","SIN ESTADO",IF(AND($A289="Firmada",$H289=""),"FALTA FECHA DE FIRMA",IF(N($T289)=0,IF(AND(ISNUMBER($H289),$H289&gt;=DATE(2024,1,1)),"FALTA EN FIRMADAS","OK"),IF(OR($A289="Pendiente de presentación",$A289="Observado",$A289="En análisis",$A289="En instrucción",$A289="Suspendida",$A289="IT circulando",$A289="Para resolución",$A289="TDC"),"ABIERTA PERO ESTÁ EN FIRMADAS",IF($H289&lt;&gt;INDEX(firmadas!$F:$F,$T289),"FIRMA DISTINTA EN firmadas ("&amp;IF(INDEX(firmadas!$F:$F,$T289)="","vacía",DAY(INDEX(firmadas!$F:$F,$T289))&amp;"/"&amp;MONTH(INDEX(firmadas!$F:$F,$T289))&amp;"/"&amp;YEAR(INDEX(firmadas!$F:$F,$T289)))&amp;")",IF($G289&lt;&gt;INDEX(firmadas!$E:$E,$T289),"INGRESO DISTINTO EN firmadas ("&amp;IF(INDEX(firmadas!$E:$E,$T289)="","vacía",DAY(INDEX(firmadas!$E:$E,$T289))&amp;"/"&amp;MONTH(INDEX(firmadas!$E:$E,$T289))&amp;"/"&amp;YEAR(INDEX(firmadas!$E:$E,$T289)))&amp;")","OK"))))))))</f>
        <v/>
      </c>
      <c r="T289" t="str">
        <f ca="1">IF($P289="","",IFERROR(MATCH($P289,firmadas!$N:$N,0),IFERROR(MATCH("*/"&amp;MID($P289,FIND(" ",$P289)+1,9)&amp;"*",firmadas!$B:$B,0),0)))</f>
        <v/>
      </c>
    </row>
    <row r="290" spans="6:20" ht="15" customHeight="1" x14ac:dyDescent="0.25">
      <c r="F290" s="16"/>
      <c r="M290" s="53"/>
      <c r="N290" s="53" t="str">
        <f t="shared" ca="1" si="4"/>
        <v/>
      </c>
      <c r="P290" t="str">
        <f ca="1">IF(TRIM(SUBSTITUTE(($C290&amp;" "&amp;$D290),CHAR(160)," "))="","",IFERROR(IF(ISNUMBER(SEARCH("INC",($C290&amp;" "&amp;$D290))),"INC",IF(ISNUMBER(SEARCH("OPI",($C290&amp;" "&amp;$D290))),"OPI",IF(ISNUMBER(SEARCH("DP",($C290&amp;" "&amp;$D290))),"DP","CONC")))&amp;" "&amp;TEXT(LOOKUP(9.99E+307,--MID(SUBSTITUTE(($C290&amp;" "&amp;$D290),CHAR(160)," "),SUMPRODUCT(MIN(FIND({0,1,2,3,4,5,6,7,8,9},SUBSTITUTE(($C290&amp;" "&amp;$D290),CHAR(160)," ")&amp;"0123456789"))),ROW(INDIRECT("1:6")))),"0"),"SIN NUMERO"))</f>
        <v/>
      </c>
      <c r="Q290" t="str">
        <f ca="1">IF($P290="","",IF(LEFT(UPPER($S290),9)="VERIFICAR","VERIFICAR",IF($A290="","SIN ESTADO",IF(AND($A290="Firmada",$H290=""),"FALTA FECHA DE FIRMA",IF(N($T290)=0,IF(AND(ISNUMBER($H290),$H290&gt;=DATE(2024,1,1)),"FALTA EN FIRMADAS","OK"),IF(OR($A290="Pendiente de presentación",$A290="Observado",$A290="En análisis",$A290="En instrucción",$A290="Suspendida",$A290="IT circulando",$A290="Para resolución",$A290="TDC"),"ABIERTA PERO ESTÁ EN FIRMADAS",IF($H290&lt;&gt;INDEX(firmadas!$F:$F,$T290),"FIRMA DISTINTA EN firmadas ("&amp;IF(INDEX(firmadas!$F:$F,$T290)="","vacía",DAY(INDEX(firmadas!$F:$F,$T290))&amp;"/"&amp;MONTH(INDEX(firmadas!$F:$F,$T290))&amp;"/"&amp;YEAR(INDEX(firmadas!$F:$F,$T290)))&amp;")",IF($G290&lt;&gt;INDEX(firmadas!$E:$E,$T290),"INGRESO DISTINTO EN firmadas ("&amp;IF(INDEX(firmadas!$E:$E,$T290)="","vacía",DAY(INDEX(firmadas!$E:$E,$T290))&amp;"/"&amp;MONTH(INDEX(firmadas!$E:$E,$T290))&amp;"/"&amp;YEAR(INDEX(firmadas!$E:$E,$T290)))&amp;")","OK"))))))))</f>
        <v/>
      </c>
      <c r="T290" t="str">
        <f ca="1">IF($P290="","",IFERROR(MATCH($P290,firmadas!$N:$N,0),IFERROR(MATCH("*/"&amp;MID($P290,FIND(" ",$P290)+1,9)&amp;"*",firmadas!$B:$B,0),0)))</f>
        <v/>
      </c>
    </row>
    <row r="291" spans="6:20" ht="15" customHeight="1" x14ac:dyDescent="0.25">
      <c r="F291" s="16"/>
      <c r="M291" s="53"/>
      <c r="N291" s="53" t="str">
        <f t="shared" ca="1" si="4"/>
        <v/>
      </c>
      <c r="P291" t="str">
        <f ca="1">IF(TRIM(SUBSTITUTE(($C291&amp;" "&amp;$D291),CHAR(160)," "))="","",IFERROR(IF(ISNUMBER(SEARCH("INC",($C291&amp;" "&amp;$D291))),"INC",IF(ISNUMBER(SEARCH("OPI",($C291&amp;" "&amp;$D291))),"OPI",IF(ISNUMBER(SEARCH("DP",($C291&amp;" "&amp;$D291))),"DP","CONC")))&amp;" "&amp;TEXT(LOOKUP(9.99E+307,--MID(SUBSTITUTE(($C291&amp;" "&amp;$D291),CHAR(160)," "),SUMPRODUCT(MIN(FIND({0,1,2,3,4,5,6,7,8,9},SUBSTITUTE(($C291&amp;" "&amp;$D291),CHAR(160)," ")&amp;"0123456789"))),ROW(INDIRECT("1:6")))),"0"),"SIN NUMERO"))</f>
        <v/>
      </c>
      <c r="Q291" t="str">
        <f ca="1">IF($P291="","",IF(LEFT(UPPER($S291),9)="VERIFICAR","VERIFICAR",IF($A291="","SIN ESTADO",IF(AND($A291="Firmada",$H291=""),"FALTA FECHA DE FIRMA",IF(N($T291)=0,IF(AND(ISNUMBER($H291),$H291&gt;=DATE(2024,1,1)),"FALTA EN FIRMADAS","OK"),IF(OR($A291="Pendiente de presentación",$A291="Observado",$A291="En análisis",$A291="En instrucción",$A291="Suspendida",$A291="IT circulando",$A291="Para resolución",$A291="TDC"),"ABIERTA PERO ESTÁ EN FIRMADAS",IF($H291&lt;&gt;INDEX(firmadas!$F:$F,$T291),"FIRMA DISTINTA EN firmadas ("&amp;IF(INDEX(firmadas!$F:$F,$T291)="","vacía",DAY(INDEX(firmadas!$F:$F,$T291))&amp;"/"&amp;MONTH(INDEX(firmadas!$F:$F,$T291))&amp;"/"&amp;YEAR(INDEX(firmadas!$F:$F,$T291)))&amp;")",IF($G291&lt;&gt;INDEX(firmadas!$E:$E,$T291),"INGRESO DISTINTO EN firmadas ("&amp;IF(INDEX(firmadas!$E:$E,$T291)="","vacía",DAY(INDEX(firmadas!$E:$E,$T291))&amp;"/"&amp;MONTH(INDEX(firmadas!$E:$E,$T291))&amp;"/"&amp;YEAR(INDEX(firmadas!$E:$E,$T291)))&amp;")","OK"))))))))</f>
        <v/>
      </c>
      <c r="T291" t="str">
        <f ca="1">IF($P291="","",IFERROR(MATCH($P291,firmadas!$N:$N,0),IFERROR(MATCH("*/"&amp;MID($P291,FIND(" ",$P291)+1,9)&amp;"*",firmadas!$B:$B,0),0)))</f>
        <v/>
      </c>
    </row>
    <row r="292" spans="6:20" ht="15" customHeight="1" x14ac:dyDescent="0.25">
      <c r="F292" s="16"/>
      <c r="M292" s="53"/>
      <c r="N292" s="53" t="str">
        <f t="shared" ca="1" si="4"/>
        <v/>
      </c>
      <c r="P292" t="str">
        <f ca="1">IF(TRIM(SUBSTITUTE(($C292&amp;" "&amp;$D292),CHAR(160)," "))="","",IFERROR(IF(ISNUMBER(SEARCH("INC",($C292&amp;" "&amp;$D292))),"INC",IF(ISNUMBER(SEARCH("OPI",($C292&amp;" "&amp;$D292))),"OPI",IF(ISNUMBER(SEARCH("DP",($C292&amp;" "&amp;$D292))),"DP","CONC")))&amp;" "&amp;TEXT(LOOKUP(9.99E+307,--MID(SUBSTITUTE(($C292&amp;" "&amp;$D292),CHAR(160)," "),SUMPRODUCT(MIN(FIND({0,1,2,3,4,5,6,7,8,9},SUBSTITUTE(($C292&amp;" "&amp;$D292),CHAR(160)," ")&amp;"0123456789"))),ROW(INDIRECT("1:6")))),"0"),"SIN NUMERO"))</f>
        <v/>
      </c>
      <c r="Q292" t="str">
        <f ca="1">IF($P292="","",IF(LEFT(UPPER($S292),9)="VERIFICAR","VERIFICAR",IF($A292="","SIN ESTADO",IF(AND($A292="Firmada",$H292=""),"FALTA FECHA DE FIRMA",IF(N($T292)=0,IF(AND(ISNUMBER($H292),$H292&gt;=DATE(2024,1,1)),"FALTA EN FIRMADAS","OK"),IF(OR($A292="Pendiente de presentación",$A292="Observado",$A292="En análisis",$A292="En instrucción",$A292="Suspendida",$A292="IT circulando",$A292="Para resolución",$A292="TDC"),"ABIERTA PERO ESTÁ EN FIRMADAS",IF($H292&lt;&gt;INDEX(firmadas!$F:$F,$T292),"FIRMA DISTINTA EN firmadas ("&amp;IF(INDEX(firmadas!$F:$F,$T292)="","vacía",DAY(INDEX(firmadas!$F:$F,$T292))&amp;"/"&amp;MONTH(INDEX(firmadas!$F:$F,$T292))&amp;"/"&amp;YEAR(INDEX(firmadas!$F:$F,$T292)))&amp;")",IF($G292&lt;&gt;INDEX(firmadas!$E:$E,$T292),"INGRESO DISTINTO EN firmadas ("&amp;IF(INDEX(firmadas!$E:$E,$T292)="","vacía",DAY(INDEX(firmadas!$E:$E,$T292))&amp;"/"&amp;MONTH(INDEX(firmadas!$E:$E,$T292))&amp;"/"&amp;YEAR(INDEX(firmadas!$E:$E,$T292)))&amp;")","OK"))))))))</f>
        <v/>
      </c>
      <c r="T292" t="str">
        <f ca="1">IF($P292="","",IFERROR(MATCH($P292,firmadas!$N:$N,0),IFERROR(MATCH("*/"&amp;MID($P292,FIND(" ",$P292)+1,9)&amp;"*",firmadas!$B:$B,0),0)))</f>
        <v/>
      </c>
    </row>
    <row r="293" spans="6:20" ht="15" customHeight="1" x14ac:dyDescent="0.25">
      <c r="F293" s="16"/>
      <c r="M293" s="53"/>
      <c r="N293" s="53" t="str">
        <f t="shared" ca="1" si="4"/>
        <v/>
      </c>
      <c r="P293" t="str">
        <f ca="1">IF(TRIM(SUBSTITUTE(($C293&amp;" "&amp;$D293),CHAR(160)," "))="","",IFERROR(IF(ISNUMBER(SEARCH("INC",($C293&amp;" "&amp;$D293))),"INC",IF(ISNUMBER(SEARCH("OPI",($C293&amp;" "&amp;$D293))),"OPI",IF(ISNUMBER(SEARCH("DP",($C293&amp;" "&amp;$D293))),"DP","CONC")))&amp;" "&amp;TEXT(LOOKUP(9.99E+307,--MID(SUBSTITUTE(($C293&amp;" "&amp;$D293),CHAR(160)," "),SUMPRODUCT(MIN(FIND({0,1,2,3,4,5,6,7,8,9},SUBSTITUTE(($C293&amp;" "&amp;$D293),CHAR(160)," ")&amp;"0123456789"))),ROW(INDIRECT("1:6")))),"0"),"SIN NUMERO"))</f>
        <v/>
      </c>
      <c r="Q293" t="str">
        <f ca="1">IF($P293="","",IF(LEFT(UPPER($S293),9)="VERIFICAR","VERIFICAR",IF($A293="","SIN ESTADO",IF(AND($A293="Firmada",$H293=""),"FALTA FECHA DE FIRMA",IF(N($T293)=0,IF(AND(ISNUMBER($H293),$H293&gt;=DATE(2024,1,1)),"FALTA EN FIRMADAS","OK"),IF(OR($A293="Pendiente de presentación",$A293="Observado",$A293="En análisis",$A293="En instrucción",$A293="Suspendida",$A293="IT circulando",$A293="Para resolución",$A293="TDC"),"ABIERTA PERO ESTÁ EN FIRMADAS",IF($H293&lt;&gt;INDEX(firmadas!$F:$F,$T293),"FIRMA DISTINTA EN firmadas ("&amp;IF(INDEX(firmadas!$F:$F,$T293)="","vacía",DAY(INDEX(firmadas!$F:$F,$T293))&amp;"/"&amp;MONTH(INDEX(firmadas!$F:$F,$T293))&amp;"/"&amp;YEAR(INDEX(firmadas!$F:$F,$T293)))&amp;")",IF($G293&lt;&gt;INDEX(firmadas!$E:$E,$T293),"INGRESO DISTINTO EN firmadas ("&amp;IF(INDEX(firmadas!$E:$E,$T293)="","vacía",DAY(INDEX(firmadas!$E:$E,$T293))&amp;"/"&amp;MONTH(INDEX(firmadas!$E:$E,$T293))&amp;"/"&amp;YEAR(INDEX(firmadas!$E:$E,$T293)))&amp;")","OK"))))))))</f>
        <v/>
      </c>
      <c r="T293" t="str">
        <f ca="1">IF($P293="","",IFERROR(MATCH($P293,firmadas!$N:$N,0),IFERROR(MATCH("*/"&amp;MID($P293,FIND(" ",$P293)+1,9)&amp;"*",firmadas!$B:$B,0),0)))</f>
        <v/>
      </c>
    </row>
    <row r="294" spans="6:20" ht="15" customHeight="1" x14ac:dyDescent="0.25">
      <c r="F294" s="16"/>
      <c r="M294" s="53"/>
      <c r="N294" s="53" t="str">
        <f t="shared" ca="1" si="4"/>
        <v/>
      </c>
      <c r="P294" t="str">
        <f ca="1">IF(TRIM(SUBSTITUTE(($C294&amp;" "&amp;$D294),CHAR(160)," "))="","",IFERROR(IF(ISNUMBER(SEARCH("INC",($C294&amp;" "&amp;$D294))),"INC",IF(ISNUMBER(SEARCH("OPI",($C294&amp;" "&amp;$D294))),"OPI",IF(ISNUMBER(SEARCH("DP",($C294&amp;" "&amp;$D294))),"DP","CONC")))&amp;" "&amp;TEXT(LOOKUP(9.99E+307,--MID(SUBSTITUTE(($C294&amp;" "&amp;$D294),CHAR(160)," "),SUMPRODUCT(MIN(FIND({0,1,2,3,4,5,6,7,8,9},SUBSTITUTE(($C294&amp;" "&amp;$D294),CHAR(160)," ")&amp;"0123456789"))),ROW(INDIRECT("1:6")))),"0"),"SIN NUMERO"))</f>
        <v/>
      </c>
      <c r="Q294" t="str">
        <f ca="1">IF($P294="","",IF(LEFT(UPPER($S294),9)="VERIFICAR","VERIFICAR",IF($A294="","SIN ESTADO",IF(AND($A294="Firmada",$H294=""),"FALTA FECHA DE FIRMA",IF(N($T294)=0,IF(AND(ISNUMBER($H294),$H294&gt;=DATE(2024,1,1)),"FALTA EN FIRMADAS","OK"),IF(OR($A294="Pendiente de presentación",$A294="Observado",$A294="En análisis",$A294="En instrucción",$A294="Suspendida",$A294="IT circulando",$A294="Para resolución",$A294="TDC"),"ABIERTA PERO ESTÁ EN FIRMADAS",IF($H294&lt;&gt;INDEX(firmadas!$F:$F,$T294),"FIRMA DISTINTA EN firmadas ("&amp;IF(INDEX(firmadas!$F:$F,$T294)="","vacía",DAY(INDEX(firmadas!$F:$F,$T294))&amp;"/"&amp;MONTH(INDEX(firmadas!$F:$F,$T294))&amp;"/"&amp;YEAR(INDEX(firmadas!$F:$F,$T294)))&amp;")",IF($G294&lt;&gt;INDEX(firmadas!$E:$E,$T294),"INGRESO DISTINTO EN firmadas ("&amp;IF(INDEX(firmadas!$E:$E,$T294)="","vacía",DAY(INDEX(firmadas!$E:$E,$T294))&amp;"/"&amp;MONTH(INDEX(firmadas!$E:$E,$T294))&amp;"/"&amp;YEAR(INDEX(firmadas!$E:$E,$T294)))&amp;")","OK"))))))))</f>
        <v/>
      </c>
      <c r="T294" t="str">
        <f ca="1">IF($P294="","",IFERROR(MATCH($P294,firmadas!$N:$N,0),IFERROR(MATCH("*/"&amp;MID($P294,FIND(" ",$P294)+1,9)&amp;"*",firmadas!$B:$B,0),0)))</f>
        <v/>
      </c>
    </row>
    <row r="295" spans="6:20" ht="15" customHeight="1" x14ac:dyDescent="0.25">
      <c r="F295" s="16"/>
      <c r="M295" s="53"/>
      <c r="N295" s="53" t="str">
        <f t="shared" ca="1" si="4"/>
        <v/>
      </c>
      <c r="P295" t="str">
        <f ca="1">IF(TRIM(SUBSTITUTE(($C295&amp;" "&amp;$D295),CHAR(160)," "))="","",IFERROR(IF(ISNUMBER(SEARCH("INC",($C295&amp;" "&amp;$D295))),"INC",IF(ISNUMBER(SEARCH("OPI",($C295&amp;" "&amp;$D295))),"OPI",IF(ISNUMBER(SEARCH("DP",($C295&amp;" "&amp;$D295))),"DP","CONC")))&amp;" "&amp;TEXT(LOOKUP(9.99E+307,--MID(SUBSTITUTE(($C295&amp;" "&amp;$D295),CHAR(160)," "),SUMPRODUCT(MIN(FIND({0,1,2,3,4,5,6,7,8,9},SUBSTITUTE(($C295&amp;" "&amp;$D295),CHAR(160)," ")&amp;"0123456789"))),ROW(INDIRECT("1:6")))),"0"),"SIN NUMERO"))</f>
        <v/>
      </c>
      <c r="Q295" t="str">
        <f ca="1">IF($P295="","",IF(LEFT(UPPER($S295),9)="VERIFICAR","VERIFICAR",IF($A295="","SIN ESTADO",IF(AND($A295="Firmada",$H295=""),"FALTA FECHA DE FIRMA",IF(N($T295)=0,IF(AND(ISNUMBER($H295),$H295&gt;=DATE(2024,1,1)),"FALTA EN FIRMADAS","OK"),IF(OR($A295="Pendiente de presentación",$A295="Observado",$A295="En análisis",$A295="En instrucción",$A295="Suspendida",$A295="IT circulando",$A295="Para resolución",$A295="TDC"),"ABIERTA PERO ESTÁ EN FIRMADAS",IF($H295&lt;&gt;INDEX(firmadas!$F:$F,$T295),"FIRMA DISTINTA EN firmadas ("&amp;IF(INDEX(firmadas!$F:$F,$T295)="","vacía",DAY(INDEX(firmadas!$F:$F,$T295))&amp;"/"&amp;MONTH(INDEX(firmadas!$F:$F,$T295))&amp;"/"&amp;YEAR(INDEX(firmadas!$F:$F,$T295)))&amp;")",IF($G295&lt;&gt;INDEX(firmadas!$E:$E,$T295),"INGRESO DISTINTO EN firmadas ("&amp;IF(INDEX(firmadas!$E:$E,$T295)="","vacía",DAY(INDEX(firmadas!$E:$E,$T295))&amp;"/"&amp;MONTH(INDEX(firmadas!$E:$E,$T295))&amp;"/"&amp;YEAR(INDEX(firmadas!$E:$E,$T295)))&amp;")","OK"))))))))</f>
        <v/>
      </c>
      <c r="T295" t="str">
        <f ca="1">IF($P295="","",IFERROR(MATCH($P295,firmadas!$N:$N,0),IFERROR(MATCH("*/"&amp;MID($P295,FIND(" ",$P295)+1,9)&amp;"*",firmadas!$B:$B,0),0)))</f>
        <v/>
      </c>
    </row>
    <row r="296" spans="6:20" ht="15" customHeight="1" x14ac:dyDescent="0.25">
      <c r="F296" s="16"/>
      <c r="M296" s="53"/>
      <c r="N296" s="53" t="str">
        <f t="shared" ca="1" si="4"/>
        <v/>
      </c>
      <c r="P296" t="str">
        <f ca="1">IF(TRIM(SUBSTITUTE(($C296&amp;" "&amp;$D296),CHAR(160)," "))="","",IFERROR(IF(ISNUMBER(SEARCH("INC",($C296&amp;" "&amp;$D296))),"INC",IF(ISNUMBER(SEARCH("OPI",($C296&amp;" "&amp;$D296))),"OPI",IF(ISNUMBER(SEARCH("DP",($C296&amp;" "&amp;$D296))),"DP","CONC")))&amp;" "&amp;TEXT(LOOKUP(9.99E+307,--MID(SUBSTITUTE(($C296&amp;" "&amp;$D296),CHAR(160)," "),SUMPRODUCT(MIN(FIND({0,1,2,3,4,5,6,7,8,9},SUBSTITUTE(($C296&amp;" "&amp;$D296),CHAR(160)," ")&amp;"0123456789"))),ROW(INDIRECT("1:6")))),"0"),"SIN NUMERO"))</f>
        <v/>
      </c>
      <c r="Q296" t="str">
        <f ca="1">IF($P296="","",IF(LEFT(UPPER($S296),9)="VERIFICAR","VERIFICAR",IF($A296="","SIN ESTADO",IF(AND($A296="Firmada",$H296=""),"FALTA FECHA DE FIRMA",IF(N($T296)=0,IF(AND(ISNUMBER($H296),$H296&gt;=DATE(2024,1,1)),"FALTA EN FIRMADAS","OK"),IF(OR($A296="Pendiente de presentación",$A296="Observado",$A296="En análisis",$A296="En instrucción",$A296="Suspendida",$A296="IT circulando",$A296="Para resolución",$A296="TDC"),"ABIERTA PERO ESTÁ EN FIRMADAS",IF($H296&lt;&gt;INDEX(firmadas!$F:$F,$T296),"FIRMA DISTINTA EN firmadas ("&amp;IF(INDEX(firmadas!$F:$F,$T296)="","vacía",DAY(INDEX(firmadas!$F:$F,$T296))&amp;"/"&amp;MONTH(INDEX(firmadas!$F:$F,$T296))&amp;"/"&amp;YEAR(INDEX(firmadas!$F:$F,$T296)))&amp;")",IF($G296&lt;&gt;INDEX(firmadas!$E:$E,$T296),"INGRESO DISTINTO EN firmadas ("&amp;IF(INDEX(firmadas!$E:$E,$T296)="","vacía",DAY(INDEX(firmadas!$E:$E,$T296))&amp;"/"&amp;MONTH(INDEX(firmadas!$E:$E,$T296))&amp;"/"&amp;YEAR(INDEX(firmadas!$E:$E,$T296)))&amp;")","OK"))))))))</f>
        <v/>
      </c>
      <c r="T296" t="str">
        <f ca="1">IF($P296="","",IFERROR(MATCH($P296,firmadas!$N:$N,0),IFERROR(MATCH("*/"&amp;MID($P296,FIND(" ",$P296)+1,9)&amp;"*",firmadas!$B:$B,0),0)))</f>
        <v/>
      </c>
    </row>
    <row r="297" spans="6:20" ht="15" customHeight="1" x14ac:dyDescent="0.25">
      <c r="F297" s="16"/>
      <c r="M297" s="53"/>
      <c r="N297" s="53" t="str">
        <f t="shared" ca="1" si="4"/>
        <v/>
      </c>
      <c r="P297" t="str">
        <f ca="1">IF(TRIM(SUBSTITUTE(($C297&amp;" "&amp;$D297),CHAR(160)," "))="","",IFERROR(IF(ISNUMBER(SEARCH("INC",($C297&amp;" "&amp;$D297))),"INC",IF(ISNUMBER(SEARCH("OPI",($C297&amp;" "&amp;$D297))),"OPI",IF(ISNUMBER(SEARCH("DP",($C297&amp;" "&amp;$D297))),"DP","CONC")))&amp;" "&amp;TEXT(LOOKUP(9.99E+307,--MID(SUBSTITUTE(($C297&amp;" "&amp;$D297),CHAR(160)," "),SUMPRODUCT(MIN(FIND({0,1,2,3,4,5,6,7,8,9},SUBSTITUTE(($C297&amp;" "&amp;$D297),CHAR(160)," ")&amp;"0123456789"))),ROW(INDIRECT("1:6")))),"0"),"SIN NUMERO"))</f>
        <v/>
      </c>
      <c r="Q297" t="str">
        <f ca="1">IF($P297="","",IF(LEFT(UPPER($S297),9)="VERIFICAR","VERIFICAR",IF($A297="","SIN ESTADO",IF(AND($A297="Firmada",$H297=""),"FALTA FECHA DE FIRMA",IF(N($T297)=0,IF(AND(ISNUMBER($H297),$H297&gt;=DATE(2024,1,1)),"FALTA EN FIRMADAS","OK"),IF(OR($A297="Pendiente de presentación",$A297="Observado",$A297="En análisis",$A297="En instrucción",$A297="Suspendida",$A297="IT circulando",$A297="Para resolución",$A297="TDC"),"ABIERTA PERO ESTÁ EN FIRMADAS",IF($H297&lt;&gt;INDEX(firmadas!$F:$F,$T297),"FIRMA DISTINTA EN firmadas ("&amp;IF(INDEX(firmadas!$F:$F,$T297)="","vacía",DAY(INDEX(firmadas!$F:$F,$T297))&amp;"/"&amp;MONTH(INDEX(firmadas!$F:$F,$T297))&amp;"/"&amp;YEAR(INDEX(firmadas!$F:$F,$T297)))&amp;")",IF($G297&lt;&gt;INDEX(firmadas!$E:$E,$T297),"INGRESO DISTINTO EN firmadas ("&amp;IF(INDEX(firmadas!$E:$E,$T297)="","vacía",DAY(INDEX(firmadas!$E:$E,$T297))&amp;"/"&amp;MONTH(INDEX(firmadas!$E:$E,$T297))&amp;"/"&amp;YEAR(INDEX(firmadas!$E:$E,$T297)))&amp;")","OK"))))))))</f>
        <v/>
      </c>
      <c r="T297" t="str">
        <f ca="1">IF($P297="","",IFERROR(MATCH($P297,firmadas!$N:$N,0),IFERROR(MATCH("*/"&amp;MID($P297,FIND(" ",$P297)+1,9)&amp;"*",firmadas!$B:$B,0),0)))</f>
        <v/>
      </c>
    </row>
    <row r="298" spans="6:20" ht="15" customHeight="1" x14ac:dyDescent="0.25">
      <c r="F298" s="16"/>
      <c r="M298" s="53"/>
      <c r="N298" s="53" t="str">
        <f t="shared" ca="1" si="4"/>
        <v/>
      </c>
      <c r="P298" t="str">
        <f ca="1">IF(TRIM(SUBSTITUTE(($C298&amp;" "&amp;$D298),CHAR(160)," "))="","",IFERROR(IF(ISNUMBER(SEARCH("INC",($C298&amp;" "&amp;$D298))),"INC",IF(ISNUMBER(SEARCH("OPI",($C298&amp;" "&amp;$D298))),"OPI",IF(ISNUMBER(SEARCH("DP",($C298&amp;" "&amp;$D298))),"DP","CONC")))&amp;" "&amp;TEXT(LOOKUP(9.99E+307,--MID(SUBSTITUTE(($C298&amp;" "&amp;$D298),CHAR(160)," "),SUMPRODUCT(MIN(FIND({0,1,2,3,4,5,6,7,8,9},SUBSTITUTE(($C298&amp;" "&amp;$D298),CHAR(160)," ")&amp;"0123456789"))),ROW(INDIRECT("1:6")))),"0"),"SIN NUMERO"))</f>
        <v/>
      </c>
      <c r="Q298" t="str">
        <f ca="1">IF($P298="","",IF(LEFT(UPPER($S298),9)="VERIFICAR","VERIFICAR",IF($A298="","SIN ESTADO",IF(AND($A298="Firmada",$H298=""),"FALTA FECHA DE FIRMA",IF(N($T298)=0,IF(AND(ISNUMBER($H298),$H298&gt;=DATE(2024,1,1)),"FALTA EN FIRMADAS","OK"),IF(OR($A298="Pendiente de presentación",$A298="Observado",$A298="En análisis",$A298="En instrucción",$A298="Suspendida",$A298="IT circulando",$A298="Para resolución",$A298="TDC"),"ABIERTA PERO ESTÁ EN FIRMADAS",IF($H298&lt;&gt;INDEX(firmadas!$F:$F,$T298),"FIRMA DISTINTA EN firmadas ("&amp;IF(INDEX(firmadas!$F:$F,$T298)="","vacía",DAY(INDEX(firmadas!$F:$F,$T298))&amp;"/"&amp;MONTH(INDEX(firmadas!$F:$F,$T298))&amp;"/"&amp;YEAR(INDEX(firmadas!$F:$F,$T298)))&amp;")",IF($G298&lt;&gt;INDEX(firmadas!$E:$E,$T298),"INGRESO DISTINTO EN firmadas ("&amp;IF(INDEX(firmadas!$E:$E,$T298)="","vacía",DAY(INDEX(firmadas!$E:$E,$T298))&amp;"/"&amp;MONTH(INDEX(firmadas!$E:$E,$T298))&amp;"/"&amp;YEAR(INDEX(firmadas!$E:$E,$T298)))&amp;")","OK"))))))))</f>
        <v/>
      </c>
      <c r="T298" t="str">
        <f ca="1">IF($P298="","",IFERROR(MATCH($P298,firmadas!$N:$N,0),IFERROR(MATCH("*/"&amp;MID($P298,FIND(" ",$P298)+1,9)&amp;"*",firmadas!$B:$B,0),0)))</f>
        <v/>
      </c>
    </row>
    <row r="299" spans="6:20" ht="15" customHeight="1" x14ac:dyDescent="0.25">
      <c r="F299" s="16"/>
      <c r="M299" s="53"/>
      <c r="N299" s="53" t="str">
        <f t="shared" ca="1" si="4"/>
        <v/>
      </c>
      <c r="P299" t="str">
        <f ca="1">IF(TRIM(SUBSTITUTE(($C299&amp;" "&amp;$D299),CHAR(160)," "))="","",IFERROR(IF(ISNUMBER(SEARCH("INC",($C299&amp;" "&amp;$D299))),"INC",IF(ISNUMBER(SEARCH("OPI",($C299&amp;" "&amp;$D299))),"OPI",IF(ISNUMBER(SEARCH("DP",($C299&amp;" "&amp;$D299))),"DP","CONC")))&amp;" "&amp;TEXT(LOOKUP(9.99E+307,--MID(SUBSTITUTE(($C299&amp;" "&amp;$D299),CHAR(160)," "),SUMPRODUCT(MIN(FIND({0,1,2,3,4,5,6,7,8,9},SUBSTITUTE(($C299&amp;" "&amp;$D299),CHAR(160)," ")&amp;"0123456789"))),ROW(INDIRECT("1:6")))),"0"),"SIN NUMERO"))</f>
        <v/>
      </c>
      <c r="Q299" t="str">
        <f ca="1">IF($P299="","",IF(LEFT(UPPER($S299),9)="VERIFICAR","VERIFICAR",IF($A299="","SIN ESTADO",IF(AND($A299="Firmada",$H299=""),"FALTA FECHA DE FIRMA",IF(N($T299)=0,IF(AND(ISNUMBER($H299),$H299&gt;=DATE(2024,1,1)),"FALTA EN FIRMADAS","OK"),IF(OR($A299="Pendiente de presentación",$A299="Observado",$A299="En análisis",$A299="En instrucción",$A299="Suspendida",$A299="IT circulando",$A299="Para resolución",$A299="TDC"),"ABIERTA PERO ESTÁ EN FIRMADAS",IF($H299&lt;&gt;INDEX(firmadas!$F:$F,$T299),"FIRMA DISTINTA EN firmadas ("&amp;IF(INDEX(firmadas!$F:$F,$T299)="","vacía",DAY(INDEX(firmadas!$F:$F,$T299))&amp;"/"&amp;MONTH(INDEX(firmadas!$F:$F,$T299))&amp;"/"&amp;YEAR(INDEX(firmadas!$F:$F,$T299)))&amp;")",IF($G299&lt;&gt;INDEX(firmadas!$E:$E,$T299),"INGRESO DISTINTO EN firmadas ("&amp;IF(INDEX(firmadas!$E:$E,$T299)="","vacía",DAY(INDEX(firmadas!$E:$E,$T299))&amp;"/"&amp;MONTH(INDEX(firmadas!$E:$E,$T299))&amp;"/"&amp;YEAR(INDEX(firmadas!$E:$E,$T299)))&amp;")","OK"))))))))</f>
        <v/>
      </c>
      <c r="T299" t="str">
        <f ca="1">IF($P299="","",IFERROR(MATCH($P299,firmadas!$N:$N,0),IFERROR(MATCH("*/"&amp;MID($P299,FIND(" ",$P299)+1,9)&amp;"*",firmadas!$B:$B,0),0)))</f>
        <v/>
      </c>
    </row>
    <row r="300" spans="6:20" ht="15" customHeight="1" x14ac:dyDescent="0.25">
      <c r="F300" s="16"/>
      <c r="M300" s="53"/>
      <c r="N300" s="53" t="str">
        <f t="shared" ca="1" si="4"/>
        <v/>
      </c>
      <c r="P300" t="str">
        <f ca="1">IF(TRIM(SUBSTITUTE(($C300&amp;" "&amp;$D300),CHAR(160)," "))="","",IFERROR(IF(ISNUMBER(SEARCH("INC",($C300&amp;" "&amp;$D300))),"INC",IF(ISNUMBER(SEARCH("OPI",($C300&amp;" "&amp;$D300))),"OPI",IF(ISNUMBER(SEARCH("DP",($C300&amp;" "&amp;$D300))),"DP","CONC")))&amp;" "&amp;TEXT(LOOKUP(9.99E+307,--MID(SUBSTITUTE(($C300&amp;" "&amp;$D300),CHAR(160)," "),SUMPRODUCT(MIN(FIND({0,1,2,3,4,5,6,7,8,9},SUBSTITUTE(($C300&amp;" "&amp;$D300),CHAR(160)," ")&amp;"0123456789"))),ROW(INDIRECT("1:6")))),"0"),"SIN NUMERO"))</f>
        <v/>
      </c>
      <c r="Q300" t="str">
        <f ca="1">IF($P300="","",IF(LEFT(UPPER($S300),9)="VERIFICAR","VERIFICAR",IF($A300="","SIN ESTADO",IF(AND($A300="Firmada",$H300=""),"FALTA FECHA DE FIRMA",IF(N($T300)=0,IF(AND(ISNUMBER($H300),$H300&gt;=DATE(2024,1,1)),"FALTA EN FIRMADAS","OK"),IF(OR($A300="Pendiente de presentación",$A300="Observado",$A300="En análisis",$A300="En instrucción",$A300="Suspendida",$A300="IT circulando",$A300="Para resolución",$A300="TDC"),"ABIERTA PERO ESTÁ EN FIRMADAS",IF($H300&lt;&gt;INDEX(firmadas!$F:$F,$T300),"FIRMA DISTINTA EN firmadas ("&amp;IF(INDEX(firmadas!$F:$F,$T300)="","vacía",DAY(INDEX(firmadas!$F:$F,$T300))&amp;"/"&amp;MONTH(INDEX(firmadas!$F:$F,$T300))&amp;"/"&amp;YEAR(INDEX(firmadas!$F:$F,$T300)))&amp;")",IF($G300&lt;&gt;INDEX(firmadas!$E:$E,$T300),"INGRESO DISTINTO EN firmadas ("&amp;IF(INDEX(firmadas!$E:$E,$T300)="","vacía",DAY(INDEX(firmadas!$E:$E,$T300))&amp;"/"&amp;MONTH(INDEX(firmadas!$E:$E,$T300))&amp;"/"&amp;YEAR(INDEX(firmadas!$E:$E,$T300)))&amp;")","OK"))))))))</f>
        <v/>
      </c>
      <c r="T300" t="str">
        <f ca="1">IF($P300="","",IFERROR(MATCH($P300,firmadas!$N:$N,0),IFERROR(MATCH("*/"&amp;MID($P300,FIND(" ",$P300)+1,9)&amp;"*",firmadas!$B:$B,0),0)))</f>
        <v/>
      </c>
    </row>
    <row r="301" spans="6:20" ht="15" customHeight="1" x14ac:dyDescent="0.25">
      <c r="F301" s="16"/>
      <c r="M301" s="53"/>
      <c r="N301" s="53" t="str">
        <f t="shared" ca="1" si="4"/>
        <v/>
      </c>
      <c r="P301" t="str">
        <f ca="1">IF(TRIM(SUBSTITUTE(($C301&amp;" "&amp;$D301),CHAR(160)," "))="","",IFERROR(IF(ISNUMBER(SEARCH("INC",($C301&amp;" "&amp;$D301))),"INC",IF(ISNUMBER(SEARCH("OPI",($C301&amp;" "&amp;$D301))),"OPI",IF(ISNUMBER(SEARCH("DP",($C301&amp;" "&amp;$D301))),"DP","CONC")))&amp;" "&amp;TEXT(LOOKUP(9.99E+307,--MID(SUBSTITUTE(($C301&amp;" "&amp;$D301),CHAR(160)," "),SUMPRODUCT(MIN(FIND({0,1,2,3,4,5,6,7,8,9},SUBSTITUTE(($C301&amp;" "&amp;$D301),CHAR(160)," ")&amp;"0123456789"))),ROW(INDIRECT("1:6")))),"0"),"SIN NUMERO"))</f>
        <v/>
      </c>
      <c r="Q301" t="str">
        <f ca="1">IF($P301="","",IF(LEFT(UPPER($S301),9)="VERIFICAR","VERIFICAR",IF($A301="","SIN ESTADO",IF(AND($A301="Firmada",$H301=""),"FALTA FECHA DE FIRMA",IF(N($T301)=0,IF(AND(ISNUMBER($H301),$H301&gt;=DATE(2024,1,1)),"FALTA EN FIRMADAS","OK"),IF(OR($A301="Pendiente de presentación",$A301="Observado",$A301="En análisis",$A301="En instrucción",$A301="Suspendida",$A301="IT circulando",$A301="Para resolución",$A301="TDC"),"ABIERTA PERO ESTÁ EN FIRMADAS",IF($H301&lt;&gt;INDEX(firmadas!$F:$F,$T301),"FIRMA DISTINTA EN firmadas ("&amp;IF(INDEX(firmadas!$F:$F,$T301)="","vacía",DAY(INDEX(firmadas!$F:$F,$T301))&amp;"/"&amp;MONTH(INDEX(firmadas!$F:$F,$T301))&amp;"/"&amp;YEAR(INDEX(firmadas!$F:$F,$T301)))&amp;")",IF($G301&lt;&gt;INDEX(firmadas!$E:$E,$T301),"INGRESO DISTINTO EN firmadas ("&amp;IF(INDEX(firmadas!$E:$E,$T301)="","vacía",DAY(INDEX(firmadas!$E:$E,$T301))&amp;"/"&amp;MONTH(INDEX(firmadas!$E:$E,$T301))&amp;"/"&amp;YEAR(INDEX(firmadas!$E:$E,$T301)))&amp;")","OK"))))))))</f>
        <v/>
      </c>
      <c r="T301" t="str">
        <f ca="1">IF($P301="","",IFERROR(MATCH($P301,firmadas!$N:$N,0),IFERROR(MATCH("*/"&amp;MID($P301,FIND(" ",$P301)+1,9)&amp;"*",firmadas!$B:$B,0),0)))</f>
        <v/>
      </c>
    </row>
    <row r="302" spans="6:20" ht="15" customHeight="1" x14ac:dyDescent="0.25">
      <c r="F302" s="16"/>
      <c r="M302" s="53"/>
      <c r="N302" s="53" t="str">
        <f t="shared" ca="1" si="4"/>
        <v/>
      </c>
      <c r="P302" t="str">
        <f ca="1">IF(TRIM(SUBSTITUTE(($C302&amp;" "&amp;$D302),CHAR(160)," "))="","",IFERROR(IF(ISNUMBER(SEARCH("INC",($C302&amp;" "&amp;$D302))),"INC",IF(ISNUMBER(SEARCH("OPI",($C302&amp;" "&amp;$D302))),"OPI",IF(ISNUMBER(SEARCH("DP",($C302&amp;" "&amp;$D302))),"DP","CONC")))&amp;" "&amp;TEXT(LOOKUP(9.99E+307,--MID(SUBSTITUTE(($C302&amp;" "&amp;$D302),CHAR(160)," "),SUMPRODUCT(MIN(FIND({0,1,2,3,4,5,6,7,8,9},SUBSTITUTE(($C302&amp;" "&amp;$D302),CHAR(160)," ")&amp;"0123456789"))),ROW(INDIRECT("1:6")))),"0"),"SIN NUMERO"))</f>
        <v/>
      </c>
      <c r="Q302" t="str">
        <f ca="1">IF($P302="","",IF(LEFT(UPPER($S302),9)="VERIFICAR","VERIFICAR",IF($A302="","SIN ESTADO",IF(AND($A302="Firmada",$H302=""),"FALTA FECHA DE FIRMA",IF(N($T302)=0,IF(AND(ISNUMBER($H302),$H302&gt;=DATE(2024,1,1)),"FALTA EN FIRMADAS","OK"),IF(OR($A302="Pendiente de presentación",$A302="Observado",$A302="En análisis",$A302="En instrucción",$A302="Suspendida",$A302="IT circulando",$A302="Para resolución",$A302="TDC"),"ABIERTA PERO ESTÁ EN FIRMADAS",IF($H302&lt;&gt;INDEX(firmadas!$F:$F,$T302),"FIRMA DISTINTA EN firmadas ("&amp;IF(INDEX(firmadas!$F:$F,$T302)="","vacía",DAY(INDEX(firmadas!$F:$F,$T302))&amp;"/"&amp;MONTH(INDEX(firmadas!$F:$F,$T302))&amp;"/"&amp;YEAR(INDEX(firmadas!$F:$F,$T302)))&amp;")",IF($G302&lt;&gt;INDEX(firmadas!$E:$E,$T302),"INGRESO DISTINTO EN firmadas ("&amp;IF(INDEX(firmadas!$E:$E,$T302)="","vacía",DAY(INDEX(firmadas!$E:$E,$T302))&amp;"/"&amp;MONTH(INDEX(firmadas!$E:$E,$T302))&amp;"/"&amp;YEAR(INDEX(firmadas!$E:$E,$T302)))&amp;")","OK"))))))))</f>
        <v/>
      </c>
      <c r="T302" t="str">
        <f ca="1">IF($P302="","",IFERROR(MATCH($P302,firmadas!$N:$N,0),IFERROR(MATCH("*/"&amp;MID($P302,FIND(" ",$P302)+1,9)&amp;"*",firmadas!$B:$B,0),0)))</f>
        <v/>
      </c>
    </row>
    <row r="303" spans="6:20" ht="15" customHeight="1" x14ac:dyDescent="0.25">
      <c r="F303" s="16"/>
      <c r="M303" s="53"/>
      <c r="N303" s="53" t="str">
        <f t="shared" ca="1" si="4"/>
        <v/>
      </c>
      <c r="P303" t="str">
        <f ca="1">IF(TRIM(SUBSTITUTE(($C303&amp;" "&amp;$D303),CHAR(160)," "))="","",IFERROR(IF(ISNUMBER(SEARCH("INC",($C303&amp;" "&amp;$D303))),"INC",IF(ISNUMBER(SEARCH("OPI",($C303&amp;" "&amp;$D303))),"OPI",IF(ISNUMBER(SEARCH("DP",($C303&amp;" "&amp;$D303))),"DP","CONC")))&amp;" "&amp;TEXT(LOOKUP(9.99E+307,--MID(SUBSTITUTE(($C303&amp;" "&amp;$D303),CHAR(160)," "),SUMPRODUCT(MIN(FIND({0,1,2,3,4,5,6,7,8,9},SUBSTITUTE(($C303&amp;" "&amp;$D303),CHAR(160)," ")&amp;"0123456789"))),ROW(INDIRECT("1:6")))),"0"),"SIN NUMERO"))</f>
        <v/>
      </c>
      <c r="Q303" t="str">
        <f ca="1">IF($P303="","",IF(LEFT(UPPER($S303),9)="VERIFICAR","VERIFICAR",IF($A303="","SIN ESTADO",IF(AND($A303="Firmada",$H303=""),"FALTA FECHA DE FIRMA",IF(N($T303)=0,IF(AND(ISNUMBER($H303),$H303&gt;=DATE(2024,1,1)),"FALTA EN FIRMADAS","OK"),IF(OR($A303="Pendiente de presentación",$A303="Observado",$A303="En análisis",$A303="En instrucción",$A303="Suspendida",$A303="IT circulando",$A303="Para resolución",$A303="TDC"),"ABIERTA PERO ESTÁ EN FIRMADAS",IF($H303&lt;&gt;INDEX(firmadas!$F:$F,$T303),"FIRMA DISTINTA EN firmadas ("&amp;IF(INDEX(firmadas!$F:$F,$T303)="","vacía",DAY(INDEX(firmadas!$F:$F,$T303))&amp;"/"&amp;MONTH(INDEX(firmadas!$F:$F,$T303))&amp;"/"&amp;YEAR(INDEX(firmadas!$F:$F,$T303)))&amp;")",IF($G303&lt;&gt;INDEX(firmadas!$E:$E,$T303),"INGRESO DISTINTO EN firmadas ("&amp;IF(INDEX(firmadas!$E:$E,$T303)="","vacía",DAY(INDEX(firmadas!$E:$E,$T303))&amp;"/"&amp;MONTH(INDEX(firmadas!$E:$E,$T303))&amp;"/"&amp;YEAR(INDEX(firmadas!$E:$E,$T303)))&amp;")","OK"))))))))</f>
        <v/>
      </c>
      <c r="T303" t="str">
        <f ca="1">IF($P303="","",IFERROR(MATCH($P303,firmadas!$N:$N,0),IFERROR(MATCH("*/"&amp;MID($P303,FIND(" ",$P303)+1,9)&amp;"*",firmadas!$B:$B,0),0)))</f>
        <v/>
      </c>
    </row>
    <row r="304" spans="6:20" ht="15" customHeight="1" x14ac:dyDescent="0.25">
      <c r="F304" s="16"/>
      <c r="M304" s="53"/>
      <c r="N304" s="53" t="str">
        <f t="shared" ca="1" si="4"/>
        <v/>
      </c>
      <c r="P304" t="str">
        <f ca="1">IF(TRIM(SUBSTITUTE(($C304&amp;" "&amp;$D304),CHAR(160)," "))="","",IFERROR(IF(ISNUMBER(SEARCH("INC",($C304&amp;" "&amp;$D304))),"INC",IF(ISNUMBER(SEARCH("OPI",($C304&amp;" "&amp;$D304))),"OPI",IF(ISNUMBER(SEARCH("DP",($C304&amp;" "&amp;$D304))),"DP","CONC")))&amp;" "&amp;TEXT(LOOKUP(9.99E+307,--MID(SUBSTITUTE(($C304&amp;" "&amp;$D304),CHAR(160)," "),SUMPRODUCT(MIN(FIND({0,1,2,3,4,5,6,7,8,9},SUBSTITUTE(($C304&amp;" "&amp;$D304),CHAR(160)," ")&amp;"0123456789"))),ROW(INDIRECT("1:6")))),"0"),"SIN NUMERO"))</f>
        <v/>
      </c>
      <c r="Q304" t="str">
        <f ca="1">IF($P304="","",IF(LEFT(UPPER($S304),9)="VERIFICAR","VERIFICAR",IF($A304="","SIN ESTADO",IF(AND($A304="Firmada",$H304=""),"FALTA FECHA DE FIRMA",IF(N($T304)=0,IF(AND(ISNUMBER($H304),$H304&gt;=DATE(2024,1,1)),"FALTA EN FIRMADAS","OK"),IF(OR($A304="Pendiente de presentación",$A304="Observado",$A304="En análisis",$A304="En instrucción",$A304="Suspendida",$A304="IT circulando",$A304="Para resolución",$A304="TDC"),"ABIERTA PERO ESTÁ EN FIRMADAS",IF($H304&lt;&gt;INDEX(firmadas!$F:$F,$T304),"FIRMA DISTINTA EN firmadas ("&amp;IF(INDEX(firmadas!$F:$F,$T304)="","vacía",DAY(INDEX(firmadas!$F:$F,$T304))&amp;"/"&amp;MONTH(INDEX(firmadas!$F:$F,$T304))&amp;"/"&amp;YEAR(INDEX(firmadas!$F:$F,$T304)))&amp;")",IF($G304&lt;&gt;INDEX(firmadas!$E:$E,$T304),"INGRESO DISTINTO EN firmadas ("&amp;IF(INDEX(firmadas!$E:$E,$T304)="","vacía",DAY(INDEX(firmadas!$E:$E,$T304))&amp;"/"&amp;MONTH(INDEX(firmadas!$E:$E,$T304))&amp;"/"&amp;YEAR(INDEX(firmadas!$E:$E,$T304)))&amp;")","OK"))))))))</f>
        <v/>
      </c>
      <c r="T304" t="str">
        <f ca="1">IF($P304="","",IFERROR(MATCH($P304,firmadas!$N:$N,0),IFERROR(MATCH("*/"&amp;MID($P304,FIND(" ",$P304)+1,9)&amp;"*",firmadas!$B:$B,0),0)))</f>
        <v/>
      </c>
    </row>
    <row r="305" spans="6:20" ht="15" customHeight="1" x14ac:dyDescent="0.25">
      <c r="F305" s="16"/>
      <c r="M305" s="53"/>
      <c r="N305" s="53" t="str">
        <f t="shared" ca="1" si="4"/>
        <v/>
      </c>
      <c r="P305" t="str">
        <f ca="1">IF(TRIM(SUBSTITUTE(($C305&amp;" "&amp;$D305),CHAR(160)," "))="","",IFERROR(IF(ISNUMBER(SEARCH("INC",($C305&amp;" "&amp;$D305))),"INC",IF(ISNUMBER(SEARCH("OPI",($C305&amp;" "&amp;$D305))),"OPI",IF(ISNUMBER(SEARCH("DP",($C305&amp;" "&amp;$D305))),"DP","CONC")))&amp;" "&amp;TEXT(LOOKUP(9.99E+307,--MID(SUBSTITUTE(($C305&amp;" "&amp;$D305),CHAR(160)," "),SUMPRODUCT(MIN(FIND({0,1,2,3,4,5,6,7,8,9},SUBSTITUTE(($C305&amp;" "&amp;$D305),CHAR(160)," ")&amp;"0123456789"))),ROW(INDIRECT("1:6")))),"0"),"SIN NUMERO"))</f>
        <v/>
      </c>
      <c r="Q305" t="str">
        <f ca="1">IF($P305="","",IF(LEFT(UPPER($S305),9)="VERIFICAR","VERIFICAR",IF($A305="","SIN ESTADO",IF(AND($A305="Firmada",$H305=""),"FALTA FECHA DE FIRMA",IF(N($T305)=0,IF(AND(ISNUMBER($H305),$H305&gt;=DATE(2024,1,1)),"FALTA EN FIRMADAS","OK"),IF(OR($A305="Pendiente de presentación",$A305="Observado",$A305="En análisis",$A305="En instrucción",$A305="Suspendida",$A305="IT circulando",$A305="Para resolución",$A305="TDC"),"ABIERTA PERO ESTÁ EN FIRMADAS",IF($H305&lt;&gt;INDEX(firmadas!$F:$F,$T305),"FIRMA DISTINTA EN firmadas ("&amp;IF(INDEX(firmadas!$F:$F,$T305)="","vacía",DAY(INDEX(firmadas!$F:$F,$T305))&amp;"/"&amp;MONTH(INDEX(firmadas!$F:$F,$T305))&amp;"/"&amp;YEAR(INDEX(firmadas!$F:$F,$T305)))&amp;")",IF($G305&lt;&gt;INDEX(firmadas!$E:$E,$T305),"INGRESO DISTINTO EN firmadas ("&amp;IF(INDEX(firmadas!$E:$E,$T305)="","vacía",DAY(INDEX(firmadas!$E:$E,$T305))&amp;"/"&amp;MONTH(INDEX(firmadas!$E:$E,$T305))&amp;"/"&amp;YEAR(INDEX(firmadas!$E:$E,$T305)))&amp;")","OK"))))))))</f>
        <v/>
      </c>
      <c r="T305" t="str">
        <f ca="1">IF($P305="","",IFERROR(MATCH($P305,firmadas!$N:$N,0),IFERROR(MATCH("*/"&amp;MID($P305,FIND(" ",$P305)+1,9)&amp;"*",firmadas!$B:$B,0),0)))</f>
        <v/>
      </c>
    </row>
    <row r="306" spans="6:20" ht="15" customHeight="1" x14ac:dyDescent="0.25">
      <c r="F306" s="16"/>
      <c r="M306" s="53"/>
      <c r="N306" s="53" t="str">
        <f t="shared" ca="1" si="4"/>
        <v/>
      </c>
      <c r="P306" t="str">
        <f ca="1">IF(TRIM(SUBSTITUTE(($C306&amp;" "&amp;$D306),CHAR(160)," "))="","",IFERROR(IF(ISNUMBER(SEARCH("INC",($C306&amp;" "&amp;$D306))),"INC",IF(ISNUMBER(SEARCH("OPI",($C306&amp;" "&amp;$D306))),"OPI",IF(ISNUMBER(SEARCH("DP",($C306&amp;" "&amp;$D306))),"DP","CONC")))&amp;" "&amp;TEXT(LOOKUP(9.99E+307,--MID(SUBSTITUTE(($C306&amp;" "&amp;$D306),CHAR(160)," "),SUMPRODUCT(MIN(FIND({0,1,2,3,4,5,6,7,8,9},SUBSTITUTE(($C306&amp;" "&amp;$D306),CHAR(160)," ")&amp;"0123456789"))),ROW(INDIRECT("1:6")))),"0"),"SIN NUMERO"))</f>
        <v/>
      </c>
      <c r="Q306" t="str">
        <f ca="1">IF($P306="","",IF(LEFT(UPPER($S306),9)="VERIFICAR","VERIFICAR",IF($A306="","SIN ESTADO",IF(AND($A306="Firmada",$H306=""),"FALTA FECHA DE FIRMA",IF(N($T306)=0,IF(AND(ISNUMBER($H306),$H306&gt;=DATE(2024,1,1)),"FALTA EN FIRMADAS","OK"),IF(OR($A306="Pendiente de presentación",$A306="Observado",$A306="En análisis",$A306="En instrucción",$A306="Suspendida",$A306="IT circulando",$A306="Para resolución",$A306="TDC"),"ABIERTA PERO ESTÁ EN FIRMADAS",IF($H306&lt;&gt;INDEX(firmadas!$F:$F,$T306),"FIRMA DISTINTA EN firmadas ("&amp;IF(INDEX(firmadas!$F:$F,$T306)="","vacía",DAY(INDEX(firmadas!$F:$F,$T306))&amp;"/"&amp;MONTH(INDEX(firmadas!$F:$F,$T306))&amp;"/"&amp;YEAR(INDEX(firmadas!$F:$F,$T306)))&amp;")",IF($G306&lt;&gt;INDEX(firmadas!$E:$E,$T306),"INGRESO DISTINTO EN firmadas ("&amp;IF(INDEX(firmadas!$E:$E,$T306)="","vacía",DAY(INDEX(firmadas!$E:$E,$T306))&amp;"/"&amp;MONTH(INDEX(firmadas!$E:$E,$T306))&amp;"/"&amp;YEAR(INDEX(firmadas!$E:$E,$T306)))&amp;")","OK"))))))))</f>
        <v/>
      </c>
      <c r="T306" t="str">
        <f ca="1">IF($P306="","",IFERROR(MATCH($P306,firmadas!$N:$N,0),IFERROR(MATCH("*/"&amp;MID($P306,FIND(" ",$P306)+1,9)&amp;"*",firmadas!$B:$B,0),0)))</f>
        <v/>
      </c>
    </row>
    <row r="307" spans="6:20" ht="15" customHeight="1" x14ac:dyDescent="0.25">
      <c r="F307" s="16"/>
      <c r="M307" s="53"/>
      <c r="N307" s="53" t="str">
        <f t="shared" ca="1" si="4"/>
        <v/>
      </c>
      <c r="P307" t="str">
        <f ca="1">IF(TRIM(SUBSTITUTE(($C307&amp;" "&amp;$D307),CHAR(160)," "))="","",IFERROR(IF(ISNUMBER(SEARCH("INC",($C307&amp;" "&amp;$D307))),"INC",IF(ISNUMBER(SEARCH("OPI",($C307&amp;" "&amp;$D307))),"OPI",IF(ISNUMBER(SEARCH("DP",($C307&amp;" "&amp;$D307))),"DP","CONC")))&amp;" "&amp;TEXT(LOOKUP(9.99E+307,--MID(SUBSTITUTE(($C307&amp;" "&amp;$D307),CHAR(160)," "),SUMPRODUCT(MIN(FIND({0,1,2,3,4,5,6,7,8,9},SUBSTITUTE(($C307&amp;" "&amp;$D307),CHAR(160)," ")&amp;"0123456789"))),ROW(INDIRECT("1:6")))),"0"),"SIN NUMERO"))</f>
        <v/>
      </c>
      <c r="Q307" t="str">
        <f ca="1">IF($P307="","",IF(LEFT(UPPER($S307),9)="VERIFICAR","VERIFICAR",IF($A307="","SIN ESTADO",IF(AND($A307="Firmada",$H307=""),"FALTA FECHA DE FIRMA",IF(N($T307)=0,IF(AND(ISNUMBER($H307),$H307&gt;=DATE(2024,1,1)),"FALTA EN FIRMADAS","OK"),IF(OR($A307="Pendiente de presentación",$A307="Observado",$A307="En análisis",$A307="En instrucción",$A307="Suspendida",$A307="IT circulando",$A307="Para resolución",$A307="TDC"),"ABIERTA PERO ESTÁ EN FIRMADAS",IF($H307&lt;&gt;INDEX(firmadas!$F:$F,$T307),"FIRMA DISTINTA EN firmadas ("&amp;IF(INDEX(firmadas!$F:$F,$T307)="","vacía",DAY(INDEX(firmadas!$F:$F,$T307))&amp;"/"&amp;MONTH(INDEX(firmadas!$F:$F,$T307))&amp;"/"&amp;YEAR(INDEX(firmadas!$F:$F,$T307)))&amp;")",IF($G307&lt;&gt;INDEX(firmadas!$E:$E,$T307),"INGRESO DISTINTO EN firmadas ("&amp;IF(INDEX(firmadas!$E:$E,$T307)="","vacía",DAY(INDEX(firmadas!$E:$E,$T307))&amp;"/"&amp;MONTH(INDEX(firmadas!$E:$E,$T307))&amp;"/"&amp;YEAR(INDEX(firmadas!$E:$E,$T307)))&amp;")","OK"))))))))</f>
        <v/>
      </c>
      <c r="T307" t="str">
        <f ca="1">IF($P307="","",IFERROR(MATCH($P307,firmadas!$N:$N,0),IFERROR(MATCH("*/"&amp;MID($P307,FIND(" ",$P307)+1,9)&amp;"*",firmadas!$B:$B,0),0)))</f>
        <v/>
      </c>
    </row>
    <row r="308" spans="6:20" ht="15" customHeight="1" x14ac:dyDescent="0.25">
      <c r="F308" s="16"/>
      <c r="M308" s="53"/>
      <c r="N308" s="53" t="str">
        <f t="shared" ca="1" si="4"/>
        <v/>
      </c>
      <c r="P308" t="str">
        <f ca="1">IF(TRIM(SUBSTITUTE(($C308&amp;" "&amp;$D308),CHAR(160)," "))="","",IFERROR(IF(ISNUMBER(SEARCH("INC",($C308&amp;" "&amp;$D308))),"INC",IF(ISNUMBER(SEARCH("OPI",($C308&amp;" "&amp;$D308))),"OPI",IF(ISNUMBER(SEARCH("DP",($C308&amp;" "&amp;$D308))),"DP","CONC")))&amp;" "&amp;TEXT(LOOKUP(9.99E+307,--MID(SUBSTITUTE(($C308&amp;" "&amp;$D308),CHAR(160)," "),SUMPRODUCT(MIN(FIND({0,1,2,3,4,5,6,7,8,9},SUBSTITUTE(($C308&amp;" "&amp;$D308),CHAR(160)," ")&amp;"0123456789"))),ROW(INDIRECT("1:6")))),"0"),"SIN NUMERO"))</f>
        <v/>
      </c>
      <c r="Q308" t="str">
        <f ca="1">IF($P308="","",IF(LEFT(UPPER($S308),9)="VERIFICAR","VERIFICAR",IF($A308="","SIN ESTADO",IF(AND($A308="Firmada",$H308=""),"FALTA FECHA DE FIRMA",IF(N($T308)=0,IF(AND(ISNUMBER($H308),$H308&gt;=DATE(2024,1,1)),"FALTA EN FIRMADAS","OK"),IF(OR($A308="Pendiente de presentación",$A308="Observado",$A308="En análisis",$A308="En instrucción",$A308="Suspendida",$A308="IT circulando",$A308="Para resolución",$A308="TDC"),"ABIERTA PERO ESTÁ EN FIRMADAS",IF($H308&lt;&gt;INDEX(firmadas!$F:$F,$T308),"FIRMA DISTINTA EN firmadas ("&amp;IF(INDEX(firmadas!$F:$F,$T308)="","vacía",DAY(INDEX(firmadas!$F:$F,$T308))&amp;"/"&amp;MONTH(INDEX(firmadas!$F:$F,$T308))&amp;"/"&amp;YEAR(INDEX(firmadas!$F:$F,$T308)))&amp;")",IF($G308&lt;&gt;INDEX(firmadas!$E:$E,$T308),"INGRESO DISTINTO EN firmadas ("&amp;IF(INDEX(firmadas!$E:$E,$T308)="","vacía",DAY(INDEX(firmadas!$E:$E,$T308))&amp;"/"&amp;MONTH(INDEX(firmadas!$E:$E,$T308))&amp;"/"&amp;YEAR(INDEX(firmadas!$E:$E,$T308)))&amp;")","OK"))))))))</f>
        <v/>
      </c>
      <c r="T308" t="str">
        <f ca="1">IF($P308="","",IFERROR(MATCH($P308,firmadas!$N:$N,0),IFERROR(MATCH("*/"&amp;MID($P308,FIND(" ",$P308)+1,9)&amp;"*",firmadas!$B:$B,0),0)))</f>
        <v/>
      </c>
    </row>
    <row r="309" spans="6:20" ht="15" customHeight="1" x14ac:dyDescent="0.25">
      <c r="F309" s="16"/>
      <c r="M309" s="53"/>
      <c r="N309" s="53" t="str">
        <f t="shared" ca="1" si="4"/>
        <v/>
      </c>
      <c r="P309" t="str">
        <f ca="1">IF(TRIM(SUBSTITUTE(($C309&amp;" "&amp;$D309),CHAR(160)," "))="","",IFERROR(IF(ISNUMBER(SEARCH("INC",($C309&amp;" "&amp;$D309))),"INC",IF(ISNUMBER(SEARCH("OPI",($C309&amp;" "&amp;$D309))),"OPI",IF(ISNUMBER(SEARCH("DP",($C309&amp;" "&amp;$D309))),"DP","CONC")))&amp;" "&amp;TEXT(LOOKUP(9.99E+307,--MID(SUBSTITUTE(($C309&amp;" "&amp;$D309),CHAR(160)," "),SUMPRODUCT(MIN(FIND({0,1,2,3,4,5,6,7,8,9},SUBSTITUTE(($C309&amp;" "&amp;$D309),CHAR(160)," ")&amp;"0123456789"))),ROW(INDIRECT("1:6")))),"0"),"SIN NUMERO"))</f>
        <v/>
      </c>
      <c r="Q309" t="str">
        <f ca="1">IF($P309="","",IF(LEFT(UPPER($S309),9)="VERIFICAR","VERIFICAR",IF($A309="","SIN ESTADO",IF(AND($A309="Firmada",$H309=""),"FALTA FECHA DE FIRMA",IF(N($T309)=0,IF(AND(ISNUMBER($H309),$H309&gt;=DATE(2024,1,1)),"FALTA EN FIRMADAS","OK"),IF(OR($A309="Pendiente de presentación",$A309="Observado",$A309="En análisis",$A309="En instrucción",$A309="Suspendida",$A309="IT circulando",$A309="Para resolución",$A309="TDC"),"ABIERTA PERO ESTÁ EN FIRMADAS",IF($H309&lt;&gt;INDEX(firmadas!$F:$F,$T309),"FIRMA DISTINTA EN firmadas ("&amp;IF(INDEX(firmadas!$F:$F,$T309)="","vacía",DAY(INDEX(firmadas!$F:$F,$T309))&amp;"/"&amp;MONTH(INDEX(firmadas!$F:$F,$T309))&amp;"/"&amp;YEAR(INDEX(firmadas!$F:$F,$T309)))&amp;")",IF($G309&lt;&gt;INDEX(firmadas!$E:$E,$T309),"INGRESO DISTINTO EN firmadas ("&amp;IF(INDEX(firmadas!$E:$E,$T309)="","vacía",DAY(INDEX(firmadas!$E:$E,$T309))&amp;"/"&amp;MONTH(INDEX(firmadas!$E:$E,$T309))&amp;"/"&amp;YEAR(INDEX(firmadas!$E:$E,$T309)))&amp;")","OK"))))))))</f>
        <v/>
      </c>
      <c r="T309" t="str">
        <f ca="1">IF($P309="","",IFERROR(MATCH($P309,firmadas!$N:$N,0),IFERROR(MATCH("*/"&amp;MID($P309,FIND(" ",$P309)+1,9)&amp;"*",firmadas!$B:$B,0),0)))</f>
        <v/>
      </c>
    </row>
    <row r="310" spans="6:20" ht="15" customHeight="1" x14ac:dyDescent="0.25">
      <c r="F310" s="16"/>
      <c r="M310" s="53"/>
      <c r="N310" s="53" t="str">
        <f t="shared" ca="1" si="4"/>
        <v/>
      </c>
      <c r="P310" t="str">
        <f ca="1">IF(TRIM(SUBSTITUTE(($C310&amp;" "&amp;$D310),CHAR(160)," "))="","",IFERROR(IF(ISNUMBER(SEARCH("INC",($C310&amp;" "&amp;$D310))),"INC",IF(ISNUMBER(SEARCH("OPI",($C310&amp;" "&amp;$D310))),"OPI",IF(ISNUMBER(SEARCH("DP",($C310&amp;" "&amp;$D310))),"DP","CONC")))&amp;" "&amp;TEXT(LOOKUP(9.99E+307,--MID(SUBSTITUTE(($C310&amp;" "&amp;$D310),CHAR(160)," "),SUMPRODUCT(MIN(FIND({0,1,2,3,4,5,6,7,8,9},SUBSTITUTE(($C310&amp;" "&amp;$D310),CHAR(160)," ")&amp;"0123456789"))),ROW(INDIRECT("1:6")))),"0"),"SIN NUMERO"))</f>
        <v/>
      </c>
      <c r="Q310" t="str">
        <f ca="1">IF($P310="","",IF(LEFT(UPPER($S310),9)="VERIFICAR","VERIFICAR",IF($A310="","SIN ESTADO",IF(AND($A310="Firmada",$H310=""),"FALTA FECHA DE FIRMA",IF(N($T310)=0,IF(AND(ISNUMBER($H310),$H310&gt;=DATE(2024,1,1)),"FALTA EN FIRMADAS","OK"),IF(OR($A310="Pendiente de presentación",$A310="Observado",$A310="En análisis",$A310="En instrucción",$A310="Suspendida",$A310="IT circulando",$A310="Para resolución",$A310="TDC"),"ABIERTA PERO ESTÁ EN FIRMADAS",IF($H310&lt;&gt;INDEX(firmadas!$F:$F,$T310),"FIRMA DISTINTA EN firmadas ("&amp;IF(INDEX(firmadas!$F:$F,$T310)="","vacía",DAY(INDEX(firmadas!$F:$F,$T310))&amp;"/"&amp;MONTH(INDEX(firmadas!$F:$F,$T310))&amp;"/"&amp;YEAR(INDEX(firmadas!$F:$F,$T310)))&amp;")",IF($G310&lt;&gt;INDEX(firmadas!$E:$E,$T310),"INGRESO DISTINTO EN firmadas ("&amp;IF(INDEX(firmadas!$E:$E,$T310)="","vacía",DAY(INDEX(firmadas!$E:$E,$T310))&amp;"/"&amp;MONTH(INDEX(firmadas!$E:$E,$T310))&amp;"/"&amp;YEAR(INDEX(firmadas!$E:$E,$T310)))&amp;")","OK"))))))))</f>
        <v/>
      </c>
      <c r="T310" t="str">
        <f ca="1">IF($P310="","",IFERROR(MATCH($P310,firmadas!$N:$N,0),IFERROR(MATCH("*/"&amp;MID($P310,FIND(" ",$P310)+1,9)&amp;"*",firmadas!$B:$B,0),0)))</f>
        <v/>
      </c>
    </row>
    <row r="311" spans="6:20" ht="15" customHeight="1" x14ac:dyDescent="0.25">
      <c r="F311" s="16"/>
      <c r="M311" s="53"/>
      <c r="N311" s="53" t="str">
        <f t="shared" ca="1" si="4"/>
        <v/>
      </c>
      <c r="P311" t="str">
        <f ca="1">IF(TRIM(SUBSTITUTE(($C311&amp;" "&amp;$D311),CHAR(160)," "))="","",IFERROR(IF(ISNUMBER(SEARCH("INC",($C311&amp;" "&amp;$D311))),"INC",IF(ISNUMBER(SEARCH("OPI",($C311&amp;" "&amp;$D311))),"OPI",IF(ISNUMBER(SEARCH("DP",($C311&amp;" "&amp;$D311))),"DP","CONC")))&amp;" "&amp;TEXT(LOOKUP(9.99E+307,--MID(SUBSTITUTE(($C311&amp;" "&amp;$D311),CHAR(160)," "),SUMPRODUCT(MIN(FIND({0,1,2,3,4,5,6,7,8,9},SUBSTITUTE(($C311&amp;" "&amp;$D311),CHAR(160)," ")&amp;"0123456789"))),ROW(INDIRECT("1:6")))),"0"),"SIN NUMERO"))</f>
        <v/>
      </c>
      <c r="Q311" t="str">
        <f ca="1">IF($P311="","",IF(LEFT(UPPER($S311),9)="VERIFICAR","VERIFICAR",IF($A311="","SIN ESTADO",IF(AND($A311="Firmada",$H311=""),"FALTA FECHA DE FIRMA",IF(N($T311)=0,IF(AND(ISNUMBER($H311),$H311&gt;=DATE(2024,1,1)),"FALTA EN FIRMADAS","OK"),IF(OR($A311="Pendiente de presentación",$A311="Observado",$A311="En análisis",$A311="En instrucción",$A311="Suspendida",$A311="IT circulando",$A311="Para resolución",$A311="TDC"),"ABIERTA PERO ESTÁ EN FIRMADAS",IF($H311&lt;&gt;INDEX(firmadas!$F:$F,$T311),"FIRMA DISTINTA EN firmadas ("&amp;IF(INDEX(firmadas!$F:$F,$T311)="","vacía",DAY(INDEX(firmadas!$F:$F,$T311))&amp;"/"&amp;MONTH(INDEX(firmadas!$F:$F,$T311))&amp;"/"&amp;YEAR(INDEX(firmadas!$F:$F,$T311)))&amp;")",IF($G311&lt;&gt;INDEX(firmadas!$E:$E,$T311),"INGRESO DISTINTO EN firmadas ("&amp;IF(INDEX(firmadas!$E:$E,$T311)="","vacía",DAY(INDEX(firmadas!$E:$E,$T311))&amp;"/"&amp;MONTH(INDEX(firmadas!$E:$E,$T311))&amp;"/"&amp;YEAR(INDEX(firmadas!$E:$E,$T311)))&amp;")","OK"))))))))</f>
        <v/>
      </c>
      <c r="T311" t="str">
        <f ca="1">IF($P311="","",IFERROR(MATCH($P311,firmadas!$N:$N,0),IFERROR(MATCH("*/"&amp;MID($P311,FIND(" ",$P311)+1,9)&amp;"*",firmadas!$B:$B,0),0)))</f>
        <v/>
      </c>
    </row>
    <row r="312" spans="6:20" ht="15" customHeight="1" x14ac:dyDescent="0.25">
      <c r="F312" s="16"/>
      <c r="M312" s="53"/>
      <c r="N312" s="53" t="str">
        <f t="shared" ca="1" si="4"/>
        <v/>
      </c>
      <c r="P312" t="str">
        <f ca="1">IF(TRIM(SUBSTITUTE(($C312&amp;" "&amp;$D312),CHAR(160)," "))="","",IFERROR(IF(ISNUMBER(SEARCH("INC",($C312&amp;" "&amp;$D312))),"INC",IF(ISNUMBER(SEARCH("OPI",($C312&amp;" "&amp;$D312))),"OPI",IF(ISNUMBER(SEARCH("DP",($C312&amp;" "&amp;$D312))),"DP","CONC")))&amp;" "&amp;TEXT(LOOKUP(9.99E+307,--MID(SUBSTITUTE(($C312&amp;" "&amp;$D312),CHAR(160)," "),SUMPRODUCT(MIN(FIND({0,1,2,3,4,5,6,7,8,9},SUBSTITUTE(($C312&amp;" "&amp;$D312),CHAR(160)," ")&amp;"0123456789"))),ROW(INDIRECT("1:6")))),"0"),"SIN NUMERO"))</f>
        <v/>
      </c>
      <c r="Q312" t="str">
        <f ca="1">IF($P312="","",IF(LEFT(UPPER($S312),9)="VERIFICAR","VERIFICAR",IF($A312="","SIN ESTADO",IF(AND($A312="Firmada",$H312=""),"FALTA FECHA DE FIRMA",IF(N($T312)=0,IF(AND(ISNUMBER($H312),$H312&gt;=DATE(2024,1,1)),"FALTA EN FIRMADAS","OK"),IF(OR($A312="Pendiente de presentación",$A312="Observado",$A312="En análisis",$A312="En instrucción",$A312="Suspendida",$A312="IT circulando",$A312="Para resolución",$A312="TDC"),"ABIERTA PERO ESTÁ EN FIRMADAS",IF($H312&lt;&gt;INDEX(firmadas!$F:$F,$T312),"FIRMA DISTINTA EN firmadas ("&amp;IF(INDEX(firmadas!$F:$F,$T312)="","vacía",DAY(INDEX(firmadas!$F:$F,$T312))&amp;"/"&amp;MONTH(INDEX(firmadas!$F:$F,$T312))&amp;"/"&amp;YEAR(INDEX(firmadas!$F:$F,$T312)))&amp;")",IF($G312&lt;&gt;INDEX(firmadas!$E:$E,$T312),"INGRESO DISTINTO EN firmadas ("&amp;IF(INDEX(firmadas!$E:$E,$T312)="","vacía",DAY(INDEX(firmadas!$E:$E,$T312))&amp;"/"&amp;MONTH(INDEX(firmadas!$E:$E,$T312))&amp;"/"&amp;YEAR(INDEX(firmadas!$E:$E,$T312)))&amp;")","OK"))))))))</f>
        <v/>
      </c>
      <c r="T312" t="str">
        <f ca="1">IF($P312="","",IFERROR(MATCH($P312,firmadas!$N:$N,0),IFERROR(MATCH("*/"&amp;MID($P312,FIND(" ",$P312)+1,9)&amp;"*",firmadas!$B:$B,0),0)))</f>
        <v/>
      </c>
    </row>
    <row r="313" spans="6:20" ht="15" customHeight="1" x14ac:dyDescent="0.25">
      <c r="F313" s="16"/>
      <c r="M313" s="53"/>
      <c r="N313" s="53" t="str">
        <f t="shared" ca="1" si="4"/>
        <v/>
      </c>
      <c r="P313" t="str">
        <f ca="1">IF(TRIM(SUBSTITUTE(($C313&amp;" "&amp;$D313),CHAR(160)," "))="","",IFERROR(IF(ISNUMBER(SEARCH("INC",($C313&amp;" "&amp;$D313))),"INC",IF(ISNUMBER(SEARCH("OPI",($C313&amp;" "&amp;$D313))),"OPI",IF(ISNUMBER(SEARCH("DP",($C313&amp;" "&amp;$D313))),"DP","CONC")))&amp;" "&amp;TEXT(LOOKUP(9.99E+307,--MID(SUBSTITUTE(($C313&amp;" "&amp;$D313),CHAR(160)," "),SUMPRODUCT(MIN(FIND({0,1,2,3,4,5,6,7,8,9},SUBSTITUTE(($C313&amp;" "&amp;$D313),CHAR(160)," ")&amp;"0123456789"))),ROW(INDIRECT("1:6")))),"0"),"SIN NUMERO"))</f>
        <v/>
      </c>
      <c r="Q313" t="str">
        <f ca="1">IF($P313="","",IF(LEFT(UPPER($S313),9)="VERIFICAR","VERIFICAR",IF($A313="","SIN ESTADO",IF(AND($A313="Firmada",$H313=""),"FALTA FECHA DE FIRMA",IF(N($T313)=0,IF(AND(ISNUMBER($H313),$H313&gt;=DATE(2024,1,1)),"FALTA EN FIRMADAS","OK"),IF(OR($A313="Pendiente de presentación",$A313="Observado",$A313="En análisis",$A313="En instrucción",$A313="Suspendida",$A313="IT circulando",$A313="Para resolución",$A313="TDC"),"ABIERTA PERO ESTÁ EN FIRMADAS",IF($H313&lt;&gt;INDEX(firmadas!$F:$F,$T313),"FIRMA DISTINTA EN firmadas ("&amp;IF(INDEX(firmadas!$F:$F,$T313)="","vacía",DAY(INDEX(firmadas!$F:$F,$T313))&amp;"/"&amp;MONTH(INDEX(firmadas!$F:$F,$T313))&amp;"/"&amp;YEAR(INDEX(firmadas!$F:$F,$T313)))&amp;")",IF($G313&lt;&gt;INDEX(firmadas!$E:$E,$T313),"INGRESO DISTINTO EN firmadas ("&amp;IF(INDEX(firmadas!$E:$E,$T313)="","vacía",DAY(INDEX(firmadas!$E:$E,$T313))&amp;"/"&amp;MONTH(INDEX(firmadas!$E:$E,$T313))&amp;"/"&amp;YEAR(INDEX(firmadas!$E:$E,$T313)))&amp;")","OK"))))))))</f>
        <v/>
      </c>
      <c r="T313" t="str">
        <f ca="1">IF($P313="","",IFERROR(MATCH($P313,firmadas!$N:$N,0),IFERROR(MATCH("*/"&amp;MID($P313,FIND(" ",$P313)+1,9)&amp;"*",firmadas!$B:$B,0),0)))</f>
        <v/>
      </c>
    </row>
    <row r="314" spans="6:20" ht="15" customHeight="1" x14ac:dyDescent="0.25">
      <c r="F314" s="16"/>
      <c r="M314" s="53"/>
      <c r="N314" s="53" t="str">
        <f t="shared" ca="1" si="4"/>
        <v/>
      </c>
      <c r="P314" t="str">
        <f ca="1">IF(TRIM(SUBSTITUTE(($C314&amp;" "&amp;$D314),CHAR(160)," "))="","",IFERROR(IF(ISNUMBER(SEARCH("INC",($C314&amp;" "&amp;$D314))),"INC",IF(ISNUMBER(SEARCH("OPI",($C314&amp;" "&amp;$D314))),"OPI",IF(ISNUMBER(SEARCH("DP",($C314&amp;" "&amp;$D314))),"DP","CONC")))&amp;" "&amp;TEXT(LOOKUP(9.99E+307,--MID(SUBSTITUTE(($C314&amp;" "&amp;$D314),CHAR(160)," "),SUMPRODUCT(MIN(FIND({0,1,2,3,4,5,6,7,8,9},SUBSTITUTE(($C314&amp;" "&amp;$D314),CHAR(160)," ")&amp;"0123456789"))),ROW(INDIRECT("1:6")))),"0"),"SIN NUMERO"))</f>
        <v/>
      </c>
      <c r="Q314" t="str">
        <f ca="1">IF($P314="","",IF(LEFT(UPPER($S314),9)="VERIFICAR","VERIFICAR",IF($A314="","SIN ESTADO",IF(AND($A314="Firmada",$H314=""),"FALTA FECHA DE FIRMA",IF(N($T314)=0,IF(AND(ISNUMBER($H314),$H314&gt;=DATE(2024,1,1)),"FALTA EN FIRMADAS","OK"),IF(OR($A314="Pendiente de presentación",$A314="Observado",$A314="En análisis",$A314="En instrucción",$A314="Suspendida",$A314="IT circulando",$A314="Para resolución",$A314="TDC"),"ABIERTA PERO ESTÁ EN FIRMADAS",IF($H314&lt;&gt;INDEX(firmadas!$F:$F,$T314),"FIRMA DISTINTA EN firmadas ("&amp;IF(INDEX(firmadas!$F:$F,$T314)="","vacía",DAY(INDEX(firmadas!$F:$F,$T314))&amp;"/"&amp;MONTH(INDEX(firmadas!$F:$F,$T314))&amp;"/"&amp;YEAR(INDEX(firmadas!$F:$F,$T314)))&amp;")",IF($G314&lt;&gt;INDEX(firmadas!$E:$E,$T314),"INGRESO DISTINTO EN firmadas ("&amp;IF(INDEX(firmadas!$E:$E,$T314)="","vacía",DAY(INDEX(firmadas!$E:$E,$T314))&amp;"/"&amp;MONTH(INDEX(firmadas!$E:$E,$T314))&amp;"/"&amp;YEAR(INDEX(firmadas!$E:$E,$T314)))&amp;")","OK"))))))))</f>
        <v/>
      </c>
      <c r="T314" t="str">
        <f ca="1">IF($P314="","",IFERROR(MATCH($P314,firmadas!$N:$N,0),IFERROR(MATCH("*/"&amp;MID($P314,FIND(" ",$P314)+1,9)&amp;"*",firmadas!$B:$B,0),0)))</f>
        <v/>
      </c>
    </row>
    <row r="315" spans="6:20" ht="15" customHeight="1" x14ac:dyDescent="0.25">
      <c r="F315" s="16"/>
      <c r="M315" s="53"/>
      <c r="N315" s="53" t="str">
        <f t="shared" ca="1" si="4"/>
        <v/>
      </c>
      <c r="P315" t="str">
        <f ca="1">IF(TRIM(SUBSTITUTE(($C315&amp;" "&amp;$D315),CHAR(160)," "))="","",IFERROR(IF(ISNUMBER(SEARCH("INC",($C315&amp;" "&amp;$D315))),"INC",IF(ISNUMBER(SEARCH("OPI",($C315&amp;" "&amp;$D315))),"OPI",IF(ISNUMBER(SEARCH("DP",($C315&amp;" "&amp;$D315))),"DP","CONC")))&amp;" "&amp;TEXT(LOOKUP(9.99E+307,--MID(SUBSTITUTE(($C315&amp;" "&amp;$D315),CHAR(160)," "),SUMPRODUCT(MIN(FIND({0,1,2,3,4,5,6,7,8,9},SUBSTITUTE(($C315&amp;" "&amp;$D315),CHAR(160)," ")&amp;"0123456789"))),ROW(INDIRECT("1:6")))),"0"),"SIN NUMERO"))</f>
        <v/>
      </c>
      <c r="Q315" t="str">
        <f ca="1">IF($P315="","",IF(LEFT(UPPER($S315),9)="VERIFICAR","VERIFICAR",IF($A315="","SIN ESTADO",IF(AND($A315="Firmada",$H315=""),"FALTA FECHA DE FIRMA",IF(N($T315)=0,IF(AND(ISNUMBER($H315),$H315&gt;=DATE(2024,1,1)),"FALTA EN FIRMADAS","OK"),IF(OR($A315="Pendiente de presentación",$A315="Observado",$A315="En análisis",$A315="En instrucción",$A315="Suspendida",$A315="IT circulando",$A315="Para resolución",$A315="TDC"),"ABIERTA PERO ESTÁ EN FIRMADAS",IF($H315&lt;&gt;INDEX(firmadas!$F:$F,$T315),"FIRMA DISTINTA EN firmadas ("&amp;IF(INDEX(firmadas!$F:$F,$T315)="","vacía",DAY(INDEX(firmadas!$F:$F,$T315))&amp;"/"&amp;MONTH(INDEX(firmadas!$F:$F,$T315))&amp;"/"&amp;YEAR(INDEX(firmadas!$F:$F,$T315)))&amp;")",IF($G315&lt;&gt;INDEX(firmadas!$E:$E,$T315),"INGRESO DISTINTO EN firmadas ("&amp;IF(INDEX(firmadas!$E:$E,$T315)="","vacía",DAY(INDEX(firmadas!$E:$E,$T315))&amp;"/"&amp;MONTH(INDEX(firmadas!$E:$E,$T315))&amp;"/"&amp;YEAR(INDEX(firmadas!$E:$E,$T315)))&amp;")","OK"))))))))</f>
        <v/>
      </c>
      <c r="T315" t="str">
        <f ca="1">IF($P315="","",IFERROR(MATCH($P315,firmadas!$N:$N,0),IFERROR(MATCH("*/"&amp;MID($P315,FIND(" ",$P315)+1,9)&amp;"*",firmadas!$B:$B,0),0)))</f>
        <v/>
      </c>
    </row>
    <row r="316" spans="6:20" ht="15" customHeight="1" x14ac:dyDescent="0.25">
      <c r="F316" s="16"/>
      <c r="M316" s="53"/>
      <c r="N316" s="53" t="str">
        <f t="shared" ca="1" si="4"/>
        <v/>
      </c>
      <c r="P316" t="str">
        <f ca="1">IF(TRIM(SUBSTITUTE(($C316&amp;" "&amp;$D316),CHAR(160)," "))="","",IFERROR(IF(ISNUMBER(SEARCH("INC",($C316&amp;" "&amp;$D316))),"INC",IF(ISNUMBER(SEARCH("OPI",($C316&amp;" "&amp;$D316))),"OPI",IF(ISNUMBER(SEARCH("DP",($C316&amp;" "&amp;$D316))),"DP","CONC")))&amp;" "&amp;TEXT(LOOKUP(9.99E+307,--MID(SUBSTITUTE(($C316&amp;" "&amp;$D316),CHAR(160)," "),SUMPRODUCT(MIN(FIND({0,1,2,3,4,5,6,7,8,9},SUBSTITUTE(($C316&amp;" "&amp;$D316),CHAR(160)," ")&amp;"0123456789"))),ROW(INDIRECT("1:6")))),"0"),"SIN NUMERO"))</f>
        <v/>
      </c>
      <c r="Q316" t="str">
        <f ca="1">IF($P316="","",IF(LEFT(UPPER($S316),9)="VERIFICAR","VERIFICAR",IF($A316="","SIN ESTADO",IF(AND($A316="Firmada",$H316=""),"FALTA FECHA DE FIRMA",IF(N($T316)=0,IF(AND(ISNUMBER($H316),$H316&gt;=DATE(2024,1,1)),"FALTA EN FIRMADAS","OK"),IF(OR($A316="Pendiente de presentación",$A316="Observado",$A316="En análisis",$A316="En instrucción",$A316="Suspendida",$A316="IT circulando",$A316="Para resolución",$A316="TDC"),"ABIERTA PERO ESTÁ EN FIRMADAS",IF($H316&lt;&gt;INDEX(firmadas!$F:$F,$T316),"FIRMA DISTINTA EN firmadas ("&amp;IF(INDEX(firmadas!$F:$F,$T316)="","vacía",DAY(INDEX(firmadas!$F:$F,$T316))&amp;"/"&amp;MONTH(INDEX(firmadas!$F:$F,$T316))&amp;"/"&amp;YEAR(INDEX(firmadas!$F:$F,$T316)))&amp;")",IF($G316&lt;&gt;INDEX(firmadas!$E:$E,$T316),"INGRESO DISTINTO EN firmadas ("&amp;IF(INDEX(firmadas!$E:$E,$T316)="","vacía",DAY(INDEX(firmadas!$E:$E,$T316))&amp;"/"&amp;MONTH(INDEX(firmadas!$E:$E,$T316))&amp;"/"&amp;YEAR(INDEX(firmadas!$E:$E,$T316)))&amp;")","OK"))))))))</f>
        <v/>
      </c>
      <c r="T316" t="str">
        <f ca="1">IF($P316="","",IFERROR(MATCH($P316,firmadas!$N:$N,0),IFERROR(MATCH("*/"&amp;MID($P316,FIND(" ",$P316)+1,9)&amp;"*",firmadas!$B:$B,0),0)))</f>
        <v/>
      </c>
    </row>
    <row r="317" spans="6:20" ht="15" customHeight="1" x14ac:dyDescent="0.25">
      <c r="F317" s="16"/>
      <c r="M317" s="53"/>
      <c r="N317" s="53" t="str">
        <f t="shared" ca="1" si="4"/>
        <v/>
      </c>
      <c r="P317" t="str">
        <f ca="1">IF(TRIM(SUBSTITUTE(($C317&amp;" "&amp;$D317),CHAR(160)," "))="","",IFERROR(IF(ISNUMBER(SEARCH("INC",($C317&amp;" "&amp;$D317))),"INC",IF(ISNUMBER(SEARCH("OPI",($C317&amp;" "&amp;$D317))),"OPI",IF(ISNUMBER(SEARCH("DP",($C317&amp;" "&amp;$D317))),"DP","CONC")))&amp;" "&amp;TEXT(LOOKUP(9.99E+307,--MID(SUBSTITUTE(($C317&amp;" "&amp;$D317),CHAR(160)," "),SUMPRODUCT(MIN(FIND({0,1,2,3,4,5,6,7,8,9},SUBSTITUTE(($C317&amp;" "&amp;$D317),CHAR(160)," ")&amp;"0123456789"))),ROW(INDIRECT("1:6")))),"0"),"SIN NUMERO"))</f>
        <v/>
      </c>
      <c r="Q317" t="str">
        <f ca="1">IF($P317="","",IF(LEFT(UPPER($S317),9)="VERIFICAR","VERIFICAR",IF($A317="","SIN ESTADO",IF(AND($A317="Firmada",$H317=""),"FALTA FECHA DE FIRMA",IF(N($T317)=0,IF(AND(ISNUMBER($H317),$H317&gt;=DATE(2024,1,1)),"FALTA EN FIRMADAS","OK"),IF(OR($A317="Pendiente de presentación",$A317="Observado",$A317="En análisis",$A317="En instrucción",$A317="Suspendida",$A317="IT circulando",$A317="Para resolución",$A317="TDC"),"ABIERTA PERO ESTÁ EN FIRMADAS",IF($H317&lt;&gt;INDEX(firmadas!$F:$F,$T317),"FIRMA DISTINTA EN firmadas ("&amp;IF(INDEX(firmadas!$F:$F,$T317)="","vacía",DAY(INDEX(firmadas!$F:$F,$T317))&amp;"/"&amp;MONTH(INDEX(firmadas!$F:$F,$T317))&amp;"/"&amp;YEAR(INDEX(firmadas!$F:$F,$T317)))&amp;")",IF($G317&lt;&gt;INDEX(firmadas!$E:$E,$T317),"INGRESO DISTINTO EN firmadas ("&amp;IF(INDEX(firmadas!$E:$E,$T317)="","vacía",DAY(INDEX(firmadas!$E:$E,$T317))&amp;"/"&amp;MONTH(INDEX(firmadas!$E:$E,$T317))&amp;"/"&amp;YEAR(INDEX(firmadas!$E:$E,$T317)))&amp;")","OK"))))))))</f>
        <v/>
      </c>
      <c r="T317" t="str">
        <f ca="1">IF($P317="","",IFERROR(MATCH($P317,firmadas!$N:$N,0),IFERROR(MATCH("*/"&amp;MID($P317,FIND(" ",$P317)+1,9)&amp;"*",firmadas!$B:$B,0),0)))</f>
        <v/>
      </c>
    </row>
    <row r="318" spans="6:20" ht="15" customHeight="1" x14ac:dyDescent="0.25">
      <c r="F318" s="16"/>
      <c r="M318" s="53"/>
      <c r="N318" s="53" t="str">
        <f t="shared" ca="1" si="4"/>
        <v/>
      </c>
      <c r="P318" t="str">
        <f ca="1">IF(TRIM(SUBSTITUTE(($C318&amp;" "&amp;$D318),CHAR(160)," "))="","",IFERROR(IF(ISNUMBER(SEARCH("INC",($C318&amp;" "&amp;$D318))),"INC",IF(ISNUMBER(SEARCH("OPI",($C318&amp;" "&amp;$D318))),"OPI",IF(ISNUMBER(SEARCH("DP",($C318&amp;" "&amp;$D318))),"DP","CONC")))&amp;" "&amp;TEXT(LOOKUP(9.99E+307,--MID(SUBSTITUTE(($C318&amp;" "&amp;$D318),CHAR(160)," "),SUMPRODUCT(MIN(FIND({0,1,2,3,4,5,6,7,8,9},SUBSTITUTE(($C318&amp;" "&amp;$D318),CHAR(160)," ")&amp;"0123456789"))),ROW(INDIRECT("1:6")))),"0"),"SIN NUMERO"))</f>
        <v/>
      </c>
      <c r="Q318" t="str">
        <f ca="1">IF($P318="","",IF(LEFT(UPPER($S318),9)="VERIFICAR","VERIFICAR",IF($A318="","SIN ESTADO",IF(AND($A318="Firmada",$H318=""),"FALTA FECHA DE FIRMA",IF(N($T318)=0,IF(AND(ISNUMBER($H318),$H318&gt;=DATE(2024,1,1)),"FALTA EN FIRMADAS","OK"),IF(OR($A318="Pendiente de presentación",$A318="Observado",$A318="En análisis",$A318="En instrucción",$A318="Suspendida",$A318="IT circulando",$A318="Para resolución",$A318="TDC"),"ABIERTA PERO ESTÁ EN FIRMADAS",IF($H318&lt;&gt;INDEX(firmadas!$F:$F,$T318),"FIRMA DISTINTA EN firmadas ("&amp;IF(INDEX(firmadas!$F:$F,$T318)="","vacía",DAY(INDEX(firmadas!$F:$F,$T318))&amp;"/"&amp;MONTH(INDEX(firmadas!$F:$F,$T318))&amp;"/"&amp;YEAR(INDEX(firmadas!$F:$F,$T318)))&amp;")",IF($G318&lt;&gt;INDEX(firmadas!$E:$E,$T318),"INGRESO DISTINTO EN firmadas ("&amp;IF(INDEX(firmadas!$E:$E,$T318)="","vacía",DAY(INDEX(firmadas!$E:$E,$T318))&amp;"/"&amp;MONTH(INDEX(firmadas!$E:$E,$T318))&amp;"/"&amp;YEAR(INDEX(firmadas!$E:$E,$T318)))&amp;")","OK"))))))))</f>
        <v/>
      </c>
      <c r="T318" t="str">
        <f ca="1">IF($P318="","",IFERROR(MATCH($P318,firmadas!$N:$N,0),IFERROR(MATCH("*/"&amp;MID($P318,FIND(" ",$P318)+1,9)&amp;"*",firmadas!$B:$B,0),0)))</f>
        <v/>
      </c>
    </row>
    <row r="319" spans="6:20" ht="15" customHeight="1" x14ac:dyDescent="0.25">
      <c r="F319" s="16"/>
      <c r="M319" s="53"/>
      <c r="N319" s="53" t="str">
        <f t="shared" ca="1" si="4"/>
        <v/>
      </c>
      <c r="P319" t="str">
        <f ca="1">IF(TRIM(SUBSTITUTE(($C319&amp;" "&amp;$D319),CHAR(160)," "))="","",IFERROR(IF(ISNUMBER(SEARCH("INC",($C319&amp;" "&amp;$D319))),"INC",IF(ISNUMBER(SEARCH("OPI",($C319&amp;" "&amp;$D319))),"OPI",IF(ISNUMBER(SEARCH("DP",($C319&amp;" "&amp;$D319))),"DP","CONC")))&amp;" "&amp;TEXT(LOOKUP(9.99E+307,--MID(SUBSTITUTE(($C319&amp;" "&amp;$D319),CHAR(160)," "),SUMPRODUCT(MIN(FIND({0,1,2,3,4,5,6,7,8,9},SUBSTITUTE(($C319&amp;" "&amp;$D319),CHAR(160)," ")&amp;"0123456789"))),ROW(INDIRECT("1:6")))),"0"),"SIN NUMERO"))</f>
        <v/>
      </c>
      <c r="Q319" t="str">
        <f ca="1">IF($P319="","",IF(LEFT(UPPER($S319),9)="VERIFICAR","VERIFICAR",IF($A319="","SIN ESTADO",IF(AND($A319="Firmada",$H319=""),"FALTA FECHA DE FIRMA",IF(N($T319)=0,IF(AND(ISNUMBER($H319),$H319&gt;=DATE(2024,1,1)),"FALTA EN FIRMADAS","OK"),IF(OR($A319="Pendiente de presentación",$A319="Observado",$A319="En análisis",$A319="En instrucción",$A319="Suspendida",$A319="IT circulando",$A319="Para resolución",$A319="TDC"),"ABIERTA PERO ESTÁ EN FIRMADAS",IF($H319&lt;&gt;INDEX(firmadas!$F:$F,$T319),"FIRMA DISTINTA EN firmadas ("&amp;IF(INDEX(firmadas!$F:$F,$T319)="","vacía",DAY(INDEX(firmadas!$F:$F,$T319))&amp;"/"&amp;MONTH(INDEX(firmadas!$F:$F,$T319))&amp;"/"&amp;YEAR(INDEX(firmadas!$F:$F,$T319)))&amp;")",IF($G319&lt;&gt;INDEX(firmadas!$E:$E,$T319),"INGRESO DISTINTO EN firmadas ("&amp;IF(INDEX(firmadas!$E:$E,$T319)="","vacía",DAY(INDEX(firmadas!$E:$E,$T319))&amp;"/"&amp;MONTH(INDEX(firmadas!$E:$E,$T319))&amp;"/"&amp;YEAR(INDEX(firmadas!$E:$E,$T319)))&amp;")","OK"))))))))</f>
        <v/>
      </c>
      <c r="T319" t="str">
        <f ca="1">IF($P319="","",IFERROR(MATCH($P319,firmadas!$N:$N,0),IFERROR(MATCH("*/"&amp;MID($P319,FIND(" ",$P319)+1,9)&amp;"*",firmadas!$B:$B,0),0)))</f>
        <v/>
      </c>
    </row>
    <row r="320" spans="6:20" ht="15" customHeight="1" x14ac:dyDescent="0.25">
      <c r="F320" s="16"/>
      <c r="M320" s="53"/>
      <c r="N320" s="53" t="str">
        <f t="shared" ca="1" si="4"/>
        <v/>
      </c>
      <c r="P320" t="str">
        <f ca="1">IF(TRIM(SUBSTITUTE(($C320&amp;" "&amp;$D320),CHAR(160)," "))="","",IFERROR(IF(ISNUMBER(SEARCH("INC",($C320&amp;" "&amp;$D320))),"INC",IF(ISNUMBER(SEARCH("OPI",($C320&amp;" "&amp;$D320))),"OPI",IF(ISNUMBER(SEARCH("DP",($C320&amp;" "&amp;$D320))),"DP","CONC")))&amp;" "&amp;TEXT(LOOKUP(9.99E+307,--MID(SUBSTITUTE(($C320&amp;" "&amp;$D320),CHAR(160)," "),SUMPRODUCT(MIN(FIND({0,1,2,3,4,5,6,7,8,9},SUBSTITUTE(($C320&amp;" "&amp;$D320),CHAR(160)," ")&amp;"0123456789"))),ROW(INDIRECT("1:6")))),"0"),"SIN NUMERO"))</f>
        <v/>
      </c>
      <c r="Q320" t="str">
        <f ca="1">IF($P320="","",IF(LEFT(UPPER($S320),9)="VERIFICAR","VERIFICAR",IF($A320="","SIN ESTADO",IF(AND($A320="Firmada",$H320=""),"FALTA FECHA DE FIRMA",IF(N($T320)=0,IF(AND(ISNUMBER($H320),$H320&gt;=DATE(2024,1,1)),"FALTA EN FIRMADAS","OK"),IF(OR($A320="Pendiente de presentación",$A320="Observado",$A320="En análisis",$A320="En instrucción",$A320="Suspendida",$A320="IT circulando",$A320="Para resolución",$A320="TDC"),"ABIERTA PERO ESTÁ EN FIRMADAS",IF($H320&lt;&gt;INDEX(firmadas!$F:$F,$T320),"FIRMA DISTINTA EN firmadas ("&amp;IF(INDEX(firmadas!$F:$F,$T320)="","vacía",DAY(INDEX(firmadas!$F:$F,$T320))&amp;"/"&amp;MONTH(INDEX(firmadas!$F:$F,$T320))&amp;"/"&amp;YEAR(INDEX(firmadas!$F:$F,$T320)))&amp;")",IF($G320&lt;&gt;INDEX(firmadas!$E:$E,$T320),"INGRESO DISTINTO EN firmadas ("&amp;IF(INDEX(firmadas!$E:$E,$T320)="","vacía",DAY(INDEX(firmadas!$E:$E,$T320))&amp;"/"&amp;MONTH(INDEX(firmadas!$E:$E,$T320))&amp;"/"&amp;YEAR(INDEX(firmadas!$E:$E,$T320)))&amp;")","OK"))))))))</f>
        <v/>
      </c>
      <c r="T320" t="str">
        <f ca="1">IF($P320="","",IFERROR(MATCH($P320,firmadas!$N:$N,0),IFERROR(MATCH("*/"&amp;MID($P320,FIND(" ",$P320)+1,9)&amp;"*",firmadas!$B:$B,0),0)))</f>
        <v/>
      </c>
    </row>
    <row r="321" spans="6:20" ht="15" customHeight="1" x14ac:dyDescent="0.25">
      <c r="F321" s="16"/>
      <c r="M321" s="53"/>
      <c r="N321" s="53" t="str">
        <f t="shared" ca="1" si="4"/>
        <v/>
      </c>
      <c r="P321" t="str">
        <f ca="1">IF(TRIM(SUBSTITUTE(($C321&amp;" "&amp;$D321),CHAR(160)," "))="","",IFERROR(IF(ISNUMBER(SEARCH("INC",($C321&amp;" "&amp;$D321))),"INC",IF(ISNUMBER(SEARCH("OPI",($C321&amp;" "&amp;$D321))),"OPI",IF(ISNUMBER(SEARCH("DP",($C321&amp;" "&amp;$D321))),"DP","CONC")))&amp;" "&amp;TEXT(LOOKUP(9.99E+307,--MID(SUBSTITUTE(($C321&amp;" "&amp;$D321),CHAR(160)," "),SUMPRODUCT(MIN(FIND({0,1,2,3,4,5,6,7,8,9},SUBSTITUTE(($C321&amp;" "&amp;$D321),CHAR(160)," ")&amp;"0123456789"))),ROW(INDIRECT("1:6")))),"0"),"SIN NUMERO"))</f>
        <v/>
      </c>
      <c r="Q321" t="str">
        <f ca="1">IF($P321="","",IF(LEFT(UPPER($S321),9)="VERIFICAR","VERIFICAR",IF($A321="","SIN ESTADO",IF(AND($A321="Firmada",$H321=""),"FALTA FECHA DE FIRMA",IF(N($T321)=0,IF(AND(ISNUMBER($H321),$H321&gt;=DATE(2024,1,1)),"FALTA EN FIRMADAS","OK"),IF(OR($A321="Pendiente de presentación",$A321="Observado",$A321="En análisis",$A321="En instrucción",$A321="Suspendida",$A321="IT circulando",$A321="Para resolución",$A321="TDC"),"ABIERTA PERO ESTÁ EN FIRMADAS",IF($H321&lt;&gt;INDEX(firmadas!$F:$F,$T321),"FIRMA DISTINTA EN firmadas ("&amp;IF(INDEX(firmadas!$F:$F,$T321)="","vacía",DAY(INDEX(firmadas!$F:$F,$T321))&amp;"/"&amp;MONTH(INDEX(firmadas!$F:$F,$T321))&amp;"/"&amp;YEAR(INDEX(firmadas!$F:$F,$T321)))&amp;")",IF($G321&lt;&gt;INDEX(firmadas!$E:$E,$T321),"INGRESO DISTINTO EN firmadas ("&amp;IF(INDEX(firmadas!$E:$E,$T321)="","vacía",DAY(INDEX(firmadas!$E:$E,$T321))&amp;"/"&amp;MONTH(INDEX(firmadas!$E:$E,$T321))&amp;"/"&amp;YEAR(INDEX(firmadas!$E:$E,$T321)))&amp;")","OK"))))))))</f>
        <v/>
      </c>
      <c r="T321" t="str">
        <f ca="1">IF($P321="","",IFERROR(MATCH($P321,firmadas!$N:$N,0),IFERROR(MATCH("*/"&amp;MID($P321,FIND(" ",$P321)+1,9)&amp;"*",firmadas!$B:$B,0),0)))</f>
        <v/>
      </c>
    </row>
    <row r="322" spans="6:20" ht="15" customHeight="1" x14ac:dyDescent="0.25">
      <c r="F322" s="16"/>
      <c r="M322" s="53"/>
      <c r="N322" s="53" t="str">
        <f t="shared" ref="N322:N385" ca="1" si="5">IF($G322="","",(IF($H322="",TODAY(),$H322)-$G322)/30)</f>
        <v/>
      </c>
      <c r="P322" t="str">
        <f ca="1">IF(TRIM(SUBSTITUTE(($C322&amp;" "&amp;$D322),CHAR(160)," "))="","",IFERROR(IF(ISNUMBER(SEARCH("INC",($C322&amp;" "&amp;$D322))),"INC",IF(ISNUMBER(SEARCH("OPI",($C322&amp;" "&amp;$D322))),"OPI",IF(ISNUMBER(SEARCH("DP",($C322&amp;" "&amp;$D322))),"DP","CONC")))&amp;" "&amp;TEXT(LOOKUP(9.99E+307,--MID(SUBSTITUTE(($C322&amp;" "&amp;$D322),CHAR(160)," "),SUMPRODUCT(MIN(FIND({0,1,2,3,4,5,6,7,8,9},SUBSTITUTE(($C322&amp;" "&amp;$D322),CHAR(160)," ")&amp;"0123456789"))),ROW(INDIRECT("1:6")))),"0"),"SIN NUMERO"))</f>
        <v/>
      </c>
      <c r="Q322" t="str">
        <f ca="1">IF($P322="","",IF(LEFT(UPPER($S322),9)="VERIFICAR","VERIFICAR",IF($A322="","SIN ESTADO",IF(AND($A322="Firmada",$H322=""),"FALTA FECHA DE FIRMA",IF(N($T322)=0,IF(AND(ISNUMBER($H322),$H322&gt;=DATE(2024,1,1)),"FALTA EN FIRMADAS","OK"),IF(OR($A322="Pendiente de presentación",$A322="Observado",$A322="En análisis",$A322="En instrucción",$A322="Suspendida",$A322="IT circulando",$A322="Para resolución",$A322="TDC"),"ABIERTA PERO ESTÁ EN FIRMADAS",IF($H322&lt;&gt;INDEX(firmadas!$F:$F,$T322),"FIRMA DISTINTA EN firmadas ("&amp;IF(INDEX(firmadas!$F:$F,$T322)="","vacía",DAY(INDEX(firmadas!$F:$F,$T322))&amp;"/"&amp;MONTH(INDEX(firmadas!$F:$F,$T322))&amp;"/"&amp;YEAR(INDEX(firmadas!$F:$F,$T322)))&amp;")",IF($G322&lt;&gt;INDEX(firmadas!$E:$E,$T322),"INGRESO DISTINTO EN firmadas ("&amp;IF(INDEX(firmadas!$E:$E,$T322)="","vacía",DAY(INDEX(firmadas!$E:$E,$T322))&amp;"/"&amp;MONTH(INDEX(firmadas!$E:$E,$T322))&amp;"/"&amp;YEAR(INDEX(firmadas!$E:$E,$T322)))&amp;")","OK"))))))))</f>
        <v/>
      </c>
      <c r="T322" t="str">
        <f ca="1">IF($P322="","",IFERROR(MATCH($P322,firmadas!$N:$N,0),IFERROR(MATCH("*/"&amp;MID($P322,FIND(" ",$P322)+1,9)&amp;"*",firmadas!$B:$B,0),0)))</f>
        <v/>
      </c>
    </row>
    <row r="323" spans="6:20" ht="15" customHeight="1" x14ac:dyDescent="0.25">
      <c r="F323" s="16"/>
      <c r="M323" s="53"/>
      <c r="N323" s="53" t="str">
        <f t="shared" ca="1" si="5"/>
        <v/>
      </c>
      <c r="P323" t="str">
        <f ca="1">IF(TRIM(SUBSTITUTE(($C323&amp;" "&amp;$D323),CHAR(160)," "))="","",IFERROR(IF(ISNUMBER(SEARCH("INC",($C323&amp;" "&amp;$D323))),"INC",IF(ISNUMBER(SEARCH("OPI",($C323&amp;" "&amp;$D323))),"OPI",IF(ISNUMBER(SEARCH("DP",($C323&amp;" "&amp;$D323))),"DP","CONC")))&amp;" "&amp;TEXT(LOOKUP(9.99E+307,--MID(SUBSTITUTE(($C323&amp;" "&amp;$D323),CHAR(160)," "),SUMPRODUCT(MIN(FIND({0,1,2,3,4,5,6,7,8,9},SUBSTITUTE(($C323&amp;" "&amp;$D323),CHAR(160)," ")&amp;"0123456789"))),ROW(INDIRECT("1:6")))),"0"),"SIN NUMERO"))</f>
        <v/>
      </c>
      <c r="Q323" t="str">
        <f ca="1">IF($P323="","",IF(LEFT(UPPER($S323),9)="VERIFICAR","VERIFICAR",IF($A323="","SIN ESTADO",IF(AND($A323="Firmada",$H323=""),"FALTA FECHA DE FIRMA",IF(N($T323)=0,IF(AND(ISNUMBER($H323),$H323&gt;=DATE(2024,1,1)),"FALTA EN FIRMADAS","OK"),IF(OR($A323="Pendiente de presentación",$A323="Observado",$A323="En análisis",$A323="En instrucción",$A323="Suspendida",$A323="IT circulando",$A323="Para resolución",$A323="TDC"),"ABIERTA PERO ESTÁ EN FIRMADAS",IF($H323&lt;&gt;INDEX(firmadas!$F:$F,$T323),"FIRMA DISTINTA EN firmadas ("&amp;IF(INDEX(firmadas!$F:$F,$T323)="","vacía",DAY(INDEX(firmadas!$F:$F,$T323))&amp;"/"&amp;MONTH(INDEX(firmadas!$F:$F,$T323))&amp;"/"&amp;YEAR(INDEX(firmadas!$F:$F,$T323)))&amp;")",IF($G323&lt;&gt;INDEX(firmadas!$E:$E,$T323),"INGRESO DISTINTO EN firmadas ("&amp;IF(INDEX(firmadas!$E:$E,$T323)="","vacía",DAY(INDEX(firmadas!$E:$E,$T323))&amp;"/"&amp;MONTH(INDEX(firmadas!$E:$E,$T323))&amp;"/"&amp;YEAR(INDEX(firmadas!$E:$E,$T323)))&amp;")","OK"))))))))</f>
        <v/>
      </c>
      <c r="T323" t="str">
        <f ca="1">IF($P323="","",IFERROR(MATCH($P323,firmadas!$N:$N,0),IFERROR(MATCH("*/"&amp;MID($P323,FIND(" ",$P323)+1,9)&amp;"*",firmadas!$B:$B,0),0)))</f>
        <v/>
      </c>
    </row>
    <row r="324" spans="6:20" ht="15" customHeight="1" x14ac:dyDescent="0.25">
      <c r="F324" s="16"/>
      <c r="M324" s="53"/>
      <c r="N324" s="53" t="str">
        <f t="shared" ca="1" si="5"/>
        <v/>
      </c>
      <c r="P324" t="str">
        <f ca="1">IF(TRIM(SUBSTITUTE(($C324&amp;" "&amp;$D324),CHAR(160)," "))="","",IFERROR(IF(ISNUMBER(SEARCH("INC",($C324&amp;" "&amp;$D324))),"INC",IF(ISNUMBER(SEARCH("OPI",($C324&amp;" "&amp;$D324))),"OPI",IF(ISNUMBER(SEARCH("DP",($C324&amp;" "&amp;$D324))),"DP","CONC")))&amp;" "&amp;TEXT(LOOKUP(9.99E+307,--MID(SUBSTITUTE(($C324&amp;" "&amp;$D324),CHAR(160)," "),SUMPRODUCT(MIN(FIND({0,1,2,3,4,5,6,7,8,9},SUBSTITUTE(($C324&amp;" "&amp;$D324),CHAR(160)," ")&amp;"0123456789"))),ROW(INDIRECT("1:6")))),"0"),"SIN NUMERO"))</f>
        <v/>
      </c>
      <c r="Q324" t="str">
        <f ca="1">IF($P324="","",IF(LEFT(UPPER($S324),9)="VERIFICAR","VERIFICAR",IF($A324="","SIN ESTADO",IF(AND($A324="Firmada",$H324=""),"FALTA FECHA DE FIRMA",IF(N($T324)=0,IF(AND(ISNUMBER($H324),$H324&gt;=DATE(2024,1,1)),"FALTA EN FIRMADAS","OK"),IF(OR($A324="Pendiente de presentación",$A324="Observado",$A324="En análisis",$A324="En instrucción",$A324="Suspendida",$A324="IT circulando",$A324="Para resolución",$A324="TDC"),"ABIERTA PERO ESTÁ EN FIRMADAS",IF($H324&lt;&gt;INDEX(firmadas!$F:$F,$T324),"FIRMA DISTINTA EN firmadas ("&amp;IF(INDEX(firmadas!$F:$F,$T324)="","vacía",DAY(INDEX(firmadas!$F:$F,$T324))&amp;"/"&amp;MONTH(INDEX(firmadas!$F:$F,$T324))&amp;"/"&amp;YEAR(INDEX(firmadas!$F:$F,$T324)))&amp;")",IF($G324&lt;&gt;INDEX(firmadas!$E:$E,$T324),"INGRESO DISTINTO EN firmadas ("&amp;IF(INDEX(firmadas!$E:$E,$T324)="","vacía",DAY(INDEX(firmadas!$E:$E,$T324))&amp;"/"&amp;MONTH(INDEX(firmadas!$E:$E,$T324))&amp;"/"&amp;YEAR(INDEX(firmadas!$E:$E,$T324)))&amp;")","OK"))))))))</f>
        <v/>
      </c>
      <c r="T324" t="str">
        <f ca="1">IF($P324="","",IFERROR(MATCH($P324,firmadas!$N:$N,0),IFERROR(MATCH("*/"&amp;MID($P324,FIND(" ",$P324)+1,9)&amp;"*",firmadas!$B:$B,0),0)))</f>
        <v/>
      </c>
    </row>
    <row r="325" spans="6:20" ht="15" customHeight="1" x14ac:dyDescent="0.25">
      <c r="F325" s="16"/>
      <c r="M325" s="53"/>
      <c r="N325" s="53" t="str">
        <f t="shared" ca="1" si="5"/>
        <v/>
      </c>
      <c r="P325" t="str">
        <f ca="1">IF(TRIM(SUBSTITUTE(($C325&amp;" "&amp;$D325),CHAR(160)," "))="","",IFERROR(IF(ISNUMBER(SEARCH("INC",($C325&amp;" "&amp;$D325))),"INC",IF(ISNUMBER(SEARCH("OPI",($C325&amp;" "&amp;$D325))),"OPI",IF(ISNUMBER(SEARCH("DP",($C325&amp;" "&amp;$D325))),"DP","CONC")))&amp;" "&amp;TEXT(LOOKUP(9.99E+307,--MID(SUBSTITUTE(($C325&amp;" "&amp;$D325),CHAR(160)," "),SUMPRODUCT(MIN(FIND({0,1,2,3,4,5,6,7,8,9},SUBSTITUTE(($C325&amp;" "&amp;$D325),CHAR(160)," ")&amp;"0123456789"))),ROW(INDIRECT("1:6")))),"0"),"SIN NUMERO"))</f>
        <v/>
      </c>
      <c r="Q325" t="str">
        <f ca="1">IF($P325="","",IF(LEFT(UPPER($S325),9)="VERIFICAR","VERIFICAR",IF($A325="","SIN ESTADO",IF(AND($A325="Firmada",$H325=""),"FALTA FECHA DE FIRMA",IF(N($T325)=0,IF(AND(ISNUMBER($H325),$H325&gt;=DATE(2024,1,1)),"FALTA EN FIRMADAS","OK"),IF(OR($A325="Pendiente de presentación",$A325="Observado",$A325="En análisis",$A325="En instrucción",$A325="Suspendida",$A325="IT circulando",$A325="Para resolución",$A325="TDC"),"ABIERTA PERO ESTÁ EN FIRMADAS",IF($H325&lt;&gt;INDEX(firmadas!$F:$F,$T325),"FIRMA DISTINTA EN firmadas ("&amp;IF(INDEX(firmadas!$F:$F,$T325)="","vacía",DAY(INDEX(firmadas!$F:$F,$T325))&amp;"/"&amp;MONTH(INDEX(firmadas!$F:$F,$T325))&amp;"/"&amp;YEAR(INDEX(firmadas!$F:$F,$T325)))&amp;")",IF($G325&lt;&gt;INDEX(firmadas!$E:$E,$T325),"INGRESO DISTINTO EN firmadas ("&amp;IF(INDEX(firmadas!$E:$E,$T325)="","vacía",DAY(INDEX(firmadas!$E:$E,$T325))&amp;"/"&amp;MONTH(INDEX(firmadas!$E:$E,$T325))&amp;"/"&amp;YEAR(INDEX(firmadas!$E:$E,$T325)))&amp;")","OK"))))))))</f>
        <v/>
      </c>
      <c r="T325" t="str">
        <f ca="1">IF($P325="","",IFERROR(MATCH($P325,firmadas!$N:$N,0),IFERROR(MATCH("*/"&amp;MID($P325,FIND(" ",$P325)+1,9)&amp;"*",firmadas!$B:$B,0),0)))</f>
        <v/>
      </c>
    </row>
    <row r="326" spans="6:20" ht="15" customHeight="1" x14ac:dyDescent="0.25">
      <c r="F326" s="16"/>
      <c r="M326" s="53"/>
      <c r="N326" s="53" t="str">
        <f t="shared" ca="1" si="5"/>
        <v/>
      </c>
      <c r="P326" t="str">
        <f ca="1">IF(TRIM(SUBSTITUTE(($C326&amp;" "&amp;$D326),CHAR(160)," "))="","",IFERROR(IF(ISNUMBER(SEARCH("INC",($C326&amp;" "&amp;$D326))),"INC",IF(ISNUMBER(SEARCH("OPI",($C326&amp;" "&amp;$D326))),"OPI",IF(ISNUMBER(SEARCH("DP",($C326&amp;" "&amp;$D326))),"DP","CONC")))&amp;" "&amp;TEXT(LOOKUP(9.99E+307,--MID(SUBSTITUTE(($C326&amp;" "&amp;$D326),CHAR(160)," "),SUMPRODUCT(MIN(FIND({0,1,2,3,4,5,6,7,8,9},SUBSTITUTE(($C326&amp;" "&amp;$D326),CHAR(160)," ")&amp;"0123456789"))),ROW(INDIRECT("1:6")))),"0"),"SIN NUMERO"))</f>
        <v/>
      </c>
      <c r="Q326" t="str">
        <f ca="1">IF($P326="","",IF(LEFT(UPPER($S326),9)="VERIFICAR","VERIFICAR",IF($A326="","SIN ESTADO",IF(AND($A326="Firmada",$H326=""),"FALTA FECHA DE FIRMA",IF(N($T326)=0,IF(AND(ISNUMBER($H326),$H326&gt;=DATE(2024,1,1)),"FALTA EN FIRMADAS","OK"),IF(OR($A326="Pendiente de presentación",$A326="Observado",$A326="En análisis",$A326="En instrucción",$A326="Suspendida",$A326="IT circulando",$A326="Para resolución",$A326="TDC"),"ABIERTA PERO ESTÁ EN FIRMADAS",IF($H326&lt;&gt;INDEX(firmadas!$F:$F,$T326),"FIRMA DISTINTA EN firmadas ("&amp;IF(INDEX(firmadas!$F:$F,$T326)="","vacía",DAY(INDEX(firmadas!$F:$F,$T326))&amp;"/"&amp;MONTH(INDEX(firmadas!$F:$F,$T326))&amp;"/"&amp;YEAR(INDEX(firmadas!$F:$F,$T326)))&amp;")",IF($G326&lt;&gt;INDEX(firmadas!$E:$E,$T326),"INGRESO DISTINTO EN firmadas ("&amp;IF(INDEX(firmadas!$E:$E,$T326)="","vacía",DAY(INDEX(firmadas!$E:$E,$T326))&amp;"/"&amp;MONTH(INDEX(firmadas!$E:$E,$T326))&amp;"/"&amp;YEAR(INDEX(firmadas!$E:$E,$T326)))&amp;")","OK"))))))))</f>
        <v/>
      </c>
      <c r="T326" t="str">
        <f ca="1">IF($P326="","",IFERROR(MATCH($P326,firmadas!$N:$N,0),IFERROR(MATCH("*/"&amp;MID($P326,FIND(" ",$P326)+1,9)&amp;"*",firmadas!$B:$B,0),0)))</f>
        <v/>
      </c>
    </row>
    <row r="327" spans="6:20" ht="15" customHeight="1" x14ac:dyDescent="0.25">
      <c r="F327" s="16"/>
      <c r="M327" s="53"/>
      <c r="N327" s="53" t="str">
        <f t="shared" ca="1" si="5"/>
        <v/>
      </c>
      <c r="P327" t="str">
        <f ca="1">IF(TRIM(SUBSTITUTE(($C327&amp;" "&amp;$D327),CHAR(160)," "))="","",IFERROR(IF(ISNUMBER(SEARCH("INC",($C327&amp;" "&amp;$D327))),"INC",IF(ISNUMBER(SEARCH("OPI",($C327&amp;" "&amp;$D327))),"OPI",IF(ISNUMBER(SEARCH("DP",($C327&amp;" "&amp;$D327))),"DP","CONC")))&amp;" "&amp;TEXT(LOOKUP(9.99E+307,--MID(SUBSTITUTE(($C327&amp;" "&amp;$D327),CHAR(160)," "),SUMPRODUCT(MIN(FIND({0,1,2,3,4,5,6,7,8,9},SUBSTITUTE(($C327&amp;" "&amp;$D327),CHAR(160)," ")&amp;"0123456789"))),ROW(INDIRECT("1:6")))),"0"),"SIN NUMERO"))</f>
        <v/>
      </c>
      <c r="Q327" t="str">
        <f ca="1">IF($P327="","",IF(LEFT(UPPER($S327),9)="VERIFICAR","VERIFICAR",IF($A327="","SIN ESTADO",IF(AND($A327="Firmada",$H327=""),"FALTA FECHA DE FIRMA",IF(N($T327)=0,IF(AND(ISNUMBER($H327),$H327&gt;=DATE(2024,1,1)),"FALTA EN FIRMADAS","OK"),IF(OR($A327="Pendiente de presentación",$A327="Observado",$A327="En análisis",$A327="En instrucción",$A327="Suspendida",$A327="IT circulando",$A327="Para resolución",$A327="TDC"),"ABIERTA PERO ESTÁ EN FIRMADAS",IF($H327&lt;&gt;INDEX(firmadas!$F:$F,$T327),"FIRMA DISTINTA EN firmadas ("&amp;IF(INDEX(firmadas!$F:$F,$T327)="","vacía",DAY(INDEX(firmadas!$F:$F,$T327))&amp;"/"&amp;MONTH(INDEX(firmadas!$F:$F,$T327))&amp;"/"&amp;YEAR(INDEX(firmadas!$F:$F,$T327)))&amp;")",IF($G327&lt;&gt;INDEX(firmadas!$E:$E,$T327),"INGRESO DISTINTO EN firmadas ("&amp;IF(INDEX(firmadas!$E:$E,$T327)="","vacía",DAY(INDEX(firmadas!$E:$E,$T327))&amp;"/"&amp;MONTH(INDEX(firmadas!$E:$E,$T327))&amp;"/"&amp;YEAR(INDEX(firmadas!$E:$E,$T327)))&amp;")","OK"))))))))</f>
        <v/>
      </c>
      <c r="T327" t="str">
        <f ca="1">IF($P327="","",IFERROR(MATCH($P327,firmadas!$N:$N,0),IFERROR(MATCH("*/"&amp;MID($P327,FIND(" ",$P327)+1,9)&amp;"*",firmadas!$B:$B,0),0)))</f>
        <v/>
      </c>
    </row>
    <row r="328" spans="6:20" ht="15" customHeight="1" x14ac:dyDescent="0.25">
      <c r="F328" s="16"/>
      <c r="M328" s="53"/>
      <c r="N328" s="53" t="str">
        <f t="shared" ca="1" si="5"/>
        <v/>
      </c>
      <c r="P328" t="str">
        <f ca="1">IF(TRIM(SUBSTITUTE(($C328&amp;" "&amp;$D328),CHAR(160)," "))="","",IFERROR(IF(ISNUMBER(SEARCH("INC",($C328&amp;" "&amp;$D328))),"INC",IF(ISNUMBER(SEARCH("OPI",($C328&amp;" "&amp;$D328))),"OPI",IF(ISNUMBER(SEARCH("DP",($C328&amp;" "&amp;$D328))),"DP","CONC")))&amp;" "&amp;TEXT(LOOKUP(9.99E+307,--MID(SUBSTITUTE(($C328&amp;" "&amp;$D328),CHAR(160)," "),SUMPRODUCT(MIN(FIND({0,1,2,3,4,5,6,7,8,9},SUBSTITUTE(($C328&amp;" "&amp;$D328),CHAR(160)," ")&amp;"0123456789"))),ROW(INDIRECT("1:6")))),"0"),"SIN NUMERO"))</f>
        <v/>
      </c>
      <c r="Q328" t="str">
        <f ca="1">IF($P328="","",IF(LEFT(UPPER($S328),9)="VERIFICAR","VERIFICAR",IF($A328="","SIN ESTADO",IF(AND($A328="Firmada",$H328=""),"FALTA FECHA DE FIRMA",IF(N($T328)=0,IF(AND(ISNUMBER($H328),$H328&gt;=DATE(2024,1,1)),"FALTA EN FIRMADAS","OK"),IF(OR($A328="Pendiente de presentación",$A328="Observado",$A328="En análisis",$A328="En instrucción",$A328="Suspendida",$A328="IT circulando",$A328="Para resolución",$A328="TDC"),"ABIERTA PERO ESTÁ EN FIRMADAS",IF($H328&lt;&gt;INDEX(firmadas!$F:$F,$T328),"FIRMA DISTINTA EN firmadas ("&amp;IF(INDEX(firmadas!$F:$F,$T328)="","vacía",DAY(INDEX(firmadas!$F:$F,$T328))&amp;"/"&amp;MONTH(INDEX(firmadas!$F:$F,$T328))&amp;"/"&amp;YEAR(INDEX(firmadas!$F:$F,$T328)))&amp;")",IF($G328&lt;&gt;INDEX(firmadas!$E:$E,$T328),"INGRESO DISTINTO EN firmadas ("&amp;IF(INDEX(firmadas!$E:$E,$T328)="","vacía",DAY(INDEX(firmadas!$E:$E,$T328))&amp;"/"&amp;MONTH(INDEX(firmadas!$E:$E,$T328))&amp;"/"&amp;YEAR(INDEX(firmadas!$E:$E,$T328)))&amp;")","OK"))))))))</f>
        <v/>
      </c>
      <c r="T328" t="str">
        <f ca="1">IF($P328="","",IFERROR(MATCH($P328,firmadas!$N:$N,0),IFERROR(MATCH("*/"&amp;MID($P328,FIND(" ",$P328)+1,9)&amp;"*",firmadas!$B:$B,0),0)))</f>
        <v/>
      </c>
    </row>
    <row r="329" spans="6:20" ht="15" customHeight="1" x14ac:dyDescent="0.25">
      <c r="F329" s="16"/>
      <c r="M329" s="53"/>
      <c r="N329" s="53" t="str">
        <f t="shared" ca="1" si="5"/>
        <v/>
      </c>
      <c r="P329" t="str">
        <f ca="1">IF(TRIM(SUBSTITUTE(($C329&amp;" "&amp;$D329),CHAR(160)," "))="","",IFERROR(IF(ISNUMBER(SEARCH("INC",($C329&amp;" "&amp;$D329))),"INC",IF(ISNUMBER(SEARCH("OPI",($C329&amp;" "&amp;$D329))),"OPI",IF(ISNUMBER(SEARCH("DP",($C329&amp;" "&amp;$D329))),"DP","CONC")))&amp;" "&amp;TEXT(LOOKUP(9.99E+307,--MID(SUBSTITUTE(($C329&amp;" "&amp;$D329),CHAR(160)," "),SUMPRODUCT(MIN(FIND({0,1,2,3,4,5,6,7,8,9},SUBSTITUTE(($C329&amp;" "&amp;$D329),CHAR(160)," ")&amp;"0123456789"))),ROW(INDIRECT("1:6")))),"0"),"SIN NUMERO"))</f>
        <v/>
      </c>
      <c r="Q329" t="str">
        <f ca="1">IF($P329="","",IF(LEFT(UPPER($S329),9)="VERIFICAR","VERIFICAR",IF($A329="","SIN ESTADO",IF(AND($A329="Firmada",$H329=""),"FALTA FECHA DE FIRMA",IF(N($T329)=0,IF(AND(ISNUMBER($H329),$H329&gt;=DATE(2024,1,1)),"FALTA EN FIRMADAS","OK"),IF(OR($A329="Pendiente de presentación",$A329="Observado",$A329="En análisis",$A329="En instrucción",$A329="Suspendida",$A329="IT circulando",$A329="Para resolución",$A329="TDC"),"ABIERTA PERO ESTÁ EN FIRMADAS",IF($H329&lt;&gt;INDEX(firmadas!$F:$F,$T329),"FIRMA DISTINTA EN firmadas ("&amp;IF(INDEX(firmadas!$F:$F,$T329)="","vacía",DAY(INDEX(firmadas!$F:$F,$T329))&amp;"/"&amp;MONTH(INDEX(firmadas!$F:$F,$T329))&amp;"/"&amp;YEAR(INDEX(firmadas!$F:$F,$T329)))&amp;")",IF($G329&lt;&gt;INDEX(firmadas!$E:$E,$T329),"INGRESO DISTINTO EN firmadas ("&amp;IF(INDEX(firmadas!$E:$E,$T329)="","vacía",DAY(INDEX(firmadas!$E:$E,$T329))&amp;"/"&amp;MONTH(INDEX(firmadas!$E:$E,$T329))&amp;"/"&amp;YEAR(INDEX(firmadas!$E:$E,$T329)))&amp;")","OK"))))))))</f>
        <v/>
      </c>
      <c r="T329" t="str">
        <f ca="1">IF($P329="","",IFERROR(MATCH($P329,firmadas!$N:$N,0),IFERROR(MATCH("*/"&amp;MID($P329,FIND(" ",$P329)+1,9)&amp;"*",firmadas!$B:$B,0),0)))</f>
        <v/>
      </c>
    </row>
    <row r="330" spans="6:20" ht="15" customHeight="1" x14ac:dyDescent="0.25">
      <c r="F330" s="16"/>
      <c r="M330" s="53"/>
      <c r="N330" s="53" t="str">
        <f t="shared" ca="1" si="5"/>
        <v/>
      </c>
      <c r="P330" t="str">
        <f ca="1">IF(TRIM(SUBSTITUTE(($C330&amp;" "&amp;$D330),CHAR(160)," "))="","",IFERROR(IF(ISNUMBER(SEARCH("INC",($C330&amp;" "&amp;$D330))),"INC",IF(ISNUMBER(SEARCH("OPI",($C330&amp;" "&amp;$D330))),"OPI",IF(ISNUMBER(SEARCH("DP",($C330&amp;" "&amp;$D330))),"DP","CONC")))&amp;" "&amp;TEXT(LOOKUP(9.99E+307,--MID(SUBSTITUTE(($C330&amp;" "&amp;$D330),CHAR(160)," "),SUMPRODUCT(MIN(FIND({0,1,2,3,4,5,6,7,8,9},SUBSTITUTE(($C330&amp;" "&amp;$D330),CHAR(160)," ")&amp;"0123456789"))),ROW(INDIRECT("1:6")))),"0"),"SIN NUMERO"))</f>
        <v/>
      </c>
      <c r="Q330" t="str">
        <f ca="1">IF($P330="","",IF(LEFT(UPPER($S330),9)="VERIFICAR","VERIFICAR",IF($A330="","SIN ESTADO",IF(AND($A330="Firmada",$H330=""),"FALTA FECHA DE FIRMA",IF(N($T330)=0,IF(AND(ISNUMBER($H330),$H330&gt;=DATE(2024,1,1)),"FALTA EN FIRMADAS","OK"),IF(OR($A330="Pendiente de presentación",$A330="Observado",$A330="En análisis",$A330="En instrucción",$A330="Suspendida",$A330="IT circulando",$A330="Para resolución",$A330="TDC"),"ABIERTA PERO ESTÁ EN FIRMADAS",IF($H330&lt;&gt;INDEX(firmadas!$F:$F,$T330),"FIRMA DISTINTA EN firmadas ("&amp;IF(INDEX(firmadas!$F:$F,$T330)="","vacía",DAY(INDEX(firmadas!$F:$F,$T330))&amp;"/"&amp;MONTH(INDEX(firmadas!$F:$F,$T330))&amp;"/"&amp;YEAR(INDEX(firmadas!$F:$F,$T330)))&amp;")",IF($G330&lt;&gt;INDEX(firmadas!$E:$E,$T330),"INGRESO DISTINTO EN firmadas ("&amp;IF(INDEX(firmadas!$E:$E,$T330)="","vacía",DAY(INDEX(firmadas!$E:$E,$T330))&amp;"/"&amp;MONTH(INDEX(firmadas!$E:$E,$T330))&amp;"/"&amp;YEAR(INDEX(firmadas!$E:$E,$T330)))&amp;")","OK"))))))))</f>
        <v/>
      </c>
      <c r="T330" t="str">
        <f ca="1">IF($P330="","",IFERROR(MATCH($P330,firmadas!$N:$N,0),IFERROR(MATCH("*/"&amp;MID($P330,FIND(" ",$P330)+1,9)&amp;"*",firmadas!$B:$B,0),0)))</f>
        <v/>
      </c>
    </row>
    <row r="331" spans="6:20" ht="15" customHeight="1" x14ac:dyDescent="0.25">
      <c r="F331" s="16"/>
      <c r="M331" s="53"/>
      <c r="N331" s="53" t="str">
        <f t="shared" ca="1" si="5"/>
        <v/>
      </c>
      <c r="P331" t="str">
        <f ca="1">IF(TRIM(SUBSTITUTE(($C331&amp;" "&amp;$D331),CHAR(160)," "))="","",IFERROR(IF(ISNUMBER(SEARCH("INC",($C331&amp;" "&amp;$D331))),"INC",IF(ISNUMBER(SEARCH("OPI",($C331&amp;" "&amp;$D331))),"OPI",IF(ISNUMBER(SEARCH("DP",($C331&amp;" "&amp;$D331))),"DP","CONC")))&amp;" "&amp;TEXT(LOOKUP(9.99E+307,--MID(SUBSTITUTE(($C331&amp;" "&amp;$D331),CHAR(160)," "),SUMPRODUCT(MIN(FIND({0,1,2,3,4,5,6,7,8,9},SUBSTITUTE(($C331&amp;" "&amp;$D331),CHAR(160)," ")&amp;"0123456789"))),ROW(INDIRECT("1:6")))),"0"),"SIN NUMERO"))</f>
        <v/>
      </c>
      <c r="Q331" t="str">
        <f ca="1">IF($P331="","",IF(LEFT(UPPER($S331),9)="VERIFICAR","VERIFICAR",IF($A331="","SIN ESTADO",IF(AND($A331="Firmada",$H331=""),"FALTA FECHA DE FIRMA",IF(N($T331)=0,IF(AND(ISNUMBER($H331),$H331&gt;=DATE(2024,1,1)),"FALTA EN FIRMADAS","OK"),IF(OR($A331="Pendiente de presentación",$A331="Observado",$A331="En análisis",$A331="En instrucción",$A331="Suspendida",$A331="IT circulando",$A331="Para resolución",$A331="TDC"),"ABIERTA PERO ESTÁ EN FIRMADAS",IF($H331&lt;&gt;INDEX(firmadas!$F:$F,$T331),"FIRMA DISTINTA EN firmadas ("&amp;IF(INDEX(firmadas!$F:$F,$T331)="","vacía",DAY(INDEX(firmadas!$F:$F,$T331))&amp;"/"&amp;MONTH(INDEX(firmadas!$F:$F,$T331))&amp;"/"&amp;YEAR(INDEX(firmadas!$F:$F,$T331)))&amp;")",IF($G331&lt;&gt;INDEX(firmadas!$E:$E,$T331),"INGRESO DISTINTO EN firmadas ("&amp;IF(INDEX(firmadas!$E:$E,$T331)="","vacía",DAY(INDEX(firmadas!$E:$E,$T331))&amp;"/"&amp;MONTH(INDEX(firmadas!$E:$E,$T331))&amp;"/"&amp;YEAR(INDEX(firmadas!$E:$E,$T331)))&amp;")","OK"))))))))</f>
        <v/>
      </c>
      <c r="T331" t="str">
        <f ca="1">IF($P331="","",IFERROR(MATCH($P331,firmadas!$N:$N,0),IFERROR(MATCH("*/"&amp;MID($P331,FIND(" ",$P331)+1,9)&amp;"*",firmadas!$B:$B,0),0)))</f>
        <v/>
      </c>
    </row>
    <row r="332" spans="6:20" ht="15" customHeight="1" x14ac:dyDescent="0.25">
      <c r="F332" s="16"/>
      <c r="M332" s="53"/>
      <c r="N332" s="53" t="str">
        <f t="shared" ca="1" si="5"/>
        <v/>
      </c>
      <c r="P332" t="str">
        <f ca="1">IF(TRIM(SUBSTITUTE(($C332&amp;" "&amp;$D332),CHAR(160)," "))="","",IFERROR(IF(ISNUMBER(SEARCH("INC",($C332&amp;" "&amp;$D332))),"INC",IF(ISNUMBER(SEARCH("OPI",($C332&amp;" "&amp;$D332))),"OPI",IF(ISNUMBER(SEARCH("DP",($C332&amp;" "&amp;$D332))),"DP","CONC")))&amp;" "&amp;TEXT(LOOKUP(9.99E+307,--MID(SUBSTITUTE(($C332&amp;" "&amp;$D332),CHAR(160)," "),SUMPRODUCT(MIN(FIND({0,1,2,3,4,5,6,7,8,9},SUBSTITUTE(($C332&amp;" "&amp;$D332),CHAR(160)," ")&amp;"0123456789"))),ROW(INDIRECT("1:6")))),"0"),"SIN NUMERO"))</f>
        <v/>
      </c>
      <c r="Q332" t="str">
        <f ca="1">IF($P332="","",IF(LEFT(UPPER($S332),9)="VERIFICAR","VERIFICAR",IF($A332="","SIN ESTADO",IF(AND($A332="Firmada",$H332=""),"FALTA FECHA DE FIRMA",IF(N($T332)=0,IF(AND(ISNUMBER($H332),$H332&gt;=DATE(2024,1,1)),"FALTA EN FIRMADAS","OK"),IF(OR($A332="Pendiente de presentación",$A332="Observado",$A332="En análisis",$A332="En instrucción",$A332="Suspendida",$A332="IT circulando",$A332="Para resolución",$A332="TDC"),"ABIERTA PERO ESTÁ EN FIRMADAS",IF($H332&lt;&gt;INDEX(firmadas!$F:$F,$T332),"FIRMA DISTINTA EN firmadas ("&amp;IF(INDEX(firmadas!$F:$F,$T332)="","vacía",DAY(INDEX(firmadas!$F:$F,$T332))&amp;"/"&amp;MONTH(INDEX(firmadas!$F:$F,$T332))&amp;"/"&amp;YEAR(INDEX(firmadas!$F:$F,$T332)))&amp;")",IF($G332&lt;&gt;INDEX(firmadas!$E:$E,$T332),"INGRESO DISTINTO EN firmadas ("&amp;IF(INDEX(firmadas!$E:$E,$T332)="","vacía",DAY(INDEX(firmadas!$E:$E,$T332))&amp;"/"&amp;MONTH(INDEX(firmadas!$E:$E,$T332))&amp;"/"&amp;YEAR(INDEX(firmadas!$E:$E,$T332)))&amp;")","OK"))))))))</f>
        <v/>
      </c>
      <c r="T332" t="str">
        <f ca="1">IF($P332="","",IFERROR(MATCH($P332,firmadas!$N:$N,0),IFERROR(MATCH("*/"&amp;MID($P332,FIND(" ",$P332)+1,9)&amp;"*",firmadas!$B:$B,0),0)))</f>
        <v/>
      </c>
    </row>
    <row r="333" spans="6:20" ht="15" customHeight="1" x14ac:dyDescent="0.25">
      <c r="F333" s="16"/>
      <c r="M333" s="53"/>
      <c r="N333" s="53" t="str">
        <f t="shared" ca="1" si="5"/>
        <v/>
      </c>
      <c r="P333" t="str">
        <f ca="1">IF(TRIM(SUBSTITUTE(($C333&amp;" "&amp;$D333),CHAR(160)," "))="","",IFERROR(IF(ISNUMBER(SEARCH("INC",($C333&amp;" "&amp;$D333))),"INC",IF(ISNUMBER(SEARCH("OPI",($C333&amp;" "&amp;$D333))),"OPI",IF(ISNUMBER(SEARCH("DP",($C333&amp;" "&amp;$D333))),"DP","CONC")))&amp;" "&amp;TEXT(LOOKUP(9.99E+307,--MID(SUBSTITUTE(($C333&amp;" "&amp;$D333),CHAR(160)," "),SUMPRODUCT(MIN(FIND({0,1,2,3,4,5,6,7,8,9},SUBSTITUTE(($C333&amp;" "&amp;$D333),CHAR(160)," ")&amp;"0123456789"))),ROW(INDIRECT("1:6")))),"0"),"SIN NUMERO"))</f>
        <v/>
      </c>
      <c r="Q333" t="str">
        <f ca="1">IF($P333="","",IF(LEFT(UPPER($S333),9)="VERIFICAR","VERIFICAR",IF($A333="","SIN ESTADO",IF(AND($A333="Firmada",$H333=""),"FALTA FECHA DE FIRMA",IF(N($T333)=0,IF(AND(ISNUMBER($H333),$H333&gt;=DATE(2024,1,1)),"FALTA EN FIRMADAS","OK"),IF(OR($A333="Pendiente de presentación",$A333="Observado",$A333="En análisis",$A333="En instrucción",$A333="Suspendida",$A333="IT circulando",$A333="Para resolución",$A333="TDC"),"ABIERTA PERO ESTÁ EN FIRMADAS",IF($H333&lt;&gt;INDEX(firmadas!$F:$F,$T333),"FIRMA DISTINTA EN firmadas ("&amp;IF(INDEX(firmadas!$F:$F,$T333)="","vacía",DAY(INDEX(firmadas!$F:$F,$T333))&amp;"/"&amp;MONTH(INDEX(firmadas!$F:$F,$T333))&amp;"/"&amp;YEAR(INDEX(firmadas!$F:$F,$T333)))&amp;")",IF($G333&lt;&gt;INDEX(firmadas!$E:$E,$T333),"INGRESO DISTINTO EN firmadas ("&amp;IF(INDEX(firmadas!$E:$E,$T333)="","vacía",DAY(INDEX(firmadas!$E:$E,$T333))&amp;"/"&amp;MONTH(INDEX(firmadas!$E:$E,$T333))&amp;"/"&amp;YEAR(INDEX(firmadas!$E:$E,$T333)))&amp;")","OK"))))))))</f>
        <v/>
      </c>
      <c r="T333" t="str">
        <f ca="1">IF($P333="","",IFERROR(MATCH($P333,firmadas!$N:$N,0),IFERROR(MATCH("*/"&amp;MID($P333,FIND(" ",$P333)+1,9)&amp;"*",firmadas!$B:$B,0),0)))</f>
        <v/>
      </c>
    </row>
    <row r="334" spans="6:20" ht="15" customHeight="1" x14ac:dyDescent="0.25">
      <c r="F334" s="16"/>
      <c r="M334" s="53"/>
      <c r="N334" s="53" t="str">
        <f t="shared" ca="1" si="5"/>
        <v/>
      </c>
      <c r="P334" t="str">
        <f ca="1">IF(TRIM(SUBSTITUTE(($C334&amp;" "&amp;$D334),CHAR(160)," "))="","",IFERROR(IF(ISNUMBER(SEARCH("INC",($C334&amp;" "&amp;$D334))),"INC",IF(ISNUMBER(SEARCH("OPI",($C334&amp;" "&amp;$D334))),"OPI",IF(ISNUMBER(SEARCH("DP",($C334&amp;" "&amp;$D334))),"DP","CONC")))&amp;" "&amp;TEXT(LOOKUP(9.99E+307,--MID(SUBSTITUTE(($C334&amp;" "&amp;$D334),CHAR(160)," "),SUMPRODUCT(MIN(FIND({0,1,2,3,4,5,6,7,8,9},SUBSTITUTE(($C334&amp;" "&amp;$D334),CHAR(160)," ")&amp;"0123456789"))),ROW(INDIRECT("1:6")))),"0"),"SIN NUMERO"))</f>
        <v/>
      </c>
      <c r="Q334" t="str">
        <f ca="1">IF($P334="","",IF(LEFT(UPPER($S334),9)="VERIFICAR","VERIFICAR",IF($A334="","SIN ESTADO",IF(AND($A334="Firmada",$H334=""),"FALTA FECHA DE FIRMA",IF(N($T334)=0,IF(AND(ISNUMBER($H334),$H334&gt;=DATE(2024,1,1)),"FALTA EN FIRMADAS","OK"),IF(OR($A334="Pendiente de presentación",$A334="Observado",$A334="En análisis",$A334="En instrucción",$A334="Suspendida",$A334="IT circulando",$A334="Para resolución",$A334="TDC"),"ABIERTA PERO ESTÁ EN FIRMADAS",IF($H334&lt;&gt;INDEX(firmadas!$F:$F,$T334),"FIRMA DISTINTA EN firmadas ("&amp;IF(INDEX(firmadas!$F:$F,$T334)="","vacía",DAY(INDEX(firmadas!$F:$F,$T334))&amp;"/"&amp;MONTH(INDEX(firmadas!$F:$F,$T334))&amp;"/"&amp;YEAR(INDEX(firmadas!$F:$F,$T334)))&amp;")",IF($G334&lt;&gt;INDEX(firmadas!$E:$E,$T334),"INGRESO DISTINTO EN firmadas ("&amp;IF(INDEX(firmadas!$E:$E,$T334)="","vacía",DAY(INDEX(firmadas!$E:$E,$T334))&amp;"/"&amp;MONTH(INDEX(firmadas!$E:$E,$T334))&amp;"/"&amp;YEAR(INDEX(firmadas!$E:$E,$T334)))&amp;")","OK"))))))))</f>
        <v/>
      </c>
      <c r="T334" t="str">
        <f ca="1">IF($P334="","",IFERROR(MATCH($P334,firmadas!$N:$N,0),IFERROR(MATCH("*/"&amp;MID($P334,FIND(" ",$P334)+1,9)&amp;"*",firmadas!$B:$B,0),0)))</f>
        <v/>
      </c>
    </row>
    <row r="335" spans="6:20" ht="15" customHeight="1" x14ac:dyDescent="0.25">
      <c r="F335" s="16"/>
      <c r="M335" s="53"/>
      <c r="N335" s="53" t="str">
        <f t="shared" ca="1" si="5"/>
        <v/>
      </c>
      <c r="P335" t="str">
        <f ca="1">IF(TRIM(SUBSTITUTE(($C335&amp;" "&amp;$D335),CHAR(160)," "))="","",IFERROR(IF(ISNUMBER(SEARCH("INC",($C335&amp;" "&amp;$D335))),"INC",IF(ISNUMBER(SEARCH("OPI",($C335&amp;" "&amp;$D335))),"OPI",IF(ISNUMBER(SEARCH("DP",($C335&amp;" "&amp;$D335))),"DP","CONC")))&amp;" "&amp;TEXT(LOOKUP(9.99E+307,--MID(SUBSTITUTE(($C335&amp;" "&amp;$D335),CHAR(160)," "),SUMPRODUCT(MIN(FIND({0,1,2,3,4,5,6,7,8,9},SUBSTITUTE(($C335&amp;" "&amp;$D335),CHAR(160)," ")&amp;"0123456789"))),ROW(INDIRECT("1:6")))),"0"),"SIN NUMERO"))</f>
        <v/>
      </c>
      <c r="Q335" t="str">
        <f ca="1">IF($P335="","",IF(LEFT(UPPER($S335),9)="VERIFICAR","VERIFICAR",IF($A335="","SIN ESTADO",IF(AND($A335="Firmada",$H335=""),"FALTA FECHA DE FIRMA",IF(N($T335)=0,IF(AND(ISNUMBER($H335),$H335&gt;=DATE(2024,1,1)),"FALTA EN FIRMADAS","OK"),IF(OR($A335="Pendiente de presentación",$A335="Observado",$A335="En análisis",$A335="En instrucción",$A335="Suspendida",$A335="IT circulando",$A335="Para resolución",$A335="TDC"),"ABIERTA PERO ESTÁ EN FIRMADAS",IF($H335&lt;&gt;INDEX(firmadas!$F:$F,$T335),"FIRMA DISTINTA EN firmadas ("&amp;IF(INDEX(firmadas!$F:$F,$T335)="","vacía",DAY(INDEX(firmadas!$F:$F,$T335))&amp;"/"&amp;MONTH(INDEX(firmadas!$F:$F,$T335))&amp;"/"&amp;YEAR(INDEX(firmadas!$F:$F,$T335)))&amp;")",IF($G335&lt;&gt;INDEX(firmadas!$E:$E,$T335),"INGRESO DISTINTO EN firmadas ("&amp;IF(INDEX(firmadas!$E:$E,$T335)="","vacía",DAY(INDEX(firmadas!$E:$E,$T335))&amp;"/"&amp;MONTH(INDEX(firmadas!$E:$E,$T335))&amp;"/"&amp;YEAR(INDEX(firmadas!$E:$E,$T335)))&amp;")","OK"))))))))</f>
        <v/>
      </c>
      <c r="T335" t="str">
        <f ca="1">IF($P335="","",IFERROR(MATCH($P335,firmadas!$N:$N,0),IFERROR(MATCH("*/"&amp;MID($P335,FIND(" ",$P335)+1,9)&amp;"*",firmadas!$B:$B,0),0)))</f>
        <v/>
      </c>
    </row>
    <row r="336" spans="6:20" ht="15" customHeight="1" x14ac:dyDescent="0.25">
      <c r="F336" s="16"/>
      <c r="M336" s="53"/>
      <c r="N336" s="53" t="str">
        <f t="shared" ca="1" si="5"/>
        <v/>
      </c>
      <c r="P336" t="str">
        <f ca="1">IF(TRIM(SUBSTITUTE(($C336&amp;" "&amp;$D336),CHAR(160)," "))="","",IFERROR(IF(ISNUMBER(SEARCH("INC",($C336&amp;" "&amp;$D336))),"INC",IF(ISNUMBER(SEARCH("OPI",($C336&amp;" "&amp;$D336))),"OPI",IF(ISNUMBER(SEARCH("DP",($C336&amp;" "&amp;$D336))),"DP","CONC")))&amp;" "&amp;TEXT(LOOKUP(9.99E+307,--MID(SUBSTITUTE(($C336&amp;" "&amp;$D336),CHAR(160)," "),SUMPRODUCT(MIN(FIND({0,1,2,3,4,5,6,7,8,9},SUBSTITUTE(($C336&amp;" "&amp;$D336),CHAR(160)," ")&amp;"0123456789"))),ROW(INDIRECT("1:6")))),"0"),"SIN NUMERO"))</f>
        <v/>
      </c>
      <c r="Q336" t="str">
        <f ca="1">IF($P336="","",IF(LEFT(UPPER($S336),9)="VERIFICAR","VERIFICAR",IF($A336="","SIN ESTADO",IF(AND($A336="Firmada",$H336=""),"FALTA FECHA DE FIRMA",IF(N($T336)=0,IF(AND(ISNUMBER($H336),$H336&gt;=DATE(2024,1,1)),"FALTA EN FIRMADAS","OK"),IF(OR($A336="Pendiente de presentación",$A336="Observado",$A336="En análisis",$A336="En instrucción",$A336="Suspendida",$A336="IT circulando",$A336="Para resolución",$A336="TDC"),"ABIERTA PERO ESTÁ EN FIRMADAS",IF($H336&lt;&gt;INDEX(firmadas!$F:$F,$T336),"FIRMA DISTINTA EN firmadas ("&amp;IF(INDEX(firmadas!$F:$F,$T336)="","vacía",DAY(INDEX(firmadas!$F:$F,$T336))&amp;"/"&amp;MONTH(INDEX(firmadas!$F:$F,$T336))&amp;"/"&amp;YEAR(INDEX(firmadas!$F:$F,$T336)))&amp;")",IF($G336&lt;&gt;INDEX(firmadas!$E:$E,$T336),"INGRESO DISTINTO EN firmadas ("&amp;IF(INDEX(firmadas!$E:$E,$T336)="","vacía",DAY(INDEX(firmadas!$E:$E,$T336))&amp;"/"&amp;MONTH(INDEX(firmadas!$E:$E,$T336))&amp;"/"&amp;YEAR(INDEX(firmadas!$E:$E,$T336)))&amp;")","OK"))))))))</f>
        <v/>
      </c>
      <c r="T336" t="str">
        <f ca="1">IF($P336="","",IFERROR(MATCH($P336,firmadas!$N:$N,0),IFERROR(MATCH("*/"&amp;MID($P336,FIND(" ",$P336)+1,9)&amp;"*",firmadas!$B:$B,0),0)))</f>
        <v/>
      </c>
    </row>
    <row r="337" spans="6:20" ht="15" customHeight="1" x14ac:dyDescent="0.25">
      <c r="F337" s="16"/>
      <c r="M337" s="53"/>
      <c r="N337" s="53" t="str">
        <f t="shared" ca="1" si="5"/>
        <v/>
      </c>
      <c r="P337" t="str">
        <f ca="1">IF(TRIM(SUBSTITUTE(($C337&amp;" "&amp;$D337),CHAR(160)," "))="","",IFERROR(IF(ISNUMBER(SEARCH("INC",($C337&amp;" "&amp;$D337))),"INC",IF(ISNUMBER(SEARCH("OPI",($C337&amp;" "&amp;$D337))),"OPI",IF(ISNUMBER(SEARCH("DP",($C337&amp;" "&amp;$D337))),"DP","CONC")))&amp;" "&amp;TEXT(LOOKUP(9.99E+307,--MID(SUBSTITUTE(($C337&amp;" "&amp;$D337),CHAR(160)," "),SUMPRODUCT(MIN(FIND({0,1,2,3,4,5,6,7,8,9},SUBSTITUTE(($C337&amp;" "&amp;$D337),CHAR(160)," ")&amp;"0123456789"))),ROW(INDIRECT("1:6")))),"0"),"SIN NUMERO"))</f>
        <v/>
      </c>
      <c r="Q337" t="str">
        <f ca="1">IF($P337="","",IF(LEFT(UPPER($S337),9)="VERIFICAR","VERIFICAR",IF($A337="","SIN ESTADO",IF(AND($A337="Firmada",$H337=""),"FALTA FECHA DE FIRMA",IF(N($T337)=0,IF(AND(ISNUMBER($H337),$H337&gt;=DATE(2024,1,1)),"FALTA EN FIRMADAS","OK"),IF(OR($A337="Pendiente de presentación",$A337="Observado",$A337="En análisis",$A337="En instrucción",$A337="Suspendida",$A337="IT circulando",$A337="Para resolución",$A337="TDC"),"ABIERTA PERO ESTÁ EN FIRMADAS",IF($H337&lt;&gt;INDEX(firmadas!$F:$F,$T337),"FIRMA DISTINTA EN firmadas ("&amp;IF(INDEX(firmadas!$F:$F,$T337)="","vacía",DAY(INDEX(firmadas!$F:$F,$T337))&amp;"/"&amp;MONTH(INDEX(firmadas!$F:$F,$T337))&amp;"/"&amp;YEAR(INDEX(firmadas!$F:$F,$T337)))&amp;")",IF($G337&lt;&gt;INDEX(firmadas!$E:$E,$T337),"INGRESO DISTINTO EN firmadas ("&amp;IF(INDEX(firmadas!$E:$E,$T337)="","vacía",DAY(INDEX(firmadas!$E:$E,$T337))&amp;"/"&amp;MONTH(INDEX(firmadas!$E:$E,$T337))&amp;"/"&amp;YEAR(INDEX(firmadas!$E:$E,$T337)))&amp;")","OK"))))))))</f>
        <v/>
      </c>
      <c r="T337" t="str">
        <f ca="1">IF($P337="","",IFERROR(MATCH($P337,firmadas!$N:$N,0),IFERROR(MATCH("*/"&amp;MID($P337,FIND(" ",$P337)+1,9)&amp;"*",firmadas!$B:$B,0),0)))</f>
        <v/>
      </c>
    </row>
    <row r="338" spans="6:20" ht="15" customHeight="1" x14ac:dyDescent="0.25">
      <c r="F338" s="16"/>
      <c r="M338" s="53"/>
      <c r="N338" s="53" t="str">
        <f t="shared" ca="1" si="5"/>
        <v/>
      </c>
      <c r="P338" t="str">
        <f ca="1">IF(TRIM(SUBSTITUTE(($C338&amp;" "&amp;$D338),CHAR(160)," "))="","",IFERROR(IF(ISNUMBER(SEARCH("INC",($C338&amp;" "&amp;$D338))),"INC",IF(ISNUMBER(SEARCH("OPI",($C338&amp;" "&amp;$D338))),"OPI",IF(ISNUMBER(SEARCH("DP",($C338&amp;" "&amp;$D338))),"DP","CONC")))&amp;" "&amp;TEXT(LOOKUP(9.99E+307,--MID(SUBSTITUTE(($C338&amp;" "&amp;$D338),CHAR(160)," "),SUMPRODUCT(MIN(FIND({0,1,2,3,4,5,6,7,8,9},SUBSTITUTE(($C338&amp;" "&amp;$D338),CHAR(160)," ")&amp;"0123456789"))),ROW(INDIRECT("1:6")))),"0"),"SIN NUMERO"))</f>
        <v/>
      </c>
      <c r="Q338" t="str">
        <f ca="1">IF($P338="","",IF(LEFT(UPPER($S338),9)="VERIFICAR","VERIFICAR",IF($A338="","SIN ESTADO",IF(AND($A338="Firmada",$H338=""),"FALTA FECHA DE FIRMA",IF(N($T338)=0,IF(AND(ISNUMBER($H338),$H338&gt;=DATE(2024,1,1)),"FALTA EN FIRMADAS","OK"),IF(OR($A338="Pendiente de presentación",$A338="Observado",$A338="En análisis",$A338="En instrucción",$A338="Suspendida",$A338="IT circulando",$A338="Para resolución",$A338="TDC"),"ABIERTA PERO ESTÁ EN FIRMADAS",IF($H338&lt;&gt;INDEX(firmadas!$F:$F,$T338),"FIRMA DISTINTA EN firmadas ("&amp;IF(INDEX(firmadas!$F:$F,$T338)="","vacía",DAY(INDEX(firmadas!$F:$F,$T338))&amp;"/"&amp;MONTH(INDEX(firmadas!$F:$F,$T338))&amp;"/"&amp;YEAR(INDEX(firmadas!$F:$F,$T338)))&amp;")",IF($G338&lt;&gt;INDEX(firmadas!$E:$E,$T338),"INGRESO DISTINTO EN firmadas ("&amp;IF(INDEX(firmadas!$E:$E,$T338)="","vacía",DAY(INDEX(firmadas!$E:$E,$T338))&amp;"/"&amp;MONTH(INDEX(firmadas!$E:$E,$T338))&amp;"/"&amp;YEAR(INDEX(firmadas!$E:$E,$T338)))&amp;")","OK"))))))))</f>
        <v/>
      </c>
      <c r="T338" t="str">
        <f ca="1">IF($P338="","",IFERROR(MATCH($P338,firmadas!$N:$N,0),IFERROR(MATCH("*/"&amp;MID($P338,FIND(" ",$P338)+1,9)&amp;"*",firmadas!$B:$B,0),0)))</f>
        <v/>
      </c>
    </row>
    <row r="339" spans="6:20" ht="15" customHeight="1" x14ac:dyDescent="0.25">
      <c r="F339" s="16"/>
      <c r="M339" s="53"/>
      <c r="N339" s="53" t="str">
        <f t="shared" ca="1" si="5"/>
        <v/>
      </c>
      <c r="P339" t="str">
        <f ca="1">IF(TRIM(SUBSTITUTE(($C339&amp;" "&amp;$D339),CHAR(160)," "))="","",IFERROR(IF(ISNUMBER(SEARCH("INC",($C339&amp;" "&amp;$D339))),"INC",IF(ISNUMBER(SEARCH("OPI",($C339&amp;" "&amp;$D339))),"OPI",IF(ISNUMBER(SEARCH("DP",($C339&amp;" "&amp;$D339))),"DP","CONC")))&amp;" "&amp;TEXT(LOOKUP(9.99E+307,--MID(SUBSTITUTE(($C339&amp;" "&amp;$D339),CHAR(160)," "),SUMPRODUCT(MIN(FIND({0,1,2,3,4,5,6,7,8,9},SUBSTITUTE(($C339&amp;" "&amp;$D339),CHAR(160)," ")&amp;"0123456789"))),ROW(INDIRECT("1:6")))),"0"),"SIN NUMERO"))</f>
        <v/>
      </c>
      <c r="Q339" t="str">
        <f ca="1">IF($P339="","",IF(LEFT(UPPER($S339),9)="VERIFICAR","VERIFICAR",IF($A339="","SIN ESTADO",IF(AND($A339="Firmada",$H339=""),"FALTA FECHA DE FIRMA",IF(N($T339)=0,IF(AND(ISNUMBER($H339),$H339&gt;=DATE(2024,1,1)),"FALTA EN FIRMADAS","OK"),IF(OR($A339="Pendiente de presentación",$A339="Observado",$A339="En análisis",$A339="En instrucción",$A339="Suspendida",$A339="IT circulando",$A339="Para resolución",$A339="TDC"),"ABIERTA PERO ESTÁ EN FIRMADAS",IF($H339&lt;&gt;INDEX(firmadas!$F:$F,$T339),"FIRMA DISTINTA EN firmadas ("&amp;IF(INDEX(firmadas!$F:$F,$T339)="","vacía",DAY(INDEX(firmadas!$F:$F,$T339))&amp;"/"&amp;MONTH(INDEX(firmadas!$F:$F,$T339))&amp;"/"&amp;YEAR(INDEX(firmadas!$F:$F,$T339)))&amp;")",IF($G339&lt;&gt;INDEX(firmadas!$E:$E,$T339),"INGRESO DISTINTO EN firmadas ("&amp;IF(INDEX(firmadas!$E:$E,$T339)="","vacía",DAY(INDEX(firmadas!$E:$E,$T339))&amp;"/"&amp;MONTH(INDEX(firmadas!$E:$E,$T339))&amp;"/"&amp;YEAR(INDEX(firmadas!$E:$E,$T339)))&amp;")","OK"))))))))</f>
        <v/>
      </c>
      <c r="T339" t="str">
        <f ca="1">IF($P339="","",IFERROR(MATCH($P339,firmadas!$N:$N,0),IFERROR(MATCH("*/"&amp;MID($P339,FIND(" ",$P339)+1,9)&amp;"*",firmadas!$B:$B,0),0)))</f>
        <v/>
      </c>
    </row>
    <row r="340" spans="6:20" ht="15" customHeight="1" x14ac:dyDescent="0.25">
      <c r="F340" s="16"/>
      <c r="M340" s="53"/>
      <c r="N340" s="53" t="str">
        <f t="shared" ca="1" si="5"/>
        <v/>
      </c>
      <c r="P340" t="str">
        <f ca="1">IF(TRIM(SUBSTITUTE(($C340&amp;" "&amp;$D340),CHAR(160)," "))="","",IFERROR(IF(ISNUMBER(SEARCH("INC",($C340&amp;" "&amp;$D340))),"INC",IF(ISNUMBER(SEARCH("OPI",($C340&amp;" "&amp;$D340))),"OPI",IF(ISNUMBER(SEARCH("DP",($C340&amp;" "&amp;$D340))),"DP","CONC")))&amp;" "&amp;TEXT(LOOKUP(9.99E+307,--MID(SUBSTITUTE(($C340&amp;" "&amp;$D340),CHAR(160)," "),SUMPRODUCT(MIN(FIND({0,1,2,3,4,5,6,7,8,9},SUBSTITUTE(($C340&amp;" "&amp;$D340),CHAR(160)," ")&amp;"0123456789"))),ROW(INDIRECT("1:6")))),"0"),"SIN NUMERO"))</f>
        <v/>
      </c>
      <c r="Q340" t="str">
        <f ca="1">IF($P340="","",IF(LEFT(UPPER($S340),9)="VERIFICAR","VERIFICAR",IF($A340="","SIN ESTADO",IF(AND($A340="Firmada",$H340=""),"FALTA FECHA DE FIRMA",IF(N($T340)=0,IF(AND(ISNUMBER($H340),$H340&gt;=DATE(2024,1,1)),"FALTA EN FIRMADAS","OK"),IF(OR($A340="Pendiente de presentación",$A340="Observado",$A340="En análisis",$A340="En instrucción",$A340="Suspendida",$A340="IT circulando",$A340="Para resolución",$A340="TDC"),"ABIERTA PERO ESTÁ EN FIRMADAS",IF($H340&lt;&gt;INDEX(firmadas!$F:$F,$T340),"FIRMA DISTINTA EN firmadas ("&amp;IF(INDEX(firmadas!$F:$F,$T340)="","vacía",DAY(INDEX(firmadas!$F:$F,$T340))&amp;"/"&amp;MONTH(INDEX(firmadas!$F:$F,$T340))&amp;"/"&amp;YEAR(INDEX(firmadas!$F:$F,$T340)))&amp;")",IF($G340&lt;&gt;INDEX(firmadas!$E:$E,$T340),"INGRESO DISTINTO EN firmadas ("&amp;IF(INDEX(firmadas!$E:$E,$T340)="","vacía",DAY(INDEX(firmadas!$E:$E,$T340))&amp;"/"&amp;MONTH(INDEX(firmadas!$E:$E,$T340))&amp;"/"&amp;YEAR(INDEX(firmadas!$E:$E,$T340)))&amp;")","OK"))))))))</f>
        <v/>
      </c>
      <c r="T340" t="str">
        <f ca="1">IF($P340="","",IFERROR(MATCH($P340,firmadas!$N:$N,0),IFERROR(MATCH("*/"&amp;MID($P340,FIND(" ",$P340)+1,9)&amp;"*",firmadas!$B:$B,0),0)))</f>
        <v/>
      </c>
    </row>
    <row r="341" spans="6:20" ht="15" customHeight="1" x14ac:dyDescent="0.25">
      <c r="F341" s="16"/>
      <c r="M341" s="53"/>
      <c r="N341" s="53" t="str">
        <f t="shared" ca="1" si="5"/>
        <v/>
      </c>
      <c r="P341" t="str">
        <f ca="1">IF(TRIM(SUBSTITUTE(($C341&amp;" "&amp;$D341),CHAR(160)," "))="","",IFERROR(IF(ISNUMBER(SEARCH("INC",($C341&amp;" "&amp;$D341))),"INC",IF(ISNUMBER(SEARCH("OPI",($C341&amp;" "&amp;$D341))),"OPI",IF(ISNUMBER(SEARCH("DP",($C341&amp;" "&amp;$D341))),"DP","CONC")))&amp;" "&amp;TEXT(LOOKUP(9.99E+307,--MID(SUBSTITUTE(($C341&amp;" "&amp;$D341),CHAR(160)," "),SUMPRODUCT(MIN(FIND({0,1,2,3,4,5,6,7,8,9},SUBSTITUTE(($C341&amp;" "&amp;$D341),CHAR(160)," ")&amp;"0123456789"))),ROW(INDIRECT("1:6")))),"0"),"SIN NUMERO"))</f>
        <v/>
      </c>
      <c r="Q341" t="str">
        <f ca="1">IF($P341="","",IF(LEFT(UPPER($S341),9)="VERIFICAR","VERIFICAR",IF($A341="","SIN ESTADO",IF(AND($A341="Firmada",$H341=""),"FALTA FECHA DE FIRMA",IF(N($T341)=0,IF(AND(ISNUMBER($H341),$H341&gt;=DATE(2024,1,1)),"FALTA EN FIRMADAS","OK"),IF(OR($A341="Pendiente de presentación",$A341="Observado",$A341="En análisis",$A341="En instrucción",$A341="Suspendida",$A341="IT circulando",$A341="Para resolución",$A341="TDC"),"ABIERTA PERO ESTÁ EN FIRMADAS",IF($H341&lt;&gt;INDEX(firmadas!$F:$F,$T341),"FIRMA DISTINTA EN firmadas ("&amp;IF(INDEX(firmadas!$F:$F,$T341)="","vacía",DAY(INDEX(firmadas!$F:$F,$T341))&amp;"/"&amp;MONTH(INDEX(firmadas!$F:$F,$T341))&amp;"/"&amp;YEAR(INDEX(firmadas!$F:$F,$T341)))&amp;")",IF($G341&lt;&gt;INDEX(firmadas!$E:$E,$T341),"INGRESO DISTINTO EN firmadas ("&amp;IF(INDEX(firmadas!$E:$E,$T341)="","vacía",DAY(INDEX(firmadas!$E:$E,$T341))&amp;"/"&amp;MONTH(INDEX(firmadas!$E:$E,$T341))&amp;"/"&amp;YEAR(INDEX(firmadas!$E:$E,$T341)))&amp;")","OK"))))))))</f>
        <v/>
      </c>
      <c r="T341" t="str">
        <f ca="1">IF($P341="","",IFERROR(MATCH($P341,firmadas!$N:$N,0),IFERROR(MATCH("*/"&amp;MID($P341,FIND(" ",$P341)+1,9)&amp;"*",firmadas!$B:$B,0),0)))</f>
        <v/>
      </c>
    </row>
    <row r="342" spans="6:20" ht="15" customHeight="1" x14ac:dyDescent="0.25">
      <c r="F342" s="16"/>
      <c r="M342" s="53"/>
      <c r="N342" s="53" t="str">
        <f t="shared" ca="1" si="5"/>
        <v/>
      </c>
      <c r="P342" t="str">
        <f ca="1">IF(TRIM(SUBSTITUTE(($C342&amp;" "&amp;$D342),CHAR(160)," "))="","",IFERROR(IF(ISNUMBER(SEARCH("INC",($C342&amp;" "&amp;$D342))),"INC",IF(ISNUMBER(SEARCH("OPI",($C342&amp;" "&amp;$D342))),"OPI",IF(ISNUMBER(SEARCH("DP",($C342&amp;" "&amp;$D342))),"DP","CONC")))&amp;" "&amp;TEXT(LOOKUP(9.99E+307,--MID(SUBSTITUTE(($C342&amp;" "&amp;$D342),CHAR(160)," "),SUMPRODUCT(MIN(FIND({0,1,2,3,4,5,6,7,8,9},SUBSTITUTE(($C342&amp;" "&amp;$D342),CHAR(160)," ")&amp;"0123456789"))),ROW(INDIRECT("1:6")))),"0"),"SIN NUMERO"))</f>
        <v/>
      </c>
      <c r="Q342" t="str">
        <f ca="1">IF($P342="","",IF(LEFT(UPPER($S342),9)="VERIFICAR","VERIFICAR",IF($A342="","SIN ESTADO",IF(AND($A342="Firmada",$H342=""),"FALTA FECHA DE FIRMA",IF(N($T342)=0,IF(AND(ISNUMBER($H342),$H342&gt;=DATE(2024,1,1)),"FALTA EN FIRMADAS","OK"),IF(OR($A342="Pendiente de presentación",$A342="Observado",$A342="En análisis",$A342="En instrucción",$A342="Suspendida",$A342="IT circulando",$A342="Para resolución",$A342="TDC"),"ABIERTA PERO ESTÁ EN FIRMADAS",IF($H342&lt;&gt;INDEX(firmadas!$F:$F,$T342),"FIRMA DISTINTA EN firmadas ("&amp;IF(INDEX(firmadas!$F:$F,$T342)="","vacía",DAY(INDEX(firmadas!$F:$F,$T342))&amp;"/"&amp;MONTH(INDEX(firmadas!$F:$F,$T342))&amp;"/"&amp;YEAR(INDEX(firmadas!$F:$F,$T342)))&amp;")",IF($G342&lt;&gt;INDEX(firmadas!$E:$E,$T342),"INGRESO DISTINTO EN firmadas ("&amp;IF(INDEX(firmadas!$E:$E,$T342)="","vacía",DAY(INDEX(firmadas!$E:$E,$T342))&amp;"/"&amp;MONTH(INDEX(firmadas!$E:$E,$T342))&amp;"/"&amp;YEAR(INDEX(firmadas!$E:$E,$T342)))&amp;")","OK"))))))))</f>
        <v/>
      </c>
      <c r="T342" t="str">
        <f ca="1">IF($P342="","",IFERROR(MATCH($P342,firmadas!$N:$N,0),IFERROR(MATCH("*/"&amp;MID($P342,FIND(" ",$P342)+1,9)&amp;"*",firmadas!$B:$B,0),0)))</f>
        <v/>
      </c>
    </row>
    <row r="343" spans="6:20" ht="15" customHeight="1" x14ac:dyDescent="0.25">
      <c r="F343" s="16"/>
      <c r="M343" s="53"/>
      <c r="N343" s="53" t="str">
        <f t="shared" ca="1" si="5"/>
        <v/>
      </c>
      <c r="P343" t="str">
        <f ca="1">IF(TRIM(SUBSTITUTE(($C343&amp;" "&amp;$D343),CHAR(160)," "))="","",IFERROR(IF(ISNUMBER(SEARCH("INC",($C343&amp;" "&amp;$D343))),"INC",IF(ISNUMBER(SEARCH("OPI",($C343&amp;" "&amp;$D343))),"OPI",IF(ISNUMBER(SEARCH("DP",($C343&amp;" "&amp;$D343))),"DP","CONC")))&amp;" "&amp;TEXT(LOOKUP(9.99E+307,--MID(SUBSTITUTE(($C343&amp;" "&amp;$D343),CHAR(160)," "),SUMPRODUCT(MIN(FIND({0,1,2,3,4,5,6,7,8,9},SUBSTITUTE(($C343&amp;" "&amp;$D343),CHAR(160)," ")&amp;"0123456789"))),ROW(INDIRECT("1:6")))),"0"),"SIN NUMERO"))</f>
        <v/>
      </c>
      <c r="Q343" t="str">
        <f ca="1">IF($P343="","",IF(LEFT(UPPER($S343),9)="VERIFICAR","VERIFICAR",IF($A343="","SIN ESTADO",IF(AND($A343="Firmada",$H343=""),"FALTA FECHA DE FIRMA",IF(N($T343)=0,IF(AND(ISNUMBER($H343),$H343&gt;=DATE(2024,1,1)),"FALTA EN FIRMADAS","OK"),IF(OR($A343="Pendiente de presentación",$A343="Observado",$A343="En análisis",$A343="En instrucción",$A343="Suspendida",$A343="IT circulando",$A343="Para resolución",$A343="TDC"),"ABIERTA PERO ESTÁ EN FIRMADAS",IF($H343&lt;&gt;INDEX(firmadas!$F:$F,$T343),"FIRMA DISTINTA EN firmadas ("&amp;IF(INDEX(firmadas!$F:$F,$T343)="","vacía",DAY(INDEX(firmadas!$F:$F,$T343))&amp;"/"&amp;MONTH(INDEX(firmadas!$F:$F,$T343))&amp;"/"&amp;YEAR(INDEX(firmadas!$F:$F,$T343)))&amp;")",IF($G343&lt;&gt;INDEX(firmadas!$E:$E,$T343),"INGRESO DISTINTO EN firmadas ("&amp;IF(INDEX(firmadas!$E:$E,$T343)="","vacía",DAY(INDEX(firmadas!$E:$E,$T343))&amp;"/"&amp;MONTH(INDEX(firmadas!$E:$E,$T343))&amp;"/"&amp;YEAR(INDEX(firmadas!$E:$E,$T343)))&amp;")","OK"))))))))</f>
        <v/>
      </c>
      <c r="T343" t="str">
        <f ca="1">IF($P343="","",IFERROR(MATCH($P343,firmadas!$N:$N,0),IFERROR(MATCH("*/"&amp;MID($P343,FIND(" ",$P343)+1,9)&amp;"*",firmadas!$B:$B,0),0)))</f>
        <v/>
      </c>
    </row>
    <row r="344" spans="6:20" ht="15" customHeight="1" x14ac:dyDescent="0.25">
      <c r="F344" s="16"/>
      <c r="M344" s="53"/>
      <c r="N344" s="53" t="str">
        <f t="shared" ca="1" si="5"/>
        <v/>
      </c>
      <c r="P344" t="str">
        <f ca="1">IF(TRIM(SUBSTITUTE(($C344&amp;" "&amp;$D344),CHAR(160)," "))="","",IFERROR(IF(ISNUMBER(SEARCH("INC",($C344&amp;" "&amp;$D344))),"INC",IF(ISNUMBER(SEARCH("OPI",($C344&amp;" "&amp;$D344))),"OPI",IF(ISNUMBER(SEARCH("DP",($C344&amp;" "&amp;$D344))),"DP","CONC")))&amp;" "&amp;TEXT(LOOKUP(9.99E+307,--MID(SUBSTITUTE(($C344&amp;" "&amp;$D344),CHAR(160)," "),SUMPRODUCT(MIN(FIND({0,1,2,3,4,5,6,7,8,9},SUBSTITUTE(($C344&amp;" "&amp;$D344),CHAR(160)," ")&amp;"0123456789"))),ROW(INDIRECT("1:6")))),"0"),"SIN NUMERO"))</f>
        <v/>
      </c>
      <c r="Q344" t="str">
        <f ca="1">IF($P344="","",IF(LEFT(UPPER($S344),9)="VERIFICAR","VERIFICAR",IF($A344="","SIN ESTADO",IF(AND($A344="Firmada",$H344=""),"FALTA FECHA DE FIRMA",IF(N($T344)=0,IF(AND(ISNUMBER($H344),$H344&gt;=DATE(2024,1,1)),"FALTA EN FIRMADAS","OK"),IF(OR($A344="Pendiente de presentación",$A344="Observado",$A344="En análisis",$A344="En instrucción",$A344="Suspendida",$A344="IT circulando",$A344="Para resolución",$A344="TDC"),"ABIERTA PERO ESTÁ EN FIRMADAS",IF($H344&lt;&gt;INDEX(firmadas!$F:$F,$T344),"FIRMA DISTINTA EN firmadas ("&amp;IF(INDEX(firmadas!$F:$F,$T344)="","vacía",DAY(INDEX(firmadas!$F:$F,$T344))&amp;"/"&amp;MONTH(INDEX(firmadas!$F:$F,$T344))&amp;"/"&amp;YEAR(INDEX(firmadas!$F:$F,$T344)))&amp;")",IF($G344&lt;&gt;INDEX(firmadas!$E:$E,$T344),"INGRESO DISTINTO EN firmadas ("&amp;IF(INDEX(firmadas!$E:$E,$T344)="","vacía",DAY(INDEX(firmadas!$E:$E,$T344))&amp;"/"&amp;MONTH(INDEX(firmadas!$E:$E,$T344))&amp;"/"&amp;YEAR(INDEX(firmadas!$E:$E,$T344)))&amp;")","OK"))))))))</f>
        <v/>
      </c>
      <c r="T344" t="str">
        <f ca="1">IF($P344="","",IFERROR(MATCH($P344,firmadas!$N:$N,0),IFERROR(MATCH("*/"&amp;MID($P344,FIND(" ",$P344)+1,9)&amp;"*",firmadas!$B:$B,0),0)))</f>
        <v/>
      </c>
    </row>
    <row r="345" spans="6:20" ht="15" customHeight="1" x14ac:dyDescent="0.25">
      <c r="F345" s="16"/>
      <c r="M345" s="53"/>
      <c r="N345" s="53" t="str">
        <f t="shared" ca="1" si="5"/>
        <v/>
      </c>
      <c r="P345" t="str">
        <f ca="1">IF(TRIM(SUBSTITUTE(($C345&amp;" "&amp;$D345),CHAR(160)," "))="","",IFERROR(IF(ISNUMBER(SEARCH("INC",($C345&amp;" "&amp;$D345))),"INC",IF(ISNUMBER(SEARCH("OPI",($C345&amp;" "&amp;$D345))),"OPI",IF(ISNUMBER(SEARCH("DP",($C345&amp;" "&amp;$D345))),"DP","CONC")))&amp;" "&amp;TEXT(LOOKUP(9.99E+307,--MID(SUBSTITUTE(($C345&amp;" "&amp;$D345),CHAR(160)," "),SUMPRODUCT(MIN(FIND({0,1,2,3,4,5,6,7,8,9},SUBSTITUTE(($C345&amp;" "&amp;$D345),CHAR(160)," ")&amp;"0123456789"))),ROW(INDIRECT("1:6")))),"0"),"SIN NUMERO"))</f>
        <v/>
      </c>
      <c r="Q345" t="str">
        <f ca="1">IF($P345="","",IF(LEFT(UPPER($S345),9)="VERIFICAR","VERIFICAR",IF($A345="","SIN ESTADO",IF(AND($A345="Firmada",$H345=""),"FALTA FECHA DE FIRMA",IF(N($T345)=0,IF(AND(ISNUMBER($H345),$H345&gt;=DATE(2024,1,1)),"FALTA EN FIRMADAS","OK"),IF(OR($A345="Pendiente de presentación",$A345="Observado",$A345="En análisis",$A345="En instrucción",$A345="Suspendida",$A345="IT circulando",$A345="Para resolución",$A345="TDC"),"ABIERTA PERO ESTÁ EN FIRMADAS",IF($H345&lt;&gt;INDEX(firmadas!$F:$F,$T345),"FIRMA DISTINTA EN firmadas ("&amp;IF(INDEX(firmadas!$F:$F,$T345)="","vacía",DAY(INDEX(firmadas!$F:$F,$T345))&amp;"/"&amp;MONTH(INDEX(firmadas!$F:$F,$T345))&amp;"/"&amp;YEAR(INDEX(firmadas!$F:$F,$T345)))&amp;")",IF($G345&lt;&gt;INDEX(firmadas!$E:$E,$T345),"INGRESO DISTINTO EN firmadas ("&amp;IF(INDEX(firmadas!$E:$E,$T345)="","vacía",DAY(INDEX(firmadas!$E:$E,$T345))&amp;"/"&amp;MONTH(INDEX(firmadas!$E:$E,$T345))&amp;"/"&amp;YEAR(INDEX(firmadas!$E:$E,$T345)))&amp;")","OK"))))))))</f>
        <v/>
      </c>
      <c r="T345" t="str">
        <f ca="1">IF($P345="","",IFERROR(MATCH($P345,firmadas!$N:$N,0),IFERROR(MATCH("*/"&amp;MID($P345,FIND(" ",$P345)+1,9)&amp;"*",firmadas!$B:$B,0),0)))</f>
        <v/>
      </c>
    </row>
    <row r="346" spans="6:20" ht="15" customHeight="1" x14ac:dyDescent="0.25">
      <c r="F346" s="16"/>
      <c r="M346" s="53"/>
      <c r="N346" s="53" t="str">
        <f t="shared" ca="1" si="5"/>
        <v/>
      </c>
      <c r="P346" t="str">
        <f ca="1">IF(TRIM(SUBSTITUTE(($C346&amp;" "&amp;$D346),CHAR(160)," "))="","",IFERROR(IF(ISNUMBER(SEARCH("INC",($C346&amp;" "&amp;$D346))),"INC",IF(ISNUMBER(SEARCH("OPI",($C346&amp;" "&amp;$D346))),"OPI",IF(ISNUMBER(SEARCH("DP",($C346&amp;" "&amp;$D346))),"DP","CONC")))&amp;" "&amp;TEXT(LOOKUP(9.99E+307,--MID(SUBSTITUTE(($C346&amp;" "&amp;$D346),CHAR(160)," "),SUMPRODUCT(MIN(FIND({0,1,2,3,4,5,6,7,8,9},SUBSTITUTE(($C346&amp;" "&amp;$D346),CHAR(160)," ")&amp;"0123456789"))),ROW(INDIRECT("1:6")))),"0"),"SIN NUMERO"))</f>
        <v/>
      </c>
      <c r="Q346" t="str">
        <f ca="1">IF($P346="","",IF(LEFT(UPPER($S346),9)="VERIFICAR","VERIFICAR",IF($A346="","SIN ESTADO",IF(AND($A346="Firmada",$H346=""),"FALTA FECHA DE FIRMA",IF(N($T346)=0,IF(AND(ISNUMBER($H346),$H346&gt;=DATE(2024,1,1)),"FALTA EN FIRMADAS","OK"),IF(OR($A346="Pendiente de presentación",$A346="Observado",$A346="En análisis",$A346="En instrucción",$A346="Suspendida",$A346="IT circulando",$A346="Para resolución",$A346="TDC"),"ABIERTA PERO ESTÁ EN FIRMADAS",IF($H346&lt;&gt;INDEX(firmadas!$F:$F,$T346),"FIRMA DISTINTA EN firmadas ("&amp;IF(INDEX(firmadas!$F:$F,$T346)="","vacía",DAY(INDEX(firmadas!$F:$F,$T346))&amp;"/"&amp;MONTH(INDEX(firmadas!$F:$F,$T346))&amp;"/"&amp;YEAR(INDEX(firmadas!$F:$F,$T346)))&amp;")",IF($G346&lt;&gt;INDEX(firmadas!$E:$E,$T346),"INGRESO DISTINTO EN firmadas ("&amp;IF(INDEX(firmadas!$E:$E,$T346)="","vacía",DAY(INDEX(firmadas!$E:$E,$T346))&amp;"/"&amp;MONTH(INDEX(firmadas!$E:$E,$T346))&amp;"/"&amp;YEAR(INDEX(firmadas!$E:$E,$T346)))&amp;")","OK"))))))))</f>
        <v/>
      </c>
      <c r="T346" t="str">
        <f ca="1">IF($P346="","",IFERROR(MATCH($P346,firmadas!$N:$N,0),IFERROR(MATCH("*/"&amp;MID($P346,FIND(" ",$P346)+1,9)&amp;"*",firmadas!$B:$B,0),0)))</f>
        <v/>
      </c>
    </row>
    <row r="347" spans="6:20" ht="15" customHeight="1" x14ac:dyDescent="0.25">
      <c r="F347" s="16"/>
      <c r="M347" s="53"/>
      <c r="N347" s="53" t="str">
        <f t="shared" ca="1" si="5"/>
        <v/>
      </c>
      <c r="P347" t="str">
        <f ca="1">IF(TRIM(SUBSTITUTE(($C347&amp;" "&amp;$D347),CHAR(160)," "))="","",IFERROR(IF(ISNUMBER(SEARCH("INC",($C347&amp;" "&amp;$D347))),"INC",IF(ISNUMBER(SEARCH("OPI",($C347&amp;" "&amp;$D347))),"OPI",IF(ISNUMBER(SEARCH("DP",($C347&amp;" "&amp;$D347))),"DP","CONC")))&amp;" "&amp;TEXT(LOOKUP(9.99E+307,--MID(SUBSTITUTE(($C347&amp;" "&amp;$D347),CHAR(160)," "),SUMPRODUCT(MIN(FIND({0,1,2,3,4,5,6,7,8,9},SUBSTITUTE(($C347&amp;" "&amp;$D347),CHAR(160)," ")&amp;"0123456789"))),ROW(INDIRECT("1:6")))),"0"),"SIN NUMERO"))</f>
        <v/>
      </c>
      <c r="Q347" t="str">
        <f ca="1">IF($P347="","",IF(LEFT(UPPER($S347),9)="VERIFICAR","VERIFICAR",IF($A347="","SIN ESTADO",IF(AND($A347="Firmada",$H347=""),"FALTA FECHA DE FIRMA",IF(N($T347)=0,IF(AND(ISNUMBER($H347),$H347&gt;=DATE(2024,1,1)),"FALTA EN FIRMADAS","OK"),IF(OR($A347="Pendiente de presentación",$A347="Observado",$A347="En análisis",$A347="En instrucción",$A347="Suspendida",$A347="IT circulando",$A347="Para resolución",$A347="TDC"),"ABIERTA PERO ESTÁ EN FIRMADAS",IF($H347&lt;&gt;INDEX(firmadas!$F:$F,$T347),"FIRMA DISTINTA EN firmadas ("&amp;IF(INDEX(firmadas!$F:$F,$T347)="","vacía",DAY(INDEX(firmadas!$F:$F,$T347))&amp;"/"&amp;MONTH(INDEX(firmadas!$F:$F,$T347))&amp;"/"&amp;YEAR(INDEX(firmadas!$F:$F,$T347)))&amp;")",IF($G347&lt;&gt;INDEX(firmadas!$E:$E,$T347),"INGRESO DISTINTO EN firmadas ("&amp;IF(INDEX(firmadas!$E:$E,$T347)="","vacía",DAY(INDEX(firmadas!$E:$E,$T347))&amp;"/"&amp;MONTH(INDEX(firmadas!$E:$E,$T347))&amp;"/"&amp;YEAR(INDEX(firmadas!$E:$E,$T347)))&amp;")","OK"))))))))</f>
        <v/>
      </c>
      <c r="T347" t="str">
        <f ca="1">IF($P347="","",IFERROR(MATCH($P347,firmadas!$N:$N,0),IFERROR(MATCH("*/"&amp;MID($P347,FIND(" ",$P347)+1,9)&amp;"*",firmadas!$B:$B,0),0)))</f>
        <v/>
      </c>
    </row>
    <row r="348" spans="6:20" ht="15" customHeight="1" x14ac:dyDescent="0.25">
      <c r="F348" s="16"/>
      <c r="M348" s="53"/>
      <c r="N348" s="53" t="str">
        <f t="shared" ca="1" si="5"/>
        <v/>
      </c>
      <c r="P348" t="str">
        <f ca="1">IF(TRIM(SUBSTITUTE(($C348&amp;" "&amp;$D348),CHAR(160)," "))="","",IFERROR(IF(ISNUMBER(SEARCH("INC",($C348&amp;" "&amp;$D348))),"INC",IF(ISNUMBER(SEARCH("OPI",($C348&amp;" "&amp;$D348))),"OPI",IF(ISNUMBER(SEARCH("DP",($C348&amp;" "&amp;$D348))),"DP","CONC")))&amp;" "&amp;TEXT(LOOKUP(9.99E+307,--MID(SUBSTITUTE(($C348&amp;" "&amp;$D348),CHAR(160)," "),SUMPRODUCT(MIN(FIND({0,1,2,3,4,5,6,7,8,9},SUBSTITUTE(($C348&amp;" "&amp;$D348),CHAR(160)," ")&amp;"0123456789"))),ROW(INDIRECT("1:6")))),"0"),"SIN NUMERO"))</f>
        <v/>
      </c>
      <c r="Q348" t="str">
        <f ca="1">IF($P348="","",IF(LEFT(UPPER($S348),9)="VERIFICAR","VERIFICAR",IF($A348="","SIN ESTADO",IF(AND($A348="Firmada",$H348=""),"FALTA FECHA DE FIRMA",IF(N($T348)=0,IF(AND(ISNUMBER($H348),$H348&gt;=DATE(2024,1,1)),"FALTA EN FIRMADAS","OK"),IF(OR($A348="Pendiente de presentación",$A348="Observado",$A348="En análisis",$A348="En instrucción",$A348="Suspendida",$A348="IT circulando",$A348="Para resolución",$A348="TDC"),"ABIERTA PERO ESTÁ EN FIRMADAS",IF($H348&lt;&gt;INDEX(firmadas!$F:$F,$T348),"FIRMA DISTINTA EN firmadas ("&amp;IF(INDEX(firmadas!$F:$F,$T348)="","vacía",DAY(INDEX(firmadas!$F:$F,$T348))&amp;"/"&amp;MONTH(INDEX(firmadas!$F:$F,$T348))&amp;"/"&amp;YEAR(INDEX(firmadas!$F:$F,$T348)))&amp;")",IF($G348&lt;&gt;INDEX(firmadas!$E:$E,$T348),"INGRESO DISTINTO EN firmadas ("&amp;IF(INDEX(firmadas!$E:$E,$T348)="","vacía",DAY(INDEX(firmadas!$E:$E,$T348))&amp;"/"&amp;MONTH(INDEX(firmadas!$E:$E,$T348))&amp;"/"&amp;YEAR(INDEX(firmadas!$E:$E,$T348)))&amp;")","OK"))))))))</f>
        <v/>
      </c>
      <c r="T348" t="str">
        <f ca="1">IF($P348="","",IFERROR(MATCH($P348,firmadas!$N:$N,0),IFERROR(MATCH("*/"&amp;MID($P348,FIND(" ",$P348)+1,9)&amp;"*",firmadas!$B:$B,0),0)))</f>
        <v/>
      </c>
    </row>
    <row r="349" spans="6:20" ht="15" customHeight="1" x14ac:dyDescent="0.25">
      <c r="F349" s="16"/>
      <c r="M349" s="53"/>
      <c r="N349" s="53" t="str">
        <f t="shared" ca="1" si="5"/>
        <v/>
      </c>
      <c r="P349" t="str">
        <f ca="1">IF(TRIM(SUBSTITUTE(($C349&amp;" "&amp;$D349),CHAR(160)," "))="","",IFERROR(IF(ISNUMBER(SEARCH("INC",($C349&amp;" "&amp;$D349))),"INC",IF(ISNUMBER(SEARCH("OPI",($C349&amp;" "&amp;$D349))),"OPI",IF(ISNUMBER(SEARCH("DP",($C349&amp;" "&amp;$D349))),"DP","CONC")))&amp;" "&amp;TEXT(LOOKUP(9.99E+307,--MID(SUBSTITUTE(($C349&amp;" "&amp;$D349),CHAR(160)," "),SUMPRODUCT(MIN(FIND({0,1,2,3,4,5,6,7,8,9},SUBSTITUTE(($C349&amp;" "&amp;$D349),CHAR(160)," ")&amp;"0123456789"))),ROW(INDIRECT("1:6")))),"0"),"SIN NUMERO"))</f>
        <v/>
      </c>
      <c r="Q349" t="str">
        <f ca="1">IF($P349="","",IF(LEFT(UPPER($S349),9)="VERIFICAR","VERIFICAR",IF($A349="","SIN ESTADO",IF(AND($A349="Firmada",$H349=""),"FALTA FECHA DE FIRMA",IF(N($T349)=0,IF(AND(ISNUMBER($H349),$H349&gt;=DATE(2024,1,1)),"FALTA EN FIRMADAS","OK"),IF(OR($A349="Pendiente de presentación",$A349="Observado",$A349="En análisis",$A349="En instrucción",$A349="Suspendida",$A349="IT circulando",$A349="Para resolución",$A349="TDC"),"ABIERTA PERO ESTÁ EN FIRMADAS",IF($H349&lt;&gt;INDEX(firmadas!$F:$F,$T349),"FIRMA DISTINTA EN firmadas ("&amp;IF(INDEX(firmadas!$F:$F,$T349)="","vacía",DAY(INDEX(firmadas!$F:$F,$T349))&amp;"/"&amp;MONTH(INDEX(firmadas!$F:$F,$T349))&amp;"/"&amp;YEAR(INDEX(firmadas!$F:$F,$T349)))&amp;")",IF($G349&lt;&gt;INDEX(firmadas!$E:$E,$T349),"INGRESO DISTINTO EN firmadas ("&amp;IF(INDEX(firmadas!$E:$E,$T349)="","vacía",DAY(INDEX(firmadas!$E:$E,$T349))&amp;"/"&amp;MONTH(INDEX(firmadas!$E:$E,$T349))&amp;"/"&amp;YEAR(INDEX(firmadas!$E:$E,$T349)))&amp;")","OK"))))))))</f>
        <v/>
      </c>
      <c r="T349" t="str">
        <f ca="1">IF($P349="","",IFERROR(MATCH($P349,firmadas!$N:$N,0),IFERROR(MATCH("*/"&amp;MID($P349,FIND(" ",$P349)+1,9)&amp;"*",firmadas!$B:$B,0),0)))</f>
        <v/>
      </c>
    </row>
    <row r="350" spans="6:20" ht="15" customHeight="1" x14ac:dyDescent="0.25">
      <c r="F350" s="16"/>
      <c r="M350" s="53"/>
      <c r="N350" s="53" t="str">
        <f t="shared" ca="1" si="5"/>
        <v/>
      </c>
      <c r="P350" t="str">
        <f ca="1">IF(TRIM(SUBSTITUTE(($C350&amp;" "&amp;$D350),CHAR(160)," "))="","",IFERROR(IF(ISNUMBER(SEARCH("INC",($C350&amp;" "&amp;$D350))),"INC",IF(ISNUMBER(SEARCH("OPI",($C350&amp;" "&amp;$D350))),"OPI",IF(ISNUMBER(SEARCH("DP",($C350&amp;" "&amp;$D350))),"DP","CONC")))&amp;" "&amp;TEXT(LOOKUP(9.99E+307,--MID(SUBSTITUTE(($C350&amp;" "&amp;$D350),CHAR(160)," "),SUMPRODUCT(MIN(FIND({0,1,2,3,4,5,6,7,8,9},SUBSTITUTE(($C350&amp;" "&amp;$D350),CHAR(160)," ")&amp;"0123456789"))),ROW(INDIRECT("1:6")))),"0"),"SIN NUMERO"))</f>
        <v/>
      </c>
      <c r="Q350" t="str">
        <f ca="1">IF($P350="","",IF(LEFT(UPPER($S350),9)="VERIFICAR","VERIFICAR",IF($A350="","SIN ESTADO",IF(AND($A350="Firmada",$H350=""),"FALTA FECHA DE FIRMA",IF(N($T350)=0,IF(AND(ISNUMBER($H350),$H350&gt;=DATE(2024,1,1)),"FALTA EN FIRMADAS","OK"),IF(OR($A350="Pendiente de presentación",$A350="Observado",$A350="En análisis",$A350="En instrucción",$A350="Suspendida",$A350="IT circulando",$A350="Para resolución",$A350="TDC"),"ABIERTA PERO ESTÁ EN FIRMADAS",IF($H350&lt;&gt;INDEX(firmadas!$F:$F,$T350),"FIRMA DISTINTA EN firmadas ("&amp;IF(INDEX(firmadas!$F:$F,$T350)="","vacía",DAY(INDEX(firmadas!$F:$F,$T350))&amp;"/"&amp;MONTH(INDEX(firmadas!$F:$F,$T350))&amp;"/"&amp;YEAR(INDEX(firmadas!$F:$F,$T350)))&amp;")",IF($G350&lt;&gt;INDEX(firmadas!$E:$E,$T350),"INGRESO DISTINTO EN firmadas ("&amp;IF(INDEX(firmadas!$E:$E,$T350)="","vacía",DAY(INDEX(firmadas!$E:$E,$T350))&amp;"/"&amp;MONTH(INDEX(firmadas!$E:$E,$T350))&amp;"/"&amp;YEAR(INDEX(firmadas!$E:$E,$T350)))&amp;")","OK"))))))))</f>
        <v/>
      </c>
      <c r="T350" t="str">
        <f ca="1">IF($P350="","",IFERROR(MATCH($P350,firmadas!$N:$N,0),IFERROR(MATCH("*/"&amp;MID($P350,FIND(" ",$P350)+1,9)&amp;"*",firmadas!$B:$B,0),0)))</f>
        <v/>
      </c>
    </row>
    <row r="351" spans="6:20" ht="15" customHeight="1" x14ac:dyDescent="0.25">
      <c r="F351" s="16"/>
      <c r="M351" s="53"/>
      <c r="N351" s="53" t="str">
        <f t="shared" ca="1" si="5"/>
        <v/>
      </c>
      <c r="P351" t="str">
        <f ca="1">IF(TRIM(SUBSTITUTE(($C351&amp;" "&amp;$D351),CHAR(160)," "))="","",IFERROR(IF(ISNUMBER(SEARCH("INC",($C351&amp;" "&amp;$D351))),"INC",IF(ISNUMBER(SEARCH("OPI",($C351&amp;" "&amp;$D351))),"OPI",IF(ISNUMBER(SEARCH("DP",($C351&amp;" "&amp;$D351))),"DP","CONC")))&amp;" "&amp;TEXT(LOOKUP(9.99E+307,--MID(SUBSTITUTE(($C351&amp;" "&amp;$D351),CHAR(160)," "),SUMPRODUCT(MIN(FIND({0,1,2,3,4,5,6,7,8,9},SUBSTITUTE(($C351&amp;" "&amp;$D351),CHAR(160)," ")&amp;"0123456789"))),ROW(INDIRECT("1:6")))),"0"),"SIN NUMERO"))</f>
        <v/>
      </c>
      <c r="Q351" t="str">
        <f ca="1">IF($P351="","",IF(LEFT(UPPER($S351),9)="VERIFICAR","VERIFICAR",IF($A351="","SIN ESTADO",IF(AND($A351="Firmada",$H351=""),"FALTA FECHA DE FIRMA",IF(N($T351)=0,IF(AND(ISNUMBER($H351),$H351&gt;=DATE(2024,1,1)),"FALTA EN FIRMADAS","OK"),IF(OR($A351="Pendiente de presentación",$A351="Observado",$A351="En análisis",$A351="En instrucción",$A351="Suspendida",$A351="IT circulando",$A351="Para resolución",$A351="TDC"),"ABIERTA PERO ESTÁ EN FIRMADAS",IF($H351&lt;&gt;INDEX(firmadas!$F:$F,$T351),"FIRMA DISTINTA EN firmadas ("&amp;IF(INDEX(firmadas!$F:$F,$T351)="","vacía",DAY(INDEX(firmadas!$F:$F,$T351))&amp;"/"&amp;MONTH(INDEX(firmadas!$F:$F,$T351))&amp;"/"&amp;YEAR(INDEX(firmadas!$F:$F,$T351)))&amp;")",IF($G351&lt;&gt;INDEX(firmadas!$E:$E,$T351),"INGRESO DISTINTO EN firmadas ("&amp;IF(INDEX(firmadas!$E:$E,$T351)="","vacía",DAY(INDEX(firmadas!$E:$E,$T351))&amp;"/"&amp;MONTH(INDEX(firmadas!$E:$E,$T351))&amp;"/"&amp;YEAR(INDEX(firmadas!$E:$E,$T351)))&amp;")","OK"))))))))</f>
        <v/>
      </c>
      <c r="T351" t="str">
        <f ca="1">IF($P351="","",IFERROR(MATCH($P351,firmadas!$N:$N,0),IFERROR(MATCH("*/"&amp;MID($P351,FIND(" ",$P351)+1,9)&amp;"*",firmadas!$B:$B,0),0)))</f>
        <v/>
      </c>
    </row>
    <row r="352" spans="6:20" ht="15" customHeight="1" x14ac:dyDescent="0.25">
      <c r="F352" s="16"/>
      <c r="M352" s="53"/>
      <c r="N352" s="53" t="str">
        <f t="shared" ca="1" si="5"/>
        <v/>
      </c>
      <c r="P352" t="str">
        <f ca="1">IF(TRIM(SUBSTITUTE(($C352&amp;" "&amp;$D352),CHAR(160)," "))="","",IFERROR(IF(ISNUMBER(SEARCH("INC",($C352&amp;" "&amp;$D352))),"INC",IF(ISNUMBER(SEARCH("OPI",($C352&amp;" "&amp;$D352))),"OPI",IF(ISNUMBER(SEARCH("DP",($C352&amp;" "&amp;$D352))),"DP","CONC")))&amp;" "&amp;TEXT(LOOKUP(9.99E+307,--MID(SUBSTITUTE(($C352&amp;" "&amp;$D352),CHAR(160)," "),SUMPRODUCT(MIN(FIND({0,1,2,3,4,5,6,7,8,9},SUBSTITUTE(($C352&amp;" "&amp;$D352),CHAR(160)," ")&amp;"0123456789"))),ROW(INDIRECT("1:6")))),"0"),"SIN NUMERO"))</f>
        <v/>
      </c>
      <c r="Q352" t="str">
        <f ca="1">IF($P352="","",IF(LEFT(UPPER($S352),9)="VERIFICAR","VERIFICAR",IF($A352="","SIN ESTADO",IF(AND($A352="Firmada",$H352=""),"FALTA FECHA DE FIRMA",IF(N($T352)=0,IF(AND(ISNUMBER($H352),$H352&gt;=DATE(2024,1,1)),"FALTA EN FIRMADAS","OK"),IF(OR($A352="Pendiente de presentación",$A352="Observado",$A352="En análisis",$A352="En instrucción",$A352="Suspendida",$A352="IT circulando",$A352="Para resolución",$A352="TDC"),"ABIERTA PERO ESTÁ EN FIRMADAS",IF($H352&lt;&gt;INDEX(firmadas!$F:$F,$T352),"FIRMA DISTINTA EN firmadas ("&amp;IF(INDEX(firmadas!$F:$F,$T352)="","vacía",DAY(INDEX(firmadas!$F:$F,$T352))&amp;"/"&amp;MONTH(INDEX(firmadas!$F:$F,$T352))&amp;"/"&amp;YEAR(INDEX(firmadas!$F:$F,$T352)))&amp;")",IF($G352&lt;&gt;INDEX(firmadas!$E:$E,$T352),"INGRESO DISTINTO EN firmadas ("&amp;IF(INDEX(firmadas!$E:$E,$T352)="","vacía",DAY(INDEX(firmadas!$E:$E,$T352))&amp;"/"&amp;MONTH(INDEX(firmadas!$E:$E,$T352))&amp;"/"&amp;YEAR(INDEX(firmadas!$E:$E,$T352)))&amp;")","OK"))))))))</f>
        <v/>
      </c>
      <c r="T352" t="str">
        <f ca="1">IF($P352="","",IFERROR(MATCH($P352,firmadas!$N:$N,0),IFERROR(MATCH("*/"&amp;MID($P352,FIND(" ",$P352)+1,9)&amp;"*",firmadas!$B:$B,0),0)))</f>
        <v/>
      </c>
    </row>
    <row r="353" spans="6:20" ht="15" customHeight="1" x14ac:dyDescent="0.25">
      <c r="F353" s="16"/>
      <c r="M353" s="53"/>
      <c r="N353" s="53" t="str">
        <f t="shared" ca="1" si="5"/>
        <v/>
      </c>
      <c r="P353" t="str">
        <f ca="1">IF(TRIM(SUBSTITUTE(($C353&amp;" "&amp;$D353),CHAR(160)," "))="","",IFERROR(IF(ISNUMBER(SEARCH("INC",($C353&amp;" "&amp;$D353))),"INC",IF(ISNUMBER(SEARCH("OPI",($C353&amp;" "&amp;$D353))),"OPI",IF(ISNUMBER(SEARCH("DP",($C353&amp;" "&amp;$D353))),"DP","CONC")))&amp;" "&amp;TEXT(LOOKUP(9.99E+307,--MID(SUBSTITUTE(($C353&amp;" "&amp;$D353),CHAR(160)," "),SUMPRODUCT(MIN(FIND({0,1,2,3,4,5,6,7,8,9},SUBSTITUTE(($C353&amp;" "&amp;$D353),CHAR(160)," ")&amp;"0123456789"))),ROW(INDIRECT("1:6")))),"0"),"SIN NUMERO"))</f>
        <v/>
      </c>
      <c r="Q353" t="str">
        <f ca="1">IF($P353="","",IF(LEFT(UPPER($S353),9)="VERIFICAR","VERIFICAR",IF($A353="","SIN ESTADO",IF(AND($A353="Firmada",$H353=""),"FALTA FECHA DE FIRMA",IF(N($T353)=0,IF(AND(ISNUMBER($H353),$H353&gt;=DATE(2024,1,1)),"FALTA EN FIRMADAS","OK"),IF(OR($A353="Pendiente de presentación",$A353="Observado",$A353="En análisis",$A353="En instrucción",$A353="Suspendida",$A353="IT circulando",$A353="Para resolución",$A353="TDC"),"ABIERTA PERO ESTÁ EN FIRMADAS",IF($H353&lt;&gt;INDEX(firmadas!$F:$F,$T353),"FIRMA DISTINTA EN firmadas ("&amp;IF(INDEX(firmadas!$F:$F,$T353)="","vacía",DAY(INDEX(firmadas!$F:$F,$T353))&amp;"/"&amp;MONTH(INDEX(firmadas!$F:$F,$T353))&amp;"/"&amp;YEAR(INDEX(firmadas!$F:$F,$T353)))&amp;")",IF($G353&lt;&gt;INDEX(firmadas!$E:$E,$T353),"INGRESO DISTINTO EN firmadas ("&amp;IF(INDEX(firmadas!$E:$E,$T353)="","vacía",DAY(INDEX(firmadas!$E:$E,$T353))&amp;"/"&amp;MONTH(INDEX(firmadas!$E:$E,$T353))&amp;"/"&amp;YEAR(INDEX(firmadas!$E:$E,$T353)))&amp;")","OK"))))))))</f>
        <v/>
      </c>
      <c r="T353" t="str">
        <f ca="1">IF($P353="","",IFERROR(MATCH($P353,firmadas!$N:$N,0),IFERROR(MATCH("*/"&amp;MID($P353,FIND(" ",$P353)+1,9)&amp;"*",firmadas!$B:$B,0),0)))</f>
        <v/>
      </c>
    </row>
    <row r="354" spans="6:20" ht="15" customHeight="1" x14ac:dyDescent="0.25">
      <c r="F354" s="16"/>
      <c r="M354" s="53"/>
      <c r="N354" s="53" t="str">
        <f t="shared" ca="1" si="5"/>
        <v/>
      </c>
      <c r="P354" t="str">
        <f ca="1">IF(TRIM(SUBSTITUTE(($C354&amp;" "&amp;$D354),CHAR(160)," "))="","",IFERROR(IF(ISNUMBER(SEARCH("INC",($C354&amp;" "&amp;$D354))),"INC",IF(ISNUMBER(SEARCH("OPI",($C354&amp;" "&amp;$D354))),"OPI",IF(ISNUMBER(SEARCH("DP",($C354&amp;" "&amp;$D354))),"DP","CONC")))&amp;" "&amp;TEXT(LOOKUP(9.99E+307,--MID(SUBSTITUTE(($C354&amp;" "&amp;$D354),CHAR(160)," "),SUMPRODUCT(MIN(FIND({0,1,2,3,4,5,6,7,8,9},SUBSTITUTE(($C354&amp;" "&amp;$D354),CHAR(160)," ")&amp;"0123456789"))),ROW(INDIRECT("1:6")))),"0"),"SIN NUMERO"))</f>
        <v/>
      </c>
      <c r="Q354" t="str">
        <f ca="1">IF($P354="","",IF(LEFT(UPPER($S354),9)="VERIFICAR","VERIFICAR",IF($A354="","SIN ESTADO",IF(AND($A354="Firmada",$H354=""),"FALTA FECHA DE FIRMA",IF(N($T354)=0,IF(AND(ISNUMBER($H354),$H354&gt;=DATE(2024,1,1)),"FALTA EN FIRMADAS","OK"),IF(OR($A354="Pendiente de presentación",$A354="Observado",$A354="En análisis",$A354="En instrucción",$A354="Suspendida",$A354="IT circulando",$A354="Para resolución",$A354="TDC"),"ABIERTA PERO ESTÁ EN FIRMADAS",IF($H354&lt;&gt;INDEX(firmadas!$F:$F,$T354),"FIRMA DISTINTA EN firmadas ("&amp;IF(INDEX(firmadas!$F:$F,$T354)="","vacía",DAY(INDEX(firmadas!$F:$F,$T354))&amp;"/"&amp;MONTH(INDEX(firmadas!$F:$F,$T354))&amp;"/"&amp;YEAR(INDEX(firmadas!$F:$F,$T354)))&amp;")",IF($G354&lt;&gt;INDEX(firmadas!$E:$E,$T354),"INGRESO DISTINTO EN firmadas ("&amp;IF(INDEX(firmadas!$E:$E,$T354)="","vacía",DAY(INDEX(firmadas!$E:$E,$T354))&amp;"/"&amp;MONTH(INDEX(firmadas!$E:$E,$T354))&amp;"/"&amp;YEAR(INDEX(firmadas!$E:$E,$T354)))&amp;")","OK"))))))))</f>
        <v/>
      </c>
      <c r="T354" t="str">
        <f ca="1">IF($P354="","",IFERROR(MATCH($P354,firmadas!$N:$N,0),IFERROR(MATCH("*/"&amp;MID($P354,FIND(" ",$P354)+1,9)&amp;"*",firmadas!$B:$B,0),0)))</f>
        <v/>
      </c>
    </row>
    <row r="355" spans="6:20" ht="15" customHeight="1" x14ac:dyDescent="0.25">
      <c r="F355" s="16"/>
      <c r="M355" s="53"/>
      <c r="N355" s="53" t="str">
        <f t="shared" ca="1" si="5"/>
        <v/>
      </c>
      <c r="P355" t="str">
        <f ca="1">IF(TRIM(SUBSTITUTE(($C355&amp;" "&amp;$D355),CHAR(160)," "))="","",IFERROR(IF(ISNUMBER(SEARCH("INC",($C355&amp;" "&amp;$D355))),"INC",IF(ISNUMBER(SEARCH("OPI",($C355&amp;" "&amp;$D355))),"OPI",IF(ISNUMBER(SEARCH("DP",($C355&amp;" "&amp;$D355))),"DP","CONC")))&amp;" "&amp;TEXT(LOOKUP(9.99E+307,--MID(SUBSTITUTE(($C355&amp;" "&amp;$D355),CHAR(160)," "),SUMPRODUCT(MIN(FIND({0,1,2,3,4,5,6,7,8,9},SUBSTITUTE(($C355&amp;" "&amp;$D355),CHAR(160)," ")&amp;"0123456789"))),ROW(INDIRECT("1:6")))),"0"),"SIN NUMERO"))</f>
        <v/>
      </c>
      <c r="Q355" t="str">
        <f ca="1">IF($P355="","",IF(LEFT(UPPER($S355),9)="VERIFICAR","VERIFICAR",IF($A355="","SIN ESTADO",IF(AND($A355="Firmada",$H355=""),"FALTA FECHA DE FIRMA",IF(N($T355)=0,IF(AND(ISNUMBER($H355),$H355&gt;=DATE(2024,1,1)),"FALTA EN FIRMADAS","OK"),IF(OR($A355="Pendiente de presentación",$A355="Observado",$A355="En análisis",$A355="En instrucción",$A355="Suspendida",$A355="IT circulando",$A355="Para resolución",$A355="TDC"),"ABIERTA PERO ESTÁ EN FIRMADAS",IF($H355&lt;&gt;INDEX(firmadas!$F:$F,$T355),"FIRMA DISTINTA EN firmadas ("&amp;IF(INDEX(firmadas!$F:$F,$T355)="","vacía",DAY(INDEX(firmadas!$F:$F,$T355))&amp;"/"&amp;MONTH(INDEX(firmadas!$F:$F,$T355))&amp;"/"&amp;YEAR(INDEX(firmadas!$F:$F,$T355)))&amp;")",IF($G355&lt;&gt;INDEX(firmadas!$E:$E,$T355),"INGRESO DISTINTO EN firmadas ("&amp;IF(INDEX(firmadas!$E:$E,$T355)="","vacía",DAY(INDEX(firmadas!$E:$E,$T355))&amp;"/"&amp;MONTH(INDEX(firmadas!$E:$E,$T355))&amp;"/"&amp;YEAR(INDEX(firmadas!$E:$E,$T355)))&amp;")","OK"))))))))</f>
        <v/>
      </c>
      <c r="T355" t="str">
        <f ca="1">IF($P355="","",IFERROR(MATCH($P355,firmadas!$N:$N,0),IFERROR(MATCH("*/"&amp;MID($P355,FIND(" ",$P355)+1,9)&amp;"*",firmadas!$B:$B,0),0)))</f>
        <v/>
      </c>
    </row>
    <row r="356" spans="6:20" ht="15" customHeight="1" x14ac:dyDescent="0.25">
      <c r="F356" s="16"/>
      <c r="M356" s="53"/>
      <c r="N356" s="53" t="str">
        <f t="shared" ca="1" si="5"/>
        <v/>
      </c>
      <c r="P356" t="str">
        <f ca="1">IF(TRIM(SUBSTITUTE(($C356&amp;" "&amp;$D356),CHAR(160)," "))="","",IFERROR(IF(ISNUMBER(SEARCH("INC",($C356&amp;" "&amp;$D356))),"INC",IF(ISNUMBER(SEARCH("OPI",($C356&amp;" "&amp;$D356))),"OPI",IF(ISNUMBER(SEARCH("DP",($C356&amp;" "&amp;$D356))),"DP","CONC")))&amp;" "&amp;TEXT(LOOKUP(9.99E+307,--MID(SUBSTITUTE(($C356&amp;" "&amp;$D356),CHAR(160)," "),SUMPRODUCT(MIN(FIND({0,1,2,3,4,5,6,7,8,9},SUBSTITUTE(($C356&amp;" "&amp;$D356),CHAR(160)," ")&amp;"0123456789"))),ROW(INDIRECT("1:6")))),"0"),"SIN NUMERO"))</f>
        <v/>
      </c>
      <c r="Q356" t="str">
        <f ca="1">IF($P356="","",IF(LEFT(UPPER($S356),9)="VERIFICAR","VERIFICAR",IF($A356="","SIN ESTADO",IF(AND($A356="Firmada",$H356=""),"FALTA FECHA DE FIRMA",IF(N($T356)=0,IF(AND(ISNUMBER($H356),$H356&gt;=DATE(2024,1,1)),"FALTA EN FIRMADAS","OK"),IF(OR($A356="Pendiente de presentación",$A356="Observado",$A356="En análisis",$A356="En instrucción",$A356="Suspendida",$A356="IT circulando",$A356="Para resolución",$A356="TDC"),"ABIERTA PERO ESTÁ EN FIRMADAS",IF($H356&lt;&gt;INDEX(firmadas!$F:$F,$T356),"FIRMA DISTINTA EN firmadas ("&amp;IF(INDEX(firmadas!$F:$F,$T356)="","vacía",DAY(INDEX(firmadas!$F:$F,$T356))&amp;"/"&amp;MONTH(INDEX(firmadas!$F:$F,$T356))&amp;"/"&amp;YEAR(INDEX(firmadas!$F:$F,$T356)))&amp;")",IF($G356&lt;&gt;INDEX(firmadas!$E:$E,$T356),"INGRESO DISTINTO EN firmadas ("&amp;IF(INDEX(firmadas!$E:$E,$T356)="","vacía",DAY(INDEX(firmadas!$E:$E,$T356))&amp;"/"&amp;MONTH(INDEX(firmadas!$E:$E,$T356))&amp;"/"&amp;YEAR(INDEX(firmadas!$E:$E,$T356)))&amp;")","OK"))))))))</f>
        <v/>
      </c>
      <c r="T356" t="str">
        <f ca="1">IF($P356="","",IFERROR(MATCH($P356,firmadas!$N:$N,0),IFERROR(MATCH("*/"&amp;MID($P356,FIND(" ",$P356)+1,9)&amp;"*",firmadas!$B:$B,0),0)))</f>
        <v/>
      </c>
    </row>
    <row r="357" spans="6:20" ht="15" customHeight="1" x14ac:dyDescent="0.25">
      <c r="F357" s="16"/>
      <c r="M357" s="53"/>
      <c r="N357" s="53" t="str">
        <f t="shared" ca="1" si="5"/>
        <v/>
      </c>
      <c r="P357" t="str">
        <f ca="1">IF(TRIM(SUBSTITUTE(($C357&amp;" "&amp;$D357),CHAR(160)," "))="","",IFERROR(IF(ISNUMBER(SEARCH("INC",($C357&amp;" "&amp;$D357))),"INC",IF(ISNUMBER(SEARCH("OPI",($C357&amp;" "&amp;$D357))),"OPI",IF(ISNUMBER(SEARCH("DP",($C357&amp;" "&amp;$D357))),"DP","CONC")))&amp;" "&amp;TEXT(LOOKUP(9.99E+307,--MID(SUBSTITUTE(($C357&amp;" "&amp;$D357),CHAR(160)," "),SUMPRODUCT(MIN(FIND({0,1,2,3,4,5,6,7,8,9},SUBSTITUTE(($C357&amp;" "&amp;$D357),CHAR(160)," ")&amp;"0123456789"))),ROW(INDIRECT("1:6")))),"0"),"SIN NUMERO"))</f>
        <v/>
      </c>
      <c r="Q357" t="str">
        <f ca="1">IF($P357="","",IF(LEFT(UPPER($S357),9)="VERIFICAR","VERIFICAR",IF($A357="","SIN ESTADO",IF(AND($A357="Firmada",$H357=""),"FALTA FECHA DE FIRMA",IF(N($T357)=0,IF(AND(ISNUMBER($H357),$H357&gt;=DATE(2024,1,1)),"FALTA EN FIRMADAS","OK"),IF(OR($A357="Pendiente de presentación",$A357="Observado",$A357="En análisis",$A357="En instrucción",$A357="Suspendida",$A357="IT circulando",$A357="Para resolución",$A357="TDC"),"ABIERTA PERO ESTÁ EN FIRMADAS",IF($H357&lt;&gt;INDEX(firmadas!$F:$F,$T357),"FIRMA DISTINTA EN firmadas ("&amp;IF(INDEX(firmadas!$F:$F,$T357)="","vacía",DAY(INDEX(firmadas!$F:$F,$T357))&amp;"/"&amp;MONTH(INDEX(firmadas!$F:$F,$T357))&amp;"/"&amp;YEAR(INDEX(firmadas!$F:$F,$T357)))&amp;")",IF($G357&lt;&gt;INDEX(firmadas!$E:$E,$T357),"INGRESO DISTINTO EN firmadas ("&amp;IF(INDEX(firmadas!$E:$E,$T357)="","vacía",DAY(INDEX(firmadas!$E:$E,$T357))&amp;"/"&amp;MONTH(INDEX(firmadas!$E:$E,$T357))&amp;"/"&amp;YEAR(INDEX(firmadas!$E:$E,$T357)))&amp;")","OK"))))))))</f>
        <v/>
      </c>
      <c r="T357" t="str">
        <f ca="1">IF($P357="","",IFERROR(MATCH($P357,firmadas!$N:$N,0),IFERROR(MATCH("*/"&amp;MID($P357,FIND(" ",$P357)+1,9)&amp;"*",firmadas!$B:$B,0),0)))</f>
        <v/>
      </c>
    </row>
    <row r="358" spans="6:20" ht="15" customHeight="1" x14ac:dyDescent="0.25">
      <c r="F358" s="16"/>
      <c r="M358" s="53"/>
      <c r="N358" s="53" t="str">
        <f t="shared" ca="1" si="5"/>
        <v/>
      </c>
      <c r="P358" t="str">
        <f ca="1">IF(TRIM(SUBSTITUTE(($C358&amp;" "&amp;$D358),CHAR(160)," "))="","",IFERROR(IF(ISNUMBER(SEARCH("INC",($C358&amp;" "&amp;$D358))),"INC",IF(ISNUMBER(SEARCH("OPI",($C358&amp;" "&amp;$D358))),"OPI",IF(ISNUMBER(SEARCH("DP",($C358&amp;" "&amp;$D358))),"DP","CONC")))&amp;" "&amp;TEXT(LOOKUP(9.99E+307,--MID(SUBSTITUTE(($C358&amp;" "&amp;$D358),CHAR(160)," "),SUMPRODUCT(MIN(FIND({0,1,2,3,4,5,6,7,8,9},SUBSTITUTE(($C358&amp;" "&amp;$D358),CHAR(160)," ")&amp;"0123456789"))),ROW(INDIRECT("1:6")))),"0"),"SIN NUMERO"))</f>
        <v/>
      </c>
      <c r="Q358" t="str">
        <f ca="1">IF($P358="","",IF(LEFT(UPPER($S358),9)="VERIFICAR","VERIFICAR",IF($A358="","SIN ESTADO",IF(AND($A358="Firmada",$H358=""),"FALTA FECHA DE FIRMA",IF(N($T358)=0,IF(AND(ISNUMBER($H358),$H358&gt;=DATE(2024,1,1)),"FALTA EN FIRMADAS","OK"),IF(OR($A358="Pendiente de presentación",$A358="Observado",$A358="En análisis",$A358="En instrucción",$A358="Suspendida",$A358="IT circulando",$A358="Para resolución",$A358="TDC"),"ABIERTA PERO ESTÁ EN FIRMADAS",IF($H358&lt;&gt;INDEX(firmadas!$F:$F,$T358),"FIRMA DISTINTA EN firmadas ("&amp;IF(INDEX(firmadas!$F:$F,$T358)="","vacía",DAY(INDEX(firmadas!$F:$F,$T358))&amp;"/"&amp;MONTH(INDEX(firmadas!$F:$F,$T358))&amp;"/"&amp;YEAR(INDEX(firmadas!$F:$F,$T358)))&amp;")",IF($G358&lt;&gt;INDEX(firmadas!$E:$E,$T358),"INGRESO DISTINTO EN firmadas ("&amp;IF(INDEX(firmadas!$E:$E,$T358)="","vacía",DAY(INDEX(firmadas!$E:$E,$T358))&amp;"/"&amp;MONTH(INDEX(firmadas!$E:$E,$T358))&amp;"/"&amp;YEAR(INDEX(firmadas!$E:$E,$T358)))&amp;")","OK"))))))))</f>
        <v/>
      </c>
      <c r="T358" t="str">
        <f ca="1">IF($P358="","",IFERROR(MATCH($P358,firmadas!$N:$N,0),IFERROR(MATCH("*/"&amp;MID($P358,FIND(" ",$P358)+1,9)&amp;"*",firmadas!$B:$B,0),0)))</f>
        <v/>
      </c>
    </row>
    <row r="359" spans="6:20" ht="15" customHeight="1" x14ac:dyDescent="0.25">
      <c r="F359" s="16"/>
      <c r="M359" s="53"/>
      <c r="N359" s="53" t="str">
        <f t="shared" ca="1" si="5"/>
        <v/>
      </c>
      <c r="P359" t="str">
        <f ca="1">IF(TRIM(SUBSTITUTE(($C359&amp;" "&amp;$D359),CHAR(160)," "))="","",IFERROR(IF(ISNUMBER(SEARCH("INC",($C359&amp;" "&amp;$D359))),"INC",IF(ISNUMBER(SEARCH("OPI",($C359&amp;" "&amp;$D359))),"OPI",IF(ISNUMBER(SEARCH("DP",($C359&amp;" "&amp;$D359))),"DP","CONC")))&amp;" "&amp;TEXT(LOOKUP(9.99E+307,--MID(SUBSTITUTE(($C359&amp;" "&amp;$D359),CHAR(160)," "),SUMPRODUCT(MIN(FIND({0,1,2,3,4,5,6,7,8,9},SUBSTITUTE(($C359&amp;" "&amp;$D359),CHAR(160)," ")&amp;"0123456789"))),ROW(INDIRECT("1:6")))),"0"),"SIN NUMERO"))</f>
        <v/>
      </c>
      <c r="Q359" t="str">
        <f ca="1">IF($P359="","",IF(LEFT(UPPER($S359),9)="VERIFICAR","VERIFICAR",IF($A359="","SIN ESTADO",IF(AND($A359="Firmada",$H359=""),"FALTA FECHA DE FIRMA",IF(N($T359)=0,IF(AND(ISNUMBER($H359),$H359&gt;=DATE(2024,1,1)),"FALTA EN FIRMADAS","OK"),IF(OR($A359="Pendiente de presentación",$A359="Observado",$A359="En análisis",$A359="En instrucción",$A359="Suspendida",$A359="IT circulando",$A359="Para resolución",$A359="TDC"),"ABIERTA PERO ESTÁ EN FIRMADAS",IF($H359&lt;&gt;INDEX(firmadas!$F:$F,$T359),"FIRMA DISTINTA EN firmadas ("&amp;IF(INDEX(firmadas!$F:$F,$T359)="","vacía",DAY(INDEX(firmadas!$F:$F,$T359))&amp;"/"&amp;MONTH(INDEX(firmadas!$F:$F,$T359))&amp;"/"&amp;YEAR(INDEX(firmadas!$F:$F,$T359)))&amp;")",IF($G359&lt;&gt;INDEX(firmadas!$E:$E,$T359),"INGRESO DISTINTO EN firmadas ("&amp;IF(INDEX(firmadas!$E:$E,$T359)="","vacía",DAY(INDEX(firmadas!$E:$E,$T359))&amp;"/"&amp;MONTH(INDEX(firmadas!$E:$E,$T359))&amp;"/"&amp;YEAR(INDEX(firmadas!$E:$E,$T359)))&amp;")","OK"))))))))</f>
        <v/>
      </c>
      <c r="T359" t="str">
        <f ca="1">IF($P359="","",IFERROR(MATCH($P359,firmadas!$N:$N,0),IFERROR(MATCH("*/"&amp;MID($P359,FIND(" ",$P359)+1,9)&amp;"*",firmadas!$B:$B,0),0)))</f>
        <v/>
      </c>
    </row>
    <row r="360" spans="6:20" ht="15" customHeight="1" x14ac:dyDescent="0.25">
      <c r="F360" s="16"/>
      <c r="M360" s="53"/>
      <c r="N360" s="53" t="str">
        <f t="shared" ca="1" si="5"/>
        <v/>
      </c>
      <c r="P360" t="str">
        <f ca="1">IF(TRIM(SUBSTITUTE(($C360&amp;" "&amp;$D360),CHAR(160)," "))="","",IFERROR(IF(ISNUMBER(SEARCH("INC",($C360&amp;" "&amp;$D360))),"INC",IF(ISNUMBER(SEARCH("OPI",($C360&amp;" "&amp;$D360))),"OPI",IF(ISNUMBER(SEARCH("DP",($C360&amp;" "&amp;$D360))),"DP","CONC")))&amp;" "&amp;TEXT(LOOKUP(9.99E+307,--MID(SUBSTITUTE(($C360&amp;" "&amp;$D360),CHAR(160)," "),SUMPRODUCT(MIN(FIND({0,1,2,3,4,5,6,7,8,9},SUBSTITUTE(($C360&amp;" "&amp;$D360),CHAR(160)," ")&amp;"0123456789"))),ROW(INDIRECT("1:6")))),"0"),"SIN NUMERO"))</f>
        <v/>
      </c>
      <c r="Q360" t="str">
        <f ca="1">IF($P360="","",IF(LEFT(UPPER($S360),9)="VERIFICAR","VERIFICAR",IF($A360="","SIN ESTADO",IF(AND($A360="Firmada",$H360=""),"FALTA FECHA DE FIRMA",IF(N($T360)=0,IF(AND(ISNUMBER($H360),$H360&gt;=DATE(2024,1,1)),"FALTA EN FIRMADAS","OK"),IF(OR($A360="Pendiente de presentación",$A360="Observado",$A360="En análisis",$A360="En instrucción",$A360="Suspendida",$A360="IT circulando",$A360="Para resolución",$A360="TDC"),"ABIERTA PERO ESTÁ EN FIRMADAS",IF($H360&lt;&gt;INDEX(firmadas!$F:$F,$T360),"FIRMA DISTINTA EN firmadas ("&amp;IF(INDEX(firmadas!$F:$F,$T360)="","vacía",DAY(INDEX(firmadas!$F:$F,$T360))&amp;"/"&amp;MONTH(INDEX(firmadas!$F:$F,$T360))&amp;"/"&amp;YEAR(INDEX(firmadas!$F:$F,$T360)))&amp;")",IF($G360&lt;&gt;INDEX(firmadas!$E:$E,$T360),"INGRESO DISTINTO EN firmadas ("&amp;IF(INDEX(firmadas!$E:$E,$T360)="","vacía",DAY(INDEX(firmadas!$E:$E,$T360))&amp;"/"&amp;MONTH(INDEX(firmadas!$E:$E,$T360))&amp;"/"&amp;YEAR(INDEX(firmadas!$E:$E,$T360)))&amp;")","OK"))))))))</f>
        <v/>
      </c>
      <c r="T360" t="str">
        <f ca="1">IF($P360="","",IFERROR(MATCH($P360,firmadas!$N:$N,0),IFERROR(MATCH("*/"&amp;MID($P360,FIND(" ",$P360)+1,9)&amp;"*",firmadas!$B:$B,0),0)))</f>
        <v/>
      </c>
    </row>
    <row r="361" spans="6:20" ht="15" customHeight="1" x14ac:dyDescent="0.25">
      <c r="F361" s="16"/>
      <c r="M361" s="53"/>
      <c r="N361" s="53" t="str">
        <f t="shared" ca="1" si="5"/>
        <v/>
      </c>
      <c r="P361" t="str">
        <f ca="1">IF(TRIM(SUBSTITUTE(($C361&amp;" "&amp;$D361),CHAR(160)," "))="","",IFERROR(IF(ISNUMBER(SEARCH("INC",($C361&amp;" "&amp;$D361))),"INC",IF(ISNUMBER(SEARCH("OPI",($C361&amp;" "&amp;$D361))),"OPI",IF(ISNUMBER(SEARCH("DP",($C361&amp;" "&amp;$D361))),"DP","CONC")))&amp;" "&amp;TEXT(LOOKUP(9.99E+307,--MID(SUBSTITUTE(($C361&amp;" "&amp;$D361),CHAR(160)," "),SUMPRODUCT(MIN(FIND({0,1,2,3,4,5,6,7,8,9},SUBSTITUTE(($C361&amp;" "&amp;$D361),CHAR(160)," ")&amp;"0123456789"))),ROW(INDIRECT("1:6")))),"0"),"SIN NUMERO"))</f>
        <v/>
      </c>
      <c r="Q361" t="str">
        <f ca="1">IF($P361="","",IF(LEFT(UPPER($S361),9)="VERIFICAR","VERIFICAR",IF($A361="","SIN ESTADO",IF(AND($A361="Firmada",$H361=""),"FALTA FECHA DE FIRMA",IF(N($T361)=0,IF(AND(ISNUMBER($H361),$H361&gt;=DATE(2024,1,1)),"FALTA EN FIRMADAS","OK"),IF(OR($A361="Pendiente de presentación",$A361="Observado",$A361="En análisis",$A361="En instrucción",$A361="Suspendida",$A361="IT circulando",$A361="Para resolución",$A361="TDC"),"ABIERTA PERO ESTÁ EN FIRMADAS",IF($H361&lt;&gt;INDEX(firmadas!$F:$F,$T361),"FIRMA DISTINTA EN firmadas ("&amp;IF(INDEX(firmadas!$F:$F,$T361)="","vacía",DAY(INDEX(firmadas!$F:$F,$T361))&amp;"/"&amp;MONTH(INDEX(firmadas!$F:$F,$T361))&amp;"/"&amp;YEAR(INDEX(firmadas!$F:$F,$T361)))&amp;")",IF($G361&lt;&gt;INDEX(firmadas!$E:$E,$T361),"INGRESO DISTINTO EN firmadas ("&amp;IF(INDEX(firmadas!$E:$E,$T361)="","vacía",DAY(INDEX(firmadas!$E:$E,$T361))&amp;"/"&amp;MONTH(INDEX(firmadas!$E:$E,$T361))&amp;"/"&amp;YEAR(INDEX(firmadas!$E:$E,$T361)))&amp;")","OK"))))))))</f>
        <v/>
      </c>
      <c r="T361" t="str">
        <f ca="1">IF($P361="","",IFERROR(MATCH($P361,firmadas!$N:$N,0),IFERROR(MATCH("*/"&amp;MID($P361,FIND(" ",$P361)+1,9)&amp;"*",firmadas!$B:$B,0),0)))</f>
        <v/>
      </c>
    </row>
    <row r="362" spans="6:20" ht="15" customHeight="1" x14ac:dyDescent="0.25">
      <c r="F362" s="16"/>
      <c r="M362" s="53"/>
      <c r="N362" s="53" t="str">
        <f t="shared" ca="1" si="5"/>
        <v/>
      </c>
      <c r="P362" t="str">
        <f ca="1">IF(TRIM(SUBSTITUTE(($C362&amp;" "&amp;$D362),CHAR(160)," "))="","",IFERROR(IF(ISNUMBER(SEARCH("INC",($C362&amp;" "&amp;$D362))),"INC",IF(ISNUMBER(SEARCH("OPI",($C362&amp;" "&amp;$D362))),"OPI",IF(ISNUMBER(SEARCH("DP",($C362&amp;" "&amp;$D362))),"DP","CONC")))&amp;" "&amp;TEXT(LOOKUP(9.99E+307,--MID(SUBSTITUTE(($C362&amp;" "&amp;$D362),CHAR(160)," "),SUMPRODUCT(MIN(FIND({0,1,2,3,4,5,6,7,8,9},SUBSTITUTE(($C362&amp;" "&amp;$D362),CHAR(160)," ")&amp;"0123456789"))),ROW(INDIRECT("1:6")))),"0"),"SIN NUMERO"))</f>
        <v/>
      </c>
      <c r="Q362" t="str">
        <f ca="1">IF($P362="","",IF(LEFT(UPPER($S362),9)="VERIFICAR","VERIFICAR",IF($A362="","SIN ESTADO",IF(AND($A362="Firmada",$H362=""),"FALTA FECHA DE FIRMA",IF(N($T362)=0,IF(AND(ISNUMBER($H362),$H362&gt;=DATE(2024,1,1)),"FALTA EN FIRMADAS","OK"),IF(OR($A362="Pendiente de presentación",$A362="Observado",$A362="En análisis",$A362="En instrucción",$A362="Suspendida",$A362="IT circulando",$A362="Para resolución",$A362="TDC"),"ABIERTA PERO ESTÁ EN FIRMADAS",IF($H362&lt;&gt;INDEX(firmadas!$F:$F,$T362),"FIRMA DISTINTA EN firmadas ("&amp;IF(INDEX(firmadas!$F:$F,$T362)="","vacía",DAY(INDEX(firmadas!$F:$F,$T362))&amp;"/"&amp;MONTH(INDEX(firmadas!$F:$F,$T362))&amp;"/"&amp;YEAR(INDEX(firmadas!$F:$F,$T362)))&amp;")",IF($G362&lt;&gt;INDEX(firmadas!$E:$E,$T362),"INGRESO DISTINTO EN firmadas ("&amp;IF(INDEX(firmadas!$E:$E,$T362)="","vacía",DAY(INDEX(firmadas!$E:$E,$T362))&amp;"/"&amp;MONTH(INDEX(firmadas!$E:$E,$T362))&amp;"/"&amp;YEAR(INDEX(firmadas!$E:$E,$T362)))&amp;")","OK"))))))))</f>
        <v/>
      </c>
      <c r="T362" t="str">
        <f ca="1">IF($P362="","",IFERROR(MATCH($P362,firmadas!$N:$N,0),IFERROR(MATCH("*/"&amp;MID($P362,FIND(" ",$P362)+1,9)&amp;"*",firmadas!$B:$B,0),0)))</f>
        <v/>
      </c>
    </row>
    <row r="363" spans="6:20" ht="15" customHeight="1" x14ac:dyDescent="0.25">
      <c r="F363" s="16"/>
      <c r="M363" s="53"/>
      <c r="N363" s="53" t="str">
        <f t="shared" ca="1" si="5"/>
        <v/>
      </c>
      <c r="P363" t="str">
        <f ca="1">IF(TRIM(SUBSTITUTE(($C363&amp;" "&amp;$D363),CHAR(160)," "))="","",IFERROR(IF(ISNUMBER(SEARCH("INC",($C363&amp;" "&amp;$D363))),"INC",IF(ISNUMBER(SEARCH("OPI",($C363&amp;" "&amp;$D363))),"OPI",IF(ISNUMBER(SEARCH("DP",($C363&amp;" "&amp;$D363))),"DP","CONC")))&amp;" "&amp;TEXT(LOOKUP(9.99E+307,--MID(SUBSTITUTE(($C363&amp;" "&amp;$D363),CHAR(160)," "),SUMPRODUCT(MIN(FIND({0,1,2,3,4,5,6,7,8,9},SUBSTITUTE(($C363&amp;" "&amp;$D363),CHAR(160)," ")&amp;"0123456789"))),ROW(INDIRECT("1:6")))),"0"),"SIN NUMERO"))</f>
        <v/>
      </c>
      <c r="Q363" t="str">
        <f ca="1">IF($P363="","",IF(LEFT(UPPER($S363),9)="VERIFICAR","VERIFICAR",IF($A363="","SIN ESTADO",IF(AND($A363="Firmada",$H363=""),"FALTA FECHA DE FIRMA",IF(N($T363)=0,IF(AND(ISNUMBER($H363),$H363&gt;=DATE(2024,1,1)),"FALTA EN FIRMADAS","OK"),IF(OR($A363="Pendiente de presentación",$A363="Observado",$A363="En análisis",$A363="En instrucción",$A363="Suspendida",$A363="IT circulando",$A363="Para resolución",$A363="TDC"),"ABIERTA PERO ESTÁ EN FIRMADAS",IF($H363&lt;&gt;INDEX(firmadas!$F:$F,$T363),"FIRMA DISTINTA EN firmadas ("&amp;IF(INDEX(firmadas!$F:$F,$T363)="","vacía",DAY(INDEX(firmadas!$F:$F,$T363))&amp;"/"&amp;MONTH(INDEX(firmadas!$F:$F,$T363))&amp;"/"&amp;YEAR(INDEX(firmadas!$F:$F,$T363)))&amp;")",IF($G363&lt;&gt;INDEX(firmadas!$E:$E,$T363),"INGRESO DISTINTO EN firmadas ("&amp;IF(INDEX(firmadas!$E:$E,$T363)="","vacía",DAY(INDEX(firmadas!$E:$E,$T363))&amp;"/"&amp;MONTH(INDEX(firmadas!$E:$E,$T363))&amp;"/"&amp;YEAR(INDEX(firmadas!$E:$E,$T363)))&amp;")","OK"))))))))</f>
        <v/>
      </c>
      <c r="T363" t="str">
        <f ca="1">IF($P363="","",IFERROR(MATCH($P363,firmadas!$N:$N,0),IFERROR(MATCH("*/"&amp;MID($P363,FIND(" ",$P363)+1,9)&amp;"*",firmadas!$B:$B,0),0)))</f>
        <v/>
      </c>
    </row>
    <row r="364" spans="6:20" ht="15" customHeight="1" x14ac:dyDescent="0.25">
      <c r="F364" s="16"/>
      <c r="M364" s="53"/>
      <c r="N364" s="53" t="str">
        <f t="shared" ca="1" si="5"/>
        <v/>
      </c>
      <c r="P364" t="str">
        <f ca="1">IF(TRIM(SUBSTITUTE(($C364&amp;" "&amp;$D364),CHAR(160)," "))="","",IFERROR(IF(ISNUMBER(SEARCH("INC",($C364&amp;" "&amp;$D364))),"INC",IF(ISNUMBER(SEARCH("OPI",($C364&amp;" "&amp;$D364))),"OPI",IF(ISNUMBER(SEARCH("DP",($C364&amp;" "&amp;$D364))),"DP","CONC")))&amp;" "&amp;TEXT(LOOKUP(9.99E+307,--MID(SUBSTITUTE(($C364&amp;" "&amp;$D364),CHAR(160)," "),SUMPRODUCT(MIN(FIND({0,1,2,3,4,5,6,7,8,9},SUBSTITUTE(($C364&amp;" "&amp;$D364),CHAR(160)," ")&amp;"0123456789"))),ROW(INDIRECT("1:6")))),"0"),"SIN NUMERO"))</f>
        <v/>
      </c>
      <c r="Q364" t="str">
        <f ca="1">IF($P364="","",IF(LEFT(UPPER($S364),9)="VERIFICAR","VERIFICAR",IF($A364="","SIN ESTADO",IF(AND($A364="Firmada",$H364=""),"FALTA FECHA DE FIRMA",IF(N($T364)=0,IF(AND(ISNUMBER($H364),$H364&gt;=DATE(2024,1,1)),"FALTA EN FIRMADAS","OK"),IF(OR($A364="Pendiente de presentación",$A364="Observado",$A364="En análisis",$A364="En instrucción",$A364="Suspendida",$A364="IT circulando",$A364="Para resolución",$A364="TDC"),"ABIERTA PERO ESTÁ EN FIRMADAS",IF($H364&lt;&gt;INDEX(firmadas!$F:$F,$T364),"FIRMA DISTINTA EN firmadas ("&amp;IF(INDEX(firmadas!$F:$F,$T364)="","vacía",DAY(INDEX(firmadas!$F:$F,$T364))&amp;"/"&amp;MONTH(INDEX(firmadas!$F:$F,$T364))&amp;"/"&amp;YEAR(INDEX(firmadas!$F:$F,$T364)))&amp;")",IF($G364&lt;&gt;INDEX(firmadas!$E:$E,$T364),"INGRESO DISTINTO EN firmadas ("&amp;IF(INDEX(firmadas!$E:$E,$T364)="","vacía",DAY(INDEX(firmadas!$E:$E,$T364))&amp;"/"&amp;MONTH(INDEX(firmadas!$E:$E,$T364))&amp;"/"&amp;YEAR(INDEX(firmadas!$E:$E,$T364)))&amp;")","OK"))))))))</f>
        <v/>
      </c>
      <c r="T364" t="str">
        <f ca="1">IF($P364="","",IFERROR(MATCH($P364,firmadas!$N:$N,0),IFERROR(MATCH("*/"&amp;MID($P364,FIND(" ",$P364)+1,9)&amp;"*",firmadas!$B:$B,0),0)))</f>
        <v/>
      </c>
    </row>
    <row r="365" spans="6:20" ht="15" customHeight="1" x14ac:dyDescent="0.25">
      <c r="F365" s="16"/>
      <c r="M365" s="53"/>
      <c r="N365" s="53" t="str">
        <f t="shared" ca="1" si="5"/>
        <v/>
      </c>
      <c r="P365" t="str">
        <f ca="1">IF(TRIM(SUBSTITUTE(($C365&amp;" "&amp;$D365),CHAR(160)," "))="","",IFERROR(IF(ISNUMBER(SEARCH("INC",($C365&amp;" "&amp;$D365))),"INC",IF(ISNUMBER(SEARCH("OPI",($C365&amp;" "&amp;$D365))),"OPI",IF(ISNUMBER(SEARCH("DP",($C365&amp;" "&amp;$D365))),"DP","CONC")))&amp;" "&amp;TEXT(LOOKUP(9.99E+307,--MID(SUBSTITUTE(($C365&amp;" "&amp;$D365),CHAR(160)," "),SUMPRODUCT(MIN(FIND({0,1,2,3,4,5,6,7,8,9},SUBSTITUTE(($C365&amp;" "&amp;$D365),CHAR(160)," ")&amp;"0123456789"))),ROW(INDIRECT("1:6")))),"0"),"SIN NUMERO"))</f>
        <v/>
      </c>
      <c r="Q365" t="str">
        <f ca="1">IF($P365="","",IF(LEFT(UPPER($S365),9)="VERIFICAR","VERIFICAR",IF($A365="","SIN ESTADO",IF(AND($A365="Firmada",$H365=""),"FALTA FECHA DE FIRMA",IF(N($T365)=0,IF(AND(ISNUMBER($H365),$H365&gt;=DATE(2024,1,1)),"FALTA EN FIRMADAS","OK"),IF(OR($A365="Pendiente de presentación",$A365="Observado",$A365="En análisis",$A365="En instrucción",$A365="Suspendida",$A365="IT circulando",$A365="Para resolución",$A365="TDC"),"ABIERTA PERO ESTÁ EN FIRMADAS",IF($H365&lt;&gt;INDEX(firmadas!$F:$F,$T365),"FIRMA DISTINTA EN firmadas ("&amp;IF(INDEX(firmadas!$F:$F,$T365)="","vacía",DAY(INDEX(firmadas!$F:$F,$T365))&amp;"/"&amp;MONTH(INDEX(firmadas!$F:$F,$T365))&amp;"/"&amp;YEAR(INDEX(firmadas!$F:$F,$T365)))&amp;")",IF($G365&lt;&gt;INDEX(firmadas!$E:$E,$T365),"INGRESO DISTINTO EN firmadas ("&amp;IF(INDEX(firmadas!$E:$E,$T365)="","vacía",DAY(INDEX(firmadas!$E:$E,$T365))&amp;"/"&amp;MONTH(INDEX(firmadas!$E:$E,$T365))&amp;"/"&amp;YEAR(INDEX(firmadas!$E:$E,$T365)))&amp;")","OK"))))))))</f>
        <v/>
      </c>
      <c r="T365" t="str">
        <f ca="1">IF($P365="","",IFERROR(MATCH($P365,firmadas!$N:$N,0),IFERROR(MATCH("*/"&amp;MID($P365,FIND(" ",$P365)+1,9)&amp;"*",firmadas!$B:$B,0),0)))</f>
        <v/>
      </c>
    </row>
    <row r="366" spans="6:20" ht="15" customHeight="1" x14ac:dyDescent="0.25">
      <c r="F366" s="16"/>
      <c r="M366" s="53"/>
      <c r="N366" s="53" t="str">
        <f t="shared" ca="1" si="5"/>
        <v/>
      </c>
      <c r="P366" t="str">
        <f ca="1">IF(TRIM(SUBSTITUTE(($C366&amp;" "&amp;$D366),CHAR(160)," "))="","",IFERROR(IF(ISNUMBER(SEARCH("INC",($C366&amp;" "&amp;$D366))),"INC",IF(ISNUMBER(SEARCH("OPI",($C366&amp;" "&amp;$D366))),"OPI",IF(ISNUMBER(SEARCH("DP",($C366&amp;" "&amp;$D366))),"DP","CONC")))&amp;" "&amp;TEXT(LOOKUP(9.99E+307,--MID(SUBSTITUTE(($C366&amp;" "&amp;$D366),CHAR(160)," "),SUMPRODUCT(MIN(FIND({0,1,2,3,4,5,6,7,8,9},SUBSTITUTE(($C366&amp;" "&amp;$D366),CHAR(160)," ")&amp;"0123456789"))),ROW(INDIRECT("1:6")))),"0"),"SIN NUMERO"))</f>
        <v/>
      </c>
      <c r="Q366" t="str">
        <f ca="1">IF($P366="","",IF(LEFT(UPPER($S366),9)="VERIFICAR","VERIFICAR",IF($A366="","SIN ESTADO",IF(AND($A366="Firmada",$H366=""),"FALTA FECHA DE FIRMA",IF(N($T366)=0,IF(AND(ISNUMBER($H366),$H366&gt;=DATE(2024,1,1)),"FALTA EN FIRMADAS","OK"),IF(OR($A366="Pendiente de presentación",$A366="Observado",$A366="En análisis",$A366="En instrucción",$A366="Suspendida",$A366="IT circulando",$A366="Para resolución",$A366="TDC"),"ABIERTA PERO ESTÁ EN FIRMADAS",IF($H366&lt;&gt;INDEX(firmadas!$F:$F,$T366),"FIRMA DISTINTA EN firmadas ("&amp;IF(INDEX(firmadas!$F:$F,$T366)="","vacía",DAY(INDEX(firmadas!$F:$F,$T366))&amp;"/"&amp;MONTH(INDEX(firmadas!$F:$F,$T366))&amp;"/"&amp;YEAR(INDEX(firmadas!$F:$F,$T366)))&amp;")",IF($G366&lt;&gt;INDEX(firmadas!$E:$E,$T366),"INGRESO DISTINTO EN firmadas ("&amp;IF(INDEX(firmadas!$E:$E,$T366)="","vacía",DAY(INDEX(firmadas!$E:$E,$T366))&amp;"/"&amp;MONTH(INDEX(firmadas!$E:$E,$T366))&amp;"/"&amp;YEAR(INDEX(firmadas!$E:$E,$T366)))&amp;")","OK"))))))))</f>
        <v/>
      </c>
      <c r="T366" t="str">
        <f ca="1">IF($P366="","",IFERROR(MATCH($P366,firmadas!$N:$N,0),IFERROR(MATCH("*/"&amp;MID($P366,FIND(" ",$P366)+1,9)&amp;"*",firmadas!$B:$B,0),0)))</f>
        <v/>
      </c>
    </row>
    <row r="367" spans="6:20" ht="15" customHeight="1" x14ac:dyDescent="0.25">
      <c r="F367" s="16"/>
      <c r="M367" s="53"/>
      <c r="N367" s="53" t="str">
        <f t="shared" ca="1" si="5"/>
        <v/>
      </c>
      <c r="P367" t="str">
        <f ca="1">IF(TRIM(SUBSTITUTE(($C367&amp;" "&amp;$D367),CHAR(160)," "))="","",IFERROR(IF(ISNUMBER(SEARCH("INC",($C367&amp;" "&amp;$D367))),"INC",IF(ISNUMBER(SEARCH("OPI",($C367&amp;" "&amp;$D367))),"OPI",IF(ISNUMBER(SEARCH("DP",($C367&amp;" "&amp;$D367))),"DP","CONC")))&amp;" "&amp;TEXT(LOOKUP(9.99E+307,--MID(SUBSTITUTE(($C367&amp;" "&amp;$D367),CHAR(160)," "),SUMPRODUCT(MIN(FIND({0,1,2,3,4,5,6,7,8,9},SUBSTITUTE(($C367&amp;" "&amp;$D367),CHAR(160)," ")&amp;"0123456789"))),ROW(INDIRECT("1:6")))),"0"),"SIN NUMERO"))</f>
        <v/>
      </c>
      <c r="Q367" t="str">
        <f ca="1">IF($P367="","",IF(LEFT(UPPER($S367),9)="VERIFICAR","VERIFICAR",IF($A367="","SIN ESTADO",IF(AND($A367="Firmada",$H367=""),"FALTA FECHA DE FIRMA",IF(N($T367)=0,IF(AND(ISNUMBER($H367),$H367&gt;=DATE(2024,1,1)),"FALTA EN FIRMADAS","OK"),IF(OR($A367="Pendiente de presentación",$A367="Observado",$A367="En análisis",$A367="En instrucción",$A367="Suspendida",$A367="IT circulando",$A367="Para resolución",$A367="TDC"),"ABIERTA PERO ESTÁ EN FIRMADAS",IF($H367&lt;&gt;INDEX(firmadas!$F:$F,$T367),"FIRMA DISTINTA EN firmadas ("&amp;IF(INDEX(firmadas!$F:$F,$T367)="","vacía",DAY(INDEX(firmadas!$F:$F,$T367))&amp;"/"&amp;MONTH(INDEX(firmadas!$F:$F,$T367))&amp;"/"&amp;YEAR(INDEX(firmadas!$F:$F,$T367)))&amp;")",IF($G367&lt;&gt;INDEX(firmadas!$E:$E,$T367),"INGRESO DISTINTO EN firmadas ("&amp;IF(INDEX(firmadas!$E:$E,$T367)="","vacía",DAY(INDEX(firmadas!$E:$E,$T367))&amp;"/"&amp;MONTH(INDEX(firmadas!$E:$E,$T367))&amp;"/"&amp;YEAR(INDEX(firmadas!$E:$E,$T367)))&amp;")","OK"))))))))</f>
        <v/>
      </c>
      <c r="T367" t="str">
        <f ca="1">IF($P367="","",IFERROR(MATCH($P367,firmadas!$N:$N,0),IFERROR(MATCH("*/"&amp;MID($P367,FIND(" ",$P367)+1,9)&amp;"*",firmadas!$B:$B,0),0)))</f>
        <v/>
      </c>
    </row>
    <row r="368" spans="6:20" ht="15" customHeight="1" x14ac:dyDescent="0.25">
      <c r="F368" s="16"/>
      <c r="M368" s="53"/>
      <c r="N368" s="53" t="str">
        <f t="shared" ca="1" si="5"/>
        <v/>
      </c>
      <c r="P368" t="str">
        <f ca="1">IF(TRIM(SUBSTITUTE(($C368&amp;" "&amp;$D368),CHAR(160)," "))="","",IFERROR(IF(ISNUMBER(SEARCH("INC",($C368&amp;" "&amp;$D368))),"INC",IF(ISNUMBER(SEARCH("OPI",($C368&amp;" "&amp;$D368))),"OPI",IF(ISNUMBER(SEARCH("DP",($C368&amp;" "&amp;$D368))),"DP","CONC")))&amp;" "&amp;TEXT(LOOKUP(9.99E+307,--MID(SUBSTITUTE(($C368&amp;" "&amp;$D368),CHAR(160)," "),SUMPRODUCT(MIN(FIND({0,1,2,3,4,5,6,7,8,9},SUBSTITUTE(($C368&amp;" "&amp;$D368),CHAR(160)," ")&amp;"0123456789"))),ROW(INDIRECT("1:6")))),"0"),"SIN NUMERO"))</f>
        <v/>
      </c>
      <c r="Q368" t="str">
        <f ca="1">IF($P368="","",IF(LEFT(UPPER($S368),9)="VERIFICAR","VERIFICAR",IF($A368="","SIN ESTADO",IF(AND($A368="Firmada",$H368=""),"FALTA FECHA DE FIRMA",IF(N($T368)=0,IF(AND(ISNUMBER($H368),$H368&gt;=DATE(2024,1,1)),"FALTA EN FIRMADAS","OK"),IF(OR($A368="Pendiente de presentación",$A368="Observado",$A368="En análisis",$A368="En instrucción",$A368="Suspendida",$A368="IT circulando",$A368="Para resolución",$A368="TDC"),"ABIERTA PERO ESTÁ EN FIRMADAS",IF($H368&lt;&gt;INDEX(firmadas!$F:$F,$T368),"FIRMA DISTINTA EN firmadas ("&amp;IF(INDEX(firmadas!$F:$F,$T368)="","vacía",DAY(INDEX(firmadas!$F:$F,$T368))&amp;"/"&amp;MONTH(INDEX(firmadas!$F:$F,$T368))&amp;"/"&amp;YEAR(INDEX(firmadas!$F:$F,$T368)))&amp;")",IF($G368&lt;&gt;INDEX(firmadas!$E:$E,$T368),"INGRESO DISTINTO EN firmadas ("&amp;IF(INDEX(firmadas!$E:$E,$T368)="","vacía",DAY(INDEX(firmadas!$E:$E,$T368))&amp;"/"&amp;MONTH(INDEX(firmadas!$E:$E,$T368))&amp;"/"&amp;YEAR(INDEX(firmadas!$E:$E,$T368)))&amp;")","OK"))))))))</f>
        <v/>
      </c>
      <c r="T368" t="str">
        <f ca="1">IF($P368="","",IFERROR(MATCH($P368,firmadas!$N:$N,0),IFERROR(MATCH("*/"&amp;MID($P368,FIND(" ",$P368)+1,9)&amp;"*",firmadas!$B:$B,0),0)))</f>
        <v/>
      </c>
    </row>
    <row r="369" spans="6:20" ht="15" customHeight="1" x14ac:dyDescent="0.25">
      <c r="F369" s="16"/>
      <c r="M369" s="53"/>
      <c r="N369" s="53" t="str">
        <f t="shared" ca="1" si="5"/>
        <v/>
      </c>
      <c r="P369" t="str">
        <f ca="1">IF(TRIM(SUBSTITUTE(($C369&amp;" "&amp;$D369),CHAR(160)," "))="","",IFERROR(IF(ISNUMBER(SEARCH("INC",($C369&amp;" "&amp;$D369))),"INC",IF(ISNUMBER(SEARCH("OPI",($C369&amp;" "&amp;$D369))),"OPI",IF(ISNUMBER(SEARCH("DP",($C369&amp;" "&amp;$D369))),"DP","CONC")))&amp;" "&amp;TEXT(LOOKUP(9.99E+307,--MID(SUBSTITUTE(($C369&amp;" "&amp;$D369),CHAR(160)," "),SUMPRODUCT(MIN(FIND({0,1,2,3,4,5,6,7,8,9},SUBSTITUTE(($C369&amp;" "&amp;$D369),CHAR(160)," ")&amp;"0123456789"))),ROW(INDIRECT("1:6")))),"0"),"SIN NUMERO"))</f>
        <v/>
      </c>
      <c r="Q369" t="str">
        <f ca="1">IF($P369="","",IF(LEFT(UPPER($S369),9)="VERIFICAR","VERIFICAR",IF($A369="","SIN ESTADO",IF(AND($A369="Firmada",$H369=""),"FALTA FECHA DE FIRMA",IF(N($T369)=0,IF(AND(ISNUMBER($H369),$H369&gt;=DATE(2024,1,1)),"FALTA EN FIRMADAS","OK"),IF(OR($A369="Pendiente de presentación",$A369="Observado",$A369="En análisis",$A369="En instrucción",$A369="Suspendida",$A369="IT circulando",$A369="Para resolución",$A369="TDC"),"ABIERTA PERO ESTÁ EN FIRMADAS",IF($H369&lt;&gt;INDEX(firmadas!$F:$F,$T369),"FIRMA DISTINTA EN firmadas ("&amp;IF(INDEX(firmadas!$F:$F,$T369)="","vacía",DAY(INDEX(firmadas!$F:$F,$T369))&amp;"/"&amp;MONTH(INDEX(firmadas!$F:$F,$T369))&amp;"/"&amp;YEAR(INDEX(firmadas!$F:$F,$T369)))&amp;")",IF($G369&lt;&gt;INDEX(firmadas!$E:$E,$T369),"INGRESO DISTINTO EN firmadas ("&amp;IF(INDEX(firmadas!$E:$E,$T369)="","vacía",DAY(INDEX(firmadas!$E:$E,$T369))&amp;"/"&amp;MONTH(INDEX(firmadas!$E:$E,$T369))&amp;"/"&amp;YEAR(INDEX(firmadas!$E:$E,$T369)))&amp;")","OK"))))))))</f>
        <v/>
      </c>
      <c r="T369" t="str">
        <f ca="1">IF($P369="","",IFERROR(MATCH($P369,firmadas!$N:$N,0),IFERROR(MATCH("*/"&amp;MID($P369,FIND(" ",$P369)+1,9)&amp;"*",firmadas!$B:$B,0),0)))</f>
        <v/>
      </c>
    </row>
    <row r="370" spans="6:20" ht="15" customHeight="1" x14ac:dyDescent="0.25">
      <c r="F370" s="16"/>
      <c r="M370" s="53"/>
      <c r="N370" s="53" t="str">
        <f t="shared" ca="1" si="5"/>
        <v/>
      </c>
      <c r="P370" t="str">
        <f ca="1">IF(TRIM(SUBSTITUTE(($C370&amp;" "&amp;$D370),CHAR(160)," "))="","",IFERROR(IF(ISNUMBER(SEARCH("INC",($C370&amp;" "&amp;$D370))),"INC",IF(ISNUMBER(SEARCH("OPI",($C370&amp;" "&amp;$D370))),"OPI",IF(ISNUMBER(SEARCH("DP",($C370&amp;" "&amp;$D370))),"DP","CONC")))&amp;" "&amp;TEXT(LOOKUP(9.99E+307,--MID(SUBSTITUTE(($C370&amp;" "&amp;$D370),CHAR(160)," "),SUMPRODUCT(MIN(FIND({0,1,2,3,4,5,6,7,8,9},SUBSTITUTE(($C370&amp;" "&amp;$D370),CHAR(160)," ")&amp;"0123456789"))),ROW(INDIRECT("1:6")))),"0"),"SIN NUMERO"))</f>
        <v/>
      </c>
      <c r="Q370" t="str">
        <f ca="1">IF($P370="","",IF(LEFT(UPPER($S370),9)="VERIFICAR","VERIFICAR",IF($A370="","SIN ESTADO",IF(AND($A370="Firmada",$H370=""),"FALTA FECHA DE FIRMA",IF(N($T370)=0,IF(AND(ISNUMBER($H370),$H370&gt;=DATE(2024,1,1)),"FALTA EN FIRMADAS","OK"),IF(OR($A370="Pendiente de presentación",$A370="Observado",$A370="En análisis",$A370="En instrucción",$A370="Suspendida",$A370="IT circulando",$A370="Para resolución",$A370="TDC"),"ABIERTA PERO ESTÁ EN FIRMADAS",IF($H370&lt;&gt;INDEX(firmadas!$F:$F,$T370),"FIRMA DISTINTA EN firmadas ("&amp;IF(INDEX(firmadas!$F:$F,$T370)="","vacía",DAY(INDEX(firmadas!$F:$F,$T370))&amp;"/"&amp;MONTH(INDEX(firmadas!$F:$F,$T370))&amp;"/"&amp;YEAR(INDEX(firmadas!$F:$F,$T370)))&amp;")",IF($G370&lt;&gt;INDEX(firmadas!$E:$E,$T370),"INGRESO DISTINTO EN firmadas ("&amp;IF(INDEX(firmadas!$E:$E,$T370)="","vacía",DAY(INDEX(firmadas!$E:$E,$T370))&amp;"/"&amp;MONTH(INDEX(firmadas!$E:$E,$T370))&amp;"/"&amp;YEAR(INDEX(firmadas!$E:$E,$T370)))&amp;")","OK"))))))))</f>
        <v/>
      </c>
      <c r="T370" t="str">
        <f ca="1">IF($P370="","",IFERROR(MATCH($P370,firmadas!$N:$N,0),IFERROR(MATCH("*/"&amp;MID($P370,FIND(" ",$P370)+1,9)&amp;"*",firmadas!$B:$B,0),0)))</f>
        <v/>
      </c>
    </row>
    <row r="371" spans="6:20" ht="15" customHeight="1" x14ac:dyDescent="0.25">
      <c r="F371" s="16"/>
      <c r="M371" s="53"/>
      <c r="N371" s="53" t="str">
        <f t="shared" ca="1" si="5"/>
        <v/>
      </c>
      <c r="P371" t="str">
        <f ca="1">IF(TRIM(SUBSTITUTE(($C371&amp;" "&amp;$D371),CHAR(160)," "))="","",IFERROR(IF(ISNUMBER(SEARCH("INC",($C371&amp;" "&amp;$D371))),"INC",IF(ISNUMBER(SEARCH("OPI",($C371&amp;" "&amp;$D371))),"OPI",IF(ISNUMBER(SEARCH("DP",($C371&amp;" "&amp;$D371))),"DP","CONC")))&amp;" "&amp;TEXT(LOOKUP(9.99E+307,--MID(SUBSTITUTE(($C371&amp;" "&amp;$D371),CHAR(160)," "),SUMPRODUCT(MIN(FIND({0,1,2,3,4,5,6,7,8,9},SUBSTITUTE(($C371&amp;" "&amp;$D371),CHAR(160)," ")&amp;"0123456789"))),ROW(INDIRECT("1:6")))),"0"),"SIN NUMERO"))</f>
        <v/>
      </c>
      <c r="Q371" t="str">
        <f ca="1">IF($P371="","",IF(LEFT(UPPER($S371),9)="VERIFICAR","VERIFICAR",IF($A371="","SIN ESTADO",IF(AND($A371="Firmada",$H371=""),"FALTA FECHA DE FIRMA",IF(N($T371)=0,IF(AND(ISNUMBER($H371),$H371&gt;=DATE(2024,1,1)),"FALTA EN FIRMADAS","OK"),IF(OR($A371="Pendiente de presentación",$A371="Observado",$A371="En análisis",$A371="En instrucción",$A371="Suspendida",$A371="IT circulando",$A371="Para resolución",$A371="TDC"),"ABIERTA PERO ESTÁ EN FIRMADAS",IF($H371&lt;&gt;INDEX(firmadas!$F:$F,$T371),"FIRMA DISTINTA EN firmadas ("&amp;IF(INDEX(firmadas!$F:$F,$T371)="","vacía",DAY(INDEX(firmadas!$F:$F,$T371))&amp;"/"&amp;MONTH(INDEX(firmadas!$F:$F,$T371))&amp;"/"&amp;YEAR(INDEX(firmadas!$F:$F,$T371)))&amp;")",IF($G371&lt;&gt;INDEX(firmadas!$E:$E,$T371),"INGRESO DISTINTO EN firmadas ("&amp;IF(INDEX(firmadas!$E:$E,$T371)="","vacía",DAY(INDEX(firmadas!$E:$E,$T371))&amp;"/"&amp;MONTH(INDEX(firmadas!$E:$E,$T371))&amp;"/"&amp;YEAR(INDEX(firmadas!$E:$E,$T371)))&amp;")","OK"))))))))</f>
        <v/>
      </c>
      <c r="T371" t="str">
        <f ca="1">IF($P371="","",IFERROR(MATCH($P371,firmadas!$N:$N,0),IFERROR(MATCH("*/"&amp;MID($P371,FIND(" ",$P371)+1,9)&amp;"*",firmadas!$B:$B,0),0)))</f>
        <v/>
      </c>
    </row>
    <row r="372" spans="6:20" ht="15" customHeight="1" x14ac:dyDescent="0.25">
      <c r="F372" s="16"/>
      <c r="M372" s="53"/>
      <c r="N372" s="53" t="str">
        <f t="shared" ca="1" si="5"/>
        <v/>
      </c>
      <c r="P372" t="str">
        <f ca="1">IF(TRIM(SUBSTITUTE(($C372&amp;" "&amp;$D372),CHAR(160)," "))="","",IFERROR(IF(ISNUMBER(SEARCH("INC",($C372&amp;" "&amp;$D372))),"INC",IF(ISNUMBER(SEARCH("OPI",($C372&amp;" "&amp;$D372))),"OPI",IF(ISNUMBER(SEARCH("DP",($C372&amp;" "&amp;$D372))),"DP","CONC")))&amp;" "&amp;TEXT(LOOKUP(9.99E+307,--MID(SUBSTITUTE(($C372&amp;" "&amp;$D372),CHAR(160)," "),SUMPRODUCT(MIN(FIND({0,1,2,3,4,5,6,7,8,9},SUBSTITUTE(($C372&amp;" "&amp;$D372),CHAR(160)," ")&amp;"0123456789"))),ROW(INDIRECT("1:6")))),"0"),"SIN NUMERO"))</f>
        <v/>
      </c>
      <c r="Q372" t="str">
        <f ca="1">IF($P372="","",IF(LEFT(UPPER($S372),9)="VERIFICAR","VERIFICAR",IF($A372="","SIN ESTADO",IF(AND($A372="Firmada",$H372=""),"FALTA FECHA DE FIRMA",IF(N($T372)=0,IF(AND(ISNUMBER($H372),$H372&gt;=DATE(2024,1,1)),"FALTA EN FIRMADAS","OK"),IF(OR($A372="Pendiente de presentación",$A372="Observado",$A372="En análisis",$A372="En instrucción",$A372="Suspendida",$A372="IT circulando",$A372="Para resolución",$A372="TDC"),"ABIERTA PERO ESTÁ EN FIRMADAS",IF($H372&lt;&gt;INDEX(firmadas!$F:$F,$T372),"FIRMA DISTINTA EN firmadas ("&amp;IF(INDEX(firmadas!$F:$F,$T372)="","vacía",DAY(INDEX(firmadas!$F:$F,$T372))&amp;"/"&amp;MONTH(INDEX(firmadas!$F:$F,$T372))&amp;"/"&amp;YEAR(INDEX(firmadas!$F:$F,$T372)))&amp;")",IF($G372&lt;&gt;INDEX(firmadas!$E:$E,$T372),"INGRESO DISTINTO EN firmadas ("&amp;IF(INDEX(firmadas!$E:$E,$T372)="","vacía",DAY(INDEX(firmadas!$E:$E,$T372))&amp;"/"&amp;MONTH(INDEX(firmadas!$E:$E,$T372))&amp;"/"&amp;YEAR(INDEX(firmadas!$E:$E,$T372)))&amp;")","OK"))))))))</f>
        <v/>
      </c>
      <c r="T372" t="str">
        <f ca="1">IF($P372="","",IFERROR(MATCH($P372,firmadas!$N:$N,0),IFERROR(MATCH("*/"&amp;MID($P372,FIND(" ",$P372)+1,9)&amp;"*",firmadas!$B:$B,0),0)))</f>
        <v/>
      </c>
    </row>
    <row r="373" spans="6:20" ht="15" customHeight="1" x14ac:dyDescent="0.25">
      <c r="F373" s="16"/>
      <c r="M373" s="53"/>
      <c r="N373" s="53" t="str">
        <f t="shared" ca="1" si="5"/>
        <v/>
      </c>
      <c r="P373" t="str">
        <f ca="1">IF(TRIM(SUBSTITUTE(($C373&amp;" "&amp;$D373),CHAR(160)," "))="","",IFERROR(IF(ISNUMBER(SEARCH("INC",($C373&amp;" "&amp;$D373))),"INC",IF(ISNUMBER(SEARCH("OPI",($C373&amp;" "&amp;$D373))),"OPI",IF(ISNUMBER(SEARCH("DP",($C373&amp;" "&amp;$D373))),"DP","CONC")))&amp;" "&amp;TEXT(LOOKUP(9.99E+307,--MID(SUBSTITUTE(($C373&amp;" "&amp;$D373),CHAR(160)," "),SUMPRODUCT(MIN(FIND({0,1,2,3,4,5,6,7,8,9},SUBSTITUTE(($C373&amp;" "&amp;$D373),CHAR(160)," ")&amp;"0123456789"))),ROW(INDIRECT("1:6")))),"0"),"SIN NUMERO"))</f>
        <v/>
      </c>
      <c r="Q373" t="str">
        <f ca="1">IF($P373="","",IF(LEFT(UPPER($S373),9)="VERIFICAR","VERIFICAR",IF($A373="","SIN ESTADO",IF(AND($A373="Firmada",$H373=""),"FALTA FECHA DE FIRMA",IF(N($T373)=0,IF(AND(ISNUMBER($H373),$H373&gt;=DATE(2024,1,1)),"FALTA EN FIRMADAS","OK"),IF(OR($A373="Pendiente de presentación",$A373="Observado",$A373="En análisis",$A373="En instrucción",$A373="Suspendida",$A373="IT circulando",$A373="Para resolución",$A373="TDC"),"ABIERTA PERO ESTÁ EN FIRMADAS",IF($H373&lt;&gt;INDEX(firmadas!$F:$F,$T373),"FIRMA DISTINTA EN firmadas ("&amp;IF(INDEX(firmadas!$F:$F,$T373)="","vacía",DAY(INDEX(firmadas!$F:$F,$T373))&amp;"/"&amp;MONTH(INDEX(firmadas!$F:$F,$T373))&amp;"/"&amp;YEAR(INDEX(firmadas!$F:$F,$T373)))&amp;")",IF($G373&lt;&gt;INDEX(firmadas!$E:$E,$T373),"INGRESO DISTINTO EN firmadas ("&amp;IF(INDEX(firmadas!$E:$E,$T373)="","vacía",DAY(INDEX(firmadas!$E:$E,$T373))&amp;"/"&amp;MONTH(INDEX(firmadas!$E:$E,$T373))&amp;"/"&amp;YEAR(INDEX(firmadas!$E:$E,$T373)))&amp;")","OK"))))))))</f>
        <v/>
      </c>
      <c r="T373" t="str">
        <f ca="1">IF($P373="","",IFERROR(MATCH($P373,firmadas!$N:$N,0),IFERROR(MATCH("*/"&amp;MID($P373,FIND(" ",$P373)+1,9)&amp;"*",firmadas!$B:$B,0),0)))</f>
        <v/>
      </c>
    </row>
    <row r="374" spans="6:20" ht="15" customHeight="1" x14ac:dyDescent="0.25">
      <c r="F374" s="16"/>
      <c r="M374" s="53"/>
      <c r="N374" s="53" t="str">
        <f t="shared" ca="1" si="5"/>
        <v/>
      </c>
      <c r="P374" t="str">
        <f ca="1">IF(TRIM(SUBSTITUTE(($C374&amp;" "&amp;$D374),CHAR(160)," "))="","",IFERROR(IF(ISNUMBER(SEARCH("INC",($C374&amp;" "&amp;$D374))),"INC",IF(ISNUMBER(SEARCH("OPI",($C374&amp;" "&amp;$D374))),"OPI",IF(ISNUMBER(SEARCH("DP",($C374&amp;" "&amp;$D374))),"DP","CONC")))&amp;" "&amp;TEXT(LOOKUP(9.99E+307,--MID(SUBSTITUTE(($C374&amp;" "&amp;$D374),CHAR(160)," "),SUMPRODUCT(MIN(FIND({0,1,2,3,4,5,6,7,8,9},SUBSTITUTE(($C374&amp;" "&amp;$D374),CHAR(160)," ")&amp;"0123456789"))),ROW(INDIRECT("1:6")))),"0"),"SIN NUMERO"))</f>
        <v/>
      </c>
      <c r="Q374" t="str">
        <f ca="1">IF($P374="","",IF(LEFT(UPPER($S374),9)="VERIFICAR","VERIFICAR",IF($A374="","SIN ESTADO",IF(AND($A374="Firmada",$H374=""),"FALTA FECHA DE FIRMA",IF(N($T374)=0,IF(AND(ISNUMBER($H374),$H374&gt;=DATE(2024,1,1)),"FALTA EN FIRMADAS","OK"),IF(OR($A374="Pendiente de presentación",$A374="Observado",$A374="En análisis",$A374="En instrucción",$A374="Suspendida",$A374="IT circulando",$A374="Para resolución",$A374="TDC"),"ABIERTA PERO ESTÁ EN FIRMADAS",IF($H374&lt;&gt;INDEX(firmadas!$F:$F,$T374),"FIRMA DISTINTA EN firmadas ("&amp;IF(INDEX(firmadas!$F:$F,$T374)="","vacía",DAY(INDEX(firmadas!$F:$F,$T374))&amp;"/"&amp;MONTH(INDEX(firmadas!$F:$F,$T374))&amp;"/"&amp;YEAR(INDEX(firmadas!$F:$F,$T374)))&amp;")",IF($G374&lt;&gt;INDEX(firmadas!$E:$E,$T374),"INGRESO DISTINTO EN firmadas ("&amp;IF(INDEX(firmadas!$E:$E,$T374)="","vacía",DAY(INDEX(firmadas!$E:$E,$T374))&amp;"/"&amp;MONTH(INDEX(firmadas!$E:$E,$T374))&amp;"/"&amp;YEAR(INDEX(firmadas!$E:$E,$T374)))&amp;")","OK"))))))))</f>
        <v/>
      </c>
      <c r="T374" t="str">
        <f ca="1">IF($P374="","",IFERROR(MATCH($P374,firmadas!$N:$N,0),IFERROR(MATCH("*/"&amp;MID($P374,FIND(" ",$P374)+1,9)&amp;"*",firmadas!$B:$B,0),0)))</f>
        <v/>
      </c>
    </row>
    <row r="375" spans="6:20" ht="15" customHeight="1" x14ac:dyDescent="0.25">
      <c r="F375" s="16"/>
      <c r="M375" s="53"/>
      <c r="N375" s="53" t="str">
        <f t="shared" ca="1" si="5"/>
        <v/>
      </c>
      <c r="P375" t="str">
        <f ca="1">IF(TRIM(SUBSTITUTE(($C375&amp;" "&amp;$D375),CHAR(160)," "))="","",IFERROR(IF(ISNUMBER(SEARCH("INC",($C375&amp;" "&amp;$D375))),"INC",IF(ISNUMBER(SEARCH("OPI",($C375&amp;" "&amp;$D375))),"OPI",IF(ISNUMBER(SEARCH("DP",($C375&amp;" "&amp;$D375))),"DP","CONC")))&amp;" "&amp;TEXT(LOOKUP(9.99E+307,--MID(SUBSTITUTE(($C375&amp;" "&amp;$D375),CHAR(160)," "),SUMPRODUCT(MIN(FIND({0,1,2,3,4,5,6,7,8,9},SUBSTITUTE(($C375&amp;" "&amp;$D375),CHAR(160)," ")&amp;"0123456789"))),ROW(INDIRECT("1:6")))),"0"),"SIN NUMERO"))</f>
        <v/>
      </c>
      <c r="Q375" t="str">
        <f ca="1">IF($P375="","",IF(LEFT(UPPER($S375),9)="VERIFICAR","VERIFICAR",IF($A375="","SIN ESTADO",IF(AND($A375="Firmada",$H375=""),"FALTA FECHA DE FIRMA",IF(N($T375)=0,IF(AND(ISNUMBER($H375),$H375&gt;=DATE(2024,1,1)),"FALTA EN FIRMADAS","OK"),IF(OR($A375="Pendiente de presentación",$A375="Observado",$A375="En análisis",$A375="En instrucción",$A375="Suspendida",$A375="IT circulando",$A375="Para resolución",$A375="TDC"),"ABIERTA PERO ESTÁ EN FIRMADAS",IF($H375&lt;&gt;INDEX(firmadas!$F:$F,$T375),"FIRMA DISTINTA EN firmadas ("&amp;IF(INDEX(firmadas!$F:$F,$T375)="","vacía",DAY(INDEX(firmadas!$F:$F,$T375))&amp;"/"&amp;MONTH(INDEX(firmadas!$F:$F,$T375))&amp;"/"&amp;YEAR(INDEX(firmadas!$F:$F,$T375)))&amp;")",IF($G375&lt;&gt;INDEX(firmadas!$E:$E,$T375),"INGRESO DISTINTO EN firmadas ("&amp;IF(INDEX(firmadas!$E:$E,$T375)="","vacía",DAY(INDEX(firmadas!$E:$E,$T375))&amp;"/"&amp;MONTH(INDEX(firmadas!$E:$E,$T375))&amp;"/"&amp;YEAR(INDEX(firmadas!$E:$E,$T375)))&amp;")","OK"))))))))</f>
        <v/>
      </c>
      <c r="T375" t="str">
        <f ca="1">IF($P375="","",IFERROR(MATCH($P375,firmadas!$N:$N,0),IFERROR(MATCH("*/"&amp;MID($P375,FIND(" ",$P375)+1,9)&amp;"*",firmadas!$B:$B,0),0)))</f>
        <v/>
      </c>
    </row>
    <row r="376" spans="6:20" ht="15" customHeight="1" x14ac:dyDescent="0.25">
      <c r="F376" s="16"/>
      <c r="M376" s="53"/>
      <c r="N376" s="53" t="str">
        <f t="shared" ca="1" si="5"/>
        <v/>
      </c>
      <c r="P376" t="str">
        <f ca="1">IF(TRIM(SUBSTITUTE(($C376&amp;" "&amp;$D376),CHAR(160)," "))="","",IFERROR(IF(ISNUMBER(SEARCH("INC",($C376&amp;" "&amp;$D376))),"INC",IF(ISNUMBER(SEARCH("OPI",($C376&amp;" "&amp;$D376))),"OPI",IF(ISNUMBER(SEARCH("DP",($C376&amp;" "&amp;$D376))),"DP","CONC")))&amp;" "&amp;TEXT(LOOKUP(9.99E+307,--MID(SUBSTITUTE(($C376&amp;" "&amp;$D376),CHAR(160)," "),SUMPRODUCT(MIN(FIND({0,1,2,3,4,5,6,7,8,9},SUBSTITUTE(($C376&amp;" "&amp;$D376),CHAR(160)," ")&amp;"0123456789"))),ROW(INDIRECT("1:6")))),"0"),"SIN NUMERO"))</f>
        <v/>
      </c>
      <c r="Q376" t="str">
        <f ca="1">IF($P376="","",IF(LEFT(UPPER($S376),9)="VERIFICAR","VERIFICAR",IF($A376="","SIN ESTADO",IF(AND($A376="Firmada",$H376=""),"FALTA FECHA DE FIRMA",IF(N($T376)=0,IF(AND(ISNUMBER($H376),$H376&gt;=DATE(2024,1,1)),"FALTA EN FIRMADAS","OK"),IF(OR($A376="Pendiente de presentación",$A376="Observado",$A376="En análisis",$A376="En instrucción",$A376="Suspendida",$A376="IT circulando",$A376="Para resolución",$A376="TDC"),"ABIERTA PERO ESTÁ EN FIRMADAS",IF($H376&lt;&gt;INDEX(firmadas!$F:$F,$T376),"FIRMA DISTINTA EN firmadas ("&amp;IF(INDEX(firmadas!$F:$F,$T376)="","vacía",DAY(INDEX(firmadas!$F:$F,$T376))&amp;"/"&amp;MONTH(INDEX(firmadas!$F:$F,$T376))&amp;"/"&amp;YEAR(INDEX(firmadas!$F:$F,$T376)))&amp;")",IF($G376&lt;&gt;INDEX(firmadas!$E:$E,$T376),"INGRESO DISTINTO EN firmadas ("&amp;IF(INDEX(firmadas!$E:$E,$T376)="","vacía",DAY(INDEX(firmadas!$E:$E,$T376))&amp;"/"&amp;MONTH(INDEX(firmadas!$E:$E,$T376))&amp;"/"&amp;YEAR(INDEX(firmadas!$E:$E,$T376)))&amp;")","OK"))))))))</f>
        <v/>
      </c>
      <c r="T376" t="str">
        <f ca="1">IF($P376="","",IFERROR(MATCH($P376,firmadas!$N:$N,0),IFERROR(MATCH("*/"&amp;MID($P376,FIND(" ",$P376)+1,9)&amp;"*",firmadas!$B:$B,0),0)))</f>
        <v/>
      </c>
    </row>
    <row r="377" spans="6:20" ht="15" customHeight="1" x14ac:dyDescent="0.25">
      <c r="F377" s="16"/>
      <c r="M377" s="53"/>
      <c r="N377" s="53" t="str">
        <f t="shared" ca="1" si="5"/>
        <v/>
      </c>
      <c r="P377" t="str">
        <f ca="1">IF(TRIM(SUBSTITUTE(($C377&amp;" "&amp;$D377),CHAR(160)," "))="","",IFERROR(IF(ISNUMBER(SEARCH("INC",($C377&amp;" "&amp;$D377))),"INC",IF(ISNUMBER(SEARCH("OPI",($C377&amp;" "&amp;$D377))),"OPI",IF(ISNUMBER(SEARCH("DP",($C377&amp;" "&amp;$D377))),"DP","CONC")))&amp;" "&amp;TEXT(LOOKUP(9.99E+307,--MID(SUBSTITUTE(($C377&amp;" "&amp;$D377),CHAR(160)," "),SUMPRODUCT(MIN(FIND({0,1,2,3,4,5,6,7,8,9},SUBSTITUTE(($C377&amp;" "&amp;$D377),CHAR(160)," ")&amp;"0123456789"))),ROW(INDIRECT("1:6")))),"0"),"SIN NUMERO"))</f>
        <v/>
      </c>
      <c r="Q377" t="str">
        <f ca="1">IF($P377="","",IF(LEFT(UPPER($S377),9)="VERIFICAR","VERIFICAR",IF($A377="","SIN ESTADO",IF(AND($A377="Firmada",$H377=""),"FALTA FECHA DE FIRMA",IF(N($T377)=0,IF(AND(ISNUMBER($H377),$H377&gt;=DATE(2024,1,1)),"FALTA EN FIRMADAS","OK"),IF(OR($A377="Pendiente de presentación",$A377="Observado",$A377="En análisis",$A377="En instrucción",$A377="Suspendida",$A377="IT circulando",$A377="Para resolución",$A377="TDC"),"ABIERTA PERO ESTÁ EN FIRMADAS",IF($H377&lt;&gt;INDEX(firmadas!$F:$F,$T377),"FIRMA DISTINTA EN firmadas ("&amp;IF(INDEX(firmadas!$F:$F,$T377)="","vacía",DAY(INDEX(firmadas!$F:$F,$T377))&amp;"/"&amp;MONTH(INDEX(firmadas!$F:$F,$T377))&amp;"/"&amp;YEAR(INDEX(firmadas!$F:$F,$T377)))&amp;")",IF($G377&lt;&gt;INDEX(firmadas!$E:$E,$T377),"INGRESO DISTINTO EN firmadas ("&amp;IF(INDEX(firmadas!$E:$E,$T377)="","vacía",DAY(INDEX(firmadas!$E:$E,$T377))&amp;"/"&amp;MONTH(INDEX(firmadas!$E:$E,$T377))&amp;"/"&amp;YEAR(INDEX(firmadas!$E:$E,$T377)))&amp;")","OK"))))))))</f>
        <v/>
      </c>
      <c r="T377" t="str">
        <f ca="1">IF($P377="","",IFERROR(MATCH($P377,firmadas!$N:$N,0),IFERROR(MATCH("*/"&amp;MID($P377,FIND(" ",$P377)+1,9)&amp;"*",firmadas!$B:$B,0),0)))</f>
        <v/>
      </c>
    </row>
    <row r="378" spans="6:20" ht="15" customHeight="1" x14ac:dyDescent="0.25">
      <c r="F378" s="16"/>
      <c r="M378" s="53"/>
      <c r="N378" s="53" t="str">
        <f t="shared" ca="1" si="5"/>
        <v/>
      </c>
      <c r="P378" t="str">
        <f ca="1">IF(TRIM(SUBSTITUTE(($C378&amp;" "&amp;$D378),CHAR(160)," "))="","",IFERROR(IF(ISNUMBER(SEARCH("INC",($C378&amp;" "&amp;$D378))),"INC",IF(ISNUMBER(SEARCH("OPI",($C378&amp;" "&amp;$D378))),"OPI",IF(ISNUMBER(SEARCH("DP",($C378&amp;" "&amp;$D378))),"DP","CONC")))&amp;" "&amp;TEXT(LOOKUP(9.99E+307,--MID(SUBSTITUTE(($C378&amp;" "&amp;$D378),CHAR(160)," "),SUMPRODUCT(MIN(FIND({0,1,2,3,4,5,6,7,8,9},SUBSTITUTE(($C378&amp;" "&amp;$D378),CHAR(160)," ")&amp;"0123456789"))),ROW(INDIRECT("1:6")))),"0"),"SIN NUMERO"))</f>
        <v/>
      </c>
      <c r="Q378" t="str">
        <f ca="1">IF($P378="","",IF(LEFT(UPPER($S378),9)="VERIFICAR","VERIFICAR",IF($A378="","SIN ESTADO",IF(AND($A378="Firmada",$H378=""),"FALTA FECHA DE FIRMA",IF(N($T378)=0,IF(AND(ISNUMBER($H378),$H378&gt;=DATE(2024,1,1)),"FALTA EN FIRMADAS","OK"),IF(OR($A378="Pendiente de presentación",$A378="Observado",$A378="En análisis",$A378="En instrucción",$A378="Suspendida",$A378="IT circulando",$A378="Para resolución",$A378="TDC"),"ABIERTA PERO ESTÁ EN FIRMADAS",IF($H378&lt;&gt;INDEX(firmadas!$F:$F,$T378),"FIRMA DISTINTA EN firmadas ("&amp;IF(INDEX(firmadas!$F:$F,$T378)="","vacía",DAY(INDEX(firmadas!$F:$F,$T378))&amp;"/"&amp;MONTH(INDEX(firmadas!$F:$F,$T378))&amp;"/"&amp;YEAR(INDEX(firmadas!$F:$F,$T378)))&amp;")",IF($G378&lt;&gt;INDEX(firmadas!$E:$E,$T378),"INGRESO DISTINTO EN firmadas ("&amp;IF(INDEX(firmadas!$E:$E,$T378)="","vacía",DAY(INDEX(firmadas!$E:$E,$T378))&amp;"/"&amp;MONTH(INDEX(firmadas!$E:$E,$T378))&amp;"/"&amp;YEAR(INDEX(firmadas!$E:$E,$T378)))&amp;")","OK"))))))))</f>
        <v/>
      </c>
      <c r="T378" t="str">
        <f ca="1">IF($P378="","",IFERROR(MATCH($P378,firmadas!$N:$N,0),IFERROR(MATCH("*/"&amp;MID($P378,FIND(" ",$P378)+1,9)&amp;"*",firmadas!$B:$B,0),0)))</f>
        <v/>
      </c>
    </row>
    <row r="379" spans="6:20" ht="15" customHeight="1" x14ac:dyDescent="0.25">
      <c r="F379" s="16"/>
      <c r="M379" s="53"/>
      <c r="N379" s="53" t="str">
        <f t="shared" ca="1" si="5"/>
        <v/>
      </c>
      <c r="P379" t="str">
        <f ca="1">IF(TRIM(SUBSTITUTE(($C379&amp;" "&amp;$D379),CHAR(160)," "))="","",IFERROR(IF(ISNUMBER(SEARCH("INC",($C379&amp;" "&amp;$D379))),"INC",IF(ISNUMBER(SEARCH("OPI",($C379&amp;" "&amp;$D379))),"OPI",IF(ISNUMBER(SEARCH("DP",($C379&amp;" "&amp;$D379))),"DP","CONC")))&amp;" "&amp;TEXT(LOOKUP(9.99E+307,--MID(SUBSTITUTE(($C379&amp;" "&amp;$D379),CHAR(160)," "),SUMPRODUCT(MIN(FIND({0,1,2,3,4,5,6,7,8,9},SUBSTITUTE(($C379&amp;" "&amp;$D379),CHAR(160)," ")&amp;"0123456789"))),ROW(INDIRECT("1:6")))),"0"),"SIN NUMERO"))</f>
        <v/>
      </c>
      <c r="Q379" t="str">
        <f ca="1">IF($P379="","",IF(LEFT(UPPER($S379),9)="VERIFICAR","VERIFICAR",IF($A379="","SIN ESTADO",IF(AND($A379="Firmada",$H379=""),"FALTA FECHA DE FIRMA",IF(N($T379)=0,IF(AND(ISNUMBER($H379),$H379&gt;=DATE(2024,1,1)),"FALTA EN FIRMADAS","OK"),IF(OR($A379="Pendiente de presentación",$A379="Observado",$A379="En análisis",$A379="En instrucción",$A379="Suspendida",$A379="IT circulando",$A379="Para resolución",$A379="TDC"),"ABIERTA PERO ESTÁ EN FIRMADAS",IF($H379&lt;&gt;INDEX(firmadas!$F:$F,$T379),"FIRMA DISTINTA EN firmadas ("&amp;IF(INDEX(firmadas!$F:$F,$T379)="","vacía",DAY(INDEX(firmadas!$F:$F,$T379))&amp;"/"&amp;MONTH(INDEX(firmadas!$F:$F,$T379))&amp;"/"&amp;YEAR(INDEX(firmadas!$F:$F,$T379)))&amp;")",IF($G379&lt;&gt;INDEX(firmadas!$E:$E,$T379),"INGRESO DISTINTO EN firmadas ("&amp;IF(INDEX(firmadas!$E:$E,$T379)="","vacía",DAY(INDEX(firmadas!$E:$E,$T379))&amp;"/"&amp;MONTH(INDEX(firmadas!$E:$E,$T379))&amp;"/"&amp;YEAR(INDEX(firmadas!$E:$E,$T379)))&amp;")","OK"))))))))</f>
        <v/>
      </c>
      <c r="T379" t="str">
        <f ca="1">IF($P379="","",IFERROR(MATCH($P379,firmadas!$N:$N,0),IFERROR(MATCH("*/"&amp;MID($P379,FIND(" ",$P379)+1,9)&amp;"*",firmadas!$B:$B,0),0)))</f>
        <v/>
      </c>
    </row>
    <row r="380" spans="6:20" ht="15" customHeight="1" x14ac:dyDescent="0.25">
      <c r="F380" s="16"/>
      <c r="M380" s="53"/>
      <c r="N380" s="53" t="str">
        <f t="shared" ca="1" si="5"/>
        <v/>
      </c>
      <c r="P380" t="str">
        <f ca="1">IF(TRIM(SUBSTITUTE(($C380&amp;" "&amp;$D380),CHAR(160)," "))="","",IFERROR(IF(ISNUMBER(SEARCH("INC",($C380&amp;" "&amp;$D380))),"INC",IF(ISNUMBER(SEARCH("OPI",($C380&amp;" "&amp;$D380))),"OPI",IF(ISNUMBER(SEARCH("DP",($C380&amp;" "&amp;$D380))),"DP","CONC")))&amp;" "&amp;TEXT(LOOKUP(9.99E+307,--MID(SUBSTITUTE(($C380&amp;" "&amp;$D380),CHAR(160)," "),SUMPRODUCT(MIN(FIND({0,1,2,3,4,5,6,7,8,9},SUBSTITUTE(($C380&amp;" "&amp;$D380),CHAR(160)," ")&amp;"0123456789"))),ROW(INDIRECT("1:6")))),"0"),"SIN NUMERO"))</f>
        <v/>
      </c>
      <c r="Q380" t="str">
        <f ca="1">IF($P380="","",IF(LEFT(UPPER($S380),9)="VERIFICAR","VERIFICAR",IF($A380="","SIN ESTADO",IF(AND($A380="Firmada",$H380=""),"FALTA FECHA DE FIRMA",IF(N($T380)=0,IF(AND(ISNUMBER($H380),$H380&gt;=DATE(2024,1,1)),"FALTA EN FIRMADAS","OK"),IF(OR($A380="Pendiente de presentación",$A380="Observado",$A380="En análisis",$A380="En instrucción",$A380="Suspendida",$A380="IT circulando",$A380="Para resolución",$A380="TDC"),"ABIERTA PERO ESTÁ EN FIRMADAS",IF($H380&lt;&gt;INDEX(firmadas!$F:$F,$T380),"FIRMA DISTINTA EN firmadas ("&amp;IF(INDEX(firmadas!$F:$F,$T380)="","vacía",DAY(INDEX(firmadas!$F:$F,$T380))&amp;"/"&amp;MONTH(INDEX(firmadas!$F:$F,$T380))&amp;"/"&amp;YEAR(INDEX(firmadas!$F:$F,$T380)))&amp;")",IF($G380&lt;&gt;INDEX(firmadas!$E:$E,$T380),"INGRESO DISTINTO EN firmadas ("&amp;IF(INDEX(firmadas!$E:$E,$T380)="","vacía",DAY(INDEX(firmadas!$E:$E,$T380))&amp;"/"&amp;MONTH(INDEX(firmadas!$E:$E,$T380))&amp;"/"&amp;YEAR(INDEX(firmadas!$E:$E,$T380)))&amp;")","OK"))))))))</f>
        <v/>
      </c>
      <c r="T380" t="str">
        <f ca="1">IF($P380="","",IFERROR(MATCH($P380,firmadas!$N:$N,0),IFERROR(MATCH("*/"&amp;MID($P380,FIND(" ",$P380)+1,9)&amp;"*",firmadas!$B:$B,0),0)))</f>
        <v/>
      </c>
    </row>
    <row r="381" spans="6:20" ht="15" customHeight="1" x14ac:dyDescent="0.25">
      <c r="F381" s="16"/>
      <c r="M381" s="53"/>
      <c r="N381" s="53" t="str">
        <f t="shared" ca="1" si="5"/>
        <v/>
      </c>
      <c r="P381" t="str">
        <f ca="1">IF(TRIM(SUBSTITUTE(($C381&amp;" "&amp;$D381),CHAR(160)," "))="","",IFERROR(IF(ISNUMBER(SEARCH("INC",($C381&amp;" "&amp;$D381))),"INC",IF(ISNUMBER(SEARCH("OPI",($C381&amp;" "&amp;$D381))),"OPI",IF(ISNUMBER(SEARCH("DP",($C381&amp;" "&amp;$D381))),"DP","CONC")))&amp;" "&amp;TEXT(LOOKUP(9.99E+307,--MID(SUBSTITUTE(($C381&amp;" "&amp;$D381),CHAR(160)," "),SUMPRODUCT(MIN(FIND({0,1,2,3,4,5,6,7,8,9},SUBSTITUTE(($C381&amp;" "&amp;$D381),CHAR(160)," ")&amp;"0123456789"))),ROW(INDIRECT("1:6")))),"0"),"SIN NUMERO"))</f>
        <v/>
      </c>
      <c r="Q381" t="str">
        <f ca="1">IF($P381="","",IF(LEFT(UPPER($S381),9)="VERIFICAR","VERIFICAR",IF($A381="","SIN ESTADO",IF(AND($A381="Firmada",$H381=""),"FALTA FECHA DE FIRMA",IF(N($T381)=0,IF(AND(ISNUMBER($H381),$H381&gt;=DATE(2024,1,1)),"FALTA EN FIRMADAS","OK"),IF(OR($A381="Pendiente de presentación",$A381="Observado",$A381="En análisis",$A381="En instrucción",$A381="Suspendida",$A381="IT circulando",$A381="Para resolución",$A381="TDC"),"ABIERTA PERO ESTÁ EN FIRMADAS",IF($H381&lt;&gt;INDEX(firmadas!$F:$F,$T381),"FIRMA DISTINTA EN firmadas ("&amp;IF(INDEX(firmadas!$F:$F,$T381)="","vacía",DAY(INDEX(firmadas!$F:$F,$T381))&amp;"/"&amp;MONTH(INDEX(firmadas!$F:$F,$T381))&amp;"/"&amp;YEAR(INDEX(firmadas!$F:$F,$T381)))&amp;")",IF($G381&lt;&gt;INDEX(firmadas!$E:$E,$T381),"INGRESO DISTINTO EN firmadas ("&amp;IF(INDEX(firmadas!$E:$E,$T381)="","vacía",DAY(INDEX(firmadas!$E:$E,$T381))&amp;"/"&amp;MONTH(INDEX(firmadas!$E:$E,$T381))&amp;"/"&amp;YEAR(INDEX(firmadas!$E:$E,$T381)))&amp;")","OK"))))))))</f>
        <v/>
      </c>
      <c r="T381" t="str">
        <f ca="1">IF($P381="","",IFERROR(MATCH($P381,firmadas!$N:$N,0),IFERROR(MATCH("*/"&amp;MID($P381,FIND(" ",$P381)+1,9)&amp;"*",firmadas!$B:$B,0),0)))</f>
        <v/>
      </c>
    </row>
    <row r="382" spans="6:20" ht="15" customHeight="1" x14ac:dyDescent="0.25">
      <c r="F382" s="16"/>
      <c r="M382" s="53"/>
      <c r="N382" s="53" t="str">
        <f t="shared" ca="1" si="5"/>
        <v/>
      </c>
      <c r="P382" t="str">
        <f ca="1">IF(TRIM(SUBSTITUTE(($C382&amp;" "&amp;$D382),CHAR(160)," "))="","",IFERROR(IF(ISNUMBER(SEARCH("INC",($C382&amp;" "&amp;$D382))),"INC",IF(ISNUMBER(SEARCH("OPI",($C382&amp;" "&amp;$D382))),"OPI",IF(ISNUMBER(SEARCH("DP",($C382&amp;" "&amp;$D382))),"DP","CONC")))&amp;" "&amp;TEXT(LOOKUP(9.99E+307,--MID(SUBSTITUTE(($C382&amp;" "&amp;$D382),CHAR(160)," "),SUMPRODUCT(MIN(FIND({0,1,2,3,4,5,6,7,8,9},SUBSTITUTE(($C382&amp;" "&amp;$D382),CHAR(160)," ")&amp;"0123456789"))),ROW(INDIRECT("1:6")))),"0"),"SIN NUMERO"))</f>
        <v/>
      </c>
      <c r="Q382" t="str">
        <f ca="1">IF($P382="","",IF(LEFT(UPPER($S382),9)="VERIFICAR","VERIFICAR",IF($A382="","SIN ESTADO",IF(AND($A382="Firmada",$H382=""),"FALTA FECHA DE FIRMA",IF(N($T382)=0,IF(AND(ISNUMBER($H382),$H382&gt;=DATE(2024,1,1)),"FALTA EN FIRMADAS","OK"),IF(OR($A382="Pendiente de presentación",$A382="Observado",$A382="En análisis",$A382="En instrucción",$A382="Suspendida",$A382="IT circulando",$A382="Para resolución",$A382="TDC"),"ABIERTA PERO ESTÁ EN FIRMADAS",IF($H382&lt;&gt;INDEX(firmadas!$F:$F,$T382),"FIRMA DISTINTA EN firmadas ("&amp;IF(INDEX(firmadas!$F:$F,$T382)="","vacía",DAY(INDEX(firmadas!$F:$F,$T382))&amp;"/"&amp;MONTH(INDEX(firmadas!$F:$F,$T382))&amp;"/"&amp;YEAR(INDEX(firmadas!$F:$F,$T382)))&amp;")",IF($G382&lt;&gt;INDEX(firmadas!$E:$E,$T382),"INGRESO DISTINTO EN firmadas ("&amp;IF(INDEX(firmadas!$E:$E,$T382)="","vacía",DAY(INDEX(firmadas!$E:$E,$T382))&amp;"/"&amp;MONTH(INDEX(firmadas!$E:$E,$T382))&amp;"/"&amp;YEAR(INDEX(firmadas!$E:$E,$T382)))&amp;")","OK"))))))))</f>
        <v/>
      </c>
      <c r="T382" t="str">
        <f ca="1">IF($P382="","",IFERROR(MATCH($P382,firmadas!$N:$N,0),IFERROR(MATCH("*/"&amp;MID($P382,FIND(" ",$P382)+1,9)&amp;"*",firmadas!$B:$B,0),0)))</f>
        <v/>
      </c>
    </row>
    <row r="383" spans="6:20" ht="15" customHeight="1" x14ac:dyDescent="0.25">
      <c r="F383" s="16"/>
      <c r="M383" s="53"/>
      <c r="N383" s="53" t="str">
        <f t="shared" ca="1" si="5"/>
        <v/>
      </c>
      <c r="P383" t="str">
        <f ca="1">IF(TRIM(SUBSTITUTE(($C383&amp;" "&amp;$D383),CHAR(160)," "))="","",IFERROR(IF(ISNUMBER(SEARCH("INC",($C383&amp;" "&amp;$D383))),"INC",IF(ISNUMBER(SEARCH("OPI",($C383&amp;" "&amp;$D383))),"OPI",IF(ISNUMBER(SEARCH("DP",($C383&amp;" "&amp;$D383))),"DP","CONC")))&amp;" "&amp;TEXT(LOOKUP(9.99E+307,--MID(SUBSTITUTE(($C383&amp;" "&amp;$D383),CHAR(160)," "),SUMPRODUCT(MIN(FIND({0,1,2,3,4,5,6,7,8,9},SUBSTITUTE(($C383&amp;" "&amp;$D383),CHAR(160)," ")&amp;"0123456789"))),ROW(INDIRECT("1:6")))),"0"),"SIN NUMERO"))</f>
        <v/>
      </c>
      <c r="Q383" t="str">
        <f ca="1">IF($P383="","",IF(LEFT(UPPER($S383),9)="VERIFICAR","VERIFICAR",IF($A383="","SIN ESTADO",IF(AND($A383="Firmada",$H383=""),"FALTA FECHA DE FIRMA",IF(N($T383)=0,IF(AND(ISNUMBER($H383),$H383&gt;=DATE(2024,1,1)),"FALTA EN FIRMADAS","OK"),IF(OR($A383="Pendiente de presentación",$A383="Observado",$A383="En análisis",$A383="En instrucción",$A383="Suspendida",$A383="IT circulando",$A383="Para resolución",$A383="TDC"),"ABIERTA PERO ESTÁ EN FIRMADAS",IF($H383&lt;&gt;INDEX(firmadas!$F:$F,$T383),"FIRMA DISTINTA EN firmadas ("&amp;IF(INDEX(firmadas!$F:$F,$T383)="","vacía",DAY(INDEX(firmadas!$F:$F,$T383))&amp;"/"&amp;MONTH(INDEX(firmadas!$F:$F,$T383))&amp;"/"&amp;YEAR(INDEX(firmadas!$F:$F,$T383)))&amp;")",IF($G383&lt;&gt;INDEX(firmadas!$E:$E,$T383),"INGRESO DISTINTO EN firmadas ("&amp;IF(INDEX(firmadas!$E:$E,$T383)="","vacía",DAY(INDEX(firmadas!$E:$E,$T383))&amp;"/"&amp;MONTH(INDEX(firmadas!$E:$E,$T383))&amp;"/"&amp;YEAR(INDEX(firmadas!$E:$E,$T383)))&amp;")","OK"))))))))</f>
        <v/>
      </c>
      <c r="T383" t="str">
        <f ca="1">IF($P383="","",IFERROR(MATCH($P383,firmadas!$N:$N,0),IFERROR(MATCH("*/"&amp;MID($P383,FIND(" ",$P383)+1,9)&amp;"*",firmadas!$B:$B,0),0)))</f>
        <v/>
      </c>
    </row>
    <row r="384" spans="6:20" ht="15" customHeight="1" x14ac:dyDescent="0.25">
      <c r="F384" s="16"/>
      <c r="M384" s="53"/>
      <c r="N384" s="53" t="str">
        <f t="shared" ca="1" si="5"/>
        <v/>
      </c>
      <c r="P384" t="str">
        <f ca="1">IF(TRIM(SUBSTITUTE(($C384&amp;" "&amp;$D384),CHAR(160)," "))="","",IFERROR(IF(ISNUMBER(SEARCH("INC",($C384&amp;" "&amp;$D384))),"INC",IF(ISNUMBER(SEARCH("OPI",($C384&amp;" "&amp;$D384))),"OPI",IF(ISNUMBER(SEARCH("DP",($C384&amp;" "&amp;$D384))),"DP","CONC")))&amp;" "&amp;TEXT(LOOKUP(9.99E+307,--MID(SUBSTITUTE(($C384&amp;" "&amp;$D384),CHAR(160)," "),SUMPRODUCT(MIN(FIND({0,1,2,3,4,5,6,7,8,9},SUBSTITUTE(($C384&amp;" "&amp;$D384),CHAR(160)," ")&amp;"0123456789"))),ROW(INDIRECT("1:6")))),"0"),"SIN NUMERO"))</f>
        <v/>
      </c>
      <c r="Q384" t="str">
        <f ca="1">IF($P384="","",IF(LEFT(UPPER($S384),9)="VERIFICAR","VERIFICAR",IF($A384="","SIN ESTADO",IF(AND($A384="Firmada",$H384=""),"FALTA FECHA DE FIRMA",IF(N($T384)=0,IF(AND(ISNUMBER($H384),$H384&gt;=DATE(2024,1,1)),"FALTA EN FIRMADAS","OK"),IF(OR($A384="Pendiente de presentación",$A384="Observado",$A384="En análisis",$A384="En instrucción",$A384="Suspendida",$A384="IT circulando",$A384="Para resolución",$A384="TDC"),"ABIERTA PERO ESTÁ EN FIRMADAS",IF($H384&lt;&gt;INDEX(firmadas!$F:$F,$T384),"FIRMA DISTINTA EN firmadas ("&amp;IF(INDEX(firmadas!$F:$F,$T384)="","vacía",DAY(INDEX(firmadas!$F:$F,$T384))&amp;"/"&amp;MONTH(INDEX(firmadas!$F:$F,$T384))&amp;"/"&amp;YEAR(INDEX(firmadas!$F:$F,$T384)))&amp;")",IF($G384&lt;&gt;INDEX(firmadas!$E:$E,$T384),"INGRESO DISTINTO EN firmadas ("&amp;IF(INDEX(firmadas!$E:$E,$T384)="","vacía",DAY(INDEX(firmadas!$E:$E,$T384))&amp;"/"&amp;MONTH(INDEX(firmadas!$E:$E,$T384))&amp;"/"&amp;YEAR(INDEX(firmadas!$E:$E,$T384)))&amp;")","OK"))))))))</f>
        <v/>
      </c>
      <c r="T384" t="str">
        <f ca="1">IF($P384="","",IFERROR(MATCH($P384,firmadas!$N:$N,0),IFERROR(MATCH("*/"&amp;MID($P384,FIND(" ",$P384)+1,9)&amp;"*",firmadas!$B:$B,0),0)))</f>
        <v/>
      </c>
    </row>
    <row r="385" spans="6:20" ht="15" customHeight="1" x14ac:dyDescent="0.25">
      <c r="F385" s="16"/>
      <c r="M385" s="53"/>
      <c r="N385" s="53" t="str">
        <f t="shared" ca="1" si="5"/>
        <v/>
      </c>
      <c r="P385" t="str">
        <f ca="1">IF(TRIM(SUBSTITUTE(($C385&amp;" "&amp;$D385),CHAR(160)," "))="","",IFERROR(IF(ISNUMBER(SEARCH("INC",($C385&amp;" "&amp;$D385))),"INC",IF(ISNUMBER(SEARCH("OPI",($C385&amp;" "&amp;$D385))),"OPI",IF(ISNUMBER(SEARCH("DP",($C385&amp;" "&amp;$D385))),"DP","CONC")))&amp;" "&amp;TEXT(LOOKUP(9.99E+307,--MID(SUBSTITUTE(($C385&amp;" "&amp;$D385),CHAR(160)," "),SUMPRODUCT(MIN(FIND({0,1,2,3,4,5,6,7,8,9},SUBSTITUTE(($C385&amp;" "&amp;$D385),CHAR(160)," ")&amp;"0123456789"))),ROW(INDIRECT("1:6")))),"0"),"SIN NUMERO"))</f>
        <v/>
      </c>
      <c r="Q385" t="str">
        <f ca="1">IF($P385="","",IF(LEFT(UPPER($S385),9)="VERIFICAR","VERIFICAR",IF($A385="","SIN ESTADO",IF(AND($A385="Firmada",$H385=""),"FALTA FECHA DE FIRMA",IF(N($T385)=0,IF(AND(ISNUMBER($H385),$H385&gt;=DATE(2024,1,1)),"FALTA EN FIRMADAS","OK"),IF(OR($A385="Pendiente de presentación",$A385="Observado",$A385="En análisis",$A385="En instrucción",$A385="Suspendida",$A385="IT circulando",$A385="Para resolución",$A385="TDC"),"ABIERTA PERO ESTÁ EN FIRMADAS",IF($H385&lt;&gt;INDEX(firmadas!$F:$F,$T385),"FIRMA DISTINTA EN firmadas ("&amp;IF(INDEX(firmadas!$F:$F,$T385)="","vacía",DAY(INDEX(firmadas!$F:$F,$T385))&amp;"/"&amp;MONTH(INDEX(firmadas!$F:$F,$T385))&amp;"/"&amp;YEAR(INDEX(firmadas!$F:$F,$T385)))&amp;")",IF($G385&lt;&gt;INDEX(firmadas!$E:$E,$T385),"INGRESO DISTINTO EN firmadas ("&amp;IF(INDEX(firmadas!$E:$E,$T385)="","vacía",DAY(INDEX(firmadas!$E:$E,$T385))&amp;"/"&amp;MONTH(INDEX(firmadas!$E:$E,$T385))&amp;"/"&amp;YEAR(INDEX(firmadas!$E:$E,$T385)))&amp;")","OK"))))))))</f>
        <v/>
      </c>
      <c r="T385" t="str">
        <f ca="1">IF($P385="","",IFERROR(MATCH($P385,firmadas!$N:$N,0),IFERROR(MATCH("*/"&amp;MID($P385,FIND(" ",$P385)+1,9)&amp;"*",firmadas!$B:$B,0),0)))</f>
        <v/>
      </c>
    </row>
    <row r="386" spans="6:20" ht="15" customHeight="1" x14ac:dyDescent="0.25">
      <c r="F386" s="16"/>
      <c r="M386" s="53"/>
      <c r="N386" s="53" t="str">
        <f t="shared" ref="N386:N449" ca="1" si="6">IF($G386="","",(IF($H386="",TODAY(),$H386)-$G386)/30)</f>
        <v/>
      </c>
      <c r="P386" t="str">
        <f ca="1">IF(TRIM(SUBSTITUTE(($C386&amp;" "&amp;$D386),CHAR(160)," "))="","",IFERROR(IF(ISNUMBER(SEARCH("INC",($C386&amp;" "&amp;$D386))),"INC",IF(ISNUMBER(SEARCH("OPI",($C386&amp;" "&amp;$D386))),"OPI",IF(ISNUMBER(SEARCH("DP",($C386&amp;" "&amp;$D386))),"DP","CONC")))&amp;" "&amp;TEXT(LOOKUP(9.99E+307,--MID(SUBSTITUTE(($C386&amp;" "&amp;$D386),CHAR(160)," "),SUMPRODUCT(MIN(FIND({0,1,2,3,4,5,6,7,8,9},SUBSTITUTE(($C386&amp;" "&amp;$D386),CHAR(160)," ")&amp;"0123456789"))),ROW(INDIRECT("1:6")))),"0"),"SIN NUMERO"))</f>
        <v/>
      </c>
      <c r="Q386" t="str">
        <f ca="1">IF($P386="","",IF(LEFT(UPPER($S386),9)="VERIFICAR","VERIFICAR",IF($A386="","SIN ESTADO",IF(AND($A386="Firmada",$H386=""),"FALTA FECHA DE FIRMA",IF(N($T386)=0,IF(AND(ISNUMBER($H386),$H386&gt;=DATE(2024,1,1)),"FALTA EN FIRMADAS","OK"),IF(OR($A386="Pendiente de presentación",$A386="Observado",$A386="En análisis",$A386="En instrucción",$A386="Suspendida",$A386="IT circulando",$A386="Para resolución",$A386="TDC"),"ABIERTA PERO ESTÁ EN FIRMADAS",IF($H386&lt;&gt;INDEX(firmadas!$F:$F,$T386),"FIRMA DISTINTA EN firmadas ("&amp;IF(INDEX(firmadas!$F:$F,$T386)="","vacía",DAY(INDEX(firmadas!$F:$F,$T386))&amp;"/"&amp;MONTH(INDEX(firmadas!$F:$F,$T386))&amp;"/"&amp;YEAR(INDEX(firmadas!$F:$F,$T386)))&amp;")",IF($G386&lt;&gt;INDEX(firmadas!$E:$E,$T386),"INGRESO DISTINTO EN firmadas ("&amp;IF(INDEX(firmadas!$E:$E,$T386)="","vacía",DAY(INDEX(firmadas!$E:$E,$T386))&amp;"/"&amp;MONTH(INDEX(firmadas!$E:$E,$T386))&amp;"/"&amp;YEAR(INDEX(firmadas!$E:$E,$T386)))&amp;")","OK"))))))))</f>
        <v/>
      </c>
      <c r="T386" t="str">
        <f ca="1">IF($P386="","",IFERROR(MATCH($P386,firmadas!$N:$N,0),IFERROR(MATCH("*/"&amp;MID($P386,FIND(" ",$P386)+1,9)&amp;"*",firmadas!$B:$B,0),0)))</f>
        <v/>
      </c>
    </row>
    <row r="387" spans="6:20" ht="15" customHeight="1" x14ac:dyDescent="0.25">
      <c r="F387" s="16"/>
      <c r="M387" s="53"/>
      <c r="N387" s="53" t="str">
        <f t="shared" ca="1" si="6"/>
        <v/>
      </c>
      <c r="P387" t="str">
        <f ca="1">IF(TRIM(SUBSTITUTE(($C387&amp;" "&amp;$D387),CHAR(160)," "))="","",IFERROR(IF(ISNUMBER(SEARCH("INC",($C387&amp;" "&amp;$D387))),"INC",IF(ISNUMBER(SEARCH("OPI",($C387&amp;" "&amp;$D387))),"OPI",IF(ISNUMBER(SEARCH("DP",($C387&amp;" "&amp;$D387))),"DP","CONC")))&amp;" "&amp;TEXT(LOOKUP(9.99E+307,--MID(SUBSTITUTE(($C387&amp;" "&amp;$D387),CHAR(160)," "),SUMPRODUCT(MIN(FIND({0,1,2,3,4,5,6,7,8,9},SUBSTITUTE(($C387&amp;" "&amp;$D387),CHAR(160)," ")&amp;"0123456789"))),ROW(INDIRECT("1:6")))),"0"),"SIN NUMERO"))</f>
        <v/>
      </c>
      <c r="Q387" t="str">
        <f ca="1">IF($P387="","",IF(LEFT(UPPER($S387),9)="VERIFICAR","VERIFICAR",IF($A387="","SIN ESTADO",IF(AND($A387="Firmada",$H387=""),"FALTA FECHA DE FIRMA",IF(N($T387)=0,IF(AND(ISNUMBER($H387),$H387&gt;=DATE(2024,1,1)),"FALTA EN FIRMADAS","OK"),IF(OR($A387="Pendiente de presentación",$A387="Observado",$A387="En análisis",$A387="En instrucción",$A387="Suspendida",$A387="IT circulando",$A387="Para resolución",$A387="TDC"),"ABIERTA PERO ESTÁ EN FIRMADAS",IF($H387&lt;&gt;INDEX(firmadas!$F:$F,$T387),"FIRMA DISTINTA EN firmadas ("&amp;IF(INDEX(firmadas!$F:$F,$T387)="","vacía",DAY(INDEX(firmadas!$F:$F,$T387))&amp;"/"&amp;MONTH(INDEX(firmadas!$F:$F,$T387))&amp;"/"&amp;YEAR(INDEX(firmadas!$F:$F,$T387)))&amp;")",IF($G387&lt;&gt;INDEX(firmadas!$E:$E,$T387),"INGRESO DISTINTO EN firmadas ("&amp;IF(INDEX(firmadas!$E:$E,$T387)="","vacía",DAY(INDEX(firmadas!$E:$E,$T387))&amp;"/"&amp;MONTH(INDEX(firmadas!$E:$E,$T387))&amp;"/"&amp;YEAR(INDEX(firmadas!$E:$E,$T387)))&amp;")","OK"))))))))</f>
        <v/>
      </c>
      <c r="T387" t="str">
        <f ca="1">IF($P387="","",IFERROR(MATCH($P387,firmadas!$N:$N,0),IFERROR(MATCH("*/"&amp;MID($P387,FIND(" ",$P387)+1,9)&amp;"*",firmadas!$B:$B,0),0)))</f>
        <v/>
      </c>
    </row>
    <row r="388" spans="6:20" ht="15" customHeight="1" x14ac:dyDescent="0.25">
      <c r="F388" s="16"/>
      <c r="M388" s="53"/>
      <c r="N388" s="53" t="str">
        <f t="shared" ca="1" si="6"/>
        <v/>
      </c>
      <c r="P388" t="str">
        <f ca="1">IF(TRIM(SUBSTITUTE(($C388&amp;" "&amp;$D388),CHAR(160)," "))="","",IFERROR(IF(ISNUMBER(SEARCH("INC",($C388&amp;" "&amp;$D388))),"INC",IF(ISNUMBER(SEARCH("OPI",($C388&amp;" "&amp;$D388))),"OPI",IF(ISNUMBER(SEARCH("DP",($C388&amp;" "&amp;$D388))),"DP","CONC")))&amp;" "&amp;TEXT(LOOKUP(9.99E+307,--MID(SUBSTITUTE(($C388&amp;" "&amp;$D388),CHAR(160)," "),SUMPRODUCT(MIN(FIND({0,1,2,3,4,5,6,7,8,9},SUBSTITUTE(($C388&amp;" "&amp;$D388),CHAR(160)," ")&amp;"0123456789"))),ROW(INDIRECT("1:6")))),"0"),"SIN NUMERO"))</f>
        <v/>
      </c>
      <c r="Q388" t="str">
        <f ca="1">IF($P388="","",IF(LEFT(UPPER($S388),9)="VERIFICAR","VERIFICAR",IF($A388="","SIN ESTADO",IF(AND($A388="Firmada",$H388=""),"FALTA FECHA DE FIRMA",IF(N($T388)=0,IF(AND(ISNUMBER($H388),$H388&gt;=DATE(2024,1,1)),"FALTA EN FIRMADAS","OK"),IF(OR($A388="Pendiente de presentación",$A388="Observado",$A388="En análisis",$A388="En instrucción",$A388="Suspendida",$A388="IT circulando",$A388="Para resolución",$A388="TDC"),"ABIERTA PERO ESTÁ EN FIRMADAS",IF($H388&lt;&gt;INDEX(firmadas!$F:$F,$T388),"FIRMA DISTINTA EN firmadas ("&amp;IF(INDEX(firmadas!$F:$F,$T388)="","vacía",DAY(INDEX(firmadas!$F:$F,$T388))&amp;"/"&amp;MONTH(INDEX(firmadas!$F:$F,$T388))&amp;"/"&amp;YEAR(INDEX(firmadas!$F:$F,$T388)))&amp;")",IF($G388&lt;&gt;INDEX(firmadas!$E:$E,$T388),"INGRESO DISTINTO EN firmadas ("&amp;IF(INDEX(firmadas!$E:$E,$T388)="","vacía",DAY(INDEX(firmadas!$E:$E,$T388))&amp;"/"&amp;MONTH(INDEX(firmadas!$E:$E,$T388))&amp;"/"&amp;YEAR(INDEX(firmadas!$E:$E,$T388)))&amp;")","OK"))))))))</f>
        <v/>
      </c>
      <c r="T388" t="str">
        <f ca="1">IF($P388="","",IFERROR(MATCH($P388,firmadas!$N:$N,0),IFERROR(MATCH("*/"&amp;MID($P388,FIND(" ",$P388)+1,9)&amp;"*",firmadas!$B:$B,0),0)))</f>
        <v/>
      </c>
    </row>
    <row r="389" spans="6:20" ht="15" customHeight="1" x14ac:dyDescent="0.25">
      <c r="F389" s="16"/>
      <c r="M389" s="53"/>
      <c r="N389" s="53" t="str">
        <f t="shared" ca="1" si="6"/>
        <v/>
      </c>
      <c r="P389" t="str">
        <f ca="1">IF(TRIM(SUBSTITUTE(($C389&amp;" "&amp;$D389),CHAR(160)," "))="","",IFERROR(IF(ISNUMBER(SEARCH("INC",($C389&amp;" "&amp;$D389))),"INC",IF(ISNUMBER(SEARCH("OPI",($C389&amp;" "&amp;$D389))),"OPI",IF(ISNUMBER(SEARCH("DP",($C389&amp;" "&amp;$D389))),"DP","CONC")))&amp;" "&amp;TEXT(LOOKUP(9.99E+307,--MID(SUBSTITUTE(($C389&amp;" "&amp;$D389),CHAR(160)," "),SUMPRODUCT(MIN(FIND({0,1,2,3,4,5,6,7,8,9},SUBSTITUTE(($C389&amp;" "&amp;$D389),CHAR(160)," ")&amp;"0123456789"))),ROW(INDIRECT("1:6")))),"0"),"SIN NUMERO"))</f>
        <v/>
      </c>
      <c r="Q389" t="str">
        <f ca="1">IF($P389="","",IF(LEFT(UPPER($S389),9)="VERIFICAR","VERIFICAR",IF($A389="","SIN ESTADO",IF(AND($A389="Firmada",$H389=""),"FALTA FECHA DE FIRMA",IF(N($T389)=0,IF(AND(ISNUMBER($H389),$H389&gt;=DATE(2024,1,1)),"FALTA EN FIRMADAS","OK"),IF(OR($A389="Pendiente de presentación",$A389="Observado",$A389="En análisis",$A389="En instrucción",$A389="Suspendida",$A389="IT circulando",$A389="Para resolución",$A389="TDC"),"ABIERTA PERO ESTÁ EN FIRMADAS",IF($H389&lt;&gt;INDEX(firmadas!$F:$F,$T389),"FIRMA DISTINTA EN firmadas ("&amp;IF(INDEX(firmadas!$F:$F,$T389)="","vacía",DAY(INDEX(firmadas!$F:$F,$T389))&amp;"/"&amp;MONTH(INDEX(firmadas!$F:$F,$T389))&amp;"/"&amp;YEAR(INDEX(firmadas!$F:$F,$T389)))&amp;")",IF($G389&lt;&gt;INDEX(firmadas!$E:$E,$T389),"INGRESO DISTINTO EN firmadas ("&amp;IF(INDEX(firmadas!$E:$E,$T389)="","vacía",DAY(INDEX(firmadas!$E:$E,$T389))&amp;"/"&amp;MONTH(INDEX(firmadas!$E:$E,$T389))&amp;"/"&amp;YEAR(INDEX(firmadas!$E:$E,$T389)))&amp;")","OK"))))))))</f>
        <v/>
      </c>
      <c r="T389" t="str">
        <f ca="1">IF($P389="","",IFERROR(MATCH($P389,firmadas!$N:$N,0),IFERROR(MATCH("*/"&amp;MID($P389,FIND(" ",$P389)+1,9)&amp;"*",firmadas!$B:$B,0),0)))</f>
        <v/>
      </c>
    </row>
    <row r="390" spans="6:20" ht="15" customHeight="1" x14ac:dyDescent="0.25">
      <c r="F390" s="16"/>
      <c r="M390" s="53"/>
      <c r="N390" s="53" t="str">
        <f t="shared" ca="1" si="6"/>
        <v/>
      </c>
      <c r="P390" t="str">
        <f ca="1">IF(TRIM(SUBSTITUTE(($C390&amp;" "&amp;$D390),CHAR(160)," "))="","",IFERROR(IF(ISNUMBER(SEARCH("INC",($C390&amp;" "&amp;$D390))),"INC",IF(ISNUMBER(SEARCH("OPI",($C390&amp;" "&amp;$D390))),"OPI",IF(ISNUMBER(SEARCH("DP",($C390&amp;" "&amp;$D390))),"DP","CONC")))&amp;" "&amp;TEXT(LOOKUP(9.99E+307,--MID(SUBSTITUTE(($C390&amp;" "&amp;$D390),CHAR(160)," "),SUMPRODUCT(MIN(FIND({0,1,2,3,4,5,6,7,8,9},SUBSTITUTE(($C390&amp;" "&amp;$D390),CHAR(160)," ")&amp;"0123456789"))),ROW(INDIRECT("1:6")))),"0"),"SIN NUMERO"))</f>
        <v/>
      </c>
      <c r="Q390" t="str">
        <f ca="1">IF($P390="","",IF(LEFT(UPPER($S390),9)="VERIFICAR","VERIFICAR",IF($A390="","SIN ESTADO",IF(AND($A390="Firmada",$H390=""),"FALTA FECHA DE FIRMA",IF(N($T390)=0,IF(AND(ISNUMBER($H390),$H390&gt;=DATE(2024,1,1)),"FALTA EN FIRMADAS","OK"),IF(OR($A390="Pendiente de presentación",$A390="Observado",$A390="En análisis",$A390="En instrucción",$A390="Suspendida",$A390="IT circulando",$A390="Para resolución",$A390="TDC"),"ABIERTA PERO ESTÁ EN FIRMADAS",IF($H390&lt;&gt;INDEX(firmadas!$F:$F,$T390),"FIRMA DISTINTA EN firmadas ("&amp;IF(INDEX(firmadas!$F:$F,$T390)="","vacía",DAY(INDEX(firmadas!$F:$F,$T390))&amp;"/"&amp;MONTH(INDEX(firmadas!$F:$F,$T390))&amp;"/"&amp;YEAR(INDEX(firmadas!$F:$F,$T390)))&amp;")",IF($G390&lt;&gt;INDEX(firmadas!$E:$E,$T390),"INGRESO DISTINTO EN firmadas ("&amp;IF(INDEX(firmadas!$E:$E,$T390)="","vacía",DAY(INDEX(firmadas!$E:$E,$T390))&amp;"/"&amp;MONTH(INDEX(firmadas!$E:$E,$T390))&amp;"/"&amp;YEAR(INDEX(firmadas!$E:$E,$T390)))&amp;")","OK"))))))))</f>
        <v/>
      </c>
      <c r="T390" t="str">
        <f ca="1">IF($P390="","",IFERROR(MATCH($P390,firmadas!$N:$N,0),IFERROR(MATCH("*/"&amp;MID($P390,FIND(" ",$P390)+1,9)&amp;"*",firmadas!$B:$B,0),0)))</f>
        <v/>
      </c>
    </row>
    <row r="391" spans="6:20" ht="15" customHeight="1" x14ac:dyDescent="0.25">
      <c r="F391" s="16"/>
      <c r="M391" s="53"/>
      <c r="N391" s="53" t="str">
        <f t="shared" ca="1" si="6"/>
        <v/>
      </c>
      <c r="P391" t="str">
        <f ca="1">IF(TRIM(SUBSTITUTE(($C391&amp;" "&amp;$D391),CHAR(160)," "))="","",IFERROR(IF(ISNUMBER(SEARCH("INC",($C391&amp;" "&amp;$D391))),"INC",IF(ISNUMBER(SEARCH("OPI",($C391&amp;" "&amp;$D391))),"OPI",IF(ISNUMBER(SEARCH("DP",($C391&amp;" "&amp;$D391))),"DP","CONC")))&amp;" "&amp;TEXT(LOOKUP(9.99E+307,--MID(SUBSTITUTE(($C391&amp;" "&amp;$D391),CHAR(160)," "),SUMPRODUCT(MIN(FIND({0,1,2,3,4,5,6,7,8,9},SUBSTITUTE(($C391&amp;" "&amp;$D391),CHAR(160)," ")&amp;"0123456789"))),ROW(INDIRECT("1:6")))),"0"),"SIN NUMERO"))</f>
        <v/>
      </c>
      <c r="Q391" t="str">
        <f ca="1">IF($P391="","",IF(LEFT(UPPER($S391),9)="VERIFICAR","VERIFICAR",IF($A391="","SIN ESTADO",IF(AND($A391="Firmada",$H391=""),"FALTA FECHA DE FIRMA",IF(N($T391)=0,IF(AND(ISNUMBER($H391),$H391&gt;=DATE(2024,1,1)),"FALTA EN FIRMADAS","OK"),IF(OR($A391="Pendiente de presentación",$A391="Observado",$A391="En análisis",$A391="En instrucción",$A391="Suspendida",$A391="IT circulando",$A391="Para resolución",$A391="TDC"),"ABIERTA PERO ESTÁ EN FIRMADAS",IF($H391&lt;&gt;INDEX(firmadas!$F:$F,$T391),"FIRMA DISTINTA EN firmadas ("&amp;IF(INDEX(firmadas!$F:$F,$T391)="","vacía",DAY(INDEX(firmadas!$F:$F,$T391))&amp;"/"&amp;MONTH(INDEX(firmadas!$F:$F,$T391))&amp;"/"&amp;YEAR(INDEX(firmadas!$F:$F,$T391)))&amp;")",IF($G391&lt;&gt;INDEX(firmadas!$E:$E,$T391),"INGRESO DISTINTO EN firmadas ("&amp;IF(INDEX(firmadas!$E:$E,$T391)="","vacía",DAY(INDEX(firmadas!$E:$E,$T391))&amp;"/"&amp;MONTH(INDEX(firmadas!$E:$E,$T391))&amp;"/"&amp;YEAR(INDEX(firmadas!$E:$E,$T391)))&amp;")","OK"))))))))</f>
        <v/>
      </c>
      <c r="T391" t="str">
        <f ca="1">IF($P391="","",IFERROR(MATCH($P391,firmadas!$N:$N,0),IFERROR(MATCH("*/"&amp;MID($P391,FIND(" ",$P391)+1,9)&amp;"*",firmadas!$B:$B,0),0)))</f>
        <v/>
      </c>
    </row>
    <row r="392" spans="6:20" ht="15" customHeight="1" x14ac:dyDescent="0.25">
      <c r="F392" s="16"/>
      <c r="M392" s="53"/>
      <c r="N392" s="53" t="str">
        <f t="shared" ca="1" si="6"/>
        <v/>
      </c>
      <c r="P392" t="str">
        <f ca="1">IF(TRIM(SUBSTITUTE(($C392&amp;" "&amp;$D392),CHAR(160)," "))="","",IFERROR(IF(ISNUMBER(SEARCH("INC",($C392&amp;" "&amp;$D392))),"INC",IF(ISNUMBER(SEARCH("OPI",($C392&amp;" "&amp;$D392))),"OPI",IF(ISNUMBER(SEARCH("DP",($C392&amp;" "&amp;$D392))),"DP","CONC")))&amp;" "&amp;TEXT(LOOKUP(9.99E+307,--MID(SUBSTITUTE(($C392&amp;" "&amp;$D392),CHAR(160)," "),SUMPRODUCT(MIN(FIND({0,1,2,3,4,5,6,7,8,9},SUBSTITUTE(($C392&amp;" "&amp;$D392),CHAR(160)," ")&amp;"0123456789"))),ROW(INDIRECT("1:6")))),"0"),"SIN NUMERO"))</f>
        <v/>
      </c>
      <c r="Q392" t="str">
        <f ca="1">IF($P392="","",IF(LEFT(UPPER($S392),9)="VERIFICAR","VERIFICAR",IF($A392="","SIN ESTADO",IF(AND($A392="Firmada",$H392=""),"FALTA FECHA DE FIRMA",IF(N($T392)=0,IF(AND(ISNUMBER($H392),$H392&gt;=DATE(2024,1,1)),"FALTA EN FIRMADAS","OK"),IF(OR($A392="Pendiente de presentación",$A392="Observado",$A392="En análisis",$A392="En instrucción",$A392="Suspendida",$A392="IT circulando",$A392="Para resolución",$A392="TDC"),"ABIERTA PERO ESTÁ EN FIRMADAS",IF($H392&lt;&gt;INDEX(firmadas!$F:$F,$T392),"FIRMA DISTINTA EN firmadas ("&amp;IF(INDEX(firmadas!$F:$F,$T392)="","vacía",DAY(INDEX(firmadas!$F:$F,$T392))&amp;"/"&amp;MONTH(INDEX(firmadas!$F:$F,$T392))&amp;"/"&amp;YEAR(INDEX(firmadas!$F:$F,$T392)))&amp;")",IF($G392&lt;&gt;INDEX(firmadas!$E:$E,$T392),"INGRESO DISTINTO EN firmadas ("&amp;IF(INDEX(firmadas!$E:$E,$T392)="","vacía",DAY(INDEX(firmadas!$E:$E,$T392))&amp;"/"&amp;MONTH(INDEX(firmadas!$E:$E,$T392))&amp;"/"&amp;YEAR(INDEX(firmadas!$E:$E,$T392)))&amp;")","OK"))))))))</f>
        <v/>
      </c>
      <c r="T392" t="str">
        <f ca="1">IF($P392="","",IFERROR(MATCH($P392,firmadas!$N:$N,0),IFERROR(MATCH("*/"&amp;MID($P392,FIND(" ",$P392)+1,9)&amp;"*",firmadas!$B:$B,0),0)))</f>
        <v/>
      </c>
    </row>
    <row r="393" spans="6:20" ht="15" customHeight="1" x14ac:dyDescent="0.25">
      <c r="F393" s="16"/>
      <c r="M393" s="53"/>
      <c r="N393" s="53" t="str">
        <f t="shared" ca="1" si="6"/>
        <v/>
      </c>
      <c r="P393" t="str">
        <f ca="1">IF(TRIM(SUBSTITUTE(($C393&amp;" "&amp;$D393),CHAR(160)," "))="","",IFERROR(IF(ISNUMBER(SEARCH("INC",($C393&amp;" "&amp;$D393))),"INC",IF(ISNUMBER(SEARCH("OPI",($C393&amp;" "&amp;$D393))),"OPI",IF(ISNUMBER(SEARCH("DP",($C393&amp;" "&amp;$D393))),"DP","CONC")))&amp;" "&amp;TEXT(LOOKUP(9.99E+307,--MID(SUBSTITUTE(($C393&amp;" "&amp;$D393),CHAR(160)," "),SUMPRODUCT(MIN(FIND({0,1,2,3,4,5,6,7,8,9},SUBSTITUTE(($C393&amp;" "&amp;$D393),CHAR(160)," ")&amp;"0123456789"))),ROW(INDIRECT("1:6")))),"0"),"SIN NUMERO"))</f>
        <v/>
      </c>
      <c r="Q393" t="str">
        <f ca="1">IF($P393="","",IF(LEFT(UPPER($S393),9)="VERIFICAR","VERIFICAR",IF($A393="","SIN ESTADO",IF(AND($A393="Firmada",$H393=""),"FALTA FECHA DE FIRMA",IF(N($T393)=0,IF(AND(ISNUMBER($H393),$H393&gt;=DATE(2024,1,1)),"FALTA EN FIRMADAS","OK"),IF(OR($A393="Pendiente de presentación",$A393="Observado",$A393="En análisis",$A393="En instrucción",$A393="Suspendida",$A393="IT circulando",$A393="Para resolución",$A393="TDC"),"ABIERTA PERO ESTÁ EN FIRMADAS",IF($H393&lt;&gt;INDEX(firmadas!$F:$F,$T393),"FIRMA DISTINTA EN firmadas ("&amp;IF(INDEX(firmadas!$F:$F,$T393)="","vacía",DAY(INDEX(firmadas!$F:$F,$T393))&amp;"/"&amp;MONTH(INDEX(firmadas!$F:$F,$T393))&amp;"/"&amp;YEAR(INDEX(firmadas!$F:$F,$T393)))&amp;")",IF($G393&lt;&gt;INDEX(firmadas!$E:$E,$T393),"INGRESO DISTINTO EN firmadas ("&amp;IF(INDEX(firmadas!$E:$E,$T393)="","vacía",DAY(INDEX(firmadas!$E:$E,$T393))&amp;"/"&amp;MONTH(INDEX(firmadas!$E:$E,$T393))&amp;"/"&amp;YEAR(INDEX(firmadas!$E:$E,$T393)))&amp;")","OK"))))))))</f>
        <v/>
      </c>
      <c r="T393" t="str">
        <f ca="1">IF($P393="","",IFERROR(MATCH($P393,firmadas!$N:$N,0),IFERROR(MATCH("*/"&amp;MID($P393,FIND(" ",$P393)+1,9)&amp;"*",firmadas!$B:$B,0),0)))</f>
        <v/>
      </c>
    </row>
    <row r="394" spans="6:20" ht="15" customHeight="1" x14ac:dyDescent="0.25">
      <c r="F394" s="16"/>
      <c r="M394" s="53"/>
      <c r="N394" s="53" t="str">
        <f t="shared" ca="1" si="6"/>
        <v/>
      </c>
      <c r="P394" t="str">
        <f ca="1">IF(TRIM(SUBSTITUTE(($C394&amp;" "&amp;$D394),CHAR(160)," "))="","",IFERROR(IF(ISNUMBER(SEARCH("INC",($C394&amp;" "&amp;$D394))),"INC",IF(ISNUMBER(SEARCH("OPI",($C394&amp;" "&amp;$D394))),"OPI",IF(ISNUMBER(SEARCH("DP",($C394&amp;" "&amp;$D394))),"DP","CONC")))&amp;" "&amp;TEXT(LOOKUP(9.99E+307,--MID(SUBSTITUTE(($C394&amp;" "&amp;$D394),CHAR(160)," "),SUMPRODUCT(MIN(FIND({0,1,2,3,4,5,6,7,8,9},SUBSTITUTE(($C394&amp;" "&amp;$D394),CHAR(160)," ")&amp;"0123456789"))),ROW(INDIRECT("1:6")))),"0"),"SIN NUMERO"))</f>
        <v/>
      </c>
      <c r="Q394" t="str">
        <f ca="1">IF($P394="","",IF(LEFT(UPPER($S394),9)="VERIFICAR","VERIFICAR",IF($A394="","SIN ESTADO",IF(AND($A394="Firmada",$H394=""),"FALTA FECHA DE FIRMA",IF(N($T394)=0,IF(AND(ISNUMBER($H394),$H394&gt;=DATE(2024,1,1)),"FALTA EN FIRMADAS","OK"),IF(OR($A394="Pendiente de presentación",$A394="Observado",$A394="En análisis",$A394="En instrucción",$A394="Suspendida",$A394="IT circulando",$A394="Para resolución",$A394="TDC"),"ABIERTA PERO ESTÁ EN FIRMADAS",IF($H394&lt;&gt;INDEX(firmadas!$F:$F,$T394),"FIRMA DISTINTA EN firmadas ("&amp;IF(INDEX(firmadas!$F:$F,$T394)="","vacía",DAY(INDEX(firmadas!$F:$F,$T394))&amp;"/"&amp;MONTH(INDEX(firmadas!$F:$F,$T394))&amp;"/"&amp;YEAR(INDEX(firmadas!$F:$F,$T394)))&amp;")",IF($G394&lt;&gt;INDEX(firmadas!$E:$E,$T394),"INGRESO DISTINTO EN firmadas ("&amp;IF(INDEX(firmadas!$E:$E,$T394)="","vacía",DAY(INDEX(firmadas!$E:$E,$T394))&amp;"/"&amp;MONTH(INDEX(firmadas!$E:$E,$T394))&amp;"/"&amp;YEAR(INDEX(firmadas!$E:$E,$T394)))&amp;")","OK"))))))))</f>
        <v/>
      </c>
      <c r="T394" t="str">
        <f ca="1">IF($P394="","",IFERROR(MATCH($P394,firmadas!$N:$N,0),IFERROR(MATCH("*/"&amp;MID($P394,FIND(" ",$P394)+1,9)&amp;"*",firmadas!$B:$B,0),0)))</f>
        <v/>
      </c>
    </row>
    <row r="395" spans="6:20" ht="15" customHeight="1" x14ac:dyDescent="0.25">
      <c r="F395" s="16"/>
      <c r="M395" s="53"/>
      <c r="N395" s="53" t="str">
        <f t="shared" ca="1" si="6"/>
        <v/>
      </c>
      <c r="P395" t="str">
        <f ca="1">IF(TRIM(SUBSTITUTE(($C395&amp;" "&amp;$D395),CHAR(160)," "))="","",IFERROR(IF(ISNUMBER(SEARCH("INC",($C395&amp;" "&amp;$D395))),"INC",IF(ISNUMBER(SEARCH("OPI",($C395&amp;" "&amp;$D395))),"OPI",IF(ISNUMBER(SEARCH("DP",($C395&amp;" "&amp;$D395))),"DP","CONC")))&amp;" "&amp;TEXT(LOOKUP(9.99E+307,--MID(SUBSTITUTE(($C395&amp;" "&amp;$D395),CHAR(160)," "),SUMPRODUCT(MIN(FIND({0,1,2,3,4,5,6,7,8,9},SUBSTITUTE(($C395&amp;" "&amp;$D395),CHAR(160)," ")&amp;"0123456789"))),ROW(INDIRECT("1:6")))),"0"),"SIN NUMERO"))</f>
        <v/>
      </c>
      <c r="Q395" t="str">
        <f ca="1">IF($P395="","",IF(LEFT(UPPER($S395),9)="VERIFICAR","VERIFICAR",IF($A395="","SIN ESTADO",IF(AND($A395="Firmada",$H395=""),"FALTA FECHA DE FIRMA",IF(N($T395)=0,IF(AND(ISNUMBER($H395),$H395&gt;=DATE(2024,1,1)),"FALTA EN FIRMADAS","OK"),IF(OR($A395="Pendiente de presentación",$A395="Observado",$A395="En análisis",$A395="En instrucción",$A395="Suspendida",$A395="IT circulando",$A395="Para resolución",$A395="TDC"),"ABIERTA PERO ESTÁ EN FIRMADAS",IF($H395&lt;&gt;INDEX(firmadas!$F:$F,$T395),"FIRMA DISTINTA EN firmadas ("&amp;IF(INDEX(firmadas!$F:$F,$T395)="","vacía",DAY(INDEX(firmadas!$F:$F,$T395))&amp;"/"&amp;MONTH(INDEX(firmadas!$F:$F,$T395))&amp;"/"&amp;YEAR(INDEX(firmadas!$F:$F,$T395)))&amp;")",IF($G395&lt;&gt;INDEX(firmadas!$E:$E,$T395),"INGRESO DISTINTO EN firmadas ("&amp;IF(INDEX(firmadas!$E:$E,$T395)="","vacía",DAY(INDEX(firmadas!$E:$E,$T395))&amp;"/"&amp;MONTH(INDEX(firmadas!$E:$E,$T395))&amp;"/"&amp;YEAR(INDEX(firmadas!$E:$E,$T395)))&amp;")","OK"))))))))</f>
        <v/>
      </c>
      <c r="T395" t="str">
        <f ca="1">IF($P395="","",IFERROR(MATCH($P395,firmadas!$N:$N,0),IFERROR(MATCH("*/"&amp;MID($P395,FIND(" ",$P395)+1,9)&amp;"*",firmadas!$B:$B,0),0)))</f>
        <v/>
      </c>
    </row>
    <row r="396" spans="6:20" ht="15" customHeight="1" x14ac:dyDescent="0.25">
      <c r="F396" s="16"/>
      <c r="M396" s="53"/>
      <c r="N396" s="53" t="str">
        <f t="shared" ca="1" si="6"/>
        <v/>
      </c>
      <c r="P396" t="str">
        <f ca="1">IF(TRIM(SUBSTITUTE(($C396&amp;" "&amp;$D396),CHAR(160)," "))="","",IFERROR(IF(ISNUMBER(SEARCH("INC",($C396&amp;" "&amp;$D396))),"INC",IF(ISNUMBER(SEARCH("OPI",($C396&amp;" "&amp;$D396))),"OPI",IF(ISNUMBER(SEARCH("DP",($C396&amp;" "&amp;$D396))),"DP","CONC")))&amp;" "&amp;TEXT(LOOKUP(9.99E+307,--MID(SUBSTITUTE(($C396&amp;" "&amp;$D396),CHAR(160)," "),SUMPRODUCT(MIN(FIND({0,1,2,3,4,5,6,7,8,9},SUBSTITUTE(($C396&amp;" "&amp;$D396),CHAR(160)," ")&amp;"0123456789"))),ROW(INDIRECT("1:6")))),"0"),"SIN NUMERO"))</f>
        <v/>
      </c>
      <c r="Q396" t="str">
        <f ca="1">IF($P396="","",IF(LEFT(UPPER($S396),9)="VERIFICAR","VERIFICAR",IF($A396="","SIN ESTADO",IF(AND($A396="Firmada",$H396=""),"FALTA FECHA DE FIRMA",IF(N($T396)=0,IF(AND(ISNUMBER($H396),$H396&gt;=DATE(2024,1,1)),"FALTA EN FIRMADAS","OK"),IF(OR($A396="Pendiente de presentación",$A396="Observado",$A396="En análisis",$A396="En instrucción",$A396="Suspendida",$A396="IT circulando",$A396="Para resolución",$A396="TDC"),"ABIERTA PERO ESTÁ EN FIRMADAS",IF($H396&lt;&gt;INDEX(firmadas!$F:$F,$T396),"FIRMA DISTINTA EN firmadas ("&amp;IF(INDEX(firmadas!$F:$F,$T396)="","vacía",DAY(INDEX(firmadas!$F:$F,$T396))&amp;"/"&amp;MONTH(INDEX(firmadas!$F:$F,$T396))&amp;"/"&amp;YEAR(INDEX(firmadas!$F:$F,$T396)))&amp;")",IF($G396&lt;&gt;INDEX(firmadas!$E:$E,$T396),"INGRESO DISTINTO EN firmadas ("&amp;IF(INDEX(firmadas!$E:$E,$T396)="","vacía",DAY(INDEX(firmadas!$E:$E,$T396))&amp;"/"&amp;MONTH(INDEX(firmadas!$E:$E,$T396))&amp;"/"&amp;YEAR(INDEX(firmadas!$E:$E,$T396)))&amp;")","OK"))))))))</f>
        <v/>
      </c>
      <c r="T396" t="str">
        <f ca="1">IF($P396="","",IFERROR(MATCH($P396,firmadas!$N:$N,0),IFERROR(MATCH("*/"&amp;MID($P396,FIND(" ",$P396)+1,9)&amp;"*",firmadas!$B:$B,0),0)))</f>
        <v/>
      </c>
    </row>
    <row r="397" spans="6:20" ht="15" customHeight="1" x14ac:dyDescent="0.25">
      <c r="F397" s="16"/>
      <c r="M397" s="53"/>
      <c r="N397" s="53" t="str">
        <f t="shared" ca="1" si="6"/>
        <v/>
      </c>
      <c r="P397" t="str">
        <f ca="1">IF(TRIM(SUBSTITUTE(($C397&amp;" "&amp;$D397),CHAR(160)," "))="","",IFERROR(IF(ISNUMBER(SEARCH("INC",($C397&amp;" "&amp;$D397))),"INC",IF(ISNUMBER(SEARCH("OPI",($C397&amp;" "&amp;$D397))),"OPI",IF(ISNUMBER(SEARCH("DP",($C397&amp;" "&amp;$D397))),"DP","CONC")))&amp;" "&amp;TEXT(LOOKUP(9.99E+307,--MID(SUBSTITUTE(($C397&amp;" "&amp;$D397),CHAR(160)," "),SUMPRODUCT(MIN(FIND({0,1,2,3,4,5,6,7,8,9},SUBSTITUTE(($C397&amp;" "&amp;$D397),CHAR(160)," ")&amp;"0123456789"))),ROW(INDIRECT("1:6")))),"0"),"SIN NUMERO"))</f>
        <v/>
      </c>
      <c r="Q397" t="str">
        <f ca="1">IF($P397="","",IF(LEFT(UPPER($S397),9)="VERIFICAR","VERIFICAR",IF($A397="","SIN ESTADO",IF(AND($A397="Firmada",$H397=""),"FALTA FECHA DE FIRMA",IF(N($T397)=0,IF(AND(ISNUMBER($H397),$H397&gt;=DATE(2024,1,1)),"FALTA EN FIRMADAS","OK"),IF(OR($A397="Pendiente de presentación",$A397="Observado",$A397="En análisis",$A397="En instrucción",$A397="Suspendida",$A397="IT circulando",$A397="Para resolución",$A397="TDC"),"ABIERTA PERO ESTÁ EN FIRMADAS",IF($H397&lt;&gt;INDEX(firmadas!$F:$F,$T397),"FIRMA DISTINTA EN firmadas ("&amp;IF(INDEX(firmadas!$F:$F,$T397)="","vacía",DAY(INDEX(firmadas!$F:$F,$T397))&amp;"/"&amp;MONTH(INDEX(firmadas!$F:$F,$T397))&amp;"/"&amp;YEAR(INDEX(firmadas!$F:$F,$T397)))&amp;")",IF($G397&lt;&gt;INDEX(firmadas!$E:$E,$T397),"INGRESO DISTINTO EN firmadas ("&amp;IF(INDEX(firmadas!$E:$E,$T397)="","vacía",DAY(INDEX(firmadas!$E:$E,$T397))&amp;"/"&amp;MONTH(INDEX(firmadas!$E:$E,$T397))&amp;"/"&amp;YEAR(INDEX(firmadas!$E:$E,$T397)))&amp;")","OK"))))))))</f>
        <v/>
      </c>
      <c r="T397" t="str">
        <f ca="1">IF($P397="","",IFERROR(MATCH($P397,firmadas!$N:$N,0),IFERROR(MATCH("*/"&amp;MID($P397,FIND(" ",$P397)+1,9)&amp;"*",firmadas!$B:$B,0),0)))</f>
        <v/>
      </c>
    </row>
    <row r="398" spans="6:20" ht="15" customHeight="1" x14ac:dyDescent="0.25">
      <c r="F398" s="16"/>
      <c r="M398" s="53"/>
      <c r="N398" s="53" t="str">
        <f t="shared" ca="1" si="6"/>
        <v/>
      </c>
      <c r="P398" t="str">
        <f ca="1">IF(TRIM(SUBSTITUTE(($C398&amp;" "&amp;$D398),CHAR(160)," "))="","",IFERROR(IF(ISNUMBER(SEARCH("INC",($C398&amp;" "&amp;$D398))),"INC",IF(ISNUMBER(SEARCH("OPI",($C398&amp;" "&amp;$D398))),"OPI",IF(ISNUMBER(SEARCH("DP",($C398&amp;" "&amp;$D398))),"DP","CONC")))&amp;" "&amp;TEXT(LOOKUP(9.99E+307,--MID(SUBSTITUTE(($C398&amp;" "&amp;$D398),CHAR(160)," "),SUMPRODUCT(MIN(FIND({0,1,2,3,4,5,6,7,8,9},SUBSTITUTE(($C398&amp;" "&amp;$D398),CHAR(160)," ")&amp;"0123456789"))),ROW(INDIRECT("1:6")))),"0"),"SIN NUMERO"))</f>
        <v/>
      </c>
      <c r="Q398" t="str">
        <f ca="1">IF($P398="","",IF(LEFT(UPPER($S398),9)="VERIFICAR","VERIFICAR",IF($A398="","SIN ESTADO",IF(AND($A398="Firmada",$H398=""),"FALTA FECHA DE FIRMA",IF(N($T398)=0,IF(AND(ISNUMBER($H398),$H398&gt;=DATE(2024,1,1)),"FALTA EN FIRMADAS","OK"),IF(OR($A398="Pendiente de presentación",$A398="Observado",$A398="En análisis",$A398="En instrucción",$A398="Suspendida",$A398="IT circulando",$A398="Para resolución",$A398="TDC"),"ABIERTA PERO ESTÁ EN FIRMADAS",IF($H398&lt;&gt;INDEX(firmadas!$F:$F,$T398),"FIRMA DISTINTA EN firmadas ("&amp;IF(INDEX(firmadas!$F:$F,$T398)="","vacía",DAY(INDEX(firmadas!$F:$F,$T398))&amp;"/"&amp;MONTH(INDEX(firmadas!$F:$F,$T398))&amp;"/"&amp;YEAR(INDEX(firmadas!$F:$F,$T398)))&amp;")",IF($G398&lt;&gt;INDEX(firmadas!$E:$E,$T398),"INGRESO DISTINTO EN firmadas ("&amp;IF(INDEX(firmadas!$E:$E,$T398)="","vacía",DAY(INDEX(firmadas!$E:$E,$T398))&amp;"/"&amp;MONTH(INDEX(firmadas!$E:$E,$T398))&amp;"/"&amp;YEAR(INDEX(firmadas!$E:$E,$T398)))&amp;")","OK"))))))))</f>
        <v/>
      </c>
      <c r="T398" t="str">
        <f ca="1">IF($P398="","",IFERROR(MATCH($P398,firmadas!$N:$N,0),IFERROR(MATCH("*/"&amp;MID($P398,FIND(" ",$P398)+1,9)&amp;"*",firmadas!$B:$B,0),0)))</f>
        <v/>
      </c>
    </row>
    <row r="399" spans="6:20" ht="15" customHeight="1" x14ac:dyDescent="0.25">
      <c r="F399" s="16"/>
      <c r="M399" s="53"/>
      <c r="N399" s="53" t="str">
        <f t="shared" ca="1" si="6"/>
        <v/>
      </c>
      <c r="P399" t="str">
        <f ca="1">IF(TRIM(SUBSTITUTE(($C399&amp;" "&amp;$D399),CHAR(160)," "))="","",IFERROR(IF(ISNUMBER(SEARCH("INC",($C399&amp;" "&amp;$D399))),"INC",IF(ISNUMBER(SEARCH("OPI",($C399&amp;" "&amp;$D399))),"OPI",IF(ISNUMBER(SEARCH("DP",($C399&amp;" "&amp;$D399))),"DP","CONC")))&amp;" "&amp;TEXT(LOOKUP(9.99E+307,--MID(SUBSTITUTE(($C399&amp;" "&amp;$D399),CHAR(160)," "),SUMPRODUCT(MIN(FIND({0,1,2,3,4,5,6,7,8,9},SUBSTITUTE(($C399&amp;" "&amp;$D399),CHAR(160)," ")&amp;"0123456789"))),ROW(INDIRECT("1:6")))),"0"),"SIN NUMERO"))</f>
        <v/>
      </c>
      <c r="Q399" t="str">
        <f ca="1">IF($P399="","",IF(LEFT(UPPER($S399),9)="VERIFICAR","VERIFICAR",IF($A399="","SIN ESTADO",IF(AND($A399="Firmada",$H399=""),"FALTA FECHA DE FIRMA",IF(N($T399)=0,IF(AND(ISNUMBER($H399),$H399&gt;=DATE(2024,1,1)),"FALTA EN FIRMADAS","OK"),IF(OR($A399="Pendiente de presentación",$A399="Observado",$A399="En análisis",$A399="En instrucción",$A399="Suspendida",$A399="IT circulando",$A399="Para resolución",$A399="TDC"),"ABIERTA PERO ESTÁ EN FIRMADAS",IF($H399&lt;&gt;INDEX(firmadas!$F:$F,$T399),"FIRMA DISTINTA EN firmadas ("&amp;IF(INDEX(firmadas!$F:$F,$T399)="","vacía",DAY(INDEX(firmadas!$F:$F,$T399))&amp;"/"&amp;MONTH(INDEX(firmadas!$F:$F,$T399))&amp;"/"&amp;YEAR(INDEX(firmadas!$F:$F,$T399)))&amp;")",IF($G399&lt;&gt;INDEX(firmadas!$E:$E,$T399),"INGRESO DISTINTO EN firmadas ("&amp;IF(INDEX(firmadas!$E:$E,$T399)="","vacía",DAY(INDEX(firmadas!$E:$E,$T399))&amp;"/"&amp;MONTH(INDEX(firmadas!$E:$E,$T399))&amp;"/"&amp;YEAR(INDEX(firmadas!$E:$E,$T399)))&amp;")","OK"))))))))</f>
        <v/>
      </c>
      <c r="T399" t="str">
        <f ca="1">IF($P399="","",IFERROR(MATCH($P399,firmadas!$N:$N,0),IFERROR(MATCH("*/"&amp;MID($P399,FIND(" ",$P399)+1,9)&amp;"*",firmadas!$B:$B,0),0)))</f>
        <v/>
      </c>
    </row>
    <row r="400" spans="6:20" ht="15" customHeight="1" x14ac:dyDescent="0.25">
      <c r="F400" s="16"/>
      <c r="M400" s="53"/>
      <c r="N400" s="53" t="str">
        <f t="shared" ca="1" si="6"/>
        <v/>
      </c>
      <c r="P400" t="str">
        <f ca="1">IF(TRIM(SUBSTITUTE(($C400&amp;" "&amp;$D400),CHAR(160)," "))="","",IFERROR(IF(ISNUMBER(SEARCH("INC",($C400&amp;" "&amp;$D400))),"INC",IF(ISNUMBER(SEARCH("OPI",($C400&amp;" "&amp;$D400))),"OPI",IF(ISNUMBER(SEARCH("DP",($C400&amp;" "&amp;$D400))),"DP","CONC")))&amp;" "&amp;TEXT(LOOKUP(9.99E+307,--MID(SUBSTITUTE(($C400&amp;" "&amp;$D400),CHAR(160)," "),SUMPRODUCT(MIN(FIND({0,1,2,3,4,5,6,7,8,9},SUBSTITUTE(($C400&amp;" "&amp;$D400),CHAR(160)," ")&amp;"0123456789"))),ROW(INDIRECT("1:6")))),"0"),"SIN NUMERO"))</f>
        <v/>
      </c>
      <c r="Q400" t="str">
        <f ca="1">IF($P400="","",IF(LEFT(UPPER($S400),9)="VERIFICAR","VERIFICAR",IF($A400="","SIN ESTADO",IF(AND($A400="Firmada",$H400=""),"FALTA FECHA DE FIRMA",IF(N($T400)=0,IF(AND(ISNUMBER($H400),$H400&gt;=DATE(2024,1,1)),"FALTA EN FIRMADAS","OK"),IF(OR($A400="Pendiente de presentación",$A400="Observado",$A400="En análisis",$A400="En instrucción",$A400="Suspendida",$A400="IT circulando",$A400="Para resolución",$A400="TDC"),"ABIERTA PERO ESTÁ EN FIRMADAS",IF($H400&lt;&gt;INDEX(firmadas!$F:$F,$T400),"FIRMA DISTINTA EN firmadas ("&amp;IF(INDEX(firmadas!$F:$F,$T400)="","vacía",DAY(INDEX(firmadas!$F:$F,$T400))&amp;"/"&amp;MONTH(INDEX(firmadas!$F:$F,$T400))&amp;"/"&amp;YEAR(INDEX(firmadas!$F:$F,$T400)))&amp;")",IF($G400&lt;&gt;INDEX(firmadas!$E:$E,$T400),"INGRESO DISTINTO EN firmadas ("&amp;IF(INDEX(firmadas!$E:$E,$T400)="","vacía",DAY(INDEX(firmadas!$E:$E,$T400))&amp;"/"&amp;MONTH(INDEX(firmadas!$E:$E,$T400))&amp;"/"&amp;YEAR(INDEX(firmadas!$E:$E,$T400)))&amp;")","OK"))))))))</f>
        <v/>
      </c>
      <c r="T400" t="str">
        <f ca="1">IF($P400="","",IFERROR(MATCH($P400,firmadas!$N:$N,0),IFERROR(MATCH("*/"&amp;MID($P400,FIND(" ",$P400)+1,9)&amp;"*",firmadas!$B:$B,0),0)))</f>
        <v/>
      </c>
    </row>
    <row r="401" spans="14:20" ht="15" customHeight="1" x14ac:dyDescent="0.25">
      <c r="N401" s="53" t="str">
        <f t="shared" ca="1" si="6"/>
        <v/>
      </c>
      <c r="P401" t="str">
        <f ca="1">IF(TRIM(SUBSTITUTE(($C401&amp;" "&amp;$D401),CHAR(160)," "))="","",IFERROR(IF(ISNUMBER(SEARCH("INC",($C401&amp;" "&amp;$D401))),"INC",IF(ISNUMBER(SEARCH("OPI",($C401&amp;" "&amp;$D401))),"OPI",IF(ISNUMBER(SEARCH("DP",($C401&amp;" "&amp;$D401))),"DP","CONC")))&amp;" "&amp;TEXT(LOOKUP(9.99E+307,--MID(SUBSTITUTE(($C401&amp;" "&amp;$D401),CHAR(160)," "),SUMPRODUCT(MIN(FIND({0,1,2,3,4,5,6,7,8,9},SUBSTITUTE(($C401&amp;" "&amp;$D401),CHAR(160)," ")&amp;"0123456789"))),ROW(INDIRECT("1:6")))),"0"),"SIN NUMERO"))</f>
        <v/>
      </c>
      <c r="Q401" t="str">
        <f ca="1">IF($P401="","",IF(LEFT(UPPER($S401),9)="VERIFICAR","VERIFICAR",IF($A401="","SIN ESTADO",IF(AND($A401="Firmada",$H401=""),"FALTA FECHA DE FIRMA",IF(N($T401)=0,IF(AND(ISNUMBER($H401),$H401&gt;=DATE(2024,1,1)),"FALTA EN FIRMADAS","OK"),IF(OR($A401="Pendiente de presentación",$A401="Observado",$A401="En análisis",$A401="En instrucción",$A401="Suspendida",$A401="IT circulando",$A401="Para resolución",$A401="TDC"),"ABIERTA PERO ESTÁ EN FIRMADAS",IF($H401&lt;&gt;INDEX(firmadas!$F:$F,$T401),"FIRMA DISTINTA EN firmadas ("&amp;IF(INDEX(firmadas!$F:$F,$T401)="","vacía",DAY(INDEX(firmadas!$F:$F,$T401))&amp;"/"&amp;MONTH(INDEX(firmadas!$F:$F,$T401))&amp;"/"&amp;YEAR(INDEX(firmadas!$F:$F,$T401)))&amp;")",IF($G401&lt;&gt;INDEX(firmadas!$E:$E,$T401),"INGRESO DISTINTO EN firmadas ("&amp;IF(INDEX(firmadas!$E:$E,$T401)="","vacía",DAY(INDEX(firmadas!$E:$E,$T401))&amp;"/"&amp;MONTH(INDEX(firmadas!$E:$E,$T401))&amp;"/"&amp;YEAR(INDEX(firmadas!$E:$E,$T401)))&amp;")","OK"))))))))</f>
        <v/>
      </c>
      <c r="T401" t="str">
        <f ca="1">IF($P401="","",IFERROR(MATCH($P401,firmadas!$N:$N,0),IFERROR(MATCH("*/"&amp;MID($P401,FIND(" ",$P401)+1,9)&amp;"*",firmadas!$B:$B,0),0)))</f>
        <v/>
      </c>
    </row>
    <row r="402" spans="14:20" ht="15" customHeight="1" x14ac:dyDescent="0.25">
      <c r="N402" s="53" t="str">
        <f t="shared" ca="1" si="6"/>
        <v/>
      </c>
      <c r="P402" t="str">
        <f ca="1">IF(TRIM(SUBSTITUTE(($C402&amp;" "&amp;$D402),CHAR(160)," "))="","",IFERROR(IF(ISNUMBER(SEARCH("INC",($C402&amp;" "&amp;$D402))),"INC",IF(ISNUMBER(SEARCH("OPI",($C402&amp;" "&amp;$D402))),"OPI",IF(ISNUMBER(SEARCH("DP",($C402&amp;" "&amp;$D402))),"DP","CONC")))&amp;" "&amp;TEXT(LOOKUP(9.99E+307,--MID(SUBSTITUTE(($C402&amp;" "&amp;$D402),CHAR(160)," "),SUMPRODUCT(MIN(FIND({0,1,2,3,4,5,6,7,8,9},SUBSTITUTE(($C402&amp;" "&amp;$D402),CHAR(160)," ")&amp;"0123456789"))),ROW(INDIRECT("1:6")))),"0"),"SIN NUMERO"))</f>
        <v/>
      </c>
      <c r="Q402" t="str">
        <f ca="1">IF($P402="","",IF(LEFT(UPPER($S402),9)="VERIFICAR","VERIFICAR",IF($A402="","SIN ESTADO",IF(AND($A402="Firmada",$H402=""),"FALTA FECHA DE FIRMA",IF(N($T402)=0,IF(AND(ISNUMBER($H402),$H402&gt;=DATE(2024,1,1)),"FALTA EN FIRMADAS","OK"),IF(OR($A402="Pendiente de presentación",$A402="Observado",$A402="En análisis",$A402="En instrucción",$A402="Suspendida",$A402="IT circulando",$A402="Para resolución",$A402="TDC"),"ABIERTA PERO ESTÁ EN FIRMADAS",IF($H402&lt;&gt;INDEX(firmadas!$F:$F,$T402),"FIRMA DISTINTA EN firmadas ("&amp;IF(INDEX(firmadas!$F:$F,$T402)="","vacía",DAY(INDEX(firmadas!$F:$F,$T402))&amp;"/"&amp;MONTH(INDEX(firmadas!$F:$F,$T402))&amp;"/"&amp;YEAR(INDEX(firmadas!$F:$F,$T402)))&amp;")",IF($G402&lt;&gt;INDEX(firmadas!$E:$E,$T402),"INGRESO DISTINTO EN firmadas ("&amp;IF(INDEX(firmadas!$E:$E,$T402)="","vacía",DAY(INDEX(firmadas!$E:$E,$T402))&amp;"/"&amp;MONTH(INDEX(firmadas!$E:$E,$T402))&amp;"/"&amp;YEAR(INDEX(firmadas!$E:$E,$T402)))&amp;")","OK"))))))))</f>
        <v/>
      </c>
      <c r="T402" t="str">
        <f ca="1">IF($P402="","",IFERROR(MATCH($P402,firmadas!$N:$N,0),IFERROR(MATCH("*/"&amp;MID($P402,FIND(" ",$P402)+1,9)&amp;"*",firmadas!$B:$B,0),0)))</f>
        <v/>
      </c>
    </row>
    <row r="403" spans="14:20" ht="15" customHeight="1" x14ac:dyDescent="0.25">
      <c r="N403" s="53" t="str">
        <f t="shared" ca="1" si="6"/>
        <v/>
      </c>
      <c r="P403" t="str">
        <f ca="1">IF(TRIM(SUBSTITUTE(($C403&amp;" "&amp;$D403),CHAR(160)," "))="","",IFERROR(IF(ISNUMBER(SEARCH("INC",($C403&amp;" "&amp;$D403))),"INC",IF(ISNUMBER(SEARCH("OPI",($C403&amp;" "&amp;$D403))),"OPI",IF(ISNUMBER(SEARCH("DP",($C403&amp;" "&amp;$D403))),"DP","CONC")))&amp;" "&amp;TEXT(LOOKUP(9.99E+307,--MID(SUBSTITUTE(($C403&amp;" "&amp;$D403),CHAR(160)," "),SUMPRODUCT(MIN(FIND({0,1,2,3,4,5,6,7,8,9},SUBSTITUTE(($C403&amp;" "&amp;$D403),CHAR(160)," ")&amp;"0123456789"))),ROW(INDIRECT("1:6")))),"0"),"SIN NUMERO"))</f>
        <v/>
      </c>
      <c r="Q403" t="str">
        <f ca="1">IF($P403="","",IF(LEFT(UPPER($S403),9)="VERIFICAR","VERIFICAR",IF($A403="","SIN ESTADO",IF(AND($A403="Firmada",$H403=""),"FALTA FECHA DE FIRMA",IF(N($T403)=0,IF(AND(ISNUMBER($H403),$H403&gt;=DATE(2024,1,1)),"FALTA EN FIRMADAS","OK"),IF(OR($A403="Pendiente de presentación",$A403="Observado",$A403="En análisis",$A403="En instrucción",$A403="Suspendida",$A403="IT circulando",$A403="Para resolución",$A403="TDC"),"ABIERTA PERO ESTÁ EN FIRMADAS",IF($H403&lt;&gt;INDEX(firmadas!$F:$F,$T403),"FIRMA DISTINTA EN firmadas ("&amp;IF(INDEX(firmadas!$F:$F,$T403)="","vacía",DAY(INDEX(firmadas!$F:$F,$T403))&amp;"/"&amp;MONTH(INDEX(firmadas!$F:$F,$T403))&amp;"/"&amp;YEAR(INDEX(firmadas!$F:$F,$T403)))&amp;")",IF($G403&lt;&gt;INDEX(firmadas!$E:$E,$T403),"INGRESO DISTINTO EN firmadas ("&amp;IF(INDEX(firmadas!$E:$E,$T403)="","vacía",DAY(INDEX(firmadas!$E:$E,$T403))&amp;"/"&amp;MONTH(INDEX(firmadas!$E:$E,$T403))&amp;"/"&amp;YEAR(INDEX(firmadas!$E:$E,$T403)))&amp;")","OK"))))))))</f>
        <v/>
      </c>
      <c r="T403" t="str">
        <f ca="1">IF($P403="","",IFERROR(MATCH($P403,firmadas!$N:$N,0),IFERROR(MATCH("*/"&amp;MID($P403,FIND(" ",$P403)+1,9)&amp;"*",firmadas!$B:$B,0),0)))</f>
        <v/>
      </c>
    </row>
    <row r="404" spans="14:20" ht="15" customHeight="1" x14ac:dyDescent="0.25">
      <c r="N404" s="53" t="str">
        <f t="shared" ca="1" si="6"/>
        <v/>
      </c>
      <c r="P404" t="str">
        <f ca="1">IF(TRIM(SUBSTITUTE(($C404&amp;" "&amp;$D404),CHAR(160)," "))="","",IFERROR(IF(ISNUMBER(SEARCH("INC",($C404&amp;" "&amp;$D404))),"INC",IF(ISNUMBER(SEARCH("OPI",($C404&amp;" "&amp;$D404))),"OPI",IF(ISNUMBER(SEARCH("DP",($C404&amp;" "&amp;$D404))),"DP","CONC")))&amp;" "&amp;TEXT(LOOKUP(9.99E+307,--MID(SUBSTITUTE(($C404&amp;" "&amp;$D404),CHAR(160)," "),SUMPRODUCT(MIN(FIND({0,1,2,3,4,5,6,7,8,9},SUBSTITUTE(($C404&amp;" "&amp;$D404),CHAR(160)," ")&amp;"0123456789"))),ROW(INDIRECT("1:6")))),"0"),"SIN NUMERO"))</f>
        <v/>
      </c>
      <c r="Q404" t="str">
        <f ca="1">IF($P404="","",IF(LEFT(UPPER($S404),9)="VERIFICAR","VERIFICAR",IF($A404="","SIN ESTADO",IF(AND($A404="Firmada",$H404=""),"FALTA FECHA DE FIRMA",IF(N($T404)=0,IF(AND(ISNUMBER($H404),$H404&gt;=DATE(2024,1,1)),"FALTA EN FIRMADAS","OK"),IF(OR($A404="Pendiente de presentación",$A404="Observado",$A404="En análisis",$A404="En instrucción",$A404="Suspendida",$A404="IT circulando",$A404="Para resolución",$A404="TDC"),"ABIERTA PERO ESTÁ EN FIRMADAS",IF($H404&lt;&gt;INDEX(firmadas!$F:$F,$T404),"FIRMA DISTINTA EN firmadas ("&amp;IF(INDEX(firmadas!$F:$F,$T404)="","vacía",DAY(INDEX(firmadas!$F:$F,$T404))&amp;"/"&amp;MONTH(INDEX(firmadas!$F:$F,$T404))&amp;"/"&amp;YEAR(INDEX(firmadas!$F:$F,$T404)))&amp;")",IF($G404&lt;&gt;INDEX(firmadas!$E:$E,$T404),"INGRESO DISTINTO EN firmadas ("&amp;IF(INDEX(firmadas!$E:$E,$T404)="","vacía",DAY(INDEX(firmadas!$E:$E,$T404))&amp;"/"&amp;MONTH(INDEX(firmadas!$E:$E,$T404))&amp;"/"&amp;YEAR(INDEX(firmadas!$E:$E,$T404)))&amp;")","OK"))))))))</f>
        <v/>
      </c>
      <c r="T404" t="str">
        <f ca="1">IF($P404="","",IFERROR(MATCH($P404,firmadas!$N:$N,0),IFERROR(MATCH("*/"&amp;MID($P404,FIND(" ",$P404)+1,9)&amp;"*",firmadas!$B:$B,0),0)))</f>
        <v/>
      </c>
    </row>
    <row r="405" spans="14:20" ht="15" customHeight="1" x14ac:dyDescent="0.25">
      <c r="N405" s="53" t="str">
        <f t="shared" ca="1" si="6"/>
        <v/>
      </c>
      <c r="P405" t="str">
        <f ca="1">IF(TRIM(SUBSTITUTE(($C405&amp;" "&amp;$D405),CHAR(160)," "))="","",IFERROR(IF(ISNUMBER(SEARCH("INC",($C405&amp;" "&amp;$D405))),"INC",IF(ISNUMBER(SEARCH("OPI",($C405&amp;" "&amp;$D405))),"OPI",IF(ISNUMBER(SEARCH("DP",($C405&amp;" "&amp;$D405))),"DP","CONC")))&amp;" "&amp;TEXT(LOOKUP(9.99E+307,--MID(SUBSTITUTE(($C405&amp;" "&amp;$D405),CHAR(160)," "),SUMPRODUCT(MIN(FIND({0,1,2,3,4,5,6,7,8,9},SUBSTITUTE(($C405&amp;" "&amp;$D405),CHAR(160)," ")&amp;"0123456789"))),ROW(INDIRECT("1:6")))),"0"),"SIN NUMERO"))</f>
        <v/>
      </c>
      <c r="Q405" t="str">
        <f ca="1">IF($P405="","",IF(LEFT(UPPER($S405),9)="VERIFICAR","VERIFICAR",IF($A405="","SIN ESTADO",IF(AND($A405="Firmada",$H405=""),"FALTA FECHA DE FIRMA",IF(N($T405)=0,IF(AND(ISNUMBER($H405),$H405&gt;=DATE(2024,1,1)),"FALTA EN FIRMADAS","OK"),IF(OR($A405="Pendiente de presentación",$A405="Observado",$A405="En análisis",$A405="En instrucción",$A405="Suspendida",$A405="IT circulando",$A405="Para resolución",$A405="TDC"),"ABIERTA PERO ESTÁ EN FIRMADAS",IF($H405&lt;&gt;INDEX(firmadas!$F:$F,$T405),"FIRMA DISTINTA EN firmadas ("&amp;IF(INDEX(firmadas!$F:$F,$T405)="","vacía",DAY(INDEX(firmadas!$F:$F,$T405))&amp;"/"&amp;MONTH(INDEX(firmadas!$F:$F,$T405))&amp;"/"&amp;YEAR(INDEX(firmadas!$F:$F,$T405)))&amp;")",IF($G405&lt;&gt;INDEX(firmadas!$E:$E,$T405),"INGRESO DISTINTO EN firmadas ("&amp;IF(INDEX(firmadas!$E:$E,$T405)="","vacía",DAY(INDEX(firmadas!$E:$E,$T405))&amp;"/"&amp;MONTH(INDEX(firmadas!$E:$E,$T405))&amp;"/"&amp;YEAR(INDEX(firmadas!$E:$E,$T405)))&amp;")","OK"))))))))</f>
        <v/>
      </c>
      <c r="T405" t="str">
        <f ca="1">IF($P405="","",IFERROR(MATCH($P405,firmadas!$N:$N,0),IFERROR(MATCH("*/"&amp;MID($P405,FIND(" ",$P405)+1,9)&amp;"*",firmadas!$B:$B,0),0)))</f>
        <v/>
      </c>
    </row>
    <row r="406" spans="14:20" ht="15" customHeight="1" x14ac:dyDescent="0.25">
      <c r="N406" s="53" t="str">
        <f t="shared" ca="1" si="6"/>
        <v/>
      </c>
      <c r="P406" t="str">
        <f ca="1">IF(TRIM(SUBSTITUTE(($C406&amp;" "&amp;$D406),CHAR(160)," "))="","",IFERROR(IF(ISNUMBER(SEARCH("INC",($C406&amp;" "&amp;$D406))),"INC",IF(ISNUMBER(SEARCH("OPI",($C406&amp;" "&amp;$D406))),"OPI",IF(ISNUMBER(SEARCH("DP",($C406&amp;" "&amp;$D406))),"DP","CONC")))&amp;" "&amp;TEXT(LOOKUP(9.99E+307,--MID(SUBSTITUTE(($C406&amp;" "&amp;$D406),CHAR(160)," "),SUMPRODUCT(MIN(FIND({0,1,2,3,4,5,6,7,8,9},SUBSTITUTE(($C406&amp;" "&amp;$D406),CHAR(160)," ")&amp;"0123456789"))),ROW(INDIRECT("1:6")))),"0"),"SIN NUMERO"))</f>
        <v/>
      </c>
      <c r="Q406" t="str">
        <f ca="1">IF($P406="","",IF(LEFT(UPPER($S406),9)="VERIFICAR","VERIFICAR",IF($A406="","SIN ESTADO",IF(AND($A406="Firmada",$H406=""),"FALTA FECHA DE FIRMA",IF(N($T406)=0,IF(AND(ISNUMBER($H406),$H406&gt;=DATE(2024,1,1)),"FALTA EN FIRMADAS","OK"),IF(OR($A406="Pendiente de presentación",$A406="Observado",$A406="En análisis",$A406="En instrucción",$A406="Suspendida",$A406="IT circulando",$A406="Para resolución",$A406="TDC"),"ABIERTA PERO ESTÁ EN FIRMADAS",IF($H406&lt;&gt;INDEX(firmadas!$F:$F,$T406),"FIRMA DISTINTA EN firmadas ("&amp;IF(INDEX(firmadas!$F:$F,$T406)="","vacía",DAY(INDEX(firmadas!$F:$F,$T406))&amp;"/"&amp;MONTH(INDEX(firmadas!$F:$F,$T406))&amp;"/"&amp;YEAR(INDEX(firmadas!$F:$F,$T406)))&amp;")",IF($G406&lt;&gt;INDEX(firmadas!$E:$E,$T406),"INGRESO DISTINTO EN firmadas ("&amp;IF(INDEX(firmadas!$E:$E,$T406)="","vacía",DAY(INDEX(firmadas!$E:$E,$T406))&amp;"/"&amp;MONTH(INDEX(firmadas!$E:$E,$T406))&amp;"/"&amp;YEAR(INDEX(firmadas!$E:$E,$T406)))&amp;")","OK"))))))))</f>
        <v/>
      </c>
      <c r="T406" t="str">
        <f ca="1">IF($P406="","",IFERROR(MATCH($P406,firmadas!$N:$N,0),IFERROR(MATCH("*/"&amp;MID($P406,FIND(" ",$P406)+1,9)&amp;"*",firmadas!$B:$B,0),0)))</f>
        <v/>
      </c>
    </row>
    <row r="407" spans="14:20" ht="15" customHeight="1" x14ac:dyDescent="0.25">
      <c r="N407" s="53" t="str">
        <f t="shared" ca="1" si="6"/>
        <v/>
      </c>
      <c r="P407" t="str">
        <f ca="1">IF(TRIM(SUBSTITUTE(($C407&amp;" "&amp;$D407),CHAR(160)," "))="","",IFERROR(IF(ISNUMBER(SEARCH("INC",($C407&amp;" "&amp;$D407))),"INC",IF(ISNUMBER(SEARCH("OPI",($C407&amp;" "&amp;$D407))),"OPI",IF(ISNUMBER(SEARCH("DP",($C407&amp;" "&amp;$D407))),"DP","CONC")))&amp;" "&amp;TEXT(LOOKUP(9.99E+307,--MID(SUBSTITUTE(($C407&amp;" "&amp;$D407),CHAR(160)," "),SUMPRODUCT(MIN(FIND({0,1,2,3,4,5,6,7,8,9},SUBSTITUTE(($C407&amp;" "&amp;$D407),CHAR(160)," ")&amp;"0123456789"))),ROW(INDIRECT("1:6")))),"0"),"SIN NUMERO"))</f>
        <v/>
      </c>
      <c r="Q407" t="str">
        <f ca="1">IF($P407="","",IF(LEFT(UPPER($S407),9)="VERIFICAR","VERIFICAR",IF($A407="","SIN ESTADO",IF(AND($A407="Firmada",$H407=""),"FALTA FECHA DE FIRMA",IF(N($T407)=0,IF(AND(ISNUMBER($H407),$H407&gt;=DATE(2024,1,1)),"FALTA EN FIRMADAS","OK"),IF(OR($A407="Pendiente de presentación",$A407="Observado",$A407="En análisis",$A407="En instrucción",$A407="Suspendida",$A407="IT circulando",$A407="Para resolución",$A407="TDC"),"ABIERTA PERO ESTÁ EN FIRMADAS",IF($H407&lt;&gt;INDEX(firmadas!$F:$F,$T407),"FIRMA DISTINTA EN firmadas ("&amp;IF(INDEX(firmadas!$F:$F,$T407)="","vacía",DAY(INDEX(firmadas!$F:$F,$T407))&amp;"/"&amp;MONTH(INDEX(firmadas!$F:$F,$T407))&amp;"/"&amp;YEAR(INDEX(firmadas!$F:$F,$T407)))&amp;")",IF($G407&lt;&gt;INDEX(firmadas!$E:$E,$T407),"INGRESO DISTINTO EN firmadas ("&amp;IF(INDEX(firmadas!$E:$E,$T407)="","vacía",DAY(INDEX(firmadas!$E:$E,$T407))&amp;"/"&amp;MONTH(INDEX(firmadas!$E:$E,$T407))&amp;"/"&amp;YEAR(INDEX(firmadas!$E:$E,$T407)))&amp;")","OK"))))))))</f>
        <v/>
      </c>
      <c r="T407" t="str">
        <f ca="1">IF($P407="","",IFERROR(MATCH($P407,firmadas!$N:$N,0),IFERROR(MATCH("*/"&amp;MID($P407,FIND(" ",$P407)+1,9)&amp;"*",firmadas!$B:$B,0),0)))</f>
        <v/>
      </c>
    </row>
    <row r="408" spans="14:20" ht="15" customHeight="1" x14ac:dyDescent="0.25">
      <c r="N408" s="53" t="str">
        <f t="shared" ca="1" si="6"/>
        <v/>
      </c>
      <c r="P408" t="str">
        <f ca="1">IF(TRIM(SUBSTITUTE(($C408&amp;" "&amp;$D408),CHAR(160)," "))="","",IFERROR(IF(ISNUMBER(SEARCH("INC",($C408&amp;" "&amp;$D408))),"INC",IF(ISNUMBER(SEARCH("OPI",($C408&amp;" "&amp;$D408))),"OPI",IF(ISNUMBER(SEARCH("DP",($C408&amp;" "&amp;$D408))),"DP","CONC")))&amp;" "&amp;TEXT(LOOKUP(9.99E+307,--MID(SUBSTITUTE(($C408&amp;" "&amp;$D408),CHAR(160)," "),SUMPRODUCT(MIN(FIND({0,1,2,3,4,5,6,7,8,9},SUBSTITUTE(($C408&amp;" "&amp;$D408),CHAR(160)," ")&amp;"0123456789"))),ROW(INDIRECT("1:6")))),"0"),"SIN NUMERO"))</f>
        <v/>
      </c>
      <c r="Q408" t="str">
        <f ca="1">IF($P408="","",IF(LEFT(UPPER($S408),9)="VERIFICAR","VERIFICAR",IF($A408="","SIN ESTADO",IF(AND($A408="Firmada",$H408=""),"FALTA FECHA DE FIRMA",IF(N($T408)=0,IF(AND(ISNUMBER($H408),$H408&gt;=DATE(2024,1,1)),"FALTA EN FIRMADAS","OK"),IF(OR($A408="Pendiente de presentación",$A408="Observado",$A408="En análisis",$A408="En instrucción",$A408="Suspendida",$A408="IT circulando",$A408="Para resolución",$A408="TDC"),"ABIERTA PERO ESTÁ EN FIRMADAS",IF($H408&lt;&gt;INDEX(firmadas!$F:$F,$T408),"FIRMA DISTINTA EN firmadas ("&amp;IF(INDEX(firmadas!$F:$F,$T408)="","vacía",DAY(INDEX(firmadas!$F:$F,$T408))&amp;"/"&amp;MONTH(INDEX(firmadas!$F:$F,$T408))&amp;"/"&amp;YEAR(INDEX(firmadas!$F:$F,$T408)))&amp;")",IF($G408&lt;&gt;INDEX(firmadas!$E:$E,$T408),"INGRESO DISTINTO EN firmadas ("&amp;IF(INDEX(firmadas!$E:$E,$T408)="","vacía",DAY(INDEX(firmadas!$E:$E,$T408))&amp;"/"&amp;MONTH(INDEX(firmadas!$E:$E,$T408))&amp;"/"&amp;YEAR(INDEX(firmadas!$E:$E,$T408)))&amp;")","OK"))))))))</f>
        <v/>
      </c>
      <c r="T408" t="str">
        <f ca="1">IF($P408="","",IFERROR(MATCH($P408,firmadas!$N:$N,0),IFERROR(MATCH("*/"&amp;MID($P408,FIND(" ",$P408)+1,9)&amp;"*",firmadas!$B:$B,0),0)))</f>
        <v/>
      </c>
    </row>
    <row r="409" spans="14:20" ht="15" customHeight="1" x14ac:dyDescent="0.25">
      <c r="N409" s="53" t="str">
        <f t="shared" ca="1" si="6"/>
        <v/>
      </c>
      <c r="P409" t="str">
        <f ca="1">IF(TRIM(SUBSTITUTE(($C409&amp;" "&amp;$D409),CHAR(160)," "))="","",IFERROR(IF(ISNUMBER(SEARCH("INC",($C409&amp;" "&amp;$D409))),"INC",IF(ISNUMBER(SEARCH("OPI",($C409&amp;" "&amp;$D409))),"OPI",IF(ISNUMBER(SEARCH("DP",($C409&amp;" "&amp;$D409))),"DP","CONC")))&amp;" "&amp;TEXT(LOOKUP(9.99E+307,--MID(SUBSTITUTE(($C409&amp;" "&amp;$D409),CHAR(160)," "),SUMPRODUCT(MIN(FIND({0,1,2,3,4,5,6,7,8,9},SUBSTITUTE(($C409&amp;" "&amp;$D409),CHAR(160)," ")&amp;"0123456789"))),ROW(INDIRECT("1:6")))),"0"),"SIN NUMERO"))</f>
        <v/>
      </c>
      <c r="Q409" t="str">
        <f ca="1">IF($P409="","",IF(LEFT(UPPER($S409),9)="VERIFICAR","VERIFICAR",IF($A409="","SIN ESTADO",IF(AND($A409="Firmada",$H409=""),"FALTA FECHA DE FIRMA",IF(N($T409)=0,IF(AND(ISNUMBER($H409),$H409&gt;=DATE(2024,1,1)),"FALTA EN FIRMADAS","OK"),IF(OR($A409="Pendiente de presentación",$A409="Observado",$A409="En análisis",$A409="En instrucción",$A409="Suspendida",$A409="IT circulando",$A409="Para resolución",$A409="TDC"),"ABIERTA PERO ESTÁ EN FIRMADAS",IF($H409&lt;&gt;INDEX(firmadas!$F:$F,$T409),"FIRMA DISTINTA EN firmadas ("&amp;IF(INDEX(firmadas!$F:$F,$T409)="","vacía",DAY(INDEX(firmadas!$F:$F,$T409))&amp;"/"&amp;MONTH(INDEX(firmadas!$F:$F,$T409))&amp;"/"&amp;YEAR(INDEX(firmadas!$F:$F,$T409)))&amp;")",IF($G409&lt;&gt;INDEX(firmadas!$E:$E,$T409),"INGRESO DISTINTO EN firmadas ("&amp;IF(INDEX(firmadas!$E:$E,$T409)="","vacía",DAY(INDEX(firmadas!$E:$E,$T409))&amp;"/"&amp;MONTH(INDEX(firmadas!$E:$E,$T409))&amp;"/"&amp;YEAR(INDEX(firmadas!$E:$E,$T409)))&amp;")","OK"))))))))</f>
        <v/>
      </c>
      <c r="T409" t="str">
        <f ca="1">IF($P409="","",IFERROR(MATCH($P409,firmadas!$N:$N,0),IFERROR(MATCH("*/"&amp;MID($P409,FIND(" ",$P409)+1,9)&amp;"*",firmadas!$B:$B,0),0)))</f>
        <v/>
      </c>
    </row>
    <row r="410" spans="14:20" ht="15" customHeight="1" x14ac:dyDescent="0.25">
      <c r="N410" s="53" t="str">
        <f t="shared" ca="1" si="6"/>
        <v/>
      </c>
      <c r="P410" t="str">
        <f ca="1">IF(TRIM(SUBSTITUTE(($C410&amp;" "&amp;$D410),CHAR(160)," "))="","",IFERROR(IF(ISNUMBER(SEARCH("INC",($C410&amp;" "&amp;$D410))),"INC",IF(ISNUMBER(SEARCH("OPI",($C410&amp;" "&amp;$D410))),"OPI",IF(ISNUMBER(SEARCH("DP",($C410&amp;" "&amp;$D410))),"DP","CONC")))&amp;" "&amp;TEXT(LOOKUP(9.99E+307,--MID(SUBSTITUTE(($C410&amp;" "&amp;$D410),CHAR(160)," "),SUMPRODUCT(MIN(FIND({0,1,2,3,4,5,6,7,8,9},SUBSTITUTE(($C410&amp;" "&amp;$D410),CHAR(160)," ")&amp;"0123456789"))),ROW(INDIRECT("1:6")))),"0"),"SIN NUMERO"))</f>
        <v/>
      </c>
      <c r="Q410" t="str">
        <f ca="1">IF($P410="","",IF(LEFT(UPPER($S410),9)="VERIFICAR","VERIFICAR",IF($A410="","SIN ESTADO",IF(AND($A410="Firmada",$H410=""),"FALTA FECHA DE FIRMA",IF(N($T410)=0,IF(AND(ISNUMBER($H410),$H410&gt;=DATE(2024,1,1)),"FALTA EN FIRMADAS","OK"),IF(OR($A410="Pendiente de presentación",$A410="Observado",$A410="En análisis",$A410="En instrucción",$A410="Suspendida",$A410="IT circulando",$A410="Para resolución",$A410="TDC"),"ABIERTA PERO ESTÁ EN FIRMADAS",IF($H410&lt;&gt;INDEX(firmadas!$F:$F,$T410),"FIRMA DISTINTA EN firmadas ("&amp;IF(INDEX(firmadas!$F:$F,$T410)="","vacía",DAY(INDEX(firmadas!$F:$F,$T410))&amp;"/"&amp;MONTH(INDEX(firmadas!$F:$F,$T410))&amp;"/"&amp;YEAR(INDEX(firmadas!$F:$F,$T410)))&amp;")",IF($G410&lt;&gt;INDEX(firmadas!$E:$E,$T410),"INGRESO DISTINTO EN firmadas ("&amp;IF(INDEX(firmadas!$E:$E,$T410)="","vacía",DAY(INDEX(firmadas!$E:$E,$T410))&amp;"/"&amp;MONTH(INDEX(firmadas!$E:$E,$T410))&amp;"/"&amp;YEAR(INDEX(firmadas!$E:$E,$T410)))&amp;")","OK"))))))))</f>
        <v/>
      </c>
      <c r="T410" t="str">
        <f ca="1">IF($P410="","",IFERROR(MATCH($P410,firmadas!$N:$N,0),IFERROR(MATCH("*/"&amp;MID($P410,FIND(" ",$P410)+1,9)&amp;"*",firmadas!$B:$B,0),0)))</f>
        <v/>
      </c>
    </row>
    <row r="411" spans="14:20" ht="15" customHeight="1" x14ac:dyDescent="0.25">
      <c r="N411" s="53" t="str">
        <f t="shared" ca="1" si="6"/>
        <v/>
      </c>
      <c r="P411" t="str">
        <f ca="1">IF(TRIM(SUBSTITUTE(($C411&amp;" "&amp;$D411),CHAR(160)," "))="","",IFERROR(IF(ISNUMBER(SEARCH("INC",($C411&amp;" "&amp;$D411))),"INC",IF(ISNUMBER(SEARCH("OPI",($C411&amp;" "&amp;$D411))),"OPI",IF(ISNUMBER(SEARCH("DP",($C411&amp;" "&amp;$D411))),"DP","CONC")))&amp;" "&amp;TEXT(LOOKUP(9.99E+307,--MID(SUBSTITUTE(($C411&amp;" "&amp;$D411),CHAR(160)," "),SUMPRODUCT(MIN(FIND({0,1,2,3,4,5,6,7,8,9},SUBSTITUTE(($C411&amp;" "&amp;$D411),CHAR(160)," ")&amp;"0123456789"))),ROW(INDIRECT("1:6")))),"0"),"SIN NUMERO"))</f>
        <v/>
      </c>
      <c r="Q411" t="str">
        <f ca="1">IF($P411="","",IF(LEFT(UPPER($S411),9)="VERIFICAR","VERIFICAR",IF($A411="","SIN ESTADO",IF(AND($A411="Firmada",$H411=""),"FALTA FECHA DE FIRMA",IF(N($T411)=0,IF(AND(ISNUMBER($H411),$H411&gt;=DATE(2024,1,1)),"FALTA EN FIRMADAS","OK"),IF(OR($A411="Pendiente de presentación",$A411="Observado",$A411="En análisis",$A411="En instrucción",$A411="Suspendida",$A411="IT circulando",$A411="Para resolución",$A411="TDC"),"ABIERTA PERO ESTÁ EN FIRMADAS",IF($H411&lt;&gt;INDEX(firmadas!$F:$F,$T411),"FIRMA DISTINTA EN firmadas ("&amp;IF(INDEX(firmadas!$F:$F,$T411)="","vacía",DAY(INDEX(firmadas!$F:$F,$T411))&amp;"/"&amp;MONTH(INDEX(firmadas!$F:$F,$T411))&amp;"/"&amp;YEAR(INDEX(firmadas!$F:$F,$T411)))&amp;")",IF($G411&lt;&gt;INDEX(firmadas!$E:$E,$T411),"INGRESO DISTINTO EN firmadas ("&amp;IF(INDEX(firmadas!$E:$E,$T411)="","vacía",DAY(INDEX(firmadas!$E:$E,$T411))&amp;"/"&amp;MONTH(INDEX(firmadas!$E:$E,$T411))&amp;"/"&amp;YEAR(INDEX(firmadas!$E:$E,$T411)))&amp;")","OK"))))))))</f>
        <v/>
      </c>
      <c r="T411" t="str">
        <f ca="1">IF($P411="","",IFERROR(MATCH($P411,firmadas!$N:$N,0),IFERROR(MATCH("*/"&amp;MID($P411,FIND(" ",$P411)+1,9)&amp;"*",firmadas!$B:$B,0),0)))</f>
        <v/>
      </c>
    </row>
    <row r="412" spans="14:20" ht="15" customHeight="1" x14ac:dyDescent="0.25">
      <c r="N412" s="53" t="str">
        <f t="shared" ca="1" si="6"/>
        <v/>
      </c>
      <c r="P412" t="str">
        <f ca="1">IF(TRIM(SUBSTITUTE(($C412&amp;" "&amp;$D412),CHAR(160)," "))="","",IFERROR(IF(ISNUMBER(SEARCH("INC",($C412&amp;" "&amp;$D412))),"INC",IF(ISNUMBER(SEARCH("OPI",($C412&amp;" "&amp;$D412))),"OPI",IF(ISNUMBER(SEARCH("DP",($C412&amp;" "&amp;$D412))),"DP","CONC")))&amp;" "&amp;TEXT(LOOKUP(9.99E+307,--MID(SUBSTITUTE(($C412&amp;" "&amp;$D412),CHAR(160)," "),SUMPRODUCT(MIN(FIND({0,1,2,3,4,5,6,7,8,9},SUBSTITUTE(($C412&amp;" "&amp;$D412),CHAR(160)," ")&amp;"0123456789"))),ROW(INDIRECT("1:6")))),"0"),"SIN NUMERO"))</f>
        <v/>
      </c>
      <c r="Q412" t="str">
        <f ca="1">IF($P412="","",IF(LEFT(UPPER($S412),9)="VERIFICAR","VERIFICAR",IF($A412="","SIN ESTADO",IF(AND($A412="Firmada",$H412=""),"FALTA FECHA DE FIRMA",IF(N($T412)=0,IF(AND(ISNUMBER($H412),$H412&gt;=DATE(2024,1,1)),"FALTA EN FIRMADAS","OK"),IF(OR($A412="Pendiente de presentación",$A412="Observado",$A412="En análisis",$A412="En instrucción",$A412="Suspendida",$A412="IT circulando",$A412="Para resolución",$A412="TDC"),"ABIERTA PERO ESTÁ EN FIRMADAS",IF($H412&lt;&gt;INDEX(firmadas!$F:$F,$T412),"FIRMA DISTINTA EN firmadas ("&amp;IF(INDEX(firmadas!$F:$F,$T412)="","vacía",DAY(INDEX(firmadas!$F:$F,$T412))&amp;"/"&amp;MONTH(INDEX(firmadas!$F:$F,$T412))&amp;"/"&amp;YEAR(INDEX(firmadas!$F:$F,$T412)))&amp;")",IF($G412&lt;&gt;INDEX(firmadas!$E:$E,$T412),"INGRESO DISTINTO EN firmadas ("&amp;IF(INDEX(firmadas!$E:$E,$T412)="","vacía",DAY(INDEX(firmadas!$E:$E,$T412))&amp;"/"&amp;MONTH(INDEX(firmadas!$E:$E,$T412))&amp;"/"&amp;YEAR(INDEX(firmadas!$E:$E,$T412)))&amp;")","OK"))))))))</f>
        <v/>
      </c>
      <c r="T412" t="str">
        <f ca="1">IF($P412="","",IFERROR(MATCH($P412,firmadas!$N:$N,0),IFERROR(MATCH("*/"&amp;MID($P412,FIND(" ",$P412)+1,9)&amp;"*",firmadas!$B:$B,0),0)))</f>
        <v/>
      </c>
    </row>
    <row r="413" spans="14:20" ht="15" customHeight="1" x14ac:dyDescent="0.25">
      <c r="N413" s="53" t="str">
        <f t="shared" ca="1" si="6"/>
        <v/>
      </c>
      <c r="P413" t="str">
        <f ca="1">IF(TRIM(SUBSTITUTE(($C413&amp;" "&amp;$D413),CHAR(160)," "))="","",IFERROR(IF(ISNUMBER(SEARCH("INC",($C413&amp;" "&amp;$D413))),"INC",IF(ISNUMBER(SEARCH("OPI",($C413&amp;" "&amp;$D413))),"OPI",IF(ISNUMBER(SEARCH("DP",($C413&amp;" "&amp;$D413))),"DP","CONC")))&amp;" "&amp;TEXT(LOOKUP(9.99E+307,--MID(SUBSTITUTE(($C413&amp;" "&amp;$D413),CHAR(160)," "),SUMPRODUCT(MIN(FIND({0,1,2,3,4,5,6,7,8,9},SUBSTITUTE(($C413&amp;" "&amp;$D413),CHAR(160)," ")&amp;"0123456789"))),ROW(INDIRECT("1:6")))),"0"),"SIN NUMERO"))</f>
        <v/>
      </c>
      <c r="Q413" t="str">
        <f ca="1">IF($P413="","",IF(LEFT(UPPER($S413),9)="VERIFICAR","VERIFICAR",IF($A413="","SIN ESTADO",IF(AND($A413="Firmada",$H413=""),"FALTA FECHA DE FIRMA",IF(N($T413)=0,IF(AND(ISNUMBER($H413),$H413&gt;=DATE(2024,1,1)),"FALTA EN FIRMADAS","OK"),IF(OR($A413="Pendiente de presentación",$A413="Observado",$A413="En análisis",$A413="En instrucción",$A413="Suspendida",$A413="IT circulando",$A413="Para resolución",$A413="TDC"),"ABIERTA PERO ESTÁ EN FIRMADAS",IF($H413&lt;&gt;INDEX(firmadas!$F:$F,$T413),"FIRMA DISTINTA EN firmadas ("&amp;IF(INDEX(firmadas!$F:$F,$T413)="","vacía",DAY(INDEX(firmadas!$F:$F,$T413))&amp;"/"&amp;MONTH(INDEX(firmadas!$F:$F,$T413))&amp;"/"&amp;YEAR(INDEX(firmadas!$F:$F,$T413)))&amp;")",IF($G413&lt;&gt;INDEX(firmadas!$E:$E,$T413),"INGRESO DISTINTO EN firmadas ("&amp;IF(INDEX(firmadas!$E:$E,$T413)="","vacía",DAY(INDEX(firmadas!$E:$E,$T413))&amp;"/"&amp;MONTH(INDEX(firmadas!$E:$E,$T413))&amp;"/"&amp;YEAR(INDEX(firmadas!$E:$E,$T413)))&amp;")","OK"))))))))</f>
        <v/>
      </c>
      <c r="T413" t="str">
        <f ca="1">IF($P413="","",IFERROR(MATCH($P413,firmadas!$N:$N,0),IFERROR(MATCH("*/"&amp;MID($P413,FIND(" ",$P413)+1,9)&amp;"*",firmadas!$B:$B,0),0)))</f>
        <v/>
      </c>
    </row>
    <row r="414" spans="14:20" ht="15" customHeight="1" x14ac:dyDescent="0.25">
      <c r="N414" s="53" t="str">
        <f t="shared" ca="1" si="6"/>
        <v/>
      </c>
      <c r="P414" t="str">
        <f ca="1">IF(TRIM(SUBSTITUTE(($C414&amp;" "&amp;$D414),CHAR(160)," "))="","",IFERROR(IF(ISNUMBER(SEARCH("INC",($C414&amp;" "&amp;$D414))),"INC",IF(ISNUMBER(SEARCH("OPI",($C414&amp;" "&amp;$D414))),"OPI",IF(ISNUMBER(SEARCH("DP",($C414&amp;" "&amp;$D414))),"DP","CONC")))&amp;" "&amp;TEXT(LOOKUP(9.99E+307,--MID(SUBSTITUTE(($C414&amp;" "&amp;$D414),CHAR(160)," "),SUMPRODUCT(MIN(FIND({0,1,2,3,4,5,6,7,8,9},SUBSTITUTE(($C414&amp;" "&amp;$D414),CHAR(160)," ")&amp;"0123456789"))),ROW(INDIRECT("1:6")))),"0"),"SIN NUMERO"))</f>
        <v/>
      </c>
      <c r="Q414" t="str">
        <f ca="1">IF($P414="","",IF(LEFT(UPPER($S414),9)="VERIFICAR","VERIFICAR",IF($A414="","SIN ESTADO",IF(AND($A414="Firmada",$H414=""),"FALTA FECHA DE FIRMA",IF(N($T414)=0,IF(AND(ISNUMBER($H414),$H414&gt;=DATE(2024,1,1)),"FALTA EN FIRMADAS","OK"),IF(OR($A414="Pendiente de presentación",$A414="Observado",$A414="En análisis",$A414="En instrucción",$A414="Suspendida",$A414="IT circulando",$A414="Para resolución",$A414="TDC"),"ABIERTA PERO ESTÁ EN FIRMADAS",IF($H414&lt;&gt;INDEX(firmadas!$F:$F,$T414),"FIRMA DISTINTA EN firmadas ("&amp;IF(INDEX(firmadas!$F:$F,$T414)="","vacía",DAY(INDEX(firmadas!$F:$F,$T414))&amp;"/"&amp;MONTH(INDEX(firmadas!$F:$F,$T414))&amp;"/"&amp;YEAR(INDEX(firmadas!$F:$F,$T414)))&amp;")",IF($G414&lt;&gt;INDEX(firmadas!$E:$E,$T414),"INGRESO DISTINTO EN firmadas ("&amp;IF(INDEX(firmadas!$E:$E,$T414)="","vacía",DAY(INDEX(firmadas!$E:$E,$T414))&amp;"/"&amp;MONTH(INDEX(firmadas!$E:$E,$T414))&amp;"/"&amp;YEAR(INDEX(firmadas!$E:$E,$T414)))&amp;")","OK"))))))))</f>
        <v/>
      </c>
      <c r="T414" t="str">
        <f ca="1">IF($P414="","",IFERROR(MATCH($P414,firmadas!$N:$N,0),IFERROR(MATCH("*/"&amp;MID($P414,FIND(" ",$P414)+1,9)&amp;"*",firmadas!$B:$B,0),0)))</f>
        <v/>
      </c>
    </row>
    <row r="415" spans="14:20" ht="15" customHeight="1" x14ac:dyDescent="0.25">
      <c r="N415" s="53" t="str">
        <f t="shared" ca="1" si="6"/>
        <v/>
      </c>
      <c r="P415" t="str">
        <f ca="1">IF(TRIM(SUBSTITUTE(($C415&amp;" "&amp;$D415),CHAR(160)," "))="","",IFERROR(IF(ISNUMBER(SEARCH("INC",($C415&amp;" "&amp;$D415))),"INC",IF(ISNUMBER(SEARCH("OPI",($C415&amp;" "&amp;$D415))),"OPI",IF(ISNUMBER(SEARCH("DP",($C415&amp;" "&amp;$D415))),"DP","CONC")))&amp;" "&amp;TEXT(LOOKUP(9.99E+307,--MID(SUBSTITUTE(($C415&amp;" "&amp;$D415),CHAR(160)," "),SUMPRODUCT(MIN(FIND({0,1,2,3,4,5,6,7,8,9},SUBSTITUTE(($C415&amp;" "&amp;$D415),CHAR(160)," ")&amp;"0123456789"))),ROW(INDIRECT("1:6")))),"0"),"SIN NUMERO"))</f>
        <v/>
      </c>
      <c r="Q415" t="str">
        <f ca="1">IF($P415="","",IF(LEFT(UPPER($S415),9)="VERIFICAR","VERIFICAR",IF($A415="","SIN ESTADO",IF(AND($A415="Firmada",$H415=""),"FALTA FECHA DE FIRMA",IF(N($T415)=0,IF(AND(ISNUMBER($H415),$H415&gt;=DATE(2024,1,1)),"FALTA EN FIRMADAS","OK"),IF(OR($A415="Pendiente de presentación",$A415="Observado",$A415="En análisis",$A415="En instrucción",$A415="Suspendida",$A415="IT circulando",$A415="Para resolución",$A415="TDC"),"ABIERTA PERO ESTÁ EN FIRMADAS",IF($H415&lt;&gt;INDEX(firmadas!$F:$F,$T415),"FIRMA DISTINTA EN firmadas ("&amp;IF(INDEX(firmadas!$F:$F,$T415)="","vacía",DAY(INDEX(firmadas!$F:$F,$T415))&amp;"/"&amp;MONTH(INDEX(firmadas!$F:$F,$T415))&amp;"/"&amp;YEAR(INDEX(firmadas!$F:$F,$T415)))&amp;")",IF($G415&lt;&gt;INDEX(firmadas!$E:$E,$T415),"INGRESO DISTINTO EN firmadas ("&amp;IF(INDEX(firmadas!$E:$E,$T415)="","vacía",DAY(INDEX(firmadas!$E:$E,$T415))&amp;"/"&amp;MONTH(INDEX(firmadas!$E:$E,$T415))&amp;"/"&amp;YEAR(INDEX(firmadas!$E:$E,$T415)))&amp;")","OK"))))))))</f>
        <v/>
      </c>
      <c r="T415" t="str">
        <f ca="1">IF($P415="","",IFERROR(MATCH($P415,firmadas!$N:$N,0),IFERROR(MATCH("*/"&amp;MID($P415,FIND(" ",$P415)+1,9)&amp;"*",firmadas!$B:$B,0),0)))</f>
        <v/>
      </c>
    </row>
    <row r="416" spans="14:20" ht="15" customHeight="1" x14ac:dyDescent="0.25">
      <c r="N416" s="53" t="str">
        <f t="shared" ca="1" si="6"/>
        <v/>
      </c>
      <c r="P416" t="str">
        <f ca="1">IF(TRIM(SUBSTITUTE(($C416&amp;" "&amp;$D416),CHAR(160)," "))="","",IFERROR(IF(ISNUMBER(SEARCH("INC",($C416&amp;" "&amp;$D416))),"INC",IF(ISNUMBER(SEARCH("OPI",($C416&amp;" "&amp;$D416))),"OPI",IF(ISNUMBER(SEARCH("DP",($C416&amp;" "&amp;$D416))),"DP","CONC")))&amp;" "&amp;TEXT(LOOKUP(9.99E+307,--MID(SUBSTITUTE(($C416&amp;" "&amp;$D416),CHAR(160)," "),SUMPRODUCT(MIN(FIND({0,1,2,3,4,5,6,7,8,9},SUBSTITUTE(($C416&amp;" "&amp;$D416),CHAR(160)," ")&amp;"0123456789"))),ROW(INDIRECT("1:6")))),"0"),"SIN NUMERO"))</f>
        <v/>
      </c>
      <c r="Q416" t="str">
        <f ca="1">IF($P416="","",IF(LEFT(UPPER($S416),9)="VERIFICAR","VERIFICAR",IF($A416="","SIN ESTADO",IF(AND($A416="Firmada",$H416=""),"FALTA FECHA DE FIRMA",IF(N($T416)=0,IF(AND(ISNUMBER($H416),$H416&gt;=DATE(2024,1,1)),"FALTA EN FIRMADAS","OK"),IF(OR($A416="Pendiente de presentación",$A416="Observado",$A416="En análisis",$A416="En instrucción",$A416="Suspendida",$A416="IT circulando",$A416="Para resolución",$A416="TDC"),"ABIERTA PERO ESTÁ EN FIRMADAS",IF($H416&lt;&gt;INDEX(firmadas!$F:$F,$T416),"FIRMA DISTINTA EN firmadas ("&amp;IF(INDEX(firmadas!$F:$F,$T416)="","vacía",DAY(INDEX(firmadas!$F:$F,$T416))&amp;"/"&amp;MONTH(INDEX(firmadas!$F:$F,$T416))&amp;"/"&amp;YEAR(INDEX(firmadas!$F:$F,$T416)))&amp;")",IF($G416&lt;&gt;INDEX(firmadas!$E:$E,$T416),"INGRESO DISTINTO EN firmadas ("&amp;IF(INDEX(firmadas!$E:$E,$T416)="","vacía",DAY(INDEX(firmadas!$E:$E,$T416))&amp;"/"&amp;MONTH(INDEX(firmadas!$E:$E,$T416))&amp;"/"&amp;YEAR(INDEX(firmadas!$E:$E,$T416)))&amp;")","OK"))))))))</f>
        <v/>
      </c>
      <c r="T416" t="str">
        <f ca="1">IF($P416="","",IFERROR(MATCH($P416,firmadas!$N:$N,0),IFERROR(MATCH("*/"&amp;MID($P416,FIND(" ",$P416)+1,9)&amp;"*",firmadas!$B:$B,0),0)))</f>
        <v/>
      </c>
    </row>
    <row r="417" spans="14:20" ht="15" customHeight="1" x14ac:dyDescent="0.25">
      <c r="N417" s="53" t="str">
        <f t="shared" ca="1" si="6"/>
        <v/>
      </c>
      <c r="P417" t="str">
        <f ca="1">IF(TRIM(SUBSTITUTE(($C417&amp;" "&amp;$D417),CHAR(160)," "))="","",IFERROR(IF(ISNUMBER(SEARCH("INC",($C417&amp;" "&amp;$D417))),"INC",IF(ISNUMBER(SEARCH("OPI",($C417&amp;" "&amp;$D417))),"OPI",IF(ISNUMBER(SEARCH("DP",($C417&amp;" "&amp;$D417))),"DP","CONC")))&amp;" "&amp;TEXT(LOOKUP(9.99E+307,--MID(SUBSTITUTE(($C417&amp;" "&amp;$D417),CHAR(160)," "),SUMPRODUCT(MIN(FIND({0,1,2,3,4,5,6,7,8,9},SUBSTITUTE(($C417&amp;" "&amp;$D417),CHAR(160)," ")&amp;"0123456789"))),ROW(INDIRECT("1:6")))),"0"),"SIN NUMERO"))</f>
        <v/>
      </c>
      <c r="Q417" t="str">
        <f ca="1">IF($P417="","",IF(LEFT(UPPER($S417),9)="VERIFICAR","VERIFICAR",IF($A417="","SIN ESTADO",IF(AND($A417="Firmada",$H417=""),"FALTA FECHA DE FIRMA",IF(N($T417)=0,IF(AND(ISNUMBER($H417),$H417&gt;=DATE(2024,1,1)),"FALTA EN FIRMADAS","OK"),IF(OR($A417="Pendiente de presentación",$A417="Observado",$A417="En análisis",$A417="En instrucción",$A417="Suspendida",$A417="IT circulando",$A417="Para resolución",$A417="TDC"),"ABIERTA PERO ESTÁ EN FIRMADAS",IF($H417&lt;&gt;INDEX(firmadas!$F:$F,$T417),"FIRMA DISTINTA EN firmadas ("&amp;IF(INDEX(firmadas!$F:$F,$T417)="","vacía",DAY(INDEX(firmadas!$F:$F,$T417))&amp;"/"&amp;MONTH(INDEX(firmadas!$F:$F,$T417))&amp;"/"&amp;YEAR(INDEX(firmadas!$F:$F,$T417)))&amp;")",IF($G417&lt;&gt;INDEX(firmadas!$E:$E,$T417),"INGRESO DISTINTO EN firmadas ("&amp;IF(INDEX(firmadas!$E:$E,$T417)="","vacía",DAY(INDEX(firmadas!$E:$E,$T417))&amp;"/"&amp;MONTH(INDEX(firmadas!$E:$E,$T417))&amp;"/"&amp;YEAR(INDEX(firmadas!$E:$E,$T417)))&amp;")","OK"))))))))</f>
        <v/>
      </c>
      <c r="T417" t="str">
        <f ca="1">IF($P417="","",IFERROR(MATCH($P417,firmadas!$N:$N,0),IFERROR(MATCH("*/"&amp;MID($P417,FIND(" ",$P417)+1,9)&amp;"*",firmadas!$B:$B,0),0)))</f>
        <v/>
      </c>
    </row>
    <row r="418" spans="14:20" ht="15" customHeight="1" x14ac:dyDescent="0.25">
      <c r="N418" s="53" t="str">
        <f t="shared" ca="1" si="6"/>
        <v/>
      </c>
      <c r="P418" t="str">
        <f ca="1">IF(TRIM(SUBSTITUTE(($C418&amp;" "&amp;$D418),CHAR(160)," "))="","",IFERROR(IF(ISNUMBER(SEARCH("INC",($C418&amp;" "&amp;$D418))),"INC",IF(ISNUMBER(SEARCH("OPI",($C418&amp;" "&amp;$D418))),"OPI",IF(ISNUMBER(SEARCH("DP",($C418&amp;" "&amp;$D418))),"DP","CONC")))&amp;" "&amp;TEXT(LOOKUP(9.99E+307,--MID(SUBSTITUTE(($C418&amp;" "&amp;$D418),CHAR(160)," "),SUMPRODUCT(MIN(FIND({0,1,2,3,4,5,6,7,8,9},SUBSTITUTE(($C418&amp;" "&amp;$D418),CHAR(160)," ")&amp;"0123456789"))),ROW(INDIRECT("1:6")))),"0"),"SIN NUMERO"))</f>
        <v/>
      </c>
      <c r="Q418" t="str">
        <f ca="1">IF($P418="","",IF(LEFT(UPPER($S418),9)="VERIFICAR","VERIFICAR",IF($A418="","SIN ESTADO",IF(AND($A418="Firmada",$H418=""),"FALTA FECHA DE FIRMA",IF(N($T418)=0,IF(AND(ISNUMBER($H418),$H418&gt;=DATE(2024,1,1)),"FALTA EN FIRMADAS","OK"),IF(OR($A418="Pendiente de presentación",$A418="Observado",$A418="En análisis",$A418="En instrucción",$A418="Suspendida",$A418="IT circulando",$A418="Para resolución",$A418="TDC"),"ABIERTA PERO ESTÁ EN FIRMADAS",IF($H418&lt;&gt;INDEX(firmadas!$F:$F,$T418),"FIRMA DISTINTA EN firmadas ("&amp;IF(INDEX(firmadas!$F:$F,$T418)="","vacía",DAY(INDEX(firmadas!$F:$F,$T418))&amp;"/"&amp;MONTH(INDEX(firmadas!$F:$F,$T418))&amp;"/"&amp;YEAR(INDEX(firmadas!$F:$F,$T418)))&amp;")",IF($G418&lt;&gt;INDEX(firmadas!$E:$E,$T418),"INGRESO DISTINTO EN firmadas ("&amp;IF(INDEX(firmadas!$E:$E,$T418)="","vacía",DAY(INDEX(firmadas!$E:$E,$T418))&amp;"/"&amp;MONTH(INDEX(firmadas!$E:$E,$T418))&amp;"/"&amp;YEAR(INDEX(firmadas!$E:$E,$T418)))&amp;")","OK"))))))))</f>
        <v/>
      </c>
      <c r="T418" t="str">
        <f ca="1">IF($P418="","",IFERROR(MATCH($P418,firmadas!$N:$N,0),IFERROR(MATCH("*/"&amp;MID($P418,FIND(" ",$P418)+1,9)&amp;"*",firmadas!$B:$B,0),0)))</f>
        <v/>
      </c>
    </row>
    <row r="419" spans="14:20" ht="15" customHeight="1" x14ac:dyDescent="0.25">
      <c r="N419" s="53" t="str">
        <f t="shared" ca="1" si="6"/>
        <v/>
      </c>
      <c r="P419" t="str">
        <f ca="1">IF(TRIM(SUBSTITUTE(($C419&amp;" "&amp;$D419),CHAR(160)," "))="","",IFERROR(IF(ISNUMBER(SEARCH("INC",($C419&amp;" "&amp;$D419))),"INC",IF(ISNUMBER(SEARCH("OPI",($C419&amp;" "&amp;$D419))),"OPI",IF(ISNUMBER(SEARCH("DP",($C419&amp;" "&amp;$D419))),"DP","CONC")))&amp;" "&amp;TEXT(LOOKUP(9.99E+307,--MID(SUBSTITUTE(($C419&amp;" "&amp;$D419),CHAR(160)," "),SUMPRODUCT(MIN(FIND({0,1,2,3,4,5,6,7,8,9},SUBSTITUTE(($C419&amp;" "&amp;$D419),CHAR(160)," ")&amp;"0123456789"))),ROW(INDIRECT("1:6")))),"0"),"SIN NUMERO"))</f>
        <v/>
      </c>
      <c r="Q419" t="str">
        <f ca="1">IF($P419="","",IF(LEFT(UPPER($S419),9)="VERIFICAR","VERIFICAR",IF($A419="","SIN ESTADO",IF(AND($A419="Firmada",$H419=""),"FALTA FECHA DE FIRMA",IF(N($T419)=0,IF(AND(ISNUMBER($H419),$H419&gt;=DATE(2024,1,1)),"FALTA EN FIRMADAS","OK"),IF(OR($A419="Pendiente de presentación",$A419="Observado",$A419="En análisis",$A419="En instrucción",$A419="Suspendida",$A419="IT circulando",$A419="Para resolución",$A419="TDC"),"ABIERTA PERO ESTÁ EN FIRMADAS",IF($H419&lt;&gt;INDEX(firmadas!$F:$F,$T419),"FIRMA DISTINTA EN firmadas ("&amp;IF(INDEX(firmadas!$F:$F,$T419)="","vacía",DAY(INDEX(firmadas!$F:$F,$T419))&amp;"/"&amp;MONTH(INDEX(firmadas!$F:$F,$T419))&amp;"/"&amp;YEAR(INDEX(firmadas!$F:$F,$T419)))&amp;")",IF($G419&lt;&gt;INDEX(firmadas!$E:$E,$T419),"INGRESO DISTINTO EN firmadas ("&amp;IF(INDEX(firmadas!$E:$E,$T419)="","vacía",DAY(INDEX(firmadas!$E:$E,$T419))&amp;"/"&amp;MONTH(INDEX(firmadas!$E:$E,$T419))&amp;"/"&amp;YEAR(INDEX(firmadas!$E:$E,$T419)))&amp;")","OK"))))))))</f>
        <v/>
      </c>
      <c r="T419" t="str">
        <f ca="1">IF($P419="","",IFERROR(MATCH($P419,firmadas!$N:$N,0),IFERROR(MATCH("*/"&amp;MID($P419,FIND(" ",$P419)+1,9)&amp;"*",firmadas!$B:$B,0),0)))</f>
        <v/>
      </c>
    </row>
    <row r="420" spans="14:20" ht="15" customHeight="1" x14ac:dyDescent="0.25">
      <c r="N420" s="53" t="str">
        <f t="shared" ca="1" si="6"/>
        <v/>
      </c>
      <c r="P420" t="str">
        <f ca="1">IF(TRIM(SUBSTITUTE(($C420&amp;" "&amp;$D420),CHAR(160)," "))="","",IFERROR(IF(ISNUMBER(SEARCH("INC",($C420&amp;" "&amp;$D420))),"INC",IF(ISNUMBER(SEARCH("OPI",($C420&amp;" "&amp;$D420))),"OPI",IF(ISNUMBER(SEARCH("DP",($C420&amp;" "&amp;$D420))),"DP","CONC")))&amp;" "&amp;TEXT(LOOKUP(9.99E+307,--MID(SUBSTITUTE(($C420&amp;" "&amp;$D420),CHAR(160)," "),SUMPRODUCT(MIN(FIND({0,1,2,3,4,5,6,7,8,9},SUBSTITUTE(($C420&amp;" "&amp;$D420),CHAR(160)," ")&amp;"0123456789"))),ROW(INDIRECT("1:6")))),"0"),"SIN NUMERO"))</f>
        <v/>
      </c>
      <c r="Q420" t="str">
        <f ca="1">IF($P420="","",IF(LEFT(UPPER($S420),9)="VERIFICAR","VERIFICAR",IF($A420="","SIN ESTADO",IF(AND($A420="Firmada",$H420=""),"FALTA FECHA DE FIRMA",IF(N($T420)=0,IF(AND(ISNUMBER($H420),$H420&gt;=DATE(2024,1,1)),"FALTA EN FIRMADAS","OK"),IF(OR($A420="Pendiente de presentación",$A420="Observado",$A420="En análisis",$A420="En instrucción",$A420="Suspendida",$A420="IT circulando",$A420="Para resolución",$A420="TDC"),"ABIERTA PERO ESTÁ EN FIRMADAS",IF($H420&lt;&gt;INDEX(firmadas!$F:$F,$T420),"FIRMA DISTINTA EN firmadas ("&amp;IF(INDEX(firmadas!$F:$F,$T420)="","vacía",DAY(INDEX(firmadas!$F:$F,$T420))&amp;"/"&amp;MONTH(INDEX(firmadas!$F:$F,$T420))&amp;"/"&amp;YEAR(INDEX(firmadas!$F:$F,$T420)))&amp;")",IF($G420&lt;&gt;INDEX(firmadas!$E:$E,$T420),"INGRESO DISTINTO EN firmadas ("&amp;IF(INDEX(firmadas!$E:$E,$T420)="","vacía",DAY(INDEX(firmadas!$E:$E,$T420))&amp;"/"&amp;MONTH(INDEX(firmadas!$E:$E,$T420))&amp;"/"&amp;YEAR(INDEX(firmadas!$E:$E,$T420)))&amp;")","OK"))))))))</f>
        <v/>
      </c>
      <c r="T420" t="str">
        <f ca="1">IF($P420="","",IFERROR(MATCH($P420,firmadas!$N:$N,0),IFERROR(MATCH("*/"&amp;MID($P420,FIND(" ",$P420)+1,9)&amp;"*",firmadas!$B:$B,0),0)))</f>
        <v/>
      </c>
    </row>
    <row r="421" spans="14:20" ht="15" customHeight="1" x14ac:dyDescent="0.25">
      <c r="N421" s="53" t="str">
        <f t="shared" ca="1" si="6"/>
        <v/>
      </c>
      <c r="P421" t="str">
        <f ca="1">IF(TRIM(SUBSTITUTE(($C421&amp;" "&amp;$D421),CHAR(160)," "))="","",IFERROR(IF(ISNUMBER(SEARCH("INC",($C421&amp;" "&amp;$D421))),"INC",IF(ISNUMBER(SEARCH("OPI",($C421&amp;" "&amp;$D421))),"OPI",IF(ISNUMBER(SEARCH("DP",($C421&amp;" "&amp;$D421))),"DP","CONC")))&amp;" "&amp;TEXT(LOOKUP(9.99E+307,--MID(SUBSTITUTE(($C421&amp;" "&amp;$D421),CHAR(160)," "),SUMPRODUCT(MIN(FIND({0,1,2,3,4,5,6,7,8,9},SUBSTITUTE(($C421&amp;" "&amp;$D421),CHAR(160)," ")&amp;"0123456789"))),ROW(INDIRECT("1:6")))),"0"),"SIN NUMERO"))</f>
        <v/>
      </c>
      <c r="Q421" t="str">
        <f ca="1">IF($P421="","",IF(LEFT(UPPER($S421),9)="VERIFICAR","VERIFICAR",IF($A421="","SIN ESTADO",IF(AND($A421="Firmada",$H421=""),"FALTA FECHA DE FIRMA",IF(N($T421)=0,IF(AND(ISNUMBER($H421),$H421&gt;=DATE(2024,1,1)),"FALTA EN FIRMADAS","OK"),IF(OR($A421="Pendiente de presentación",$A421="Observado",$A421="En análisis",$A421="En instrucción",$A421="Suspendida",$A421="IT circulando",$A421="Para resolución",$A421="TDC"),"ABIERTA PERO ESTÁ EN FIRMADAS",IF($H421&lt;&gt;INDEX(firmadas!$F:$F,$T421),"FIRMA DISTINTA EN firmadas ("&amp;IF(INDEX(firmadas!$F:$F,$T421)="","vacía",DAY(INDEX(firmadas!$F:$F,$T421))&amp;"/"&amp;MONTH(INDEX(firmadas!$F:$F,$T421))&amp;"/"&amp;YEAR(INDEX(firmadas!$F:$F,$T421)))&amp;")",IF($G421&lt;&gt;INDEX(firmadas!$E:$E,$T421),"INGRESO DISTINTO EN firmadas ("&amp;IF(INDEX(firmadas!$E:$E,$T421)="","vacía",DAY(INDEX(firmadas!$E:$E,$T421))&amp;"/"&amp;MONTH(INDEX(firmadas!$E:$E,$T421))&amp;"/"&amp;YEAR(INDEX(firmadas!$E:$E,$T421)))&amp;")","OK"))))))))</f>
        <v/>
      </c>
      <c r="T421" t="str">
        <f ca="1">IF($P421="","",IFERROR(MATCH($P421,firmadas!$N:$N,0),IFERROR(MATCH("*/"&amp;MID($P421,FIND(" ",$P421)+1,9)&amp;"*",firmadas!$B:$B,0),0)))</f>
        <v/>
      </c>
    </row>
    <row r="422" spans="14:20" ht="15" customHeight="1" x14ac:dyDescent="0.25">
      <c r="N422" s="53" t="str">
        <f t="shared" ca="1" si="6"/>
        <v/>
      </c>
      <c r="P422" t="str">
        <f ca="1">IF(TRIM(SUBSTITUTE(($C422&amp;" "&amp;$D422),CHAR(160)," "))="","",IFERROR(IF(ISNUMBER(SEARCH("INC",($C422&amp;" "&amp;$D422))),"INC",IF(ISNUMBER(SEARCH("OPI",($C422&amp;" "&amp;$D422))),"OPI",IF(ISNUMBER(SEARCH("DP",($C422&amp;" "&amp;$D422))),"DP","CONC")))&amp;" "&amp;TEXT(LOOKUP(9.99E+307,--MID(SUBSTITUTE(($C422&amp;" "&amp;$D422),CHAR(160)," "),SUMPRODUCT(MIN(FIND({0,1,2,3,4,5,6,7,8,9},SUBSTITUTE(($C422&amp;" "&amp;$D422),CHAR(160)," ")&amp;"0123456789"))),ROW(INDIRECT("1:6")))),"0"),"SIN NUMERO"))</f>
        <v/>
      </c>
      <c r="Q422" t="str">
        <f ca="1">IF($P422="","",IF(LEFT(UPPER($S422),9)="VERIFICAR","VERIFICAR",IF($A422="","SIN ESTADO",IF(AND($A422="Firmada",$H422=""),"FALTA FECHA DE FIRMA",IF(N($T422)=0,IF(AND(ISNUMBER($H422),$H422&gt;=DATE(2024,1,1)),"FALTA EN FIRMADAS","OK"),IF(OR($A422="Pendiente de presentación",$A422="Observado",$A422="En análisis",$A422="En instrucción",$A422="Suspendida",$A422="IT circulando",$A422="Para resolución",$A422="TDC"),"ABIERTA PERO ESTÁ EN FIRMADAS",IF($H422&lt;&gt;INDEX(firmadas!$F:$F,$T422),"FIRMA DISTINTA EN firmadas ("&amp;IF(INDEX(firmadas!$F:$F,$T422)="","vacía",DAY(INDEX(firmadas!$F:$F,$T422))&amp;"/"&amp;MONTH(INDEX(firmadas!$F:$F,$T422))&amp;"/"&amp;YEAR(INDEX(firmadas!$F:$F,$T422)))&amp;")",IF($G422&lt;&gt;INDEX(firmadas!$E:$E,$T422),"INGRESO DISTINTO EN firmadas ("&amp;IF(INDEX(firmadas!$E:$E,$T422)="","vacía",DAY(INDEX(firmadas!$E:$E,$T422))&amp;"/"&amp;MONTH(INDEX(firmadas!$E:$E,$T422))&amp;"/"&amp;YEAR(INDEX(firmadas!$E:$E,$T422)))&amp;")","OK"))))))))</f>
        <v/>
      </c>
      <c r="T422" t="str">
        <f ca="1">IF($P422="","",IFERROR(MATCH($P422,firmadas!$N:$N,0),IFERROR(MATCH("*/"&amp;MID($P422,FIND(" ",$P422)+1,9)&amp;"*",firmadas!$B:$B,0),0)))</f>
        <v/>
      </c>
    </row>
    <row r="423" spans="14:20" ht="15" customHeight="1" x14ac:dyDescent="0.25">
      <c r="N423" s="53" t="str">
        <f t="shared" ca="1" si="6"/>
        <v/>
      </c>
      <c r="P423" t="str">
        <f ca="1">IF(TRIM(SUBSTITUTE(($C423&amp;" "&amp;$D423),CHAR(160)," "))="","",IFERROR(IF(ISNUMBER(SEARCH("INC",($C423&amp;" "&amp;$D423))),"INC",IF(ISNUMBER(SEARCH("OPI",($C423&amp;" "&amp;$D423))),"OPI",IF(ISNUMBER(SEARCH("DP",($C423&amp;" "&amp;$D423))),"DP","CONC")))&amp;" "&amp;TEXT(LOOKUP(9.99E+307,--MID(SUBSTITUTE(($C423&amp;" "&amp;$D423),CHAR(160)," "),SUMPRODUCT(MIN(FIND({0,1,2,3,4,5,6,7,8,9},SUBSTITUTE(($C423&amp;" "&amp;$D423),CHAR(160)," ")&amp;"0123456789"))),ROW(INDIRECT("1:6")))),"0"),"SIN NUMERO"))</f>
        <v/>
      </c>
      <c r="Q423" t="str">
        <f ca="1">IF($P423="","",IF(LEFT(UPPER($S423),9)="VERIFICAR","VERIFICAR",IF($A423="","SIN ESTADO",IF(AND($A423="Firmada",$H423=""),"FALTA FECHA DE FIRMA",IF(N($T423)=0,IF(AND(ISNUMBER($H423),$H423&gt;=DATE(2024,1,1)),"FALTA EN FIRMADAS","OK"),IF(OR($A423="Pendiente de presentación",$A423="Observado",$A423="En análisis",$A423="En instrucción",$A423="Suspendida",$A423="IT circulando",$A423="Para resolución",$A423="TDC"),"ABIERTA PERO ESTÁ EN FIRMADAS",IF($H423&lt;&gt;INDEX(firmadas!$F:$F,$T423),"FIRMA DISTINTA EN firmadas ("&amp;IF(INDEX(firmadas!$F:$F,$T423)="","vacía",DAY(INDEX(firmadas!$F:$F,$T423))&amp;"/"&amp;MONTH(INDEX(firmadas!$F:$F,$T423))&amp;"/"&amp;YEAR(INDEX(firmadas!$F:$F,$T423)))&amp;")",IF($G423&lt;&gt;INDEX(firmadas!$E:$E,$T423),"INGRESO DISTINTO EN firmadas ("&amp;IF(INDEX(firmadas!$E:$E,$T423)="","vacía",DAY(INDEX(firmadas!$E:$E,$T423))&amp;"/"&amp;MONTH(INDEX(firmadas!$E:$E,$T423))&amp;"/"&amp;YEAR(INDEX(firmadas!$E:$E,$T423)))&amp;")","OK"))))))))</f>
        <v/>
      </c>
      <c r="T423" t="str">
        <f ca="1">IF($P423="","",IFERROR(MATCH($P423,firmadas!$N:$N,0),IFERROR(MATCH("*/"&amp;MID($P423,FIND(" ",$P423)+1,9)&amp;"*",firmadas!$B:$B,0),0)))</f>
        <v/>
      </c>
    </row>
    <row r="424" spans="14:20" ht="15" customHeight="1" x14ac:dyDescent="0.25">
      <c r="N424" s="53" t="str">
        <f t="shared" ca="1" si="6"/>
        <v/>
      </c>
      <c r="P424" t="str">
        <f ca="1">IF(TRIM(SUBSTITUTE(($C424&amp;" "&amp;$D424),CHAR(160)," "))="","",IFERROR(IF(ISNUMBER(SEARCH("INC",($C424&amp;" "&amp;$D424))),"INC",IF(ISNUMBER(SEARCH("OPI",($C424&amp;" "&amp;$D424))),"OPI",IF(ISNUMBER(SEARCH("DP",($C424&amp;" "&amp;$D424))),"DP","CONC")))&amp;" "&amp;TEXT(LOOKUP(9.99E+307,--MID(SUBSTITUTE(($C424&amp;" "&amp;$D424),CHAR(160)," "),SUMPRODUCT(MIN(FIND({0,1,2,3,4,5,6,7,8,9},SUBSTITUTE(($C424&amp;" "&amp;$D424),CHAR(160)," ")&amp;"0123456789"))),ROW(INDIRECT("1:6")))),"0"),"SIN NUMERO"))</f>
        <v/>
      </c>
      <c r="Q424" t="str">
        <f ca="1">IF($P424="","",IF(LEFT(UPPER($S424),9)="VERIFICAR","VERIFICAR",IF($A424="","SIN ESTADO",IF(AND($A424="Firmada",$H424=""),"FALTA FECHA DE FIRMA",IF(N($T424)=0,IF(AND(ISNUMBER($H424),$H424&gt;=DATE(2024,1,1)),"FALTA EN FIRMADAS","OK"),IF(OR($A424="Pendiente de presentación",$A424="Observado",$A424="En análisis",$A424="En instrucción",$A424="Suspendida",$A424="IT circulando",$A424="Para resolución",$A424="TDC"),"ABIERTA PERO ESTÁ EN FIRMADAS",IF($H424&lt;&gt;INDEX(firmadas!$F:$F,$T424),"FIRMA DISTINTA EN firmadas ("&amp;IF(INDEX(firmadas!$F:$F,$T424)="","vacía",DAY(INDEX(firmadas!$F:$F,$T424))&amp;"/"&amp;MONTH(INDEX(firmadas!$F:$F,$T424))&amp;"/"&amp;YEAR(INDEX(firmadas!$F:$F,$T424)))&amp;")",IF($G424&lt;&gt;INDEX(firmadas!$E:$E,$T424),"INGRESO DISTINTO EN firmadas ("&amp;IF(INDEX(firmadas!$E:$E,$T424)="","vacía",DAY(INDEX(firmadas!$E:$E,$T424))&amp;"/"&amp;MONTH(INDEX(firmadas!$E:$E,$T424))&amp;"/"&amp;YEAR(INDEX(firmadas!$E:$E,$T424)))&amp;")","OK"))))))))</f>
        <v/>
      </c>
      <c r="T424" t="str">
        <f ca="1">IF($P424="","",IFERROR(MATCH($P424,firmadas!$N:$N,0),IFERROR(MATCH("*/"&amp;MID($P424,FIND(" ",$P424)+1,9)&amp;"*",firmadas!$B:$B,0),0)))</f>
        <v/>
      </c>
    </row>
    <row r="425" spans="14:20" ht="15" customHeight="1" x14ac:dyDescent="0.25">
      <c r="N425" s="53" t="str">
        <f t="shared" ca="1" si="6"/>
        <v/>
      </c>
      <c r="P425" t="str">
        <f ca="1">IF(TRIM(SUBSTITUTE(($C425&amp;" "&amp;$D425),CHAR(160)," "))="","",IFERROR(IF(ISNUMBER(SEARCH("INC",($C425&amp;" "&amp;$D425))),"INC",IF(ISNUMBER(SEARCH("OPI",($C425&amp;" "&amp;$D425))),"OPI",IF(ISNUMBER(SEARCH("DP",($C425&amp;" "&amp;$D425))),"DP","CONC")))&amp;" "&amp;TEXT(LOOKUP(9.99E+307,--MID(SUBSTITUTE(($C425&amp;" "&amp;$D425),CHAR(160)," "),SUMPRODUCT(MIN(FIND({0,1,2,3,4,5,6,7,8,9},SUBSTITUTE(($C425&amp;" "&amp;$D425),CHAR(160)," ")&amp;"0123456789"))),ROW(INDIRECT("1:6")))),"0"),"SIN NUMERO"))</f>
        <v/>
      </c>
      <c r="Q425" t="str">
        <f ca="1">IF($P425="","",IF(LEFT(UPPER($S425),9)="VERIFICAR","VERIFICAR",IF($A425="","SIN ESTADO",IF(AND($A425="Firmada",$H425=""),"FALTA FECHA DE FIRMA",IF(N($T425)=0,IF(AND(ISNUMBER($H425),$H425&gt;=DATE(2024,1,1)),"FALTA EN FIRMADAS","OK"),IF(OR($A425="Pendiente de presentación",$A425="Observado",$A425="En análisis",$A425="En instrucción",$A425="Suspendida",$A425="IT circulando",$A425="Para resolución",$A425="TDC"),"ABIERTA PERO ESTÁ EN FIRMADAS",IF($H425&lt;&gt;INDEX(firmadas!$F:$F,$T425),"FIRMA DISTINTA EN firmadas ("&amp;IF(INDEX(firmadas!$F:$F,$T425)="","vacía",DAY(INDEX(firmadas!$F:$F,$T425))&amp;"/"&amp;MONTH(INDEX(firmadas!$F:$F,$T425))&amp;"/"&amp;YEAR(INDEX(firmadas!$F:$F,$T425)))&amp;")",IF($G425&lt;&gt;INDEX(firmadas!$E:$E,$T425),"INGRESO DISTINTO EN firmadas ("&amp;IF(INDEX(firmadas!$E:$E,$T425)="","vacía",DAY(INDEX(firmadas!$E:$E,$T425))&amp;"/"&amp;MONTH(INDEX(firmadas!$E:$E,$T425))&amp;"/"&amp;YEAR(INDEX(firmadas!$E:$E,$T425)))&amp;")","OK"))))))))</f>
        <v/>
      </c>
      <c r="T425" t="str">
        <f ca="1">IF($P425="","",IFERROR(MATCH($P425,firmadas!$N:$N,0),IFERROR(MATCH("*/"&amp;MID($P425,FIND(" ",$P425)+1,9)&amp;"*",firmadas!$B:$B,0),0)))</f>
        <v/>
      </c>
    </row>
    <row r="426" spans="14:20" ht="15" customHeight="1" x14ac:dyDescent="0.25">
      <c r="N426" s="53" t="str">
        <f t="shared" ca="1" si="6"/>
        <v/>
      </c>
      <c r="P426" t="str">
        <f ca="1">IF(TRIM(SUBSTITUTE(($C426&amp;" "&amp;$D426),CHAR(160)," "))="","",IFERROR(IF(ISNUMBER(SEARCH("INC",($C426&amp;" "&amp;$D426))),"INC",IF(ISNUMBER(SEARCH("OPI",($C426&amp;" "&amp;$D426))),"OPI",IF(ISNUMBER(SEARCH("DP",($C426&amp;" "&amp;$D426))),"DP","CONC")))&amp;" "&amp;TEXT(LOOKUP(9.99E+307,--MID(SUBSTITUTE(($C426&amp;" "&amp;$D426),CHAR(160)," "),SUMPRODUCT(MIN(FIND({0,1,2,3,4,5,6,7,8,9},SUBSTITUTE(($C426&amp;" "&amp;$D426),CHAR(160)," ")&amp;"0123456789"))),ROW(INDIRECT("1:6")))),"0"),"SIN NUMERO"))</f>
        <v/>
      </c>
      <c r="Q426" t="str">
        <f ca="1">IF($P426="","",IF(LEFT(UPPER($S426),9)="VERIFICAR","VERIFICAR",IF($A426="","SIN ESTADO",IF(AND($A426="Firmada",$H426=""),"FALTA FECHA DE FIRMA",IF(N($T426)=0,IF(AND(ISNUMBER($H426),$H426&gt;=DATE(2024,1,1)),"FALTA EN FIRMADAS","OK"),IF(OR($A426="Pendiente de presentación",$A426="Observado",$A426="En análisis",$A426="En instrucción",$A426="Suspendida",$A426="IT circulando",$A426="Para resolución",$A426="TDC"),"ABIERTA PERO ESTÁ EN FIRMADAS",IF($H426&lt;&gt;INDEX(firmadas!$F:$F,$T426),"FIRMA DISTINTA EN firmadas ("&amp;IF(INDEX(firmadas!$F:$F,$T426)="","vacía",DAY(INDEX(firmadas!$F:$F,$T426))&amp;"/"&amp;MONTH(INDEX(firmadas!$F:$F,$T426))&amp;"/"&amp;YEAR(INDEX(firmadas!$F:$F,$T426)))&amp;")",IF($G426&lt;&gt;INDEX(firmadas!$E:$E,$T426),"INGRESO DISTINTO EN firmadas ("&amp;IF(INDEX(firmadas!$E:$E,$T426)="","vacía",DAY(INDEX(firmadas!$E:$E,$T426))&amp;"/"&amp;MONTH(INDEX(firmadas!$E:$E,$T426))&amp;"/"&amp;YEAR(INDEX(firmadas!$E:$E,$T426)))&amp;")","OK"))))))))</f>
        <v/>
      </c>
      <c r="T426" t="str">
        <f ca="1">IF($P426="","",IFERROR(MATCH($P426,firmadas!$N:$N,0),IFERROR(MATCH("*/"&amp;MID($P426,FIND(" ",$P426)+1,9)&amp;"*",firmadas!$B:$B,0),0)))</f>
        <v/>
      </c>
    </row>
    <row r="427" spans="14:20" ht="15" customHeight="1" x14ac:dyDescent="0.25">
      <c r="N427" s="53" t="str">
        <f t="shared" ca="1" si="6"/>
        <v/>
      </c>
      <c r="P427" t="str">
        <f ca="1">IF(TRIM(SUBSTITUTE(($C427&amp;" "&amp;$D427),CHAR(160)," "))="","",IFERROR(IF(ISNUMBER(SEARCH("INC",($C427&amp;" "&amp;$D427))),"INC",IF(ISNUMBER(SEARCH("OPI",($C427&amp;" "&amp;$D427))),"OPI",IF(ISNUMBER(SEARCH("DP",($C427&amp;" "&amp;$D427))),"DP","CONC")))&amp;" "&amp;TEXT(LOOKUP(9.99E+307,--MID(SUBSTITUTE(($C427&amp;" "&amp;$D427),CHAR(160)," "),SUMPRODUCT(MIN(FIND({0,1,2,3,4,5,6,7,8,9},SUBSTITUTE(($C427&amp;" "&amp;$D427),CHAR(160)," ")&amp;"0123456789"))),ROW(INDIRECT("1:6")))),"0"),"SIN NUMERO"))</f>
        <v/>
      </c>
      <c r="Q427" t="str">
        <f ca="1">IF($P427="","",IF(LEFT(UPPER($S427),9)="VERIFICAR","VERIFICAR",IF($A427="","SIN ESTADO",IF(AND($A427="Firmada",$H427=""),"FALTA FECHA DE FIRMA",IF(N($T427)=0,IF(AND(ISNUMBER($H427),$H427&gt;=DATE(2024,1,1)),"FALTA EN FIRMADAS","OK"),IF(OR($A427="Pendiente de presentación",$A427="Observado",$A427="En análisis",$A427="En instrucción",$A427="Suspendida",$A427="IT circulando",$A427="Para resolución",$A427="TDC"),"ABIERTA PERO ESTÁ EN FIRMADAS",IF($H427&lt;&gt;INDEX(firmadas!$F:$F,$T427),"FIRMA DISTINTA EN firmadas ("&amp;IF(INDEX(firmadas!$F:$F,$T427)="","vacía",DAY(INDEX(firmadas!$F:$F,$T427))&amp;"/"&amp;MONTH(INDEX(firmadas!$F:$F,$T427))&amp;"/"&amp;YEAR(INDEX(firmadas!$F:$F,$T427)))&amp;")",IF($G427&lt;&gt;INDEX(firmadas!$E:$E,$T427),"INGRESO DISTINTO EN firmadas ("&amp;IF(INDEX(firmadas!$E:$E,$T427)="","vacía",DAY(INDEX(firmadas!$E:$E,$T427))&amp;"/"&amp;MONTH(INDEX(firmadas!$E:$E,$T427))&amp;"/"&amp;YEAR(INDEX(firmadas!$E:$E,$T427)))&amp;")","OK"))))))))</f>
        <v/>
      </c>
      <c r="T427" t="str">
        <f ca="1">IF($P427="","",IFERROR(MATCH($P427,firmadas!$N:$N,0),IFERROR(MATCH("*/"&amp;MID($P427,FIND(" ",$P427)+1,9)&amp;"*",firmadas!$B:$B,0),0)))</f>
        <v/>
      </c>
    </row>
    <row r="428" spans="14:20" ht="15" customHeight="1" x14ac:dyDescent="0.25">
      <c r="N428" s="53" t="str">
        <f t="shared" ca="1" si="6"/>
        <v/>
      </c>
      <c r="P428" t="str">
        <f ca="1">IF(TRIM(SUBSTITUTE(($C428&amp;" "&amp;$D428),CHAR(160)," "))="","",IFERROR(IF(ISNUMBER(SEARCH("INC",($C428&amp;" "&amp;$D428))),"INC",IF(ISNUMBER(SEARCH("OPI",($C428&amp;" "&amp;$D428))),"OPI",IF(ISNUMBER(SEARCH("DP",($C428&amp;" "&amp;$D428))),"DP","CONC")))&amp;" "&amp;TEXT(LOOKUP(9.99E+307,--MID(SUBSTITUTE(($C428&amp;" "&amp;$D428),CHAR(160)," "),SUMPRODUCT(MIN(FIND({0,1,2,3,4,5,6,7,8,9},SUBSTITUTE(($C428&amp;" "&amp;$D428),CHAR(160)," ")&amp;"0123456789"))),ROW(INDIRECT("1:6")))),"0"),"SIN NUMERO"))</f>
        <v/>
      </c>
      <c r="Q428" t="str">
        <f ca="1">IF($P428="","",IF(LEFT(UPPER($S428),9)="VERIFICAR","VERIFICAR",IF($A428="","SIN ESTADO",IF(AND($A428="Firmada",$H428=""),"FALTA FECHA DE FIRMA",IF(N($T428)=0,IF(AND(ISNUMBER($H428),$H428&gt;=DATE(2024,1,1)),"FALTA EN FIRMADAS","OK"),IF(OR($A428="Pendiente de presentación",$A428="Observado",$A428="En análisis",$A428="En instrucción",$A428="Suspendida",$A428="IT circulando",$A428="Para resolución",$A428="TDC"),"ABIERTA PERO ESTÁ EN FIRMADAS",IF($H428&lt;&gt;INDEX(firmadas!$F:$F,$T428),"FIRMA DISTINTA EN firmadas ("&amp;IF(INDEX(firmadas!$F:$F,$T428)="","vacía",DAY(INDEX(firmadas!$F:$F,$T428))&amp;"/"&amp;MONTH(INDEX(firmadas!$F:$F,$T428))&amp;"/"&amp;YEAR(INDEX(firmadas!$F:$F,$T428)))&amp;")",IF($G428&lt;&gt;INDEX(firmadas!$E:$E,$T428),"INGRESO DISTINTO EN firmadas ("&amp;IF(INDEX(firmadas!$E:$E,$T428)="","vacía",DAY(INDEX(firmadas!$E:$E,$T428))&amp;"/"&amp;MONTH(INDEX(firmadas!$E:$E,$T428))&amp;"/"&amp;YEAR(INDEX(firmadas!$E:$E,$T428)))&amp;")","OK"))))))))</f>
        <v/>
      </c>
      <c r="T428" t="str">
        <f ca="1">IF($P428="","",IFERROR(MATCH($P428,firmadas!$N:$N,0),IFERROR(MATCH("*/"&amp;MID($P428,FIND(" ",$P428)+1,9)&amp;"*",firmadas!$B:$B,0),0)))</f>
        <v/>
      </c>
    </row>
    <row r="429" spans="14:20" ht="15" customHeight="1" x14ac:dyDescent="0.25">
      <c r="N429" s="53" t="str">
        <f t="shared" ca="1" si="6"/>
        <v/>
      </c>
      <c r="P429" t="str">
        <f ca="1">IF(TRIM(SUBSTITUTE(($C429&amp;" "&amp;$D429),CHAR(160)," "))="","",IFERROR(IF(ISNUMBER(SEARCH("INC",($C429&amp;" "&amp;$D429))),"INC",IF(ISNUMBER(SEARCH("OPI",($C429&amp;" "&amp;$D429))),"OPI",IF(ISNUMBER(SEARCH("DP",($C429&amp;" "&amp;$D429))),"DP","CONC")))&amp;" "&amp;TEXT(LOOKUP(9.99E+307,--MID(SUBSTITUTE(($C429&amp;" "&amp;$D429),CHAR(160)," "),SUMPRODUCT(MIN(FIND({0,1,2,3,4,5,6,7,8,9},SUBSTITUTE(($C429&amp;" "&amp;$D429),CHAR(160)," ")&amp;"0123456789"))),ROW(INDIRECT("1:6")))),"0"),"SIN NUMERO"))</f>
        <v/>
      </c>
      <c r="Q429" t="str">
        <f ca="1">IF($P429="","",IF(LEFT(UPPER($S429),9)="VERIFICAR","VERIFICAR",IF($A429="","SIN ESTADO",IF(AND($A429="Firmada",$H429=""),"FALTA FECHA DE FIRMA",IF(N($T429)=0,IF(AND(ISNUMBER($H429),$H429&gt;=DATE(2024,1,1)),"FALTA EN FIRMADAS","OK"),IF(OR($A429="Pendiente de presentación",$A429="Observado",$A429="En análisis",$A429="En instrucción",$A429="Suspendida",$A429="IT circulando",$A429="Para resolución",$A429="TDC"),"ABIERTA PERO ESTÁ EN FIRMADAS",IF($H429&lt;&gt;INDEX(firmadas!$F:$F,$T429),"FIRMA DISTINTA EN firmadas ("&amp;IF(INDEX(firmadas!$F:$F,$T429)="","vacía",DAY(INDEX(firmadas!$F:$F,$T429))&amp;"/"&amp;MONTH(INDEX(firmadas!$F:$F,$T429))&amp;"/"&amp;YEAR(INDEX(firmadas!$F:$F,$T429)))&amp;")",IF($G429&lt;&gt;INDEX(firmadas!$E:$E,$T429),"INGRESO DISTINTO EN firmadas ("&amp;IF(INDEX(firmadas!$E:$E,$T429)="","vacía",DAY(INDEX(firmadas!$E:$E,$T429))&amp;"/"&amp;MONTH(INDEX(firmadas!$E:$E,$T429))&amp;"/"&amp;YEAR(INDEX(firmadas!$E:$E,$T429)))&amp;")","OK"))))))))</f>
        <v/>
      </c>
      <c r="T429" t="str">
        <f ca="1">IF($P429="","",IFERROR(MATCH($P429,firmadas!$N:$N,0),IFERROR(MATCH("*/"&amp;MID($P429,FIND(" ",$P429)+1,9)&amp;"*",firmadas!$B:$B,0),0)))</f>
        <v/>
      </c>
    </row>
    <row r="430" spans="14:20" ht="15" customHeight="1" x14ac:dyDescent="0.25">
      <c r="N430" s="53" t="str">
        <f t="shared" ca="1" si="6"/>
        <v/>
      </c>
      <c r="P430" t="str">
        <f ca="1">IF(TRIM(SUBSTITUTE(($C430&amp;" "&amp;$D430),CHAR(160)," "))="","",IFERROR(IF(ISNUMBER(SEARCH("INC",($C430&amp;" "&amp;$D430))),"INC",IF(ISNUMBER(SEARCH("OPI",($C430&amp;" "&amp;$D430))),"OPI",IF(ISNUMBER(SEARCH("DP",($C430&amp;" "&amp;$D430))),"DP","CONC")))&amp;" "&amp;TEXT(LOOKUP(9.99E+307,--MID(SUBSTITUTE(($C430&amp;" "&amp;$D430),CHAR(160)," "),SUMPRODUCT(MIN(FIND({0,1,2,3,4,5,6,7,8,9},SUBSTITUTE(($C430&amp;" "&amp;$D430),CHAR(160)," ")&amp;"0123456789"))),ROW(INDIRECT("1:6")))),"0"),"SIN NUMERO"))</f>
        <v/>
      </c>
      <c r="Q430" t="str">
        <f ca="1">IF($P430="","",IF(LEFT(UPPER($S430),9)="VERIFICAR","VERIFICAR",IF($A430="","SIN ESTADO",IF(AND($A430="Firmada",$H430=""),"FALTA FECHA DE FIRMA",IF(N($T430)=0,IF(AND(ISNUMBER($H430),$H430&gt;=DATE(2024,1,1)),"FALTA EN FIRMADAS","OK"),IF(OR($A430="Pendiente de presentación",$A430="Observado",$A430="En análisis",$A430="En instrucción",$A430="Suspendida",$A430="IT circulando",$A430="Para resolución",$A430="TDC"),"ABIERTA PERO ESTÁ EN FIRMADAS",IF($H430&lt;&gt;INDEX(firmadas!$F:$F,$T430),"FIRMA DISTINTA EN firmadas ("&amp;IF(INDEX(firmadas!$F:$F,$T430)="","vacía",DAY(INDEX(firmadas!$F:$F,$T430))&amp;"/"&amp;MONTH(INDEX(firmadas!$F:$F,$T430))&amp;"/"&amp;YEAR(INDEX(firmadas!$F:$F,$T430)))&amp;")",IF($G430&lt;&gt;INDEX(firmadas!$E:$E,$T430),"INGRESO DISTINTO EN firmadas ("&amp;IF(INDEX(firmadas!$E:$E,$T430)="","vacía",DAY(INDEX(firmadas!$E:$E,$T430))&amp;"/"&amp;MONTH(INDEX(firmadas!$E:$E,$T430))&amp;"/"&amp;YEAR(INDEX(firmadas!$E:$E,$T430)))&amp;")","OK"))))))))</f>
        <v/>
      </c>
      <c r="T430" t="str">
        <f ca="1">IF($P430="","",IFERROR(MATCH($P430,firmadas!$N:$N,0),IFERROR(MATCH("*/"&amp;MID($P430,FIND(" ",$P430)+1,9)&amp;"*",firmadas!$B:$B,0),0)))</f>
        <v/>
      </c>
    </row>
    <row r="431" spans="14:20" ht="15" customHeight="1" x14ac:dyDescent="0.25">
      <c r="N431" s="53" t="str">
        <f t="shared" ca="1" si="6"/>
        <v/>
      </c>
      <c r="P431" t="str">
        <f ca="1">IF(TRIM(SUBSTITUTE(($C431&amp;" "&amp;$D431),CHAR(160)," "))="","",IFERROR(IF(ISNUMBER(SEARCH("INC",($C431&amp;" "&amp;$D431))),"INC",IF(ISNUMBER(SEARCH("OPI",($C431&amp;" "&amp;$D431))),"OPI",IF(ISNUMBER(SEARCH("DP",($C431&amp;" "&amp;$D431))),"DP","CONC")))&amp;" "&amp;TEXT(LOOKUP(9.99E+307,--MID(SUBSTITUTE(($C431&amp;" "&amp;$D431),CHAR(160)," "),SUMPRODUCT(MIN(FIND({0,1,2,3,4,5,6,7,8,9},SUBSTITUTE(($C431&amp;" "&amp;$D431),CHAR(160)," ")&amp;"0123456789"))),ROW(INDIRECT("1:6")))),"0"),"SIN NUMERO"))</f>
        <v/>
      </c>
      <c r="Q431" t="str">
        <f ca="1">IF($P431="","",IF(LEFT(UPPER($S431),9)="VERIFICAR","VERIFICAR",IF($A431="","SIN ESTADO",IF(AND($A431="Firmada",$H431=""),"FALTA FECHA DE FIRMA",IF(N($T431)=0,IF(AND(ISNUMBER($H431),$H431&gt;=DATE(2024,1,1)),"FALTA EN FIRMADAS","OK"),IF(OR($A431="Pendiente de presentación",$A431="Observado",$A431="En análisis",$A431="En instrucción",$A431="Suspendida",$A431="IT circulando",$A431="Para resolución",$A431="TDC"),"ABIERTA PERO ESTÁ EN FIRMADAS",IF($H431&lt;&gt;INDEX(firmadas!$F:$F,$T431),"FIRMA DISTINTA EN firmadas ("&amp;IF(INDEX(firmadas!$F:$F,$T431)="","vacía",DAY(INDEX(firmadas!$F:$F,$T431))&amp;"/"&amp;MONTH(INDEX(firmadas!$F:$F,$T431))&amp;"/"&amp;YEAR(INDEX(firmadas!$F:$F,$T431)))&amp;")",IF($G431&lt;&gt;INDEX(firmadas!$E:$E,$T431),"INGRESO DISTINTO EN firmadas ("&amp;IF(INDEX(firmadas!$E:$E,$T431)="","vacía",DAY(INDEX(firmadas!$E:$E,$T431))&amp;"/"&amp;MONTH(INDEX(firmadas!$E:$E,$T431))&amp;"/"&amp;YEAR(INDEX(firmadas!$E:$E,$T431)))&amp;")","OK"))))))))</f>
        <v/>
      </c>
      <c r="T431" t="str">
        <f ca="1">IF($P431="","",IFERROR(MATCH($P431,firmadas!$N:$N,0),IFERROR(MATCH("*/"&amp;MID($P431,FIND(" ",$P431)+1,9)&amp;"*",firmadas!$B:$B,0),0)))</f>
        <v/>
      </c>
    </row>
    <row r="432" spans="14:20" ht="15" customHeight="1" x14ac:dyDescent="0.25">
      <c r="N432" s="53" t="str">
        <f t="shared" ca="1" si="6"/>
        <v/>
      </c>
      <c r="P432" t="str">
        <f ca="1">IF(TRIM(SUBSTITUTE(($C432&amp;" "&amp;$D432),CHAR(160)," "))="","",IFERROR(IF(ISNUMBER(SEARCH("INC",($C432&amp;" "&amp;$D432))),"INC",IF(ISNUMBER(SEARCH("OPI",($C432&amp;" "&amp;$D432))),"OPI",IF(ISNUMBER(SEARCH("DP",($C432&amp;" "&amp;$D432))),"DP","CONC")))&amp;" "&amp;TEXT(LOOKUP(9.99E+307,--MID(SUBSTITUTE(($C432&amp;" "&amp;$D432),CHAR(160)," "),SUMPRODUCT(MIN(FIND({0,1,2,3,4,5,6,7,8,9},SUBSTITUTE(($C432&amp;" "&amp;$D432),CHAR(160)," ")&amp;"0123456789"))),ROW(INDIRECT("1:6")))),"0"),"SIN NUMERO"))</f>
        <v/>
      </c>
      <c r="Q432" t="str">
        <f ca="1">IF($P432="","",IF(LEFT(UPPER($S432),9)="VERIFICAR","VERIFICAR",IF($A432="","SIN ESTADO",IF(AND($A432="Firmada",$H432=""),"FALTA FECHA DE FIRMA",IF(N($T432)=0,IF(AND(ISNUMBER($H432),$H432&gt;=DATE(2024,1,1)),"FALTA EN FIRMADAS","OK"),IF(OR($A432="Pendiente de presentación",$A432="Observado",$A432="En análisis",$A432="En instrucción",$A432="Suspendida",$A432="IT circulando",$A432="Para resolución",$A432="TDC"),"ABIERTA PERO ESTÁ EN FIRMADAS",IF($H432&lt;&gt;INDEX(firmadas!$F:$F,$T432),"FIRMA DISTINTA EN firmadas ("&amp;IF(INDEX(firmadas!$F:$F,$T432)="","vacía",DAY(INDEX(firmadas!$F:$F,$T432))&amp;"/"&amp;MONTH(INDEX(firmadas!$F:$F,$T432))&amp;"/"&amp;YEAR(INDEX(firmadas!$F:$F,$T432)))&amp;")",IF($G432&lt;&gt;INDEX(firmadas!$E:$E,$T432),"INGRESO DISTINTO EN firmadas ("&amp;IF(INDEX(firmadas!$E:$E,$T432)="","vacía",DAY(INDEX(firmadas!$E:$E,$T432))&amp;"/"&amp;MONTH(INDEX(firmadas!$E:$E,$T432))&amp;"/"&amp;YEAR(INDEX(firmadas!$E:$E,$T432)))&amp;")","OK"))))))))</f>
        <v/>
      </c>
      <c r="T432" t="str">
        <f ca="1">IF($P432="","",IFERROR(MATCH($P432,firmadas!$N:$N,0),IFERROR(MATCH("*/"&amp;MID($P432,FIND(" ",$P432)+1,9)&amp;"*",firmadas!$B:$B,0),0)))</f>
        <v/>
      </c>
    </row>
    <row r="433" spans="14:20" ht="15" customHeight="1" x14ac:dyDescent="0.25">
      <c r="N433" s="53" t="str">
        <f t="shared" ca="1" si="6"/>
        <v/>
      </c>
      <c r="P433" t="str">
        <f ca="1">IF(TRIM(SUBSTITUTE(($C433&amp;" "&amp;$D433),CHAR(160)," "))="","",IFERROR(IF(ISNUMBER(SEARCH("INC",($C433&amp;" "&amp;$D433))),"INC",IF(ISNUMBER(SEARCH("OPI",($C433&amp;" "&amp;$D433))),"OPI",IF(ISNUMBER(SEARCH("DP",($C433&amp;" "&amp;$D433))),"DP","CONC")))&amp;" "&amp;TEXT(LOOKUP(9.99E+307,--MID(SUBSTITUTE(($C433&amp;" "&amp;$D433),CHAR(160)," "),SUMPRODUCT(MIN(FIND({0,1,2,3,4,5,6,7,8,9},SUBSTITUTE(($C433&amp;" "&amp;$D433),CHAR(160)," ")&amp;"0123456789"))),ROW(INDIRECT("1:6")))),"0"),"SIN NUMERO"))</f>
        <v/>
      </c>
      <c r="Q433" t="str">
        <f ca="1">IF($P433="","",IF(LEFT(UPPER($S433),9)="VERIFICAR","VERIFICAR",IF($A433="","SIN ESTADO",IF(AND($A433="Firmada",$H433=""),"FALTA FECHA DE FIRMA",IF(N($T433)=0,IF(AND(ISNUMBER($H433),$H433&gt;=DATE(2024,1,1)),"FALTA EN FIRMADAS","OK"),IF(OR($A433="Pendiente de presentación",$A433="Observado",$A433="En análisis",$A433="En instrucción",$A433="Suspendida",$A433="IT circulando",$A433="Para resolución",$A433="TDC"),"ABIERTA PERO ESTÁ EN FIRMADAS",IF($H433&lt;&gt;INDEX(firmadas!$F:$F,$T433),"FIRMA DISTINTA EN firmadas ("&amp;IF(INDEX(firmadas!$F:$F,$T433)="","vacía",DAY(INDEX(firmadas!$F:$F,$T433))&amp;"/"&amp;MONTH(INDEX(firmadas!$F:$F,$T433))&amp;"/"&amp;YEAR(INDEX(firmadas!$F:$F,$T433)))&amp;")",IF($G433&lt;&gt;INDEX(firmadas!$E:$E,$T433),"INGRESO DISTINTO EN firmadas ("&amp;IF(INDEX(firmadas!$E:$E,$T433)="","vacía",DAY(INDEX(firmadas!$E:$E,$T433))&amp;"/"&amp;MONTH(INDEX(firmadas!$E:$E,$T433))&amp;"/"&amp;YEAR(INDEX(firmadas!$E:$E,$T433)))&amp;")","OK"))))))))</f>
        <v/>
      </c>
      <c r="T433" t="str">
        <f ca="1">IF($P433="","",IFERROR(MATCH($P433,firmadas!$N:$N,0),IFERROR(MATCH("*/"&amp;MID($P433,FIND(" ",$P433)+1,9)&amp;"*",firmadas!$B:$B,0),0)))</f>
        <v/>
      </c>
    </row>
    <row r="434" spans="14:20" ht="15" customHeight="1" x14ac:dyDescent="0.25">
      <c r="N434" s="53" t="str">
        <f t="shared" ca="1" si="6"/>
        <v/>
      </c>
      <c r="P434" t="str">
        <f ca="1">IF(TRIM(SUBSTITUTE(($C434&amp;" "&amp;$D434),CHAR(160)," "))="","",IFERROR(IF(ISNUMBER(SEARCH("INC",($C434&amp;" "&amp;$D434))),"INC",IF(ISNUMBER(SEARCH("OPI",($C434&amp;" "&amp;$D434))),"OPI",IF(ISNUMBER(SEARCH("DP",($C434&amp;" "&amp;$D434))),"DP","CONC")))&amp;" "&amp;TEXT(LOOKUP(9.99E+307,--MID(SUBSTITUTE(($C434&amp;" "&amp;$D434),CHAR(160)," "),SUMPRODUCT(MIN(FIND({0,1,2,3,4,5,6,7,8,9},SUBSTITUTE(($C434&amp;" "&amp;$D434),CHAR(160)," ")&amp;"0123456789"))),ROW(INDIRECT("1:6")))),"0"),"SIN NUMERO"))</f>
        <v/>
      </c>
      <c r="Q434" t="str">
        <f ca="1">IF($P434="","",IF(LEFT(UPPER($S434),9)="VERIFICAR","VERIFICAR",IF($A434="","SIN ESTADO",IF(AND($A434="Firmada",$H434=""),"FALTA FECHA DE FIRMA",IF(N($T434)=0,IF(AND(ISNUMBER($H434),$H434&gt;=DATE(2024,1,1)),"FALTA EN FIRMADAS","OK"),IF(OR($A434="Pendiente de presentación",$A434="Observado",$A434="En análisis",$A434="En instrucción",$A434="Suspendida",$A434="IT circulando",$A434="Para resolución",$A434="TDC"),"ABIERTA PERO ESTÁ EN FIRMADAS",IF($H434&lt;&gt;INDEX(firmadas!$F:$F,$T434),"FIRMA DISTINTA EN firmadas ("&amp;IF(INDEX(firmadas!$F:$F,$T434)="","vacía",DAY(INDEX(firmadas!$F:$F,$T434))&amp;"/"&amp;MONTH(INDEX(firmadas!$F:$F,$T434))&amp;"/"&amp;YEAR(INDEX(firmadas!$F:$F,$T434)))&amp;")",IF($G434&lt;&gt;INDEX(firmadas!$E:$E,$T434),"INGRESO DISTINTO EN firmadas ("&amp;IF(INDEX(firmadas!$E:$E,$T434)="","vacía",DAY(INDEX(firmadas!$E:$E,$T434))&amp;"/"&amp;MONTH(INDEX(firmadas!$E:$E,$T434))&amp;"/"&amp;YEAR(INDEX(firmadas!$E:$E,$T434)))&amp;")","OK"))))))))</f>
        <v/>
      </c>
      <c r="T434" t="str">
        <f ca="1">IF($P434="","",IFERROR(MATCH($P434,firmadas!$N:$N,0),IFERROR(MATCH("*/"&amp;MID($P434,FIND(" ",$P434)+1,9)&amp;"*",firmadas!$B:$B,0),0)))</f>
        <v/>
      </c>
    </row>
    <row r="435" spans="14:20" ht="15" customHeight="1" x14ac:dyDescent="0.25">
      <c r="N435" s="53" t="str">
        <f t="shared" ca="1" si="6"/>
        <v/>
      </c>
      <c r="P435" t="str">
        <f ca="1">IF(TRIM(SUBSTITUTE(($C435&amp;" "&amp;$D435),CHAR(160)," "))="","",IFERROR(IF(ISNUMBER(SEARCH("INC",($C435&amp;" "&amp;$D435))),"INC",IF(ISNUMBER(SEARCH("OPI",($C435&amp;" "&amp;$D435))),"OPI",IF(ISNUMBER(SEARCH("DP",($C435&amp;" "&amp;$D435))),"DP","CONC")))&amp;" "&amp;TEXT(LOOKUP(9.99E+307,--MID(SUBSTITUTE(($C435&amp;" "&amp;$D435),CHAR(160)," "),SUMPRODUCT(MIN(FIND({0,1,2,3,4,5,6,7,8,9},SUBSTITUTE(($C435&amp;" "&amp;$D435),CHAR(160)," ")&amp;"0123456789"))),ROW(INDIRECT("1:6")))),"0"),"SIN NUMERO"))</f>
        <v/>
      </c>
      <c r="Q435" t="str">
        <f ca="1">IF($P435="","",IF(LEFT(UPPER($S435),9)="VERIFICAR","VERIFICAR",IF($A435="","SIN ESTADO",IF(AND($A435="Firmada",$H435=""),"FALTA FECHA DE FIRMA",IF(N($T435)=0,IF(AND(ISNUMBER($H435),$H435&gt;=DATE(2024,1,1)),"FALTA EN FIRMADAS","OK"),IF(OR($A435="Pendiente de presentación",$A435="Observado",$A435="En análisis",$A435="En instrucción",$A435="Suspendida",$A435="IT circulando",$A435="Para resolución",$A435="TDC"),"ABIERTA PERO ESTÁ EN FIRMADAS",IF($H435&lt;&gt;INDEX(firmadas!$F:$F,$T435),"FIRMA DISTINTA EN firmadas ("&amp;IF(INDEX(firmadas!$F:$F,$T435)="","vacía",DAY(INDEX(firmadas!$F:$F,$T435))&amp;"/"&amp;MONTH(INDEX(firmadas!$F:$F,$T435))&amp;"/"&amp;YEAR(INDEX(firmadas!$F:$F,$T435)))&amp;")",IF($G435&lt;&gt;INDEX(firmadas!$E:$E,$T435),"INGRESO DISTINTO EN firmadas ("&amp;IF(INDEX(firmadas!$E:$E,$T435)="","vacía",DAY(INDEX(firmadas!$E:$E,$T435))&amp;"/"&amp;MONTH(INDEX(firmadas!$E:$E,$T435))&amp;"/"&amp;YEAR(INDEX(firmadas!$E:$E,$T435)))&amp;")","OK"))))))))</f>
        <v/>
      </c>
      <c r="T435" t="str">
        <f ca="1">IF($P435="","",IFERROR(MATCH($P435,firmadas!$N:$N,0),IFERROR(MATCH("*/"&amp;MID($P435,FIND(" ",$P435)+1,9)&amp;"*",firmadas!$B:$B,0),0)))</f>
        <v/>
      </c>
    </row>
    <row r="436" spans="14:20" ht="15" customHeight="1" x14ac:dyDescent="0.25">
      <c r="N436" s="53" t="str">
        <f t="shared" ca="1" si="6"/>
        <v/>
      </c>
      <c r="P436" t="str">
        <f ca="1">IF(TRIM(SUBSTITUTE(($C436&amp;" "&amp;$D436),CHAR(160)," "))="","",IFERROR(IF(ISNUMBER(SEARCH("INC",($C436&amp;" "&amp;$D436))),"INC",IF(ISNUMBER(SEARCH("OPI",($C436&amp;" "&amp;$D436))),"OPI",IF(ISNUMBER(SEARCH("DP",($C436&amp;" "&amp;$D436))),"DP","CONC")))&amp;" "&amp;TEXT(LOOKUP(9.99E+307,--MID(SUBSTITUTE(($C436&amp;" "&amp;$D436),CHAR(160)," "),SUMPRODUCT(MIN(FIND({0,1,2,3,4,5,6,7,8,9},SUBSTITUTE(($C436&amp;" "&amp;$D436),CHAR(160)," ")&amp;"0123456789"))),ROW(INDIRECT("1:6")))),"0"),"SIN NUMERO"))</f>
        <v/>
      </c>
      <c r="Q436" t="str">
        <f ca="1">IF($P436="","",IF(LEFT(UPPER($S436),9)="VERIFICAR","VERIFICAR",IF($A436="","SIN ESTADO",IF(AND($A436="Firmada",$H436=""),"FALTA FECHA DE FIRMA",IF(N($T436)=0,IF(AND(ISNUMBER($H436),$H436&gt;=DATE(2024,1,1)),"FALTA EN FIRMADAS","OK"),IF(OR($A436="Pendiente de presentación",$A436="Observado",$A436="En análisis",$A436="En instrucción",$A436="Suspendida",$A436="IT circulando",$A436="Para resolución",$A436="TDC"),"ABIERTA PERO ESTÁ EN FIRMADAS",IF($H436&lt;&gt;INDEX(firmadas!$F:$F,$T436),"FIRMA DISTINTA EN firmadas ("&amp;IF(INDEX(firmadas!$F:$F,$T436)="","vacía",DAY(INDEX(firmadas!$F:$F,$T436))&amp;"/"&amp;MONTH(INDEX(firmadas!$F:$F,$T436))&amp;"/"&amp;YEAR(INDEX(firmadas!$F:$F,$T436)))&amp;")",IF($G436&lt;&gt;INDEX(firmadas!$E:$E,$T436),"INGRESO DISTINTO EN firmadas ("&amp;IF(INDEX(firmadas!$E:$E,$T436)="","vacía",DAY(INDEX(firmadas!$E:$E,$T436))&amp;"/"&amp;MONTH(INDEX(firmadas!$E:$E,$T436))&amp;"/"&amp;YEAR(INDEX(firmadas!$E:$E,$T436)))&amp;")","OK"))))))))</f>
        <v/>
      </c>
      <c r="T436" t="str">
        <f ca="1">IF($P436="","",IFERROR(MATCH($P436,firmadas!$N:$N,0),IFERROR(MATCH("*/"&amp;MID($P436,FIND(" ",$P436)+1,9)&amp;"*",firmadas!$B:$B,0),0)))</f>
        <v/>
      </c>
    </row>
    <row r="437" spans="14:20" ht="15" customHeight="1" x14ac:dyDescent="0.25">
      <c r="N437" s="53" t="str">
        <f t="shared" ca="1" si="6"/>
        <v/>
      </c>
      <c r="P437" t="str">
        <f ca="1">IF(TRIM(SUBSTITUTE(($C437&amp;" "&amp;$D437),CHAR(160)," "))="","",IFERROR(IF(ISNUMBER(SEARCH("INC",($C437&amp;" "&amp;$D437))),"INC",IF(ISNUMBER(SEARCH("OPI",($C437&amp;" "&amp;$D437))),"OPI",IF(ISNUMBER(SEARCH("DP",($C437&amp;" "&amp;$D437))),"DP","CONC")))&amp;" "&amp;TEXT(LOOKUP(9.99E+307,--MID(SUBSTITUTE(($C437&amp;" "&amp;$D437),CHAR(160)," "),SUMPRODUCT(MIN(FIND({0,1,2,3,4,5,6,7,8,9},SUBSTITUTE(($C437&amp;" "&amp;$D437),CHAR(160)," ")&amp;"0123456789"))),ROW(INDIRECT("1:6")))),"0"),"SIN NUMERO"))</f>
        <v/>
      </c>
      <c r="Q437" t="str">
        <f ca="1">IF($P437="","",IF(LEFT(UPPER($S437),9)="VERIFICAR","VERIFICAR",IF($A437="","SIN ESTADO",IF(AND($A437="Firmada",$H437=""),"FALTA FECHA DE FIRMA",IF(N($T437)=0,IF(AND(ISNUMBER($H437),$H437&gt;=DATE(2024,1,1)),"FALTA EN FIRMADAS","OK"),IF(OR($A437="Pendiente de presentación",$A437="Observado",$A437="En análisis",$A437="En instrucción",$A437="Suspendida",$A437="IT circulando",$A437="Para resolución",$A437="TDC"),"ABIERTA PERO ESTÁ EN FIRMADAS",IF($H437&lt;&gt;INDEX(firmadas!$F:$F,$T437),"FIRMA DISTINTA EN firmadas ("&amp;IF(INDEX(firmadas!$F:$F,$T437)="","vacía",DAY(INDEX(firmadas!$F:$F,$T437))&amp;"/"&amp;MONTH(INDEX(firmadas!$F:$F,$T437))&amp;"/"&amp;YEAR(INDEX(firmadas!$F:$F,$T437)))&amp;")",IF($G437&lt;&gt;INDEX(firmadas!$E:$E,$T437),"INGRESO DISTINTO EN firmadas ("&amp;IF(INDEX(firmadas!$E:$E,$T437)="","vacía",DAY(INDEX(firmadas!$E:$E,$T437))&amp;"/"&amp;MONTH(INDEX(firmadas!$E:$E,$T437))&amp;"/"&amp;YEAR(INDEX(firmadas!$E:$E,$T437)))&amp;")","OK"))))))))</f>
        <v/>
      </c>
      <c r="T437" t="str">
        <f ca="1">IF($P437="","",IFERROR(MATCH($P437,firmadas!$N:$N,0),IFERROR(MATCH("*/"&amp;MID($P437,FIND(" ",$P437)+1,9)&amp;"*",firmadas!$B:$B,0),0)))</f>
        <v/>
      </c>
    </row>
    <row r="438" spans="14:20" ht="15" customHeight="1" x14ac:dyDescent="0.25">
      <c r="N438" s="53" t="str">
        <f t="shared" ca="1" si="6"/>
        <v/>
      </c>
      <c r="P438" t="str">
        <f ca="1">IF(TRIM(SUBSTITUTE(($C438&amp;" "&amp;$D438),CHAR(160)," "))="","",IFERROR(IF(ISNUMBER(SEARCH("INC",($C438&amp;" "&amp;$D438))),"INC",IF(ISNUMBER(SEARCH("OPI",($C438&amp;" "&amp;$D438))),"OPI",IF(ISNUMBER(SEARCH("DP",($C438&amp;" "&amp;$D438))),"DP","CONC")))&amp;" "&amp;TEXT(LOOKUP(9.99E+307,--MID(SUBSTITUTE(($C438&amp;" "&amp;$D438),CHAR(160)," "),SUMPRODUCT(MIN(FIND({0,1,2,3,4,5,6,7,8,9},SUBSTITUTE(($C438&amp;" "&amp;$D438),CHAR(160)," ")&amp;"0123456789"))),ROW(INDIRECT("1:6")))),"0"),"SIN NUMERO"))</f>
        <v/>
      </c>
      <c r="Q438" t="str">
        <f ca="1">IF($P438="","",IF(LEFT(UPPER($S438),9)="VERIFICAR","VERIFICAR",IF($A438="","SIN ESTADO",IF(AND($A438="Firmada",$H438=""),"FALTA FECHA DE FIRMA",IF(N($T438)=0,IF(AND(ISNUMBER($H438),$H438&gt;=DATE(2024,1,1)),"FALTA EN FIRMADAS","OK"),IF(OR($A438="Pendiente de presentación",$A438="Observado",$A438="En análisis",$A438="En instrucción",$A438="Suspendida",$A438="IT circulando",$A438="Para resolución",$A438="TDC"),"ABIERTA PERO ESTÁ EN FIRMADAS",IF($H438&lt;&gt;INDEX(firmadas!$F:$F,$T438),"FIRMA DISTINTA EN firmadas ("&amp;IF(INDEX(firmadas!$F:$F,$T438)="","vacía",DAY(INDEX(firmadas!$F:$F,$T438))&amp;"/"&amp;MONTH(INDEX(firmadas!$F:$F,$T438))&amp;"/"&amp;YEAR(INDEX(firmadas!$F:$F,$T438)))&amp;")",IF($G438&lt;&gt;INDEX(firmadas!$E:$E,$T438),"INGRESO DISTINTO EN firmadas ("&amp;IF(INDEX(firmadas!$E:$E,$T438)="","vacía",DAY(INDEX(firmadas!$E:$E,$T438))&amp;"/"&amp;MONTH(INDEX(firmadas!$E:$E,$T438))&amp;"/"&amp;YEAR(INDEX(firmadas!$E:$E,$T438)))&amp;")","OK"))))))))</f>
        <v/>
      </c>
      <c r="T438" t="str">
        <f ca="1">IF($P438="","",IFERROR(MATCH($P438,firmadas!$N:$N,0),IFERROR(MATCH("*/"&amp;MID($P438,FIND(" ",$P438)+1,9)&amp;"*",firmadas!$B:$B,0),0)))</f>
        <v/>
      </c>
    </row>
    <row r="439" spans="14:20" ht="15" customHeight="1" x14ac:dyDescent="0.25">
      <c r="N439" s="53" t="str">
        <f t="shared" ca="1" si="6"/>
        <v/>
      </c>
      <c r="P439" t="str">
        <f ca="1">IF(TRIM(SUBSTITUTE(($C439&amp;" "&amp;$D439),CHAR(160)," "))="","",IFERROR(IF(ISNUMBER(SEARCH("INC",($C439&amp;" "&amp;$D439))),"INC",IF(ISNUMBER(SEARCH("OPI",($C439&amp;" "&amp;$D439))),"OPI",IF(ISNUMBER(SEARCH("DP",($C439&amp;" "&amp;$D439))),"DP","CONC")))&amp;" "&amp;TEXT(LOOKUP(9.99E+307,--MID(SUBSTITUTE(($C439&amp;" "&amp;$D439),CHAR(160)," "),SUMPRODUCT(MIN(FIND({0,1,2,3,4,5,6,7,8,9},SUBSTITUTE(($C439&amp;" "&amp;$D439),CHAR(160)," ")&amp;"0123456789"))),ROW(INDIRECT("1:6")))),"0"),"SIN NUMERO"))</f>
        <v/>
      </c>
      <c r="Q439" t="str">
        <f ca="1">IF($P439="","",IF(LEFT(UPPER($S439),9)="VERIFICAR","VERIFICAR",IF($A439="","SIN ESTADO",IF(AND($A439="Firmada",$H439=""),"FALTA FECHA DE FIRMA",IF(N($T439)=0,IF(AND(ISNUMBER($H439),$H439&gt;=DATE(2024,1,1)),"FALTA EN FIRMADAS","OK"),IF(OR($A439="Pendiente de presentación",$A439="Observado",$A439="En análisis",$A439="En instrucción",$A439="Suspendida",$A439="IT circulando",$A439="Para resolución",$A439="TDC"),"ABIERTA PERO ESTÁ EN FIRMADAS",IF($H439&lt;&gt;INDEX(firmadas!$F:$F,$T439),"FIRMA DISTINTA EN firmadas ("&amp;IF(INDEX(firmadas!$F:$F,$T439)="","vacía",DAY(INDEX(firmadas!$F:$F,$T439))&amp;"/"&amp;MONTH(INDEX(firmadas!$F:$F,$T439))&amp;"/"&amp;YEAR(INDEX(firmadas!$F:$F,$T439)))&amp;")",IF($G439&lt;&gt;INDEX(firmadas!$E:$E,$T439),"INGRESO DISTINTO EN firmadas ("&amp;IF(INDEX(firmadas!$E:$E,$T439)="","vacía",DAY(INDEX(firmadas!$E:$E,$T439))&amp;"/"&amp;MONTH(INDEX(firmadas!$E:$E,$T439))&amp;"/"&amp;YEAR(INDEX(firmadas!$E:$E,$T439)))&amp;")","OK"))))))))</f>
        <v/>
      </c>
      <c r="T439" t="str">
        <f ca="1">IF($P439="","",IFERROR(MATCH($P439,firmadas!$N:$N,0),IFERROR(MATCH("*/"&amp;MID($P439,FIND(" ",$P439)+1,9)&amp;"*",firmadas!$B:$B,0),0)))</f>
        <v/>
      </c>
    </row>
    <row r="440" spans="14:20" ht="15" customHeight="1" x14ac:dyDescent="0.25">
      <c r="N440" s="53" t="str">
        <f t="shared" ca="1" si="6"/>
        <v/>
      </c>
      <c r="P440" t="str">
        <f ca="1">IF(TRIM(SUBSTITUTE(($C440&amp;" "&amp;$D440),CHAR(160)," "))="","",IFERROR(IF(ISNUMBER(SEARCH("INC",($C440&amp;" "&amp;$D440))),"INC",IF(ISNUMBER(SEARCH("OPI",($C440&amp;" "&amp;$D440))),"OPI",IF(ISNUMBER(SEARCH("DP",($C440&amp;" "&amp;$D440))),"DP","CONC")))&amp;" "&amp;TEXT(LOOKUP(9.99E+307,--MID(SUBSTITUTE(($C440&amp;" "&amp;$D440),CHAR(160)," "),SUMPRODUCT(MIN(FIND({0,1,2,3,4,5,6,7,8,9},SUBSTITUTE(($C440&amp;" "&amp;$D440),CHAR(160)," ")&amp;"0123456789"))),ROW(INDIRECT("1:6")))),"0"),"SIN NUMERO"))</f>
        <v/>
      </c>
      <c r="Q440" t="str">
        <f ca="1">IF($P440="","",IF(LEFT(UPPER($S440),9)="VERIFICAR","VERIFICAR",IF($A440="","SIN ESTADO",IF(AND($A440="Firmada",$H440=""),"FALTA FECHA DE FIRMA",IF(N($T440)=0,IF(AND(ISNUMBER($H440),$H440&gt;=DATE(2024,1,1)),"FALTA EN FIRMADAS","OK"),IF(OR($A440="Pendiente de presentación",$A440="Observado",$A440="En análisis",$A440="En instrucción",$A440="Suspendida",$A440="IT circulando",$A440="Para resolución",$A440="TDC"),"ABIERTA PERO ESTÁ EN FIRMADAS",IF($H440&lt;&gt;INDEX(firmadas!$F:$F,$T440),"FIRMA DISTINTA EN firmadas ("&amp;IF(INDEX(firmadas!$F:$F,$T440)="","vacía",DAY(INDEX(firmadas!$F:$F,$T440))&amp;"/"&amp;MONTH(INDEX(firmadas!$F:$F,$T440))&amp;"/"&amp;YEAR(INDEX(firmadas!$F:$F,$T440)))&amp;")",IF($G440&lt;&gt;INDEX(firmadas!$E:$E,$T440),"INGRESO DISTINTO EN firmadas ("&amp;IF(INDEX(firmadas!$E:$E,$T440)="","vacía",DAY(INDEX(firmadas!$E:$E,$T440))&amp;"/"&amp;MONTH(INDEX(firmadas!$E:$E,$T440))&amp;"/"&amp;YEAR(INDEX(firmadas!$E:$E,$T440)))&amp;")","OK"))))))))</f>
        <v/>
      </c>
      <c r="T440" t="str">
        <f ca="1">IF($P440="","",IFERROR(MATCH($P440,firmadas!$N:$N,0),IFERROR(MATCH("*/"&amp;MID($P440,FIND(" ",$P440)+1,9)&amp;"*",firmadas!$B:$B,0),0)))</f>
        <v/>
      </c>
    </row>
    <row r="441" spans="14:20" ht="15" customHeight="1" x14ac:dyDescent="0.25">
      <c r="N441" s="53" t="str">
        <f t="shared" ca="1" si="6"/>
        <v/>
      </c>
      <c r="P441" t="str">
        <f ca="1">IF(TRIM(SUBSTITUTE(($C441&amp;" "&amp;$D441),CHAR(160)," "))="","",IFERROR(IF(ISNUMBER(SEARCH("INC",($C441&amp;" "&amp;$D441))),"INC",IF(ISNUMBER(SEARCH("OPI",($C441&amp;" "&amp;$D441))),"OPI",IF(ISNUMBER(SEARCH("DP",($C441&amp;" "&amp;$D441))),"DP","CONC")))&amp;" "&amp;TEXT(LOOKUP(9.99E+307,--MID(SUBSTITUTE(($C441&amp;" "&amp;$D441),CHAR(160)," "),SUMPRODUCT(MIN(FIND({0,1,2,3,4,5,6,7,8,9},SUBSTITUTE(($C441&amp;" "&amp;$D441),CHAR(160)," ")&amp;"0123456789"))),ROW(INDIRECT("1:6")))),"0"),"SIN NUMERO"))</f>
        <v/>
      </c>
      <c r="Q441" t="str">
        <f ca="1">IF($P441="","",IF(LEFT(UPPER($S441),9)="VERIFICAR","VERIFICAR",IF($A441="","SIN ESTADO",IF(AND($A441="Firmada",$H441=""),"FALTA FECHA DE FIRMA",IF(N($T441)=0,IF(AND(ISNUMBER($H441),$H441&gt;=DATE(2024,1,1)),"FALTA EN FIRMADAS","OK"),IF(OR($A441="Pendiente de presentación",$A441="Observado",$A441="En análisis",$A441="En instrucción",$A441="Suspendida",$A441="IT circulando",$A441="Para resolución",$A441="TDC"),"ABIERTA PERO ESTÁ EN FIRMADAS",IF($H441&lt;&gt;INDEX(firmadas!$F:$F,$T441),"FIRMA DISTINTA EN firmadas ("&amp;IF(INDEX(firmadas!$F:$F,$T441)="","vacía",DAY(INDEX(firmadas!$F:$F,$T441))&amp;"/"&amp;MONTH(INDEX(firmadas!$F:$F,$T441))&amp;"/"&amp;YEAR(INDEX(firmadas!$F:$F,$T441)))&amp;")",IF($G441&lt;&gt;INDEX(firmadas!$E:$E,$T441),"INGRESO DISTINTO EN firmadas ("&amp;IF(INDEX(firmadas!$E:$E,$T441)="","vacía",DAY(INDEX(firmadas!$E:$E,$T441))&amp;"/"&amp;MONTH(INDEX(firmadas!$E:$E,$T441))&amp;"/"&amp;YEAR(INDEX(firmadas!$E:$E,$T441)))&amp;")","OK"))))))))</f>
        <v/>
      </c>
      <c r="T441" t="str">
        <f ca="1">IF($P441="","",IFERROR(MATCH($P441,firmadas!$N:$N,0),IFERROR(MATCH("*/"&amp;MID($P441,FIND(" ",$P441)+1,9)&amp;"*",firmadas!$B:$B,0),0)))</f>
        <v/>
      </c>
    </row>
    <row r="442" spans="14:20" ht="15" customHeight="1" x14ac:dyDescent="0.25">
      <c r="N442" s="53" t="str">
        <f t="shared" ca="1" si="6"/>
        <v/>
      </c>
      <c r="P442" t="str">
        <f ca="1">IF(TRIM(SUBSTITUTE(($C442&amp;" "&amp;$D442),CHAR(160)," "))="","",IFERROR(IF(ISNUMBER(SEARCH("INC",($C442&amp;" "&amp;$D442))),"INC",IF(ISNUMBER(SEARCH("OPI",($C442&amp;" "&amp;$D442))),"OPI",IF(ISNUMBER(SEARCH("DP",($C442&amp;" "&amp;$D442))),"DP","CONC")))&amp;" "&amp;TEXT(LOOKUP(9.99E+307,--MID(SUBSTITUTE(($C442&amp;" "&amp;$D442),CHAR(160)," "),SUMPRODUCT(MIN(FIND({0,1,2,3,4,5,6,7,8,9},SUBSTITUTE(($C442&amp;" "&amp;$D442),CHAR(160)," ")&amp;"0123456789"))),ROW(INDIRECT("1:6")))),"0"),"SIN NUMERO"))</f>
        <v/>
      </c>
      <c r="Q442" t="str">
        <f ca="1">IF($P442="","",IF(LEFT(UPPER($S442),9)="VERIFICAR","VERIFICAR",IF($A442="","SIN ESTADO",IF(AND($A442="Firmada",$H442=""),"FALTA FECHA DE FIRMA",IF(N($T442)=0,IF(AND(ISNUMBER($H442),$H442&gt;=DATE(2024,1,1)),"FALTA EN FIRMADAS","OK"),IF(OR($A442="Pendiente de presentación",$A442="Observado",$A442="En análisis",$A442="En instrucción",$A442="Suspendida",$A442="IT circulando",$A442="Para resolución",$A442="TDC"),"ABIERTA PERO ESTÁ EN FIRMADAS",IF($H442&lt;&gt;INDEX(firmadas!$F:$F,$T442),"FIRMA DISTINTA EN firmadas ("&amp;IF(INDEX(firmadas!$F:$F,$T442)="","vacía",DAY(INDEX(firmadas!$F:$F,$T442))&amp;"/"&amp;MONTH(INDEX(firmadas!$F:$F,$T442))&amp;"/"&amp;YEAR(INDEX(firmadas!$F:$F,$T442)))&amp;")",IF($G442&lt;&gt;INDEX(firmadas!$E:$E,$T442),"INGRESO DISTINTO EN firmadas ("&amp;IF(INDEX(firmadas!$E:$E,$T442)="","vacía",DAY(INDEX(firmadas!$E:$E,$T442))&amp;"/"&amp;MONTH(INDEX(firmadas!$E:$E,$T442))&amp;"/"&amp;YEAR(INDEX(firmadas!$E:$E,$T442)))&amp;")","OK"))))))))</f>
        <v/>
      </c>
      <c r="T442" t="str">
        <f ca="1">IF($P442="","",IFERROR(MATCH($P442,firmadas!$N:$N,0),IFERROR(MATCH("*/"&amp;MID($P442,FIND(" ",$P442)+1,9)&amp;"*",firmadas!$B:$B,0),0)))</f>
        <v/>
      </c>
    </row>
    <row r="443" spans="14:20" ht="15" customHeight="1" x14ac:dyDescent="0.25">
      <c r="N443" s="53" t="str">
        <f t="shared" ca="1" si="6"/>
        <v/>
      </c>
      <c r="P443" t="str">
        <f ca="1">IF(TRIM(SUBSTITUTE(($C443&amp;" "&amp;$D443),CHAR(160)," "))="","",IFERROR(IF(ISNUMBER(SEARCH("INC",($C443&amp;" "&amp;$D443))),"INC",IF(ISNUMBER(SEARCH("OPI",($C443&amp;" "&amp;$D443))),"OPI",IF(ISNUMBER(SEARCH("DP",($C443&amp;" "&amp;$D443))),"DP","CONC")))&amp;" "&amp;TEXT(LOOKUP(9.99E+307,--MID(SUBSTITUTE(($C443&amp;" "&amp;$D443),CHAR(160)," "),SUMPRODUCT(MIN(FIND({0,1,2,3,4,5,6,7,8,9},SUBSTITUTE(($C443&amp;" "&amp;$D443),CHAR(160)," ")&amp;"0123456789"))),ROW(INDIRECT("1:6")))),"0"),"SIN NUMERO"))</f>
        <v/>
      </c>
      <c r="Q443" t="str">
        <f ca="1">IF($P443="","",IF(LEFT(UPPER($S443),9)="VERIFICAR","VERIFICAR",IF($A443="","SIN ESTADO",IF(AND($A443="Firmada",$H443=""),"FALTA FECHA DE FIRMA",IF(N($T443)=0,IF(AND(ISNUMBER($H443),$H443&gt;=DATE(2024,1,1)),"FALTA EN FIRMADAS","OK"),IF(OR($A443="Pendiente de presentación",$A443="Observado",$A443="En análisis",$A443="En instrucción",$A443="Suspendida",$A443="IT circulando",$A443="Para resolución",$A443="TDC"),"ABIERTA PERO ESTÁ EN FIRMADAS",IF($H443&lt;&gt;INDEX(firmadas!$F:$F,$T443),"FIRMA DISTINTA EN firmadas ("&amp;IF(INDEX(firmadas!$F:$F,$T443)="","vacía",DAY(INDEX(firmadas!$F:$F,$T443))&amp;"/"&amp;MONTH(INDEX(firmadas!$F:$F,$T443))&amp;"/"&amp;YEAR(INDEX(firmadas!$F:$F,$T443)))&amp;")",IF($G443&lt;&gt;INDEX(firmadas!$E:$E,$T443),"INGRESO DISTINTO EN firmadas ("&amp;IF(INDEX(firmadas!$E:$E,$T443)="","vacía",DAY(INDEX(firmadas!$E:$E,$T443))&amp;"/"&amp;MONTH(INDEX(firmadas!$E:$E,$T443))&amp;"/"&amp;YEAR(INDEX(firmadas!$E:$E,$T443)))&amp;")","OK"))))))))</f>
        <v/>
      </c>
      <c r="T443" t="str">
        <f ca="1">IF($P443="","",IFERROR(MATCH($P443,firmadas!$N:$N,0),IFERROR(MATCH("*/"&amp;MID($P443,FIND(" ",$P443)+1,9)&amp;"*",firmadas!$B:$B,0),0)))</f>
        <v/>
      </c>
    </row>
    <row r="444" spans="14:20" ht="15" customHeight="1" x14ac:dyDescent="0.25">
      <c r="N444" s="53" t="str">
        <f t="shared" ca="1" si="6"/>
        <v/>
      </c>
      <c r="P444" t="str">
        <f ca="1">IF(TRIM(SUBSTITUTE(($C444&amp;" "&amp;$D444),CHAR(160)," "))="","",IFERROR(IF(ISNUMBER(SEARCH("INC",($C444&amp;" "&amp;$D444))),"INC",IF(ISNUMBER(SEARCH("OPI",($C444&amp;" "&amp;$D444))),"OPI",IF(ISNUMBER(SEARCH("DP",($C444&amp;" "&amp;$D444))),"DP","CONC")))&amp;" "&amp;TEXT(LOOKUP(9.99E+307,--MID(SUBSTITUTE(($C444&amp;" "&amp;$D444),CHAR(160)," "),SUMPRODUCT(MIN(FIND({0,1,2,3,4,5,6,7,8,9},SUBSTITUTE(($C444&amp;" "&amp;$D444),CHAR(160)," ")&amp;"0123456789"))),ROW(INDIRECT("1:6")))),"0"),"SIN NUMERO"))</f>
        <v/>
      </c>
      <c r="Q444" t="str">
        <f ca="1">IF($P444="","",IF(LEFT(UPPER($S444),9)="VERIFICAR","VERIFICAR",IF($A444="","SIN ESTADO",IF(AND($A444="Firmada",$H444=""),"FALTA FECHA DE FIRMA",IF(N($T444)=0,IF(AND(ISNUMBER($H444),$H444&gt;=DATE(2024,1,1)),"FALTA EN FIRMADAS","OK"),IF(OR($A444="Pendiente de presentación",$A444="Observado",$A444="En análisis",$A444="En instrucción",$A444="Suspendida",$A444="IT circulando",$A444="Para resolución",$A444="TDC"),"ABIERTA PERO ESTÁ EN FIRMADAS",IF($H444&lt;&gt;INDEX(firmadas!$F:$F,$T444),"FIRMA DISTINTA EN firmadas ("&amp;IF(INDEX(firmadas!$F:$F,$T444)="","vacía",DAY(INDEX(firmadas!$F:$F,$T444))&amp;"/"&amp;MONTH(INDEX(firmadas!$F:$F,$T444))&amp;"/"&amp;YEAR(INDEX(firmadas!$F:$F,$T444)))&amp;")",IF($G444&lt;&gt;INDEX(firmadas!$E:$E,$T444),"INGRESO DISTINTO EN firmadas ("&amp;IF(INDEX(firmadas!$E:$E,$T444)="","vacía",DAY(INDEX(firmadas!$E:$E,$T444))&amp;"/"&amp;MONTH(INDEX(firmadas!$E:$E,$T444))&amp;"/"&amp;YEAR(INDEX(firmadas!$E:$E,$T444)))&amp;")","OK"))))))))</f>
        <v/>
      </c>
      <c r="T444" t="str">
        <f ca="1">IF($P444="","",IFERROR(MATCH($P444,firmadas!$N:$N,0),IFERROR(MATCH("*/"&amp;MID($P444,FIND(" ",$P444)+1,9)&amp;"*",firmadas!$B:$B,0),0)))</f>
        <v/>
      </c>
    </row>
    <row r="445" spans="14:20" ht="15" customHeight="1" x14ac:dyDescent="0.25">
      <c r="N445" s="53" t="str">
        <f t="shared" ca="1" si="6"/>
        <v/>
      </c>
      <c r="P445" t="str">
        <f ca="1">IF(TRIM(SUBSTITUTE(($C445&amp;" "&amp;$D445),CHAR(160)," "))="","",IFERROR(IF(ISNUMBER(SEARCH("INC",($C445&amp;" "&amp;$D445))),"INC",IF(ISNUMBER(SEARCH("OPI",($C445&amp;" "&amp;$D445))),"OPI",IF(ISNUMBER(SEARCH("DP",($C445&amp;" "&amp;$D445))),"DP","CONC")))&amp;" "&amp;TEXT(LOOKUP(9.99E+307,--MID(SUBSTITUTE(($C445&amp;" "&amp;$D445),CHAR(160)," "),SUMPRODUCT(MIN(FIND({0,1,2,3,4,5,6,7,8,9},SUBSTITUTE(($C445&amp;" "&amp;$D445),CHAR(160)," ")&amp;"0123456789"))),ROW(INDIRECT("1:6")))),"0"),"SIN NUMERO"))</f>
        <v/>
      </c>
      <c r="Q445" t="str">
        <f ca="1">IF($P445="","",IF(LEFT(UPPER($S445),9)="VERIFICAR","VERIFICAR",IF($A445="","SIN ESTADO",IF(AND($A445="Firmada",$H445=""),"FALTA FECHA DE FIRMA",IF(N($T445)=0,IF(AND(ISNUMBER($H445),$H445&gt;=DATE(2024,1,1)),"FALTA EN FIRMADAS","OK"),IF(OR($A445="Pendiente de presentación",$A445="Observado",$A445="En análisis",$A445="En instrucción",$A445="Suspendida",$A445="IT circulando",$A445="Para resolución",$A445="TDC"),"ABIERTA PERO ESTÁ EN FIRMADAS",IF($H445&lt;&gt;INDEX(firmadas!$F:$F,$T445),"FIRMA DISTINTA EN firmadas ("&amp;IF(INDEX(firmadas!$F:$F,$T445)="","vacía",DAY(INDEX(firmadas!$F:$F,$T445))&amp;"/"&amp;MONTH(INDEX(firmadas!$F:$F,$T445))&amp;"/"&amp;YEAR(INDEX(firmadas!$F:$F,$T445)))&amp;")",IF($G445&lt;&gt;INDEX(firmadas!$E:$E,$T445),"INGRESO DISTINTO EN firmadas ("&amp;IF(INDEX(firmadas!$E:$E,$T445)="","vacía",DAY(INDEX(firmadas!$E:$E,$T445))&amp;"/"&amp;MONTH(INDEX(firmadas!$E:$E,$T445))&amp;"/"&amp;YEAR(INDEX(firmadas!$E:$E,$T445)))&amp;")","OK"))))))))</f>
        <v/>
      </c>
      <c r="T445" t="str">
        <f ca="1">IF($P445="","",IFERROR(MATCH($P445,firmadas!$N:$N,0),IFERROR(MATCH("*/"&amp;MID($P445,FIND(" ",$P445)+1,9)&amp;"*",firmadas!$B:$B,0),0)))</f>
        <v/>
      </c>
    </row>
    <row r="446" spans="14:20" ht="15" customHeight="1" x14ac:dyDescent="0.25">
      <c r="N446" s="53" t="str">
        <f t="shared" ca="1" si="6"/>
        <v/>
      </c>
      <c r="P446" t="str">
        <f ca="1">IF(TRIM(SUBSTITUTE(($C446&amp;" "&amp;$D446),CHAR(160)," "))="","",IFERROR(IF(ISNUMBER(SEARCH("INC",($C446&amp;" "&amp;$D446))),"INC",IF(ISNUMBER(SEARCH("OPI",($C446&amp;" "&amp;$D446))),"OPI",IF(ISNUMBER(SEARCH("DP",($C446&amp;" "&amp;$D446))),"DP","CONC")))&amp;" "&amp;TEXT(LOOKUP(9.99E+307,--MID(SUBSTITUTE(($C446&amp;" "&amp;$D446),CHAR(160)," "),SUMPRODUCT(MIN(FIND({0,1,2,3,4,5,6,7,8,9},SUBSTITUTE(($C446&amp;" "&amp;$D446),CHAR(160)," ")&amp;"0123456789"))),ROW(INDIRECT("1:6")))),"0"),"SIN NUMERO"))</f>
        <v/>
      </c>
      <c r="Q446" t="str">
        <f ca="1">IF($P446="","",IF(LEFT(UPPER($S446),9)="VERIFICAR","VERIFICAR",IF($A446="","SIN ESTADO",IF(AND($A446="Firmada",$H446=""),"FALTA FECHA DE FIRMA",IF(N($T446)=0,IF(AND(ISNUMBER($H446),$H446&gt;=DATE(2024,1,1)),"FALTA EN FIRMADAS","OK"),IF(OR($A446="Pendiente de presentación",$A446="Observado",$A446="En análisis",$A446="En instrucción",$A446="Suspendida",$A446="IT circulando",$A446="Para resolución",$A446="TDC"),"ABIERTA PERO ESTÁ EN FIRMADAS",IF($H446&lt;&gt;INDEX(firmadas!$F:$F,$T446),"FIRMA DISTINTA EN firmadas ("&amp;IF(INDEX(firmadas!$F:$F,$T446)="","vacía",DAY(INDEX(firmadas!$F:$F,$T446))&amp;"/"&amp;MONTH(INDEX(firmadas!$F:$F,$T446))&amp;"/"&amp;YEAR(INDEX(firmadas!$F:$F,$T446)))&amp;")",IF($G446&lt;&gt;INDEX(firmadas!$E:$E,$T446),"INGRESO DISTINTO EN firmadas ("&amp;IF(INDEX(firmadas!$E:$E,$T446)="","vacía",DAY(INDEX(firmadas!$E:$E,$T446))&amp;"/"&amp;MONTH(INDEX(firmadas!$E:$E,$T446))&amp;"/"&amp;YEAR(INDEX(firmadas!$E:$E,$T446)))&amp;")","OK"))))))))</f>
        <v/>
      </c>
      <c r="T446" t="str">
        <f ca="1">IF($P446="","",IFERROR(MATCH($P446,firmadas!$N:$N,0),IFERROR(MATCH("*/"&amp;MID($P446,FIND(" ",$P446)+1,9)&amp;"*",firmadas!$B:$B,0),0)))</f>
        <v/>
      </c>
    </row>
    <row r="447" spans="14:20" ht="15" customHeight="1" x14ac:dyDescent="0.25">
      <c r="N447" s="53" t="str">
        <f t="shared" ca="1" si="6"/>
        <v/>
      </c>
      <c r="P447" t="str">
        <f ca="1">IF(TRIM(SUBSTITUTE(($C447&amp;" "&amp;$D447),CHAR(160)," "))="","",IFERROR(IF(ISNUMBER(SEARCH("INC",($C447&amp;" "&amp;$D447))),"INC",IF(ISNUMBER(SEARCH("OPI",($C447&amp;" "&amp;$D447))),"OPI",IF(ISNUMBER(SEARCH("DP",($C447&amp;" "&amp;$D447))),"DP","CONC")))&amp;" "&amp;TEXT(LOOKUP(9.99E+307,--MID(SUBSTITUTE(($C447&amp;" "&amp;$D447),CHAR(160)," "),SUMPRODUCT(MIN(FIND({0,1,2,3,4,5,6,7,8,9},SUBSTITUTE(($C447&amp;" "&amp;$D447),CHAR(160)," ")&amp;"0123456789"))),ROW(INDIRECT("1:6")))),"0"),"SIN NUMERO"))</f>
        <v/>
      </c>
      <c r="Q447" t="str">
        <f ca="1">IF($P447="","",IF(LEFT(UPPER($S447),9)="VERIFICAR","VERIFICAR",IF($A447="","SIN ESTADO",IF(AND($A447="Firmada",$H447=""),"FALTA FECHA DE FIRMA",IF(N($T447)=0,IF(AND(ISNUMBER($H447),$H447&gt;=DATE(2024,1,1)),"FALTA EN FIRMADAS","OK"),IF(OR($A447="Pendiente de presentación",$A447="Observado",$A447="En análisis",$A447="En instrucción",$A447="Suspendida",$A447="IT circulando",$A447="Para resolución",$A447="TDC"),"ABIERTA PERO ESTÁ EN FIRMADAS",IF($H447&lt;&gt;INDEX(firmadas!$F:$F,$T447),"FIRMA DISTINTA EN firmadas ("&amp;IF(INDEX(firmadas!$F:$F,$T447)="","vacía",DAY(INDEX(firmadas!$F:$F,$T447))&amp;"/"&amp;MONTH(INDEX(firmadas!$F:$F,$T447))&amp;"/"&amp;YEAR(INDEX(firmadas!$F:$F,$T447)))&amp;")",IF($G447&lt;&gt;INDEX(firmadas!$E:$E,$T447),"INGRESO DISTINTO EN firmadas ("&amp;IF(INDEX(firmadas!$E:$E,$T447)="","vacía",DAY(INDEX(firmadas!$E:$E,$T447))&amp;"/"&amp;MONTH(INDEX(firmadas!$E:$E,$T447))&amp;"/"&amp;YEAR(INDEX(firmadas!$E:$E,$T447)))&amp;")","OK"))))))))</f>
        <v/>
      </c>
      <c r="T447" t="str">
        <f ca="1">IF($P447="","",IFERROR(MATCH($P447,firmadas!$N:$N,0),IFERROR(MATCH("*/"&amp;MID($P447,FIND(" ",$P447)+1,9)&amp;"*",firmadas!$B:$B,0),0)))</f>
        <v/>
      </c>
    </row>
    <row r="448" spans="14:20" ht="15" customHeight="1" x14ac:dyDescent="0.25">
      <c r="N448" s="53" t="str">
        <f t="shared" ca="1" si="6"/>
        <v/>
      </c>
      <c r="P448" t="str">
        <f ca="1">IF(TRIM(SUBSTITUTE(($C448&amp;" "&amp;$D448),CHAR(160)," "))="","",IFERROR(IF(ISNUMBER(SEARCH("INC",($C448&amp;" "&amp;$D448))),"INC",IF(ISNUMBER(SEARCH("OPI",($C448&amp;" "&amp;$D448))),"OPI",IF(ISNUMBER(SEARCH("DP",($C448&amp;" "&amp;$D448))),"DP","CONC")))&amp;" "&amp;TEXT(LOOKUP(9.99E+307,--MID(SUBSTITUTE(($C448&amp;" "&amp;$D448),CHAR(160)," "),SUMPRODUCT(MIN(FIND({0,1,2,3,4,5,6,7,8,9},SUBSTITUTE(($C448&amp;" "&amp;$D448),CHAR(160)," ")&amp;"0123456789"))),ROW(INDIRECT("1:6")))),"0"),"SIN NUMERO"))</f>
        <v/>
      </c>
      <c r="Q448" t="str">
        <f ca="1">IF($P448="","",IF(LEFT(UPPER($S448),9)="VERIFICAR","VERIFICAR",IF($A448="","SIN ESTADO",IF(AND($A448="Firmada",$H448=""),"FALTA FECHA DE FIRMA",IF(N($T448)=0,IF(AND(ISNUMBER($H448),$H448&gt;=DATE(2024,1,1)),"FALTA EN FIRMADAS","OK"),IF(OR($A448="Pendiente de presentación",$A448="Observado",$A448="En análisis",$A448="En instrucción",$A448="Suspendida",$A448="IT circulando",$A448="Para resolución",$A448="TDC"),"ABIERTA PERO ESTÁ EN FIRMADAS",IF($H448&lt;&gt;INDEX(firmadas!$F:$F,$T448),"FIRMA DISTINTA EN firmadas ("&amp;IF(INDEX(firmadas!$F:$F,$T448)="","vacía",DAY(INDEX(firmadas!$F:$F,$T448))&amp;"/"&amp;MONTH(INDEX(firmadas!$F:$F,$T448))&amp;"/"&amp;YEAR(INDEX(firmadas!$F:$F,$T448)))&amp;")",IF($G448&lt;&gt;INDEX(firmadas!$E:$E,$T448),"INGRESO DISTINTO EN firmadas ("&amp;IF(INDEX(firmadas!$E:$E,$T448)="","vacía",DAY(INDEX(firmadas!$E:$E,$T448))&amp;"/"&amp;MONTH(INDEX(firmadas!$E:$E,$T448))&amp;"/"&amp;YEAR(INDEX(firmadas!$E:$E,$T448)))&amp;")","OK"))))))))</f>
        <v/>
      </c>
      <c r="T448" t="str">
        <f ca="1">IF($P448="","",IFERROR(MATCH($P448,firmadas!$N:$N,0),IFERROR(MATCH("*/"&amp;MID($P448,FIND(" ",$P448)+1,9)&amp;"*",firmadas!$B:$B,0),0)))</f>
        <v/>
      </c>
    </row>
    <row r="449" spans="14:20" ht="15" customHeight="1" x14ac:dyDescent="0.25">
      <c r="N449" s="53" t="str">
        <f t="shared" ca="1" si="6"/>
        <v/>
      </c>
      <c r="P449" t="str">
        <f ca="1">IF(TRIM(SUBSTITUTE(($C449&amp;" "&amp;$D449),CHAR(160)," "))="","",IFERROR(IF(ISNUMBER(SEARCH("INC",($C449&amp;" "&amp;$D449))),"INC",IF(ISNUMBER(SEARCH("OPI",($C449&amp;" "&amp;$D449))),"OPI",IF(ISNUMBER(SEARCH("DP",($C449&amp;" "&amp;$D449))),"DP","CONC")))&amp;" "&amp;TEXT(LOOKUP(9.99E+307,--MID(SUBSTITUTE(($C449&amp;" "&amp;$D449),CHAR(160)," "),SUMPRODUCT(MIN(FIND({0,1,2,3,4,5,6,7,8,9},SUBSTITUTE(($C449&amp;" "&amp;$D449),CHAR(160)," ")&amp;"0123456789"))),ROW(INDIRECT("1:6")))),"0"),"SIN NUMERO"))</f>
        <v/>
      </c>
      <c r="Q449" t="str">
        <f ca="1">IF($P449="","",IF(LEFT(UPPER($S449),9)="VERIFICAR","VERIFICAR",IF($A449="","SIN ESTADO",IF(AND($A449="Firmada",$H449=""),"FALTA FECHA DE FIRMA",IF(N($T449)=0,IF(AND(ISNUMBER($H449),$H449&gt;=DATE(2024,1,1)),"FALTA EN FIRMADAS","OK"),IF(OR($A449="Pendiente de presentación",$A449="Observado",$A449="En análisis",$A449="En instrucción",$A449="Suspendida",$A449="IT circulando",$A449="Para resolución",$A449="TDC"),"ABIERTA PERO ESTÁ EN FIRMADAS",IF($H449&lt;&gt;INDEX(firmadas!$F:$F,$T449),"FIRMA DISTINTA EN firmadas ("&amp;IF(INDEX(firmadas!$F:$F,$T449)="","vacía",DAY(INDEX(firmadas!$F:$F,$T449))&amp;"/"&amp;MONTH(INDEX(firmadas!$F:$F,$T449))&amp;"/"&amp;YEAR(INDEX(firmadas!$F:$F,$T449)))&amp;")",IF($G449&lt;&gt;INDEX(firmadas!$E:$E,$T449),"INGRESO DISTINTO EN firmadas ("&amp;IF(INDEX(firmadas!$E:$E,$T449)="","vacía",DAY(INDEX(firmadas!$E:$E,$T449))&amp;"/"&amp;MONTH(INDEX(firmadas!$E:$E,$T449))&amp;"/"&amp;YEAR(INDEX(firmadas!$E:$E,$T449)))&amp;")","OK"))))))))</f>
        <v/>
      </c>
      <c r="T449" t="str">
        <f ca="1">IF($P449="","",IFERROR(MATCH($P449,firmadas!$N:$N,0),IFERROR(MATCH("*/"&amp;MID($P449,FIND(" ",$P449)+1,9)&amp;"*",firmadas!$B:$B,0),0)))</f>
        <v/>
      </c>
    </row>
    <row r="450" spans="14:20" ht="15" customHeight="1" x14ac:dyDescent="0.25">
      <c r="N450" s="53" t="str">
        <f t="shared" ref="N450:N513" ca="1" si="7">IF($G450="","",(IF($H450="",TODAY(),$H450)-$G450)/30)</f>
        <v/>
      </c>
      <c r="P450" t="str">
        <f ca="1">IF(TRIM(SUBSTITUTE(($C450&amp;" "&amp;$D450),CHAR(160)," "))="","",IFERROR(IF(ISNUMBER(SEARCH("INC",($C450&amp;" "&amp;$D450))),"INC",IF(ISNUMBER(SEARCH("OPI",($C450&amp;" "&amp;$D450))),"OPI",IF(ISNUMBER(SEARCH("DP",($C450&amp;" "&amp;$D450))),"DP","CONC")))&amp;" "&amp;TEXT(LOOKUP(9.99E+307,--MID(SUBSTITUTE(($C450&amp;" "&amp;$D450),CHAR(160)," "),SUMPRODUCT(MIN(FIND({0,1,2,3,4,5,6,7,8,9},SUBSTITUTE(($C450&amp;" "&amp;$D450),CHAR(160)," ")&amp;"0123456789"))),ROW(INDIRECT("1:6")))),"0"),"SIN NUMERO"))</f>
        <v/>
      </c>
      <c r="Q450" t="str">
        <f ca="1">IF($P450="","",IF(LEFT(UPPER($S450),9)="VERIFICAR","VERIFICAR",IF($A450="","SIN ESTADO",IF(AND($A450="Firmada",$H450=""),"FALTA FECHA DE FIRMA",IF(N($T450)=0,IF(AND(ISNUMBER($H450),$H450&gt;=DATE(2024,1,1)),"FALTA EN FIRMADAS","OK"),IF(OR($A450="Pendiente de presentación",$A450="Observado",$A450="En análisis",$A450="En instrucción",$A450="Suspendida",$A450="IT circulando",$A450="Para resolución",$A450="TDC"),"ABIERTA PERO ESTÁ EN FIRMADAS",IF($H450&lt;&gt;INDEX(firmadas!$F:$F,$T450),"FIRMA DISTINTA EN firmadas ("&amp;IF(INDEX(firmadas!$F:$F,$T450)="","vacía",DAY(INDEX(firmadas!$F:$F,$T450))&amp;"/"&amp;MONTH(INDEX(firmadas!$F:$F,$T450))&amp;"/"&amp;YEAR(INDEX(firmadas!$F:$F,$T450)))&amp;")",IF($G450&lt;&gt;INDEX(firmadas!$E:$E,$T450),"INGRESO DISTINTO EN firmadas ("&amp;IF(INDEX(firmadas!$E:$E,$T450)="","vacía",DAY(INDEX(firmadas!$E:$E,$T450))&amp;"/"&amp;MONTH(INDEX(firmadas!$E:$E,$T450))&amp;"/"&amp;YEAR(INDEX(firmadas!$E:$E,$T450)))&amp;")","OK"))))))))</f>
        <v/>
      </c>
      <c r="T450" t="str">
        <f ca="1">IF($P450="","",IFERROR(MATCH($P450,firmadas!$N:$N,0),IFERROR(MATCH("*/"&amp;MID($P450,FIND(" ",$P450)+1,9)&amp;"*",firmadas!$B:$B,0),0)))</f>
        <v/>
      </c>
    </row>
    <row r="451" spans="14:20" ht="15" customHeight="1" x14ac:dyDescent="0.25">
      <c r="N451" s="53" t="str">
        <f t="shared" ca="1" si="7"/>
        <v/>
      </c>
      <c r="P451" t="str">
        <f ca="1">IF(TRIM(SUBSTITUTE(($C451&amp;" "&amp;$D451),CHAR(160)," "))="","",IFERROR(IF(ISNUMBER(SEARCH("INC",($C451&amp;" "&amp;$D451))),"INC",IF(ISNUMBER(SEARCH("OPI",($C451&amp;" "&amp;$D451))),"OPI",IF(ISNUMBER(SEARCH("DP",($C451&amp;" "&amp;$D451))),"DP","CONC")))&amp;" "&amp;TEXT(LOOKUP(9.99E+307,--MID(SUBSTITUTE(($C451&amp;" "&amp;$D451),CHAR(160)," "),SUMPRODUCT(MIN(FIND({0,1,2,3,4,5,6,7,8,9},SUBSTITUTE(($C451&amp;" "&amp;$D451),CHAR(160)," ")&amp;"0123456789"))),ROW(INDIRECT("1:6")))),"0"),"SIN NUMERO"))</f>
        <v/>
      </c>
      <c r="Q451" t="str">
        <f ca="1">IF($P451="","",IF(LEFT(UPPER($S451),9)="VERIFICAR","VERIFICAR",IF($A451="","SIN ESTADO",IF(AND($A451="Firmada",$H451=""),"FALTA FECHA DE FIRMA",IF(N($T451)=0,IF(AND(ISNUMBER($H451),$H451&gt;=DATE(2024,1,1)),"FALTA EN FIRMADAS","OK"),IF(OR($A451="Pendiente de presentación",$A451="Observado",$A451="En análisis",$A451="En instrucción",$A451="Suspendida",$A451="IT circulando",$A451="Para resolución",$A451="TDC"),"ABIERTA PERO ESTÁ EN FIRMADAS",IF($H451&lt;&gt;INDEX(firmadas!$F:$F,$T451),"FIRMA DISTINTA EN firmadas ("&amp;IF(INDEX(firmadas!$F:$F,$T451)="","vacía",DAY(INDEX(firmadas!$F:$F,$T451))&amp;"/"&amp;MONTH(INDEX(firmadas!$F:$F,$T451))&amp;"/"&amp;YEAR(INDEX(firmadas!$F:$F,$T451)))&amp;")",IF($G451&lt;&gt;INDEX(firmadas!$E:$E,$T451),"INGRESO DISTINTO EN firmadas ("&amp;IF(INDEX(firmadas!$E:$E,$T451)="","vacía",DAY(INDEX(firmadas!$E:$E,$T451))&amp;"/"&amp;MONTH(INDEX(firmadas!$E:$E,$T451))&amp;"/"&amp;YEAR(INDEX(firmadas!$E:$E,$T451)))&amp;")","OK"))))))))</f>
        <v/>
      </c>
      <c r="T451" t="str">
        <f ca="1">IF($P451="","",IFERROR(MATCH($P451,firmadas!$N:$N,0),IFERROR(MATCH("*/"&amp;MID($P451,FIND(" ",$P451)+1,9)&amp;"*",firmadas!$B:$B,0),0)))</f>
        <v/>
      </c>
    </row>
    <row r="452" spans="14:20" ht="15" customHeight="1" x14ac:dyDescent="0.25">
      <c r="N452" s="53" t="str">
        <f t="shared" ca="1" si="7"/>
        <v/>
      </c>
      <c r="P452" t="str">
        <f ca="1">IF(TRIM(SUBSTITUTE(($C452&amp;" "&amp;$D452),CHAR(160)," "))="","",IFERROR(IF(ISNUMBER(SEARCH("INC",($C452&amp;" "&amp;$D452))),"INC",IF(ISNUMBER(SEARCH("OPI",($C452&amp;" "&amp;$D452))),"OPI",IF(ISNUMBER(SEARCH("DP",($C452&amp;" "&amp;$D452))),"DP","CONC")))&amp;" "&amp;TEXT(LOOKUP(9.99E+307,--MID(SUBSTITUTE(($C452&amp;" "&amp;$D452),CHAR(160)," "),SUMPRODUCT(MIN(FIND({0,1,2,3,4,5,6,7,8,9},SUBSTITUTE(($C452&amp;" "&amp;$D452),CHAR(160)," ")&amp;"0123456789"))),ROW(INDIRECT("1:6")))),"0"),"SIN NUMERO"))</f>
        <v/>
      </c>
      <c r="Q452" t="str">
        <f ca="1">IF($P452="","",IF(LEFT(UPPER($S452),9)="VERIFICAR","VERIFICAR",IF($A452="","SIN ESTADO",IF(AND($A452="Firmada",$H452=""),"FALTA FECHA DE FIRMA",IF(N($T452)=0,IF(AND(ISNUMBER($H452),$H452&gt;=DATE(2024,1,1)),"FALTA EN FIRMADAS","OK"),IF(OR($A452="Pendiente de presentación",$A452="Observado",$A452="En análisis",$A452="En instrucción",$A452="Suspendida",$A452="IT circulando",$A452="Para resolución",$A452="TDC"),"ABIERTA PERO ESTÁ EN FIRMADAS",IF($H452&lt;&gt;INDEX(firmadas!$F:$F,$T452),"FIRMA DISTINTA EN firmadas ("&amp;IF(INDEX(firmadas!$F:$F,$T452)="","vacía",DAY(INDEX(firmadas!$F:$F,$T452))&amp;"/"&amp;MONTH(INDEX(firmadas!$F:$F,$T452))&amp;"/"&amp;YEAR(INDEX(firmadas!$F:$F,$T452)))&amp;")",IF($G452&lt;&gt;INDEX(firmadas!$E:$E,$T452),"INGRESO DISTINTO EN firmadas ("&amp;IF(INDEX(firmadas!$E:$E,$T452)="","vacía",DAY(INDEX(firmadas!$E:$E,$T452))&amp;"/"&amp;MONTH(INDEX(firmadas!$E:$E,$T452))&amp;"/"&amp;YEAR(INDEX(firmadas!$E:$E,$T452)))&amp;")","OK"))))))))</f>
        <v/>
      </c>
      <c r="T452" t="str">
        <f ca="1">IF($P452="","",IFERROR(MATCH($P452,firmadas!$N:$N,0),IFERROR(MATCH("*/"&amp;MID($P452,FIND(" ",$P452)+1,9)&amp;"*",firmadas!$B:$B,0),0)))</f>
        <v/>
      </c>
    </row>
    <row r="453" spans="14:20" ht="15" customHeight="1" x14ac:dyDescent="0.25">
      <c r="N453" s="53" t="str">
        <f t="shared" ca="1" si="7"/>
        <v/>
      </c>
      <c r="P453" t="str">
        <f ca="1">IF(TRIM(SUBSTITUTE(($C453&amp;" "&amp;$D453),CHAR(160)," "))="","",IFERROR(IF(ISNUMBER(SEARCH("INC",($C453&amp;" "&amp;$D453))),"INC",IF(ISNUMBER(SEARCH("OPI",($C453&amp;" "&amp;$D453))),"OPI",IF(ISNUMBER(SEARCH("DP",($C453&amp;" "&amp;$D453))),"DP","CONC")))&amp;" "&amp;TEXT(LOOKUP(9.99E+307,--MID(SUBSTITUTE(($C453&amp;" "&amp;$D453),CHAR(160)," "),SUMPRODUCT(MIN(FIND({0,1,2,3,4,5,6,7,8,9},SUBSTITUTE(($C453&amp;" "&amp;$D453),CHAR(160)," ")&amp;"0123456789"))),ROW(INDIRECT("1:6")))),"0"),"SIN NUMERO"))</f>
        <v/>
      </c>
      <c r="Q453" t="str">
        <f ca="1">IF($P453="","",IF(LEFT(UPPER($S453),9)="VERIFICAR","VERIFICAR",IF($A453="","SIN ESTADO",IF(AND($A453="Firmada",$H453=""),"FALTA FECHA DE FIRMA",IF(N($T453)=0,IF(AND(ISNUMBER($H453),$H453&gt;=DATE(2024,1,1)),"FALTA EN FIRMADAS","OK"),IF(OR($A453="Pendiente de presentación",$A453="Observado",$A453="En análisis",$A453="En instrucción",$A453="Suspendida",$A453="IT circulando",$A453="Para resolución",$A453="TDC"),"ABIERTA PERO ESTÁ EN FIRMADAS",IF($H453&lt;&gt;INDEX(firmadas!$F:$F,$T453),"FIRMA DISTINTA EN firmadas ("&amp;IF(INDEX(firmadas!$F:$F,$T453)="","vacía",DAY(INDEX(firmadas!$F:$F,$T453))&amp;"/"&amp;MONTH(INDEX(firmadas!$F:$F,$T453))&amp;"/"&amp;YEAR(INDEX(firmadas!$F:$F,$T453)))&amp;")",IF($G453&lt;&gt;INDEX(firmadas!$E:$E,$T453),"INGRESO DISTINTO EN firmadas ("&amp;IF(INDEX(firmadas!$E:$E,$T453)="","vacía",DAY(INDEX(firmadas!$E:$E,$T453))&amp;"/"&amp;MONTH(INDEX(firmadas!$E:$E,$T453))&amp;"/"&amp;YEAR(INDEX(firmadas!$E:$E,$T453)))&amp;")","OK"))))))))</f>
        <v/>
      </c>
      <c r="T453" t="str">
        <f ca="1">IF($P453="","",IFERROR(MATCH($P453,firmadas!$N:$N,0),IFERROR(MATCH("*/"&amp;MID($P453,FIND(" ",$P453)+1,9)&amp;"*",firmadas!$B:$B,0),0)))</f>
        <v/>
      </c>
    </row>
    <row r="454" spans="14:20" ht="15" customHeight="1" x14ac:dyDescent="0.25">
      <c r="N454" s="53" t="str">
        <f t="shared" ca="1" si="7"/>
        <v/>
      </c>
      <c r="P454" t="str">
        <f ca="1">IF(TRIM(SUBSTITUTE(($C454&amp;" "&amp;$D454),CHAR(160)," "))="","",IFERROR(IF(ISNUMBER(SEARCH("INC",($C454&amp;" "&amp;$D454))),"INC",IF(ISNUMBER(SEARCH("OPI",($C454&amp;" "&amp;$D454))),"OPI",IF(ISNUMBER(SEARCH("DP",($C454&amp;" "&amp;$D454))),"DP","CONC")))&amp;" "&amp;TEXT(LOOKUP(9.99E+307,--MID(SUBSTITUTE(($C454&amp;" "&amp;$D454),CHAR(160)," "),SUMPRODUCT(MIN(FIND({0,1,2,3,4,5,6,7,8,9},SUBSTITUTE(($C454&amp;" "&amp;$D454),CHAR(160)," ")&amp;"0123456789"))),ROW(INDIRECT("1:6")))),"0"),"SIN NUMERO"))</f>
        <v/>
      </c>
      <c r="Q454" t="str">
        <f ca="1">IF($P454="","",IF(LEFT(UPPER($S454),9)="VERIFICAR","VERIFICAR",IF($A454="","SIN ESTADO",IF(AND($A454="Firmada",$H454=""),"FALTA FECHA DE FIRMA",IF(N($T454)=0,IF(AND(ISNUMBER($H454),$H454&gt;=DATE(2024,1,1)),"FALTA EN FIRMADAS","OK"),IF(OR($A454="Pendiente de presentación",$A454="Observado",$A454="En análisis",$A454="En instrucción",$A454="Suspendida",$A454="IT circulando",$A454="Para resolución",$A454="TDC"),"ABIERTA PERO ESTÁ EN FIRMADAS",IF($H454&lt;&gt;INDEX(firmadas!$F:$F,$T454),"FIRMA DISTINTA EN firmadas ("&amp;IF(INDEX(firmadas!$F:$F,$T454)="","vacía",DAY(INDEX(firmadas!$F:$F,$T454))&amp;"/"&amp;MONTH(INDEX(firmadas!$F:$F,$T454))&amp;"/"&amp;YEAR(INDEX(firmadas!$F:$F,$T454)))&amp;")",IF($G454&lt;&gt;INDEX(firmadas!$E:$E,$T454),"INGRESO DISTINTO EN firmadas ("&amp;IF(INDEX(firmadas!$E:$E,$T454)="","vacía",DAY(INDEX(firmadas!$E:$E,$T454))&amp;"/"&amp;MONTH(INDEX(firmadas!$E:$E,$T454))&amp;"/"&amp;YEAR(INDEX(firmadas!$E:$E,$T454)))&amp;")","OK"))))))))</f>
        <v/>
      </c>
      <c r="T454" t="str">
        <f ca="1">IF($P454="","",IFERROR(MATCH($P454,firmadas!$N:$N,0),IFERROR(MATCH("*/"&amp;MID($P454,FIND(" ",$P454)+1,9)&amp;"*",firmadas!$B:$B,0),0)))</f>
        <v/>
      </c>
    </row>
    <row r="455" spans="14:20" ht="15" customHeight="1" x14ac:dyDescent="0.25">
      <c r="N455" s="53" t="str">
        <f t="shared" ca="1" si="7"/>
        <v/>
      </c>
      <c r="P455" t="str">
        <f ca="1">IF(TRIM(SUBSTITUTE(($C455&amp;" "&amp;$D455),CHAR(160)," "))="","",IFERROR(IF(ISNUMBER(SEARCH("INC",($C455&amp;" "&amp;$D455))),"INC",IF(ISNUMBER(SEARCH("OPI",($C455&amp;" "&amp;$D455))),"OPI",IF(ISNUMBER(SEARCH("DP",($C455&amp;" "&amp;$D455))),"DP","CONC")))&amp;" "&amp;TEXT(LOOKUP(9.99E+307,--MID(SUBSTITUTE(($C455&amp;" "&amp;$D455),CHAR(160)," "),SUMPRODUCT(MIN(FIND({0,1,2,3,4,5,6,7,8,9},SUBSTITUTE(($C455&amp;" "&amp;$D455),CHAR(160)," ")&amp;"0123456789"))),ROW(INDIRECT("1:6")))),"0"),"SIN NUMERO"))</f>
        <v/>
      </c>
      <c r="Q455" t="str">
        <f ca="1">IF($P455="","",IF(LEFT(UPPER($S455),9)="VERIFICAR","VERIFICAR",IF($A455="","SIN ESTADO",IF(AND($A455="Firmada",$H455=""),"FALTA FECHA DE FIRMA",IF(N($T455)=0,IF(AND(ISNUMBER($H455),$H455&gt;=DATE(2024,1,1)),"FALTA EN FIRMADAS","OK"),IF(OR($A455="Pendiente de presentación",$A455="Observado",$A455="En análisis",$A455="En instrucción",$A455="Suspendida",$A455="IT circulando",$A455="Para resolución",$A455="TDC"),"ABIERTA PERO ESTÁ EN FIRMADAS",IF($H455&lt;&gt;INDEX(firmadas!$F:$F,$T455),"FIRMA DISTINTA EN firmadas ("&amp;IF(INDEX(firmadas!$F:$F,$T455)="","vacía",DAY(INDEX(firmadas!$F:$F,$T455))&amp;"/"&amp;MONTH(INDEX(firmadas!$F:$F,$T455))&amp;"/"&amp;YEAR(INDEX(firmadas!$F:$F,$T455)))&amp;")",IF($G455&lt;&gt;INDEX(firmadas!$E:$E,$T455),"INGRESO DISTINTO EN firmadas ("&amp;IF(INDEX(firmadas!$E:$E,$T455)="","vacía",DAY(INDEX(firmadas!$E:$E,$T455))&amp;"/"&amp;MONTH(INDEX(firmadas!$E:$E,$T455))&amp;"/"&amp;YEAR(INDEX(firmadas!$E:$E,$T455)))&amp;")","OK"))))))))</f>
        <v/>
      </c>
      <c r="T455" t="str">
        <f ca="1">IF($P455="","",IFERROR(MATCH($P455,firmadas!$N:$N,0),IFERROR(MATCH("*/"&amp;MID($P455,FIND(" ",$P455)+1,9)&amp;"*",firmadas!$B:$B,0),0)))</f>
        <v/>
      </c>
    </row>
    <row r="456" spans="14:20" ht="15" customHeight="1" x14ac:dyDescent="0.25">
      <c r="N456" s="53" t="str">
        <f t="shared" ca="1" si="7"/>
        <v/>
      </c>
      <c r="P456" t="str">
        <f ca="1">IF(TRIM(SUBSTITUTE(($C456&amp;" "&amp;$D456),CHAR(160)," "))="","",IFERROR(IF(ISNUMBER(SEARCH("INC",($C456&amp;" "&amp;$D456))),"INC",IF(ISNUMBER(SEARCH("OPI",($C456&amp;" "&amp;$D456))),"OPI",IF(ISNUMBER(SEARCH("DP",($C456&amp;" "&amp;$D456))),"DP","CONC")))&amp;" "&amp;TEXT(LOOKUP(9.99E+307,--MID(SUBSTITUTE(($C456&amp;" "&amp;$D456),CHAR(160)," "),SUMPRODUCT(MIN(FIND({0,1,2,3,4,5,6,7,8,9},SUBSTITUTE(($C456&amp;" "&amp;$D456),CHAR(160)," ")&amp;"0123456789"))),ROW(INDIRECT("1:6")))),"0"),"SIN NUMERO"))</f>
        <v/>
      </c>
      <c r="Q456" t="str">
        <f ca="1">IF($P456="","",IF(LEFT(UPPER($S456),9)="VERIFICAR","VERIFICAR",IF($A456="","SIN ESTADO",IF(AND($A456="Firmada",$H456=""),"FALTA FECHA DE FIRMA",IF(N($T456)=0,IF(AND(ISNUMBER($H456),$H456&gt;=DATE(2024,1,1)),"FALTA EN FIRMADAS","OK"),IF(OR($A456="Pendiente de presentación",$A456="Observado",$A456="En análisis",$A456="En instrucción",$A456="Suspendida",$A456="IT circulando",$A456="Para resolución",$A456="TDC"),"ABIERTA PERO ESTÁ EN FIRMADAS",IF($H456&lt;&gt;INDEX(firmadas!$F:$F,$T456),"FIRMA DISTINTA EN firmadas ("&amp;IF(INDEX(firmadas!$F:$F,$T456)="","vacía",DAY(INDEX(firmadas!$F:$F,$T456))&amp;"/"&amp;MONTH(INDEX(firmadas!$F:$F,$T456))&amp;"/"&amp;YEAR(INDEX(firmadas!$F:$F,$T456)))&amp;")",IF($G456&lt;&gt;INDEX(firmadas!$E:$E,$T456),"INGRESO DISTINTO EN firmadas ("&amp;IF(INDEX(firmadas!$E:$E,$T456)="","vacía",DAY(INDEX(firmadas!$E:$E,$T456))&amp;"/"&amp;MONTH(INDEX(firmadas!$E:$E,$T456))&amp;"/"&amp;YEAR(INDEX(firmadas!$E:$E,$T456)))&amp;")","OK"))))))))</f>
        <v/>
      </c>
      <c r="T456" t="str">
        <f ca="1">IF($P456="","",IFERROR(MATCH($P456,firmadas!$N:$N,0),IFERROR(MATCH("*/"&amp;MID($P456,FIND(" ",$P456)+1,9)&amp;"*",firmadas!$B:$B,0),0)))</f>
        <v/>
      </c>
    </row>
    <row r="457" spans="14:20" ht="15" customHeight="1" x14ac:dyDescent="0.25">
      <c r="N457" s="53" t="str">
        <f t="shared" ca="1" si="7"/>
        <v/>
      </c>
      <c r="P457" t="str">
        <f ca="1">IF(TRIM(SUBSTITUTE(($C457&amp;" "&amp;$D457),CHAR(160)," "))="","",IFERROR(IF(ISNUMBER(SEARCH("INC",($C457&amp;" "&amp;$D457))),"INC",IF(ISNUMBER(SEARCH("OPI",($C457&amp;" "&amp;$D457))),"OPI",IF(ISNUMBER(SEARCH("DP",($C457&amp;" "&amp;$D457))),"DP","CONC")))&amp;" "&amp;TEXT(LOOKUP(9.99E+307,--MID(SUBSTITUTE(($C457&amp;" "&amp;$D457),CHAR(160)," "),SUMPRODUCT(MIN(FIND({0,1,2,3,4,5,6,7,8,9},SUBSTITUTE(($C457&amp;" "&amp;$D457),CHAR(160)," ")&amp;"0123456789"))),ROW(INDIRECT("1:6")))),"0"),"SIN NUMERO"))</f>
        <v/>
      </c>
      <c r="Q457" t="str">
        <f ca="1">IF($P457="","",IF(LEFT(UPPER($S457),9)="VERIFICAR","VERIFICAR",IF($A457="","SIN ESTADO",IF(AND($A457="Firmada",$H457=""),"FALTA FECHA DE FIRMA",IF(N($T457)=0,IF(AND(ISNUMBER($H457),$H457&gt;=DATE(2024,1,1)),"FALTA EN FIRMADAS","OK"),IF(OR($A457="Pendiente de presentación",$A457="Observado",$A457="En análisis",$A457="En instrucción",$A457="Suspendida",$A457="IT circulando",$A457="Para resolución",$A457="TDC"),"ABIERTA PERO ESTÁ EN FIRMADAS",IF($H457&lt;&gt;INDEX(firmadas!$F:$F,$T457),"FIRMA DISTINTA EN firmadas ("&amp;IF(INDEX(firmadas!$F:$F,$T457)="","vacía",DAY(INDEX(firmadas!$F:$F,$T457))&amp;"/"&amp;MONTH(INDEX(firmadas!$F:$F,$T457))&amp;"/"&amp;YEAR(INDEX(firmadas!$F:$F,$T457)))&amp;")",IF($G457&lt;&gt;INDEX(firmadas!$E:$E,$T457),"INGRESO DISTINTO EN firmadas ("&amp;IF(INDEX(firmadas!$E:$E,$T457)="","vacía",DAY(INDEX(firmadas!$E:$E,$T457))&amp;"/"&amp;MONTH(INDEX(firmadas!$E:$E,$T457))&amp;"/"&amp;YEAR(INDEX(firmadas!$E:$E,$T457)))&amp;")","OK"))))))))</f>
        <v/>
      </c>
      <c r="T457" t="str">
        <f ca="1">IF($P457="","",IFERROR(MATCH($P457,firmadas!$N:$N,0),IFERROR(MATCH("*/"&amp;MID($P457,FIND(" ",$P457)+1,9)&amp;"*",firmadas!$B:$B,0),0)))</f>
        <v/>
      </c>
    </row>
    <row r="458" spans="14:20" ht="15" customHeight="1" x14ac:dyDescent="0.25">
      <c r="N458" s="53" t="str">
        <f t="shared" ca="1" si="7"/>
        <v/>
      </c>
      <c r="P458" t="str">
        <f ca="1">IF(TRIM(SUBSTITUTE(($C458&amp;" "&amp;$D458),CHAR(160)," "))="","",IFERROR(IF(ISNUMBER(SEARCH("INC",($C458&amp;" "&amp;$D458))),"INC",IF(ISNUMBER(SEARCH("OPI",($C458&amp;" "&amp;$D458))),"OPI",IF(ISNUMBER(SEARCH("DP",($C458&amp;" "&amp;$D458))),"DP","CONC")))&amp;" "&amp;TEXT(LOOKUP(9.99E+307,--MID(SUBSTITUTE(($C458&amp;" "&amp;$D458),CHAR(160)," "),SUMPRODUCT(MIN(FIND({0,1,2,3,4,5,6,7,8,9},SUBSTITUTE(($C458&amp;" "&amp;$D458),CHAR(160)," ")&amp;"0123456789"))),ROW(INDIRECT("1:6")))),"0"),"SIN NUMERO"))</f>
        <v/>
      </c>
      <c r="Q458" t="str">
        <f ca="1">IF($P458="","",IF(LEFT(UPPER($S458),9)="VERIFICAR","VERIFICAR",IF($A458="","SIN ESTADO",IF(AND($A458="Firmada",$H458=""),"FALTA FECHA DE FIRMA",IF(N($T458)=0,IF(AND(ISNUMBER($H458),$H458&gt;=DATE(2024,1,1)),"FALTA EN FIRMADAS","OK"),IF(OR($A458="Pendiente de presentación",$A458="Observado",$A458="En análisis",$A458="En instrucción",$A458="Suspendida",$A458="IT circulando",$A458="Para resolución",$A458="TDC"),"ABIERTA PERO ESTÁ EN FIRMADAS",IF($H458&lt;&gt;INDEX(firmadas!$F:$F,$T458),"FIRMA DISTINTA EN firmadas ("&amp;IF(INDEX(firmadas!$F:$F,$T458)="","vacía",DAY(INDEX(firmadas!$F:$F,$T458))&amp;"/"&amp;MONTH(INDEX(firmadas!$F:$F,$T458))&amp;"/"&amp;YEAR(INDEX(firmadas!$F:$F,$T458)))&amp;")",IF($G458&lt;&gt;INDEX(firmadas!$E:$E,$T458),"INGRESO DISTINTO EN firmadas ("&amp;IF(INDEX(firmadas!$E:$E,$T458)="","vacía",DAY(INDEX(firmadas!$E:$E,$T458))&amp;"/"&amp;MONTH(INDEX(firmadas!$E:$E,$T458))&amp;"/"&amp;YEAR(INDEX(firmadas!$E:$E,$T458)))&amp;")","OK"))))))))</f>
        <v/>
      </c>
      <c r="T458" t="str">
        <f ca="1">IF($P458="","",IFERROR(MATCH($P458,firmadas!$N:$N,0),IFERROR(MATCH("*/"&amp;MID($P458,FIND(" ",$P458)+1,9)&amp;"*",firmadas!$B:$B,0),0)))</f>
        <v/>
      </c>
    </row>
    <row r="459" spans="14:20" ht="15" customHeight="1" x14ac:dyDescent="0.25">
      <c r="N459" s="53" t="str">
        <f t="shared" ca="1" si="7"/>
        <v/>
      </c>
      <c r="P459" t="str">
        <f ca="1">IF(TRIM(SUBSTITUTE(($C459&amp;" "&amp;$D459),CHAR(160)," "))="","",IFERROR(IF(ISNUMBER(SEARCH("INC",($C459&amp;" "&amp;$D459))),"INC",IF(ISNUMBER(SEARCH("OPI",($C459&amp;" "&amp;$D459))),"OPI",IF(ISNUMBER(SEARCH("DP",($C459&amp;" "&amp;$D459))),"DP","CONC")))&amp;" "&amp;TEXT(LOOKUP(9.99E+307,--MID(SUBSTITUTE(($C459&amp;" "&amp;$D459),CHAR(160)," "),SUMPRODUCT(MIN(FIND({0,1,2,3,4,5,6,7,8,9},SUBSTITUTE(($C459&amp;" "&amp;$D459),CHAR(160)," ")&amp;"0123456789"))),ROW(INDIRECT("1:6")))),"0"),"SIN NUMERO"))</f>
        <v/>
      </c>
      <c r="Q459" t="str">
        <f ca="1">IF($P459="","",IF(LEFT(UPPER($S459),9)="VERIFICAR","VERIFICAR",IF($A459="","SIN ESTADO",IF(AND($A459="Firmada",$H459=""),"FALTA FECHA DE FIRMA",IF(N($T459)=0,IF(AND(ISNUMBER($H459),$H459&gt;=DATE(2024,1,1)),"FALTA EN FIRMADAS","OK"),IF(OR($A459="Pendiente de presentación",$A459="Observado",$A459="En análisis",$A459="En instrucción",$A459="Suspendida",$A459="IT circulando",$A459="Para resolución",$A459="TDC"),"ABIERTA PERO ESTÁ EN FIRMADAS",IF($H459&lt;&gt;INDEX(firmadas!$F:$F,$T459),"FIRMA DISTINTA EN firmadas ("&amp;IF(INDEX(firmadas!$F:$F,$T459)="","vacía",DAY(INDEX(firmadas!$F:$F,$T459))&amp;"/"&amp;MONTH(INDEX(firmadas!$F:$F,$T459))&amp;"/"&amp;YEAR(INDEX(firmadas!$F:$F,$T459)))&amp;")",IF($G459&lt;&gt;INDEX(firmadas!$E:$E,$T459),"INGRESO DISTINTO EN firmadas ("&amp;IF(INDEX(firmadas!$E:$E,$T459)="","vacía",DAY(INDEX(firmadas!$E:$E,$T459))&amp;"/"&amp;MONTH(INDEX(firmadas!$E:$E,$T459))&amp;"/"&amp;YEAR(INDEX(firmadas!$E:$E,$T459)))&amp;")","OK"))))))))</f>
        <v/>
      </c>
      <c r="T459" t="str">
        <f ca="1">IF($P459="","",IFERROR(MATCH($P459,firmadas!$N:$N,0),IFERROR(MATCH("*/"&amp;MID($P459,FIND(" ",$P459)+1,9)&amp;"*",firmadas!$B:$B,0),0)))</f>
        <v/>
      </c>
    </row>
    <row r="460" spans="14:20" ht="15" customHeight="1" x14ac:dyDescent="0.25">
      <c r="N460" s="53" t="str">
        <f t="shared" ca="1" si="7"/>
        <v/>
      </c>
      <c r="P460" t="str">
        <f ca="1">IF(TRIM(SUBSTITUTE(($C460&amp;" "&amp;$D460),CHAR(160)," "))="","",IFERROR(IF(ISNUMBER(SEARCH("INC",($C460&amp;" "&amp;$D460))),"INC",IF(ISNUMBER(SEARCH("OPI",($C460&amp;" "&amp;$D460))),"OPI",IF(ISNUMBER(SEARCH("DP",($C460&amp;" "&amp;$D460))),"DP","CONC")))&amp;" "&amp;TEXT(LOOKUP(9.99E+307,--MID(SUBSTITUTE(($C460&amp;" "&amp;$D460),CHAR(160)," "),SUMPRODUCT(MIN(FIND({0,1,2,3,4,5,6,7,8,9},SUBSTITUTE(($C460&amp;" "&amp;$D460),CHAR(160)," ")&amp;"0123456789"))),ROW(INDIRECT("1:6")))),"0"),"SIN NUMERO"))</f>
        <v/>
      </c>
      <c r="Q460" t="str">
        <f ca="1">IF($P460="","",IF(LEFT(UPPER($S460),9)="VERIFICAR","VERIFICAR",IF($A460="","SIN ESTADO",IF(AND($A460="Firmada",$H460=""),"FALTA FECHA DE FIRMA",IF(N($T460)=0,IF(AND(ISNUMBER($H460),$H460&gt;=DATE(2024,1,1)),"FALTA EN FIRMADAS","OK"),IF(OR($A460="Pendiente de presentación",$A460="Observado",$A460="En análisis",$A460="En instrucción",$A460="Suspendida",$A460="IT circulando",$A460="Para resolución",$A460="TDC"),"ABIERTA PERO ESTÁ EN FIRMADAS",IF($H460&lt;&gt;INDEX(firmadas!$F:$F,$T460),"FIRMA DISTINTA EN firmadas ("&amp;IF(INDEX(firmadas!$F:$F,$T460)="","vacía",DAY(INDEX(firmadas!$F:$F,$T460))&amp;"/"&amp;MONTH(INDEX(firmadas!$F:$F,$T460))&amp;"/"&amp;YEAR(INDEX(firmadas!$F:$F,$T460)))&amp;")",IF($G460&lt;&gt;INDEX(firmadas!$E:$E,$T460),"INGRESO DISTINTO EN firmadas ("&amp;IF(INDEX(firmadas!$E:$E,$T460)="","vacía",DAY(INDEX(firmadas!$E:$E,$T460))&amp;"/"&amp;MONTH(INDEX(firmadas!$E:$E,$T460))&amp;"/"&amp;YEAR(INDEX(firmadas!$E:$E,$T460)))&amp;")","OK"))))))))</f>
        <v/>
      </c>
      <c r="T460" t="str">
        <f ca="1">IF($P460="","",IFERROR(MATCH($P460,firmadas!$N:$N,0),IFERROR(MATCH("*/"&amp;MID($P460,FIND(" ",$P460)+1,9)&amp;"*",firmadas!$B:$B,0),0)))</f>
        <v/>
      </c>
    </row>
    <row r="461" spans="14:20" ht="15" customHeight="1" x14ac:dyDescent="0.25">
      <c r="N461" s="53" t="str">
        <f t="shared" ca="1" si="7"/>
        <v/>
      </c>
      <c r="P461" t="str">
        <f ca="1">IF(TRIM(SUBSTITUTE(($C461&amp;" "&amp;$D461),CHAR(160)," "))="","",IFERROR(IF(ISNUMBER(SEARCH("INC",($C461&amp;" "&amp;$D461))),"INC",IF(ISNUMBER(SEARCH("OPI",($C461&amp;" "&amp;$D461))),"OPI",IF(ISNUMBER(SEARCH("DP",($C461&amp;" "&amp;$D461))),"DP","CONC")))&amp;" "&amp;TEXT(LOOKUP(9.99E+307,--MID(SUBSTITUTE(($C461&amp;" "&amp;$D461),CHAR(160)," "),SUMPRODUCT(MIN(FIND({0,1,2,3,4,5,6,7,8,9},SUBSTITUTE(($C461&amp;" "&amp;$D461),CHAR(160)," ")&amp;"0123456789"))),ROW(INDIRECT("1:6")))),"0"),"SIN NUMERO"))</f>
        <v/>
      </c>
      <c r="Q461" t="str">
        <f ca="1">IF($P461="","",IF(LEFT(UPPER($S461),9)="VERIFICAR","VERIFICAR",IF($A461="","SIN ESTADO",IF(AND($A461="Firmada",$H461=""),"FALTA FECHA DE FIRMA",IF(N($T461)=0,IF(AND(ISNUMBER($H461),$H461&gt;=DATE(2024,1,1)),"FALTA EN FIRMADAS","OK"),IF(OR($A461="Pendiente de presentación",$A461="Observado",$A461="En análisis",$A461="En instrucción",$A461="Suspendida",$A461="IT circulando",$A461="Para resolución",$A461="TDC"),"ABIERTA PERO ESTÁ EN FIRMADAS",IF($H461&lt;&gt;INDEX(firmadas!$F:$F,$T461),"FIRMA DISTINTA EN firmadas ("&amp;IF(INDEX(firmadas!$F:$F,$T461)="","vacía",DAY(INDEX(firmadas!$F:$F,$T461))&amp;"/"&amp;MONTH(INDEX(firmadas!$F:$F,$T461))&amp;"/"&amp;YEAR(INDEX(firmadas!$F:$F,$T461)))&amp;")",IF($G461&lt;&gt;INDEX(firmadas!$E:$E,$T461),"INGRESO DISTINTO EN firmadas ("&amp;IF(INDEX(firmadas!$E:$E,$T461)="","vacía",DAY(INDEX(firmadas!$E:$E,$T461))&amp;"/"&amp;MONTH(INDEX(firmadas!$E:$E,$T461))&amp;"/"&amp;YEAR(INDEX(firmadas!$E:$E,$T461)))&amp;")","OK"))))))))</f>
        <v/>
      </c>
      <c r="T461" t="str">
        <f ca="1">IF($P461="","",IFERROR(MATCH($P461,firmadas!$N:$N,0),IFERROR(MATCH("*/"&amp;MID($P461,FIND(" ",$P461)+1,9)&amp;"*",firmadas!$B:$B,0),0)))</f>
        <v/>
      </c>
    </row>
    <row r="462" spans="14:20" ht="15" customHeight="1" x14ac:dyDescent="0.25">
      <c r="N462" s="53" t="str">
        <f t="shared" ca="1" si="7"/>
        <v/>
      </c>
      <c r="P462" t="str">
        <f ca="1">IF(TRIM(SUBSTITUTE(($C462&amp;" "&amp;$D462),CHAR(160)," "))="","",IFERROR(IF(ISNUMBER(SEARCH("INC",($C462&amp;" "&amp;$D462))),"INC",IF(ISNUMBER(SEARCH("OPI",($C462&amp;" "&amp;$D462))),"OPI",IF(ISNUMBER(SEARCH("DP",($C462&amp;" "&amp;$D462))),"DP","CONC")))&amp;" "&amp;TEXT(LOOKUP(9.99E+307,--MID(SUBSTITUTE(($C462&amp;" "&amp;$D462),CHAR(160)," "),SUMPRODUCT(MIN(FIND({0,1,2,3,4,5,6,7,8,9},SUBSTITUTE(($C462&amp;" "&amp;$D462),CHAR(160)," ")&amp;"0123456789"))),ROW(INDIRECT("1:6")))),"0"),"SIN NUMERO"))</f>
        <v/>
      </c>
      <c r="Q462" t="str">
        <f ca="1">IF($P462="","",IF(LEFT(UPPER($S462),9)="VERIFICAR","VERIFICAR",IF($A462="","SIN ESTADO",IF(AND($A462="Firmada",$H462=""),"FALTA FECHA DE FIRMA",IF(N($T462)=0,IF(AND(ISNUMBER($H462),$H462&gt;=DATE(2024,1,1)),"FALTA EN FIRMADAS","OK"),IF(OR($A462="Pendiente de presentación",$A462="Observado",$A462="En análisis",$A462="En instrucción",$A462="Suspendida",$A462="IT circulando",$A462="Para resolución",$A462="TDC"),"ABIERTA PERO ESTÁ EN FIRMADAS",IF($H462&lt;&gt;INDEX(firmadas!$F:$F,$T462),"FIRMA DISTINTA EN firmadas ("&amp;IF(INDEX(firmadas!$F:$F,$T462)="","vacía",DAY(INDEX(firmadas!$F:$F,$T462))&amp;"/"&amp;MONTH(INDEX(firmadas!$F:$F,$T462))&amp;"/"&amp;YEAR(INDEX(firmadas!$F:$F,$T462)))&amp;")",IF($G462&lt;&gt;INDEX(firmadas!$E:$E,$T462),"INGRESO DISTINTO EN firmadas ("&amp;IF(INDEX(firmadas!$E:$E,$T462)="","vacía",DAY(INDEX(firmadas!$E:$E,$T462))&amp;"/"&amp;MONTH(INDEX(firmadas!$E:$E,$T462))&amp;"/"&amp;YEAR(INDEX(firmadas!$E:$E,$T462)))&amp;")","OK"))))))))</f>
        <v/>
      </c>
      <c r="T462" t="str">
        <f ca="1">IF($P462="","",IFERROR(MATCH($P462,firmadas!$N:$N,0),IFERROR(MATCH("*/"&amp;MID($P462,FIND(" ",$P462)+1,9)&amp;"*",firmadas!$B:$B,0),0)))</f>
        <v/>
      </c>
    </row>
    <row r="463" spans="14:20" ht="15" customHeight="1" x14ac:dyDescent="0.25">
      <c r="N463" s="53" t="str">
        <f t="shared" ca="1" si="7"/>
        <v/>
      </c>
      <c r="P463" t="str">
        <f ca="1">IF(TRIM(SUBSTITUTE(($C463&amp;" "&amp;$D463),CHAR(160)," "))="","",IFERROR(IF(ISNUMBER(SEARCH("INC",($C463&amp;" "&amp;$D463))),"INC",IF(ISNUMBER(SEARCH("OPI",($C463&amp;" "&amp;$D463))),"OPI",IF(ISNUMBER(SEARCH("DP",($C463&amp;" "&amp;$D463))),"DP","CONC")))&amp;" "&amp;TEXT(LOOKUP(9.99E+307,--MID(SUBSTITUTE(($C463&amp;" "&amp;$D463),CHAR(160)," "),SUMPRODUCT(MIN(FIND({0,1,2,3,4,5,6,7,8,9},SUBSTITUTE(($C463&amp;" "&amp;$D463),CHAR(160)," ")&amp;"0123456789"))),ROW(INDIRECT("1:6")))),"0"),"SIN NUMERO"))</f>
        <v/>
      </c>
      <c r="Q463" t="str">
        <f ca="1">IF($P463="","",IF(LEFT(UPPER($S463),9)="VERIFICAR","VERIFICAR",IF($A463="","SIN ESTADO",IF(AND($A463="Firmada",$H463=""),"FALTA FECHA DE FIRMA",IF(N($T463)=0,IF(AND(ISNUMBER($H463),$H463&gt;=DATE(2024,1,1)),"FALTA EN FIRMADAS","OK"),IF(OR($A463="Pendiente de presentación",$A463="Observado",$A463="En análisis",$A463="En instrucción",$A463="Suspendida",$A463="IT circulando",$A463="Para resolución",$A463="TDC"),"ABIERTA PERO ESTÁ EN FIRMADAS",IF($H463&lt;&gt;INDEX(firmadas!$F:$F,$T463),"FIRMA DISTINTA EN firmadas ("&amp;IF(INDEX(firmadas!$F:$F,$T463)="","vacía",DAY(INDEX(firmadas!$F:$F,$T463))&amp;"/"&amp;MONTH(INDEX(firmadas!$F:$F,$T463))&amp;"/"&amp;YEAR(INDEX(firmadas!$F:$F,$T463)))&amp;")",IF($G463&lt;&gt;INDEX(firmadas!$E:$E,$T463),"INGRESO DISTINTO EN firmadas ("&amp;IF(INDEX(firmadas!$E:$E,$T463)="","vacía",DAY(INDEX(firmadas!$E:$E,$T463))&amp;"/"&amp;MONTH(INDEX(firmadas!$E:$E,$T463))&amp;"/"&amp;YEAR(INDEX(firmadas!$E:$E,$T463)))&amp;")","OK"))))))))</f>
        <v/>
      </c>
      <c r="T463" t="str">
        <f ca="1">IF($P463="","",IFERROR(MATCH($P463,firmadas!$N:$N,0),IFERROR(MATCH("*/"&amp;MID($P463,FIND(" ",$P463)+1,9)&amp;"*",firmadas!$B:$B,0),0)))</f>
        <v/>
      </c>
    </row>
    <row r="464" spans="14:20" ht="15" customHeight="1" x14ac:dyDescent="0.25">
      <c r="N464" s="53" t="str">
        <f t="shared" ca="1" si="7"/>
        <v/>
      </c>
      <c r="P464" t="str">
        <f ca="1">IF(TRIM(SUBSTITUTE(($C464&amp;" "&amp;$D464),CHAR(160)," "))="","",IFERROR(IF(ISNUMBER(SEARCH("INC",($C464&amp;" "&amp;$D464))),"INC",IF(ISNUMBER(SEARCH("OPI",($C464&amp;" "&amp;$D464))),"OPI",IF(ISNUMBER(SEARCH("DP",($C464&amp;" "&amp;$D464))),"DP","CONC")))&amp;" "&amp;TEXT(LOOKUP(9.99E+307,--MID(SUBSTITUTE(($C464&amp;" "&amp;$D464),CHAR(160)," "),SUMPRODUCT(MIN(FIND({0,1,2,3,4,5,6,7,8,9},SUBSTITUTE(($C464&amp;" "&amp;$D464),CHAR(160)," ")&amp;"0123456789"))),ROW(INDIRECT("1:6")))),"0"),"SIN NUMERO"))</f>
        <v/>
      </c>
      <c r="Q464" t="str">
        <f ca="1">IF($P464="","",IF(LEFT(UPPER($S464),9)="VERIFICAR","VERIFICAR",IF($A464="","SIN ESTADO",IF(AND($A464="Firmada",$H464=""),"FALTA FECHA DE FIRMA",IF(N($T464)=0,IF(AND(ISNUMBER($H464),$H464&gt;=DATE(2024,1,1)),"FALTA EN FIRMADAS","OK"),IF(OR($A464="Pendiente de presentación",$A464="Observado",$A464="En análisis",$A464="En instrucción",$A464="Suspendida",$A464="IT circulando",$A464="Para resolución",$A464="TDC"),"ABIERTA PERO ESTÁ EN FIRMADAS",IF($H464&lt;&gt;INDEX(firmadas!$F:$F,$T464),"FIRMA DISTINTA EN firmadas ("&amp;IF(INDEX(firmadas!$F:$F,$T464)="","vacía",DAY(INDEX(firmadas!$F:$F,$T464))&amp;"/"&amp;MONTH(INDEX(firmadas!$F:$F,$T464))&amp;"/"&amp;YEAR(INDEX(firmadas!$F:$F,$T464)))&amp;")",IF($G464&lt;&gt;INDEX(firmadas!$E:$E,$T464),"INGRESO DISTINTO EN firmadas ("&amp;IF(INDEX(firmadas!$E:$E,$T464)="","vacía",DAY(INDEX(firmadas!$E:$E,$T464))&amp;"/"&amp;MONTH(INDEX(firmadas!$E:$E,$T464))&amp;"/"&amp;YEAR(INDEX(firmadas!$E:$E,$T464)))&amp;")","OK"))))))))</f>
        <v/>
      </c>
      <c r="T464" t="str">
        <f ca="1">IF($P464="","",IFERROR(MATCH($P464,firmadas!$N:$N,0),IFERROR(MATCH("*/"&amp;MID($P464,FIND(" ",$P464)+1,9)&amp;"*",firmadas!$B:$B,0),0)))</f>
        <v/>
      </c>
    </row>
    <row r="465" spans="14:20" ht="15" customHeight="1" x14ac:dyDescent="0.25">
      <c r="N465" s="53" t="str">
        <f t="shared" ca="1" si="7"/>
        <v/>
      </c>
      <c r="P465" t="str">
        <f ca="1">IF(TRIM(SUBSTITUTE(($C465&amp;" "&amp;$D465),CHAR(160)," "))="","",IFERROR(IF(ISNUMBER(SEARCH("INC",($C465&amp;" "&amp;$D465))),"INC",IF(ISNUMBER(SEARCH("OPI",($C465&amp;" "&amp;$D465))),"OPI",IF(ISNUMBER(SEARCH("DP",($C465&amp;" "&amp;$D465))),"DP","CONC")))&amp;" "&amp;TEXT(LOOKUP(9.99E+307,--MID(SUBSTITUTE(($C465&amp;" "&amp;$D465),CHAR(160)," "),SUMPRODUCT(MIN(FIND({0,1,2,3,4,5,6,7,8,9},SUBSTITUTE(($C465&amp;" "&amp;$D465),CHAR(160)," ")&amp;"0123456789"))),ROW(INDIRECT("1:6")))),"0"),"SIN NUMERO"))</f>
        <v/>
      </c>
      <c r="Q465" t="str">
        <f ca="1">IF($P465="","",IF(LEFT(UPPER($S465),9)="VERIFICAR","VERIFICAR",IF($A465="","SIN ESTADO",IF(AND($A465="Firmada",$H465=""),"FALTA FECHA DE FIRMA",IF(N($T465)=0,IF(AND(ISNUMBER($H465),$H465&gt;=DATE(2024,1,1)),"FALTA EN FIRMADAS","OK"),IF(OR($A465="Pendiente de presentación",$A465="Observado",$A465="En análisis",$A465="En instrucción",$A465="Suspendida",$A465="IT circulando",$A465="Para resolución",$A465="TDC"),"ABIERTA PERO ESTÁ EN FIRMADAS",IF($H465&lt;&gt;INDEX(firmadas!$F:$F,$T465),"FIRMA DISTINTA EN firmadas ("&amp;IF(INDEX(firmadas!$F:$F,$T465)="","vacía",DAY(INDEX(firmadas!$F:$F,$T465))&amp;"/"&amp;MONTH(INDEX(firmadas!$F:$F,$T465))&amp;"/"&amp;YEAR(INDEX(firmadas!$F:$F,$T465)))&amp;")",IF($G465&lt;&gt;INDEX(firmadas!$E:$E,$T465),"INGRESO DISTINTO EN firmadas ("&amp;IF(INDEX(firmadas!$E:$E,$T465)="","vacía",DAY(INDEX(firmadas!$E:$E,$T465))&amp;"/"&amp;MONTH(INDEX(firmadas!$E:$E,$T465))&amp;"/"&amp;YEAR(INDEX(firmadas!$E:$E,$T465)))&amp;")","OK"))))))))</f>
        <v/>
      </c>
      <c r="T465" t="str">
        <f ca="1">IF($P465="","",IFERROR(MATCH($P465,firmadas!$N:$N,0),IFERROR(MATCH("*/"&amp;MID($P465,FIND(" ",$P465)+1,9)&amp;"*",firmadas!$B:$B,0),0)))</f>
        <v/>
      </c>
    </row>
    <row r="466" spans="14:20" ht="15" customHeight="1" x14ac:dyDescent="0.25">
      <c r="N466" s="53" t="str">
        <f t="shared" ca="1" si="7"/>
        <v/>
      </c>
      <c r="P466" t="str">
        <f ca="1">IF(TRIM(SUBSTITUTE(($C466&amp;" "&amp;$D466),CHAR(160)," "))="","",IFERROR(IF(ISNUMBER(SEARCH("INC",($C466&amp;" "&amp;$D466))),"INC",IF(ISNUMBER(SEARCH("OPI",($C466&amp;" "&amp;$D466))),"OPI",IF(ISNUMBER(SEARCH("DP",($C466&amp;" "&amp;$D466))),"DP","CONC")))&amp;" "&amp;TEXT(LOOKUP(9.99E+307,--MID(SUBSTITUTE(($C466&amp;" "&amp;$D466),CHAR(160)," "),SUMPRODUCT(MIN(FIND({0,1,2,3,4,5,6,7,8,9},SUBSTITUTE(($C466&amp;" "&amp;$D466),CHAR(160)," ")&amp;"0123456789"))),ROW(INDIRECT("1:6")))),"0"),"SIN NUMERO"))</f>
        <v/>
      </c>
      <c r="Q466" t="str">
        <f ca="1">IF($P466="","",IF(LEFT(UPPER($S466),9)="VERIFICAR","VERIFICAR",IF($A466="","SIN ESTADO",IF(AND($A466="Firmada",$H466=""),"FALTA FECHA DE FIRMA",IF(N($T466)=0,IF(AND(ISNUMBER($H466),$H466&gt;=DATE(2024,1,1)),"FALTA EN FIRMADAS","OK"),IF(OR($A466="Pendiente de presentación",$A466="Observado",$A466="En análisis",$A466="En instrucción",$A466="Suspendida",$A466="IT circulando",$A466="Para resolución",$A466="TDC"),"ABIERTA PERO ESTÁ EN FIRMADAS",IF($H466&lt;&gt;INDEX(firmadas!$F:$F,$T466),"FIRMA DISTINTA EN firmadas ("&amp;IF(INDEX(firmadas!$F:$F,$T466)="","vacía",DAY(INDEX(firmadas!$F:$F,$T466))&amp;"/"&amp;MONTH(INDEX(firmadas!$F:$F,$T466))&amp;"/"&amp;YEAR(INDEX(firmadas!$F:$F,$T466)))&amp;")",IF($G466&lt;&gt;INDEX(firmadas!$E:$E,$T466),"INGRESO DISTINTO EN firmadas ("&amp;IF(INDEX(firmadas!$E:$E,$T466)="","vacía",DAY(INDEX(firmadas!$E:$E,$T466))&amp;"/"&amp;MONTH(INDEX(firmadas!$E:$E,$T466))&amp;"/"&amp;YEAR(INDEX(firmadas!$E:$E,$T466)))&amp;")","OK"))))))))</f>
        <v/>
      </c>
      <c r="T466" t="str">
        <f ca="1">IF($P466="","",IFERROR(MATCH($P466,firmadas!$N:$N,0),IFERROR(MATCH("*/"&amp;MID($P466,FIND(" ",$P466)+1,9)&amp;"*",firmadas!$B:$B,0),0)))</f>
        <v/>
      </c>
    </row>
    <row r="467" spans="14:20" ht="15" customHeight="1" x14ac:dyDescent="0.25">
      <c r="N467" s="53" t="str">
        <f t="shared" ca="1" si="7"/>
        <v/>
      </c>
      <c r="P467" t="str">
        <f ca="1">IF(TRIM(SUBSTITUTE(($C467&amp;" "&amp;$D467),CHAR(160)," "))="","",IFERROR(IF(ISNUMBER(SEARCH("INC",($C467&amp;" "&amp;$D467))),"INC",IF(ISNUMBER(SEARCH("OPI",($C467&amp;" "&amp;$D467))),"OPI",IF(ISNUMBER(SEARCH("DP",($C467&amp;" "&amp;$D467))),"DP","CONC")))&amp;" "&amp;TEXT(LOOKUP(9.99E+307,--MID(SUBSTITUTE(($C467&amp;" "&amp;$D467),CHAR(160)," "),SUMPRODUCT(MIN(FIND({0,1,2,3,4,5,6,7,8,9},SUBSTITUTE(($C467&amp;" "&amp;$D467),CHAR(160)," ")&amp;"0123456789"))),ROW(INDIRECT("1:6")))),"0"),"SIN NUMERO"))</f>
        <v/>
      </c>
      <c r="Q467" t="str">
        <f ca="1">IF($P467="","",IF(LEFT(UPPER($S467),9)="VERIFICAR","VERIFICAR",IF($A467="","SIN ESTADO",IF(AND($A467="Firmada",$H467=""),"FALTA FECHA DE FIRMA",IF(N($T467)=0,IF(AND(ISNUMBER($H467),$H467&gt;=DATE(2024,1,1)),"FALTA EN FIRMADAS","OK"),IF(OR($A467="Pendiente de presentación",$A467="Observado",$A467="En análisis",$A467="En instrucción",$A467="Suspendida",$A467="IT circulando",$A467="Para resolución",$A467="TDC"),"ABIERTA PERO ESTÁ EN FIRMADAS",IF($H467&lt;&gt;INDEX(firmadas!$F:$F,$T467),"FIRMA DISTINTA EN firmadas ("&amp;IF(INDEX(firmadas!$F:$F,$T467)="","vacía",DAY(INDEX(firmadas!$F:$F,$T467))&amp;"/"&amp;MONTH(INDEX(firmadas!$F:$F,$T467))&amp;"/"&amp;YEAR(INDEX(firmadas!$F:$F,$T467)))&amp;")",IF($G467&lt;&gt;INDEX(firmadas!$E:$E,$T467),"INGRESO DISTINTO EN firmadas ("&amp;IF(INDEX(firmadas!$E:$E,$T467)="","vacía",DAY(INDEX(firmadas!$E:$E,$T467))&amp;"/"&amp;MONTH(INDEX(firmadas!$E:$E,$T467))&amp;"/"&amp;YEAR(INDEX(firmadas!$E:$E,$T467)))&amp;")","OK"))))))))</f>
        <v/>
      </c>
      <c r="T467" t="str">
        <f ca="1">IF($P467="","",IFERROR(MATCH($P467,firmadas!$N:$N,0),IFERROR(MATCH("*/"&amp;MID($P467,FIND(" ",$P467)+1,9)&amp;"*",firmadas!$B:$B,0),0)))</f>
        <v/>
      </c>
    </row>
    <row r="468" spans="14:20" ht="15" customHeight="1" x14ac:dyDescent="0.25">
      <c r="N468" s="53" t="str">
        <f t="shared" ca="1" si="7"/>
        <v/>
      </c>
      <c r="P468" t="str">
        <f ca="1">IF(TRIM(SUBSTITUTE(($C468&amp;" "&amp;$D468),CHAR(160)," "))="","",IFERROR(IF(ISNUMBER(SEARCH("INC",($C468&amp;" "&amp;$D468))),"INC",IF(ISNUMBER(SEARCH("OPI",($C468&amp;" "&amp;$D468))),"OPI",IF(ISNUMBER(SEARCH("DP",($C468&amp;" "&amp;$D468))),"DP","CONC")))&amp;" "&amp;TEXT(LOOKUP(9.99E+307,--MID(SUBSTITUTE(($C468&amp;" "&amp;$D468),CHAR(160)," "),SUMPRODUCT(MIN(FIND({0,1,2,3,4,5,6,7,8,9},SUBSTITUTE(($C468&amp;" "&amp;$D468),CHAR(160)," ")&amp;"0123456789"))),ROW(INDIRECT("1:6")))),"0"),"SIN NUMERO"))</f>
        <v/>
      </c>
      <c r="Q468" t="str">
        <f ca="1">IF($P468="","",IF(LEFT(UPPER($S468),9)="VERIFICAR","VERIFICAR",IF($A468="","SIN ESTADO",IF(AND($A468="Firmada",$H468=""),"FALTA FECHA DE FIRMA",IF(N($T468)=0,IF(AND(ISNUMBER($H468),$H468&gt;=DATE(2024,1,1)),"FALTA EN FIRMADAS","OK"),IF(OR($A468="Pendiente de presentación",$A468="Observado",$A468="En análisis",$A468="En instrucción",$A468="Suspendida",$A468="IT circulando",$A468="Para resolución",$A468="TDC"),"ABIERTA PERO ESTÁ EN FIRMADAS",IF($H468&lt;&gt;INDEX(firmadas!$F:$F,$T468),"FIRMA DISTINTA EN firmadas ("&amp;IF(INDEX(firmadas!$F:$F,$T468)="","vacía",DAY(INDEX(firmadas!$F:$F,$T468))&amp;"/"&amp;MONTH(INDEX(firmadas!$F:$F,$T468))&amp;"/"&amp;YEAR(INDEX(firmadas!$F:$F,$T468)))&amp;")",IF($G468&lt;&gt;INDEX(firmadas!$E:$E,$T468),"INGRESO DISTINTO EN firmadas ("&amp;IF(INDEX(firmadas!$E:$E,$T468)="","vacía",DAY(INDEX(firmadas!$E:$E,$T468))&amp;"/"&amp;MONTH(INDEX(firmadas!$E:$E,$T468))&amp;"/"&amp;YEAR(INDEX(firmadas!$E:$E,$T468)))&amp;")","OK"))))))))</f>
        <v/>
      </c>
      <c r="T468" t="str">
        <f ca="1">IF($P468="","",IFERROR(MATCH($P468,firmadas!$N:$N,0),IFERROR(MATCH("*/"&amp;MID($P468,FIND(" ",$P468)+1,9)&amp;"*",firmadas!$B:$B,0),0)))</f>
        <v/>
      </c>
    </row>
    <row r="469" spans="14:20" ht="15" customHeight="1" x14ac:dyDescent="0.25">
      <c r="N469" s="53" t="str">
        <f t="shared" ca="1" si="7"/>
        <v/>
      </c>
      <c r="P469" t="str">
        <f ca="1">IF(TRIM(SUBSTITUTE(($C469&amp;" "&amp;$D469),CHAR(160)," "))="","",IFERROR(IF(ISNUMBER(SEARCH("INC",($C469&amp;" "&amp;$D469))),"INC",IF(ISNUMBER(SEARCH("OPI",($C469&amp;" "&amp;$D469))),"OPI",IF(ISNUMBER(SEARCH("DP",($C469&amp;" "&amp;$D469))),"DP","CONC")))&amp;" "&amp;TEXT(LOOKUP(9.99E+307,--MID(SUBSTITUTE(($C469&amp;" "&amp;$D469),CHAR(160)," "),SUMPRODUCT(MIN(FIND({0,1,2,3,4,5,6,7,8,9},SUBSTITUTE(($C469&amp;" "&amp;$D469),CHAR(160)," ")&amp;"0123456789"))),ROW(INDIRECT("1:6")))),"0"),"SIN NUMERO"))</f>
        <v/>
      </c>
      <c r="Q469" t="str">
        <f ca="1">IF($P469="","",IF(LEFT(UPPER($S469),9)="VERIFICAR","VERIFICAR",IF($A469="","SIN ESTADO",IF(AND($A469="Firmada",$H469=""),"FALTA FECHA DE FIRMA",IF(N($T469)=0,IF(AND(ISNUMBER($H469),$H469&gt;=DATE(2024,1,1)),"FALTA EN FIRMADAS","OK"),IF(OR($A469="Pendiente de presentación",$A469="Observado",$A469="En análisis",$A469="En instrucción",$A469="Suspendida",$A469="IT circulando",$A469="Para resolución",$A469="TDC"),"ABIERTA PERO ESTÁ EN FIRMADAS",IF($H469&lt;&gt;INDEX(firmadas!$F:$F,$T469),"FIRMA DISTINTA EN firmadas ("&amp;IF(INDEX(firmadas!$F:$F,$T469)="","vacía",DAY(INDEX(firmadas!$F:$F,$T469))&amp;"/"&amp;MONTH(INDEX(firmadas!$F:$F,$T469))&amp;"/"&amp;YEAR(INDEX(firmadas!$F:$F,$T469)))&amp;")",IF($G469&lt;&gt;INDEX(firmadas!$E:$E,$T469),"INGRESO DISTINTO EN firmadas ("&amp;IF(INDEX(firmadas!$E:$E,$T469)="","vacía",DAY(INDEX(firmadas!$E:$E,$T469))&amp;"/"&amp;MONTH(INDEX(firmadas!$E:$E,$T469))&amp;"/"&amp;YEAR(INDEX(firmadas!$E:$E,$T469)))&amp;")","OK"))))))))</f>
        <v/>
      </c>
      <c r="T469" t="str">
        <f ca="1">IF($P469="","",IFERROR(MATCH($P469,firmadas!$N:$N,0),IFERROR(MATCH("*/"&amp;MID($P469,FIND(" ",$P469)+1,9)&amp;"*",firmadas!$B:$B,0),0)))</f>
        <v/>
      </c>
    </row>
    <row r="470" spans="14:20" ht="15" customHeight="1" x14ac:dyDescent="0.25">
      <c r="N470" s="53" t="str">
        <f t="shared" ca="1" si="7"/>
        <v/>
      </c>
      <c r="P470" t="str">
        <f ca="1">IF(TRIM(SUBSTITUTE(($C470&amp;" "&amp;$D470),CHAR(160)," "))="","",IFERROR(IF(ISNUMBER(SEARCH("INC",($C470&amp;" "&amp;$D470))),"INC",IF(ISNUMBER(SEARCH("OPI",($C470&amp;" "&amp;$D470))),"OPI",IF(ISNUMBER(SEARCH("DP",($C470&amp;" "&amp;$D470))),"DP","CONC")))&amp;" "&amp;TEXT(LOOKUP(9.99E+307,--MID(SUBSTITUTE(($C470&amp;" "&amp;$D470),CHAR(160)," "),SUMPRODUCT(MIN(FIND({0,1,2,3,4,5,6,7,8,9},SUBSTITUTE(($C470&amp;" "&amp;$D470),CHAR(160)," ")&amp;"0123456789"))),ROW(INDIRECT("1:6")))),"0"),"SIN NUMERO"))</f>
        <v/>
      </c>
      <c r="Q470" t="str">
        <f ca="1">IF($P470="","",IF(LEFT(UPPER($S470),9)="VERIFICAR","VERIFICAR",IF($A470="","SIN ESTADO",IF(AND($A470="Firmada",$H470=""),"FALTA FECHA DE FIRMA",IF(N($T470)=0,IF(AND(ISNUMBER($H470),$H470&gt;=DATE(2024,1,1)),"FALTA EN FIRMADAS","OK"),IF(OR($A470="Pendiente de presentación",$A470="Observado",$A470="En análisis",$A470="En instrucción",$A470="Suspendida",$A470="IT circulando",$A470="Para resolución",$A470="TDC"),"ABIERTA PERO ESTÁ EN FIRMADAS",IF($H470&lt;&gt;INDEX(firmadas!$F:$F,$T470),"FIRMA DISTINTA EN firmadas ("&amp;IF(INDEX(firmadas!$F:$F,$T470)="","vacía",DAY(INDEX(firmadas!$F:$F,$T470))&amp;"/"&amp;MONTH(INDEX(firmadas!$F:$F,$T470))&amp;"/"&amp;YEAR(INDEX(firmadas!$F:$F,$T470)))&amp;")",IF($G470&lt;&gt;INDEX(firmadas!$E:$E,$T470),"INGRESO DISTINTO EN firmadas ("&amp;IF(INDEX(firmadas!$E:$E,$T470)="","vacía",DAY(INDEX(firmadas!$E:$E,$T470))&amp;"/"&amp;MONTH(INDEX(firmadas!$E:$E,$T470))&amp;"/"&amp;YEAR(INDEX(firmadas!$E:$E,$T470)))&amp;")","OK"))))))))</f>
        <v/>
      </c>
      <c r="T470" t="str">
        <f ca="1">IF($P470="","",IFERROR(MATCH($P470,firmadas!$N:$N,0),IFERROR(MATCH("*/"&amp;MID($P470,FIND(" ",$P470)+1,9)&amp;"*",firmadas!$B:$B,0),0)))</f>
        <v/>
      </c>
    </row>
    <row r="471" spans="14:20" ht="15" customHeight="1" x14ac:dyDescent="0.25">
      <c r="N471" s="53" t="str">
        <f t="shared" ca="1" si="7"/>
        <v/>
      </c>
      <c r="P471" t="str">
        <f ca="1">IF(TRIM(SUBSTITUTE(($C471&amp;" "&amp;$D471),CHAR(160)," "))="","",IFERROR(IF(ISNUMBER(SEARCH("INC",($C471&amp;" "&amp;$D471))),"INC",IF(ISNUMBER(SEARCH("OPI",($C471&amp;" "&amp;$D471))),"OPI",IF(ISNUMBER(SEARCH("DP",($C471&amp;" "&amp;$D471))),"DP","CONC")))&amp;" "&amp;TEXT(LOOKUP(9.99E+307,--MID(SUBSTITUTE(($C471&amp;" "&amp;$D471),CHAR(160)," "),SUMPRODUCT(MIN(FIND({0,1,2,3,4,5,6,7,8,9},SUBSTITUTE(($C471&amp;" "&amp;$D471),CHAR(160)," ")&amp;"0123456789"))),ROW(INDIRECT("1:6")))),"0"),"SIN NUMERO"))</f>
        <v/>
      </c>
      <c r="Q471" t="str">
        <f ca="1">IF($P471="","",IF(LEFT(UPPER($S471),9)="VERIFICAR","VERIFICAR",IF($A471="","SIN ESTADO",IF(AND($A471="Firmada",$H471=""),"FALTA FECHA DE FIRMA",IF(N($T471)=0,IF(AND(ISNUMBER($H471),$H471&gt;=DATE(2024,1,1)),"FALTA EN FIRMADAS","OK"),IF(OR($A471="Pendiente de presentación",$A471="Observado",$A471="En análisis",$A471="En instrucción",$A471="Suspendida",$A471="IT circulando",$A471="Para resolución",$A471="TDC"),"ABIERTA PERO ESTÁ EN FIRMADAS",IF($H471&lt;&gt;INDEX(firmadas!$F:$F,$T471),"FIRMA DISTINTA EN firmadas ("&amp;IF(INDEX(firmadas!$F:$F,$T471)="","vacía",DAY(INDEX(firmadas!$F:$F,$T471))&amp;"/"&amp;MONTH(INDEX(firmadas!$F:$F,$T471))&amp;"/"&amp;YEAR(INDEX(firmadas!$F:$F,$T471)))&amp;")",IF($G471&lt;&gt;INDEX(firmadas!$E:$E,$T471),"INGRESO DISTINTO EN firmadas ("&amp;IF(INDEX(firmadas!$E:$E,$T471)="","vacía",DAY(INDEX(firmadas!$E:$E,$T471))&amp;"/"&amp;MONTH(INDEX(firmadas!$E:$E,$T471))&amp;"/"&amp;YEAR(INDEX(firmadas!$E:$E,$T471)))&amp;")","OK"))))))))</f>
        <v/>
      </c>
      <c r="T471" t="str">
        <f ca="1">IF($P471="","",IFERROR(MATCH($P471,firmadas!$N:$N,0),IFERROR(MATCH("*/"&amp;MID($P471,FIND(" ",$P471)+1,9)&amp;"*",firmadas!$B:$B,0),0)))</f>
        <v/>
      </c>
    </row>
    <row r="472" spans="14:20" ht="15" customHeight="1" x14ac:dyDescent="0.25">
      <c r="N472" s="53" t="str">
        <f t="shared" ca="1" si="7"/>
        <v/>
      </c>
      <c r="P472" t="str">
        <f ca="1">IF(TRIM(SUBSTITUTE(($C472&amp;" "&amp;$D472),CHAR(160)," "))="","",IFERROR(IF(ISNUMBER(SEARCH("INC",($C472&amp;" "&amp;$D472))),"INC",IF(ISNUMBER(SEARCH("OPI",($C472&amp;" "&amp;$D472))),"OPI",IF(ISNUMBER(SEARCH("DP",($C472&amp;" "&amp;$D472))),"DP","CONC")))&amp;" "&amp;TEXT(LOOKUP(9.99E+307,--MID(SUBSTITUTE(($C472&amp;" "&amp;$D472),CHAR(160)," "),SUMPRODUCT(MIN(FIND({0,1,2,3,4,5,6,7,8,9},SUBSTITUTE(($C472&amp;" "&amp;$D472),CHAR(160)," ")&amp;"0123456789"))),ROW(INDIRECT("1:6")))),"0"),"SIN NUMERO"))</f>
        <v/>
      </c>
      <c r="Q472" t="str">
        <f ca="1">IF($P472="","",IF(LEFT(UPPER($S472),9)="VERIFICAR","VERIFICAR",IF($A472="","SIN ESTADO",IF(AND($A472="Firmada",$H472=""),"FALTA FECHA DE FIRMA",IF(N($T472)=0,IF(AND(ISNUMBER($H472),$H472&gt;=DATE(2024,1,1)),"FALTA EN FIRMADAS","OK"),IF(OR($A472="Pendiente de presentación",$A472="Observado",$A472="En análisis",$A472="En instrucción",$A472="Suspendida",$A472="IT circulando",$A472="Para resolución",$A472="TDC"),"ABIERTA PERO ESTÁ EN FIRMADAS",IF($H472&lt;&gt;INDEX(firmadas!$F:$F,$T472),"FIRMA DISTINTA EN firmadas ("&amp;IF(INDEX(firmadas!$F:$F,$T472)="","vacía",DAY(INDEX(firmadas!$F:$F,$T472))&amp;"/"&amp;MONTH(INDEX(firmadas!$F:$F,$T472))&amp;"/"&amp;YEAR(INDEX(firmadas!$F:$F,$T472)))&amp;")",IF($G472&lt;&gt;INDEX(firmadas!$E:$E,$T472),"INGRESO DISTINTO EN firmadas ("&amp;IF(INDEX(firmadas!$E:$E,$T472)="","vacía",DAY(INDEX(firmadas!$E:$E,$T472))&amp;"/"&amp;MONTH(INDEX(firmadas!$E:$E,$T472))&amp;"/"&amp;YEAR(INDEX(firmadas!$E:$E,$T472)))&amp;")","OK"))))))))</f>
        <v/>
      </c>
      <c r="T472" t="str">
        <f ca="1">IF($P472="","",IFERROR(MATCH($P472,firmadas!$N:$N,0),IFERROR(MATCH("*/"&amp;MID($P472,FIND(" ",$P472)+1,9)&amp;"*",firmadas!$B:$B,0),0)))</f>
        <v/>
      </c>
    </row>
    <row r="473" spans="14:20" ht="15" customHeight="1" x14ac:dyDescent="0.25">
      <c r="N473" s="53" t="str">
        <f t="shared" ca="1" si="7"/>
        <v/>
      </c>
      <c r="P473" t="str">
        <f ca="1">IF(TRIM(SUBSTITUTE(($C473&amp;" "&amp;$D473),CHAR(160)," "))="","",IFERROR(IF(ISNUMBER(SEARCH("INC",($C473&amp;" "&amp;$D473))),"INC",IF(ISNUMBER(SEARCH("OPI",($C473&amp;" "&amp;$D473))),"OPI",IF(ISNUMBER(SEARCH("DP",($C473&amp;" "&amp;$D473))),"DP","CONC")))&amp;" "&amp;TEXT(LOOKUP(9.99E+307,--MID(SUBSTITUTE(($C473&amp;" "&amp;$D473),CHAR(160)," "),SUMPRODUCT(MIN(FIND({0,1,2,3,4,5,6,7,8,9},SUBSTITUTE(($C473&amp;" "&amp;$D473),CHAR(160)," ")&amp;"0123456789"))),ROW(INDIRECT("1:6")))),"0"),"SIN NUMERO"))</f>
        <v/>
      </c>
      <c r="Q473" t="str">
        <f ca="1">IF($P473="","",IF(LEFT(UPPER($S473),9)="VERIFICAR","VERIFICAR",IF($A473="","SIN ESTADO",IF(AND($A473="Firmada",$H473=""),"FALTA FECHA DE FIRMA",IF(N($T473)=0,IF(AND(ISNUMBER($H473),$H473&gt;=DATE(2024,1,1)),"FALTA EN FIRMADAS","OK"),IF(OR($A473="Pendiente de presentación",$A473="Observado",$A473="En análisis",$A473="En instrucción",$A473="Suspendida",$A473="IT circulando",$A473="Para resolución",$A473="TDC"),"ABIERTA PERO ESTÁ EN FIRMADAS",IF($H473&lt;&gt;INDEX(firmadas!$F:$F,$T473),"FIRMA DISTINTA EN firmadas ("&amp;IF(INDEX(firmadas!$F:$F,$T473)="","vacía",DAY(INDEX(firmadas!$F:$F,$T473))&amp;"/"&amp;MONTH(INDEX(firmadas!$F:$F,$T473))&amp;"/"&amp;YEAR(INDEX(firmadas!$F:$F,$T473)))&amp;")",IF($G473&lt;&gt;INDEX(firmadas!$E:$E,$T473),"INGRESO DISTINTO EN firmadas ("&amp;IF(INDEX(firmadas!$E:$E,$T473)="","vacía",DAY(INDEX(firmadas!$E:$E,$T473))&amp;"/"&amp;MONTH(INDEX(firmadas!$E:$E,$T473))&amp;"/"&amp;YEAR(INDEX(firmadas!$E:$E,$T473)))&amp;")","OK"))))))))</f>
        <v/>
      </c>
      <c r="T473" t="str">
        <f ca="1">IF($P473="","",IFERROR(MATCH($P473,firmadas!$N:$N,0),IFERROR(MATCH("*/"&amp;MID($P473,FIND(" ",$P473)+1,9)&amp;"*",firmadas!$B:$B,0),0)))</f>
        <v/>
      </c>
    </row>
    <row r="474" spans="14:20" ht="15" customHeight="1" x14ac:dyDescent="0.25">
      <c r="N474" s="53" t="str">
        <f t="shared" ca="1" si="7"/>
        <v/>
      </c>
      <c r="P474" t="str">
        <f ca="1">IF(TRIM(SUBSTITUTE(($C474&amp;" "&amp;$D474),CHAR(160)," "))="","",IFERROR(IF(ISNUMBER(SEARCH("INC",($C474&amp;" "&amp;$D474))),"INC",IF(ISNUMBER(SEARCH("OPI",($C474&amp;" "&amp;$D474))),"OPI",IF(ISNUMBER(SEARCH("DP",($C474&amp;" "&amp;$D474))),"DP","CONC")))&amp;" "&amp;TEXT(LOOKUP(9.99E+307,--MID(SUBSTITUTE(($C474&amp;" "&amp;$D474),CHAR(160)," "),SUMPRODUCT(MIN(FIND({0,1,2,3,4,5,6,7,8,9},SUBSTITUTE(($C474&amp;" "&amp;$D474),CHAR(160)," ")&amp;"0123456789"))),ROW(INDIRECT("1:6")))),"0"),"SIN NUMERO"))</f>
        <v/>
      </c>
      <c r="Q474" t="str">
        <f ca="1">IF($P474="","",IF(LEFT(UPPER($S474),9)="VERIFICAR","VERIFICAR",IF($A474="","SIN ESTADO",IF(AND($A474="Firmada",$H474=""),"FALTA FECHA DE FIRMA",IF(N($T474)=0,IF(AND(ISNUMBER($H474),$H474&gt;=DATE(2024,1,1)),"FALTA EN FIRMADAS","OK"),IF(OR($A474="Pendiente de presentación",$A474="Observado",$A474="En análisis",$A474="En instrucción",$A474="Suspendida",$A474="IT circulando",$A474="Para resolución",$A474="TDC"),"ABIERTA PERO ESTÁ EN FIRMADAS",IF($H474&lt;&gt;INDEX(firmadas!$F:$F,$T474),"FIRMA DISTINTA EN firmadas ("&amp;IF(INDEX(firmadas!$F:$F,$T474)="","vacía",DAY(INDEX(firmadas!$F:$F,$T474))&amp;"/"&amp;MONTH(INDEX(firmadas!$F:$F,$T474))&amp;"/"&amp;YEAR(INDEX(firmadas!$F:$F,$T474)))&amp;")",IF($G474&lt;&gt;INDEX(firmadas!$E:$E,$T474),"INGRESO DISTINTO EN firmadas ("&amp;IF(INDEX(firmadas!$E:$E,$T474)="","vacía",DAY(INDEX(firmadas!$E:$E,$T474))&amp;"/"&amp;MONTH(INDEX(firmadas!$E:$E,$T474))&amp;"/"&amp;YEAR(INDEX(firmadas!$E:$E,$T474)))&amp;")","OK"))))))))</f>
        <v/>
      </c>
      <c r="T474" t="str">
        <f ca="1">IF($P474="","",IFERROR(MATCH($P474,firmadas!$N:$N,0),IFERROR(MATCH("*/"&amp;MID($P474,FIND(" ",$P474)+1,9)&amp;"*",firmadas!$B:$B,0),0)))</f>
        <v/>
      </c>
    </row>
    <row r="475" spans="14:20" ht="15" customHeight="1" x14ac:dyDescent="0.25">
      <c r="N475" s="53" t="str">
        <f t="shared" ca="1" si="7"/>
        <v/>
      </c>
      <c r="P475" t="str">
        <f ca="1">IF(TRIM(SUBSTITUTE(($C475&amp;" "&amp;$D475),CHAR(160)," "))="","",IFERROR(IF(ISNUMBER(SEARCH("INC",($C475&amp;" "&amp;$D475))),"INC",IF(ISNUMBER(SEARCH("OPI",($C475&amp;" "&amp;$D475))),"OPI",IF(ISNUMBER(SEARCH("DP",($C475&amp;" "&amp;$D475))),"DP","CONC")))&amp;" "&amp;TEXT(LOOKUP(9.99E+307,--MID(SUBSTITUTE(($C475&amp;" "&amp;$D475),CHAR(160)," "),SUMPRODUCT(MIN(FIND({0,1,2,3,4,5,6,7,8,9},SUBSTITUTE(($C475&amp;" "&amp;$D475),CHAR(160)," ")&amp;"0123456789"))),ROW(INDIRECT("1:6")))),"0"),"SIN NUMERO"))</f>
        <v/>
      </c>
      <c r="Q475" t="str">
        <f ca="1">IF($P475="","",IF(LEFT(UPPER($S475),9)="VERIFICAR","VERIFICAR",IF($A475="","SIN ESTADO",IF(AND($A475="Firmada",$H475=""),"FALTA FECHA DE FIRMA",IF(N($T475)=0,IF(AND(ISNUMBER($H475),$H475&gt;=DATE(2024,1,1)),"FALTA EN FIRMADAS","OK"),IF(OR($A475="Pendiente de presentación",$A475="Observado",$A475="En análisis",$A475="En instrucción",$A475="Suspendida",$A475="IT circulando",$A475="Para resolución",$A475="TDC"),"ABIERTA PERO ESTÁ EN FIRMADAS",IF($H475&lt;&gt;INDEX(firmadas!$F:$F,$T475),"FIRMA DISTINTA EN firmadas ("&amp;IF(INDEX(firmadas!$F:$F,$T475)="","vacía",DAY(INDEX(firmadas!$F:$F,$T475))&amp;"/"&amp;MONTH(INDEX(firmadas!$F:$F,$T475))&amp;"/"&amp;YEAR(INDEX(firmadas!$F:$F,$T475)))&amp;")",IF($G475&lt;&gt;INDEX(firmadas!$E:$E,$T475),"INGRESO DISTINTO EN firmadas ("&amp;IF(INDEX(firmadas!$E:$E,$T475)="","vacía",DAY(INDEX(firmadas!$E:$E,$T475))&amp;"/"&amp;MONTH(INDEX(firmadas!$E:$E,$T475))&amp;"/"&amp;YEAR(INDEX(firmadas!$E:$E,$T475)))&amp;")","OK"))))))))</f>
        <v/>
      </c>
      <c r="T475" t="str">
        <f ca="1">IF($P475="","",IFERROR(MATCH($P475,firmadas!$N:$N,0),IFERROR(MATCH("*/"&amp;MID($P475,FIND(" ",$P475)+1,9)&amp;"*",firmadas!$B:$B,0),0)))</f>
        <v/>
      </c>
    </row>
    <row r="476" spans="14:20" ht="15" customHeight="1" x14ac:dyDescent="0.25">
      <c r="N476" s="53" t="str">
        <f t="shared" ca="1" si="7"/>
        <v/>
      </c>
      <c r="P476" t="str">
        <f ca="1">IF(TRIM(SUBSTITUTE(($C476&amp;" "&amp;$D476),CHAR(160)," "))="","",IFERROR(IF(ISNUMBER(SEARCH("INC",($C476&amp;" "&amp;$D476))),"INC",IF(ISNUMBER(SEARCH("OPI",($C476&amp;" "&amp;$D476))),"OPI",IF(ISNUMBER(SEARCH("DP",($C476&amp;" "&amp;$D476))),"DP","CONC")))&amp;" "&amp;TEXT(LOOKUP(9.99E+307,--MID(SUBSTITUTE(($C476&amp;" "&amp;$D476),CHAR(160)," "),SUMPRODUCT(MIN(FIND({0,1,2,3,4,5,6,7,8,9},SUBSTITUTE(($C476&amp;" "&amp;$D476),CHAR(160)," ")&amp;"0123456789"))),ROW(INDIRECT("1:6")))),"0"),"SIN NUMERO"))</f>
        <v/>
      </c>
      <c r="Q476" t="str">
        <f ca="1">IF($P476="","",IF(LEFT(UPPER($S476),9)="VERIFICAR","VERIFICAR",IF($A476="","SIN ESTADO",IF(AND($A476="Firmada",$H476=""),"FALTA FECHA DE FIRMA",IF(N($T476)=0,IF(AND(ISNUMBER($H476),$H476&gt;=DATE(2024,1,1)),"FALTA EN FIRMADAS","OK"),IF(OR($A476="Pendiente de presentación",$A476="Observado",$A476="En análisis",$A476="En instrucción",$A476="Suspendida",$A476="IT circulando",$A476="Para resolución",$A476="TDC"),"ABIERTA PERO ESTÁ EN FIRMADAS",IF($H476&lt;&gt;INDEX(firmadas!$F:$F,$T476),"FIRMA DISTINTA EN firmadas ("&amp;IF(INDEX(firmadas!$F:$F,$T476)="","vacía",DAY(INDEX(firmadas!$F:$F,$T476))&amp;"/"&amp;MONTH(INDEX(firmadas!$F:$F,$T476))&amp;"/"&amp;YEAR(INDEX(firmadas!$F:$F,$T476)))&amp;")",IF($G476&lt;&gt;INDEX(firmadas!$E:$E,$T476),"INGRESO DISTINTO EN firmadas ("&amp;IF(INDEX(firmadas!$E:$E,$T476)="","vacía",DAY(INDEX(firmadas!$E:$E,$T476))&amp;"/"&amp;MONTH(INDEX(firmadas!$E:$E,$T476))&amp;"/"&amp;YEAR(INDEX(firmadas!$E:$E,$T476)))&amp;")","OK"))))))))</f>
        <v/>
      </c>
      <c r="T476" t="str">
        <f ca="1">IF($P476="","",IFERROR(MATCH($P476,firmadas!$N:$N,0),IFERROR(MATCH("*/"&amp;MID($P476,FIND(" ",$P476)+1,9)&amp;"*",firmadas!$B:$B,0),0)))</f>
        <v/>
      </c>
    </row>
    <row r="477" spans="14:20" ht="15" customHeight="1" x14ac:dyDescent="0.25">
      <c r="N477" s="53" t="str">
        <f t="shared" ca="1" si="7"/>
        <v/>
      </c>
      <c r="P477" t="str">
        <f ca="1">IF(TRIM(SUBSTITUTE(($C477&amp;" "&amp;$D477),CHAR(160)," "))="","",IFERROR(IF(ISNUMBER(SEARCH("INC",($C477&amp;" "&amp;$D477))),"INC",IF(ISNUMBER(SEARCH("OPI",($C477&amp;" "&amp;$D477))),"OPI",IF(ISNUMBER(SEARCH("DP",($C477&amp;" "&amp;$D477))),"DP","CONC")))&amp;" "&amp;TEXT(LOOKUP(9.99E+307,--MID(SUBSTITUTE(($C477&amp;" "&amp;$D477),CHAR(160)," "),SUMPRODUCT(MIN(FIND({0,1,2,3,4,5,6,7,8,9},SUBSTITUTE(($C477&amp;" "&amp;$D477),CHAR(160)," ")&amp;"0123456789"))),ROW(INDIRECT("1:6")))),"0"),"SIN NUMERO"))</f>
        <v/>
      </c>
      <c r="Q477" t="str">
        <f ca="1">IF($P477="","",IF(LEFT(UPPER($S477),9)="VERIFICAR","VERIFICAR",IF($A477="","SIN ESTADO",IF(AND($A477="Firmada",$H477=""),"FALTA FECHA DE FIRMA",IF(N($T477)=0,IF(AND(ISNUMBER($H477),$H477&gt;=DATE(2024,1,1)),"FALTA EN FIRMADAS","OK"),IF(OR($A477="Pendiente de presentación",$A477="Observado",$A477="En análisis",$A477="En instrucción",$A477="Suspendida",$A477="IT circulando",$A477="Para resolución",$A477="TDC"),"ABIERTA PERO ESTÁ EN FIRMADAS",IF($H477&lt;&gt;INDEX(firmadas!$F:$F,$T477),"FIRMA DISTINTA EN firmadas ("&amp;IF(INDEX(firmadas!$F:$F,$T477)="","vacía",DAY(INDEX(firmadas!$F:$F,$T477))&amp;"/"&amp;MONTH(INDEX(firmadas!$F:$F,$T477))&amp;"/"&amp;YEAR(INDEX(firmadas!$F:$F,$T477)))&amp;")",IF($G477&lt;&gt;INDEX(firmadas!$E:$E,$T477),"INGRESO DISTINTO EN firmadas ("&amp;IF(INDEX(firmadas!$E:$E,$T477)="","vacía",DAY(INDEX(firmadas!$E:$E,$T477))&amp;"/"&amp;MONTH(INDEX(firmadas!$E:$E,$T477))&amp;"/"&amp;YEAR(INDEX(firmadas!$E:$E,$T477)))&amp;")","OK"))))))))</f>
        <v/>
      </c>
      <c r="T477" t="str">
        <f ca="1">IF($P477="","",IFERROR(MATCH($P477,firmadas!$N:$N,0),IFERROR(MATCH("*/"&amp;MID($P477,FIND(" ",$P477)+1,9)&amp;"*",firmadas!$B:$B,0),0)))</f>
        <v/>
      </c>
    </row>
    <row r="478" spans="14:20" ht="15" customHeight="1" x14ac:dyDescent="0.25">
      <c r="N478" s="53" t="str">
        <f t="shared" ca="1" si="7"/>
        <v/>
      </c>
      <c r="P478" t="str">
        <f ca="1">IF(TRIM(SUBSTITUTE(($C478&amp;" "&amp;$D478),CHAR(160)," "))="","",IFERROR(IF(ISNUMBER(SEARCH("INC",($C478&amp;" "&amp;$D478))),"INC",IF(ISNUMBER(SEARCH("OPI",($C478&amp;" "&amp;$D478))),"OPI",IF(ISNUMBER(SEARCH("DP",($C478&amp;" "&amp;$D478))),"DP","CONC")))&amp;" "&amp;TEXT(LOOKUP(9.99E+307,--MID(SUBSTITUTE(($C478&amp;" "&amp;$D478),CHAR(160)," "),SUMPRODUCT(MIN(FIND({0,1,2,3,4,5,6,7,8,9},SUBSTITUTE(($C478&amp;" "&amp;$D478),CHAR(160)," ")&amp;"0123456789"))),ROW(INDIRECT("1:6")))),"0"),"SIN NUMERO"))</f>
        <v/>
      </c>
      <c r="Q478" t="str">
        <f ca="1">IF($P478="","",IF(LEFT(UPPER($S478),9)="VERIFICAR","VERIFICAR",IF($A478="","SIN ESTADO",IF(AND($A478="Firmada",$H478=""),"FALTA FECHA DE FIRMA",IF(N($T478)=0,IF(AND(ISNUMBER($H478),$H478&gt;=DATE(2024,1,1)),"FALTA EN FIRMADAS","OK"),IF(OR($A478="Pendiente de presentación",$A478="Observado",$A478="En análisis",$A478="En instrucción",$A478="Suspendida",$A478="IT circulando",$A478="Para resolución",$A478="TDC"),"ABIERTA PERO ESTÁ EN FIRMADAS",IF($H478&lt;&gt;INDEX(firmadas!$F:$F,$T478),"FIRMA DISTINTA EN firmadas ("&amp;IF(INDEX(firmadas!$F:$F,$T478)="","vacía",DAY(INDEX(firmadas!$F:$F,$T478))&amp;"/"&amp;MONTH(INDEX(firmadas!$F:$F,$T478))&amp;"/"&amp;YEAR(INDEX(firmadas!$F:$F,$T478)))&amp;")",IF($G478&lt;&gt;INDEX(firmadas!$E:$E,$T478),"INGRESO DISTINTO EN firmadas ("&amp;IF(INDEX(firmadas!$E:$E,$T478)="","vacía",DAY(INDEX(firmadas!$E:$E,$T478))&amp;"/"&amp;MONTH(INDEX(firmadas!$E:$E,$T478))&amp;"/"&amp;YEAR(INDEX(firmadas!$E:$E,$T478)))&amp;")","OK"))))))))</f>
        <v/>
      </c>
      <c r="T478" t="str">
        <f ca="1">IF($P478="","",IFERROR(MATCH($P478,firmadas!$N:$N,0),IFERROR(MATCH("*/"&amp;MID($P478,FIND(" ",$P478)+1,9)&amp;"*",firmadas!$B:$B,0),0)))</f>
        <v/>
      </c>
    </row>
    <row r="479" spans="14:20" ht="15" customHeight="1" x14ac:dyDescent="0.25">
      <c r="N479" s="53" t="str">
        <f t="shared" ca="1" si="7"/>
        <v/>
      </c>
      <c r="P479" t="str">
        <f ca="1">IF(TRIM(SUBSTITUTE(($C479&amp;" "&amp;$D479),CHAR(160)," "))="","",IFERROR(IF(ISNUMBER(SEARCH("INC",($C479&amp;" "&amp;$D479))),"INC",IF(ISNUMBER(SEARCH("OPI",($C479&amp;" "&amp;$D479))),"OPI",IF(ISNUMBER(SEARCH("DP",($C479&amp;" "&amp;$D479))),"DP","CONC")))&amp;" "&amp;TEXT(LOOKUP(9.99E+307,--MID(SUBSTITUTE(($C479&amp;" "&amp;$D479),CHAR(160)," "),SUMPRODUCT(MIN(FIND({0,1,2,3,4,5,6,7,8,9},SUBSTITUTE(($C479&amp;" "&amp;$D479),CHAR(160)," ")&amp;"0123456789"))),ROW(INDIRECT("1:6")))),"0"),"SIN NUMERO"))</f>
        <v/>
      </c>
      <c r="Q479" t="str">
        <f ca="1">IF($P479="","",IF(LEFT(UPPER($S479),9)="VERIFICAR","VERIFICAR",IF($A479="","SIN ESTADO",IF(AND($A479="Firmada",$H479=""),"FALTA FECHA DE FIRMA",IF(N($T479)=0,IF(AND(ISNUMBER($H479),$H479&gt;=DATE(2024,1,1)),"FALTA EN FIRMADAS","OK"),IF(OR($A479="Pendiente de presentación",$A479="Observado",$A479="En análisis",$A479="En instrucción",$A479="Suspendida",$A479="IT circulando",$A479="Para resolución",$A479="TDC"),"ABIERTA PERO ESTÁ EN FIRMADAS",IF($H479&lt;&gt;INDEX(firmadas!$F:$F,$T479),"FIRMA DISTINTA EN firmadas ("&amp;IF(INDEX(firmadas!$F:$F,$T479)="","vacía",DAY(INDEX(firmadas!$F:$F,$T479))&amp;"/"&amp;MONTH(INDEX(firmadas!$F:$F,$T479))&amp;"/"&amp;YEAR(INDEX(firmadas!$F:$F,$T479)))&amp;")",IF($G479&lt;&gt;INDEX(firmadas!$E:$E,$T479),"INGRESO DISTINTO EN firmadas ("&amp;IF(INDEX(firmadas!$E:$E,$T479)="","vacía",DAY(INDEX(firmadas!$E:$E,$T479))&amp;"/"&amp;MONTH(INDEX(firmadas!$E:$E,$T479))&amp;"/"&amp;YEAR(INDEX(firmadas!$E:$E,$T479)))&amp;")","OK"))))))))</f>
        <v/>
      </c>
      <c r="T479" t="str">
        <f ca="1">IF($P479="","",IFERROR(MATCH($P479,firmadas!$N:$N,0),IFERROR(MATCH("*/"&amp;MID($P479,FIND(" ",$P479)+1,9)&amp;"*",firmadas!$B:$B,0),0)))</f>
        <v/>
      </c>
    </row>
    <row r="480" spans="14:20" ht="15" customHeight="1" x14ac:dyDescent="0.25">
      <c r="N480" s="53" t="str">
        <f t="shared" ca="1" si="7"/>
        <v/>
      </c>
      <c r="P480" t="str">
        <f ca="1">IF(TRIM(SUBSTITUTE(($C480&amp;" "&amp;$D480),CHAR(160)," "))="","",IFERROR(IF(ISNUMBER(SEARCH("INC",($C480&amp;" "&amp;$D480))),"INC",IF(ISNUMBER(SEARCH("OPI",($C480&amp;" "&amp;$D480))),"OPI",IF(ISNUMBER(SEARCH("DP",($C480&amp;" "&amp;$D480))),"DP","CONC")))&amp;" "&amp;TEXT(LOOKUP(9.99E+307,--MID(SUBSTITUTE(($C480&amp;" "&amp;$D480),CHAR(160)," "),SUMPRODUCT(MIN(FIND({0,1,2,3,4,5,6,7,8,9},SUBSTITUTE(($C480&amp;" "&amp;$D480),CHAR(160)," ")&amp;"0123456789"))),ROW(INDIRECT("1:6")))),"0"),"SIN NUMERO"))</f>
        <v/>
      </c>
      <c r="Q480" t="str">
        <f ca="1">IF($P480="","",IF(LEFT(UPPER($S480),9)="VERIFICAR","VERIFICAR",IF($A480="","SIN ESTADO",IF(AND($A480="Firmada",$H480=""),"FALTA FECHA DE FIRMA",IF(N($T480)=0,IF(AND(ISNUMBER($H480),$H480&gt;=DATE(2024,1,1)),"FALTA EN FIRMADAS","OK"),IF(OR($A480="Pendiente de presentación",$A480="Observado",$A480="En análisis",$A480="En instrucción",$A480="Suspendida",$A480="IT circulando",$A480="Para resolución",$A480="TDC"),"ABIERTA PERO ESTÁ EN FIRMADAS",IF($H480&lt;&gt;INDEX(firmadas!$F:$F,$T480),"FIRMA DISTINTA EN firmadas ("&amp;IF(INDEX(firmadas!$F:$F,$T480)="","vacía",DAY(INDEX(firmadas!$F:$F,$T480))&amp;"/"&amp;MONTH(INDEX(firmadas!$F:$F,$T480))&amp;"/"&amp;YEAR(INDEX(firmadas!$F:$F,$T480)))&amp;")",IF($G480&lt;&gt;INDEX(firmadas!$E:$E,$T480),"INGRESO DISTINTO EN firmadas ("&amp;IF(INDEX(firmadas!$E:$E,$T480)="","vacía",DAY(INDEX(firmadas!$E:$E,$T480))&amp;"/"&amp;MONTH(INDEX(firmadas!$E:$E,$T480))&amp;"/"&amp;YEAR(INDEX(firmadas!$E:$E,$T480)))&amp;")","OK"))))))))</f>
        <v/>
      </c>
      <c r="T480" t="str">
        <f ca="1">IF($P480="","",IFERROR(MATCH($P480,firmadas!$N:$N,0),IFERROR(MATCH("*/"&amp;MID($P480,FIND(" ",$P480)+1,9)&amp;"*",firmadas!$B:$B,0),0)))</f>
        <v/>
      </c>
    </row>
    <row r="481" spans="14:20" ht="15" customHeight="1" x14ac:dyDescent="0.25">
      <c r="N481" s="53" t="str">
        <f t="shared" ca="1" si="7"/>
        <v/>
      </c>
      <c r="P481" t="str">
        <f ca="1">IF(TRIM(SUBSTITUTE(($C481&amp;" "&amp;$D481),CHAR(160)," "))="","",IFERROR(IF(ISNUMBER(SEARCH("INC",($C481&amp;" "&amp;$D481))),"INC",IF(ISNUMBER(SEARCH("OPI",($C481&amp;" "&amp;$D481))),"OPI",IF(ISNUMBER(SEARCH("DP",($C481&amp;" "&amp;$D481))),"DP","CONC")))&amp;" "&amp;TEXT(LOOKUP(9.99E+307,--MID(SUBSTITUTE(($C481&amp;" "&amp;$D481),CHAR(160)," "),SUMPRODUCT(MIN(FIND({0,1,2,3,4,5,6,7,8,9},SUBSTITUTE(($C481&amp;" "&amp;$D481),CHAR(160)," ")&amp;"0123456789"))),ROW(INDIRECT("1:6")))),"0"),"SIN NUMERO"))</f>
        <v/>
      </c>
      <c r="Q481" t="str">
        <f ca="1">IF($P481="","",IF(LEFT(UPPER($S481),9)="VERIFICAR","VERIFICAR",IF($A481="","SIN ESTADO",IF(AND($A481="Firmada",$H481=""),"FALTA FECHA DE FIRMA",IF(N($T481)=0,IF(AND(ISNUMBER($H481),$H481&gt;=DATE(2024,1,1)),"FALTA EN FIRMADAS","OK"),IF(OR($A481="Pendiente de presentación",$A481="Observado",$A481="En análisis",$A481="En instrucción",$A481="Suspendida",$A481="IT circulando",$A481="Para resolución",$A481="TDC"),"ABIERTA PERO ESTÁ EN FIRMADAS",IF($H481&lt;&gt;INDEX(firmadas!$F:$F,$T481),"FIRMA DISTINTA EN firmadas ("&amp;IF(INDEX(firmadas!$F:$F,$T481)="","vacía",DAY(INDEX(firmadas!$F:$F,$T481))&amp;"/"&amp;MONTH(INDEX(firmadas!$F:$F,$T481))&amp;"/"&amp;YEAR(INDEX(firmadas!$F:$F,$T481)))&amp;")",IF($G481&lt;&gt;INDEX(firmadas!$E:$E,$T481),"INGRESO DISTINTO EN firmadas ("&amp;IF(INDEX(firmadas!$E:$E,$T481)="","vacía",DAY(INDEX(firmadas!$E:$E,$T481))&amp;"/"&amp;MONTH(INDEX(firmadas!$E:$E,$T481))&amp;"/"&amp;YEAR(INDEX(firmadas!$E:$E,$T481)))&amp;")","OK"))))))))</f>
        <v/>
      </c>
      <c r="T481" t="str">
        <f ca="1">IF($P481="","",IFERROR(MATCH($P481,firmadas!$N:$N,0),IFERROR(MATCH("*/"&amp;MID($P481,FIND(" ",$P481)+1,9)&amp;"*",firmadas!$B:$B,0),0)))</f>
        <v/>
      </c>
    </row>
    <row r="482" spans="14:20" ht="15" customHeight="1" x14ac:dyDescent="0.25">
      <c r="N482" s="53" t="str">
        <f t="shared" ca="1" si="7"/>
        <v/>
      </c>
      <c r="P482" t="str">
        <f ca="1">IF(TRIM(SUBSTITUTE(($C482&amp;" "&amp;$D482),CHAR(160)," "))="","",IFERROR(IF(ISNUMBER(SEARCH("INC",($C482&amp;" "&amp;$D482))),"INC",IF(ISNUMBER(SEARCH("OPI",($C482&amp;" "&amp;$D482))),"OPI",IF(ISNUMBER(SEARCH("DP",($C482&amp;" "&amp;$D482))),"DP","CONC")))&amp;" "&amp;TEXT(LOOKUP(9.99E+307,--MID(SUBSTITUTE(($C482&amp;" "&amp;$D482),CHAR(160)," "),SUMPRODUCT(MIN(FIND({0,1,2,3,4,5,6,7,8,9},SUBSTITUTE(($C482&amp;" "&amp;$D482),CHAR(160)," ")&amp;"0123456789"))),ROW(INDIRECT("1:6")))),"0"),"SIN NUMERO"))</f>
        <v/>
      </c>
      <c r="Q482" t="str">
        <f ca="1">IF($P482="","",IF(LEFT(UPPER($S482),9)="VERIFICAR","VERIFICAR",IF($A482="","SIN ESTADO",IF(AND($A482="Firmada",$H482=""),"FALTA FECHA DE FIRMA",IF(N($T482)=0,IF(AND(ISNUMBER($H482),$H482&gt;=DATE(2024,1,1)),"FALTA EN FIRMADAS","OK"),IF(OR($A482="Pendiente de presentación",$A482="Observado",$A482="En análisis",$A482="En instrucción",$A482="Suspendida",$A482="IT circulando",$A482="Para resolución",$A482="TDC"),"ABIERTA PERO ESTÁ EN FIRMADAS",IF($H482&lt;&gt;INDEX(firmadas!$F:$F,$T482),"FIRMA DISTINTA EN firmadas ("&amp;IF(INDEX(firmadas!$F:$F,$T482)="","vacía",DAY(INDEX(firmadas!$F:$F,$T482))&amp;"/"&amp;MONTH(INDEX(firmadas!$F:$F,$T482))&amp;"/"&amp;YEAR(INDEX(firmadas!$F:$F,$T482)))&amp;")",IF($G482&lt;&gt;INDEX(firmadas!$E:$E,$T482),"INGRESO DISTINTO EN firmadas ("&amp;IF(INDEX(firmadas!$E:$E,$T482)="","vacía",DAY(INDEX(firmadas!$E:$E,$T482))&amp;"/"&amp;MONTH(INDEX(firmadas!$E:$E,$T482))&amp;"/"&amp;YEAR(INDEX(firmadas!$E:$E,$T482)))&amp;")","OK"))))))))</f>
        <v/>
      </c>
      <c r="T482" t="str">
        <f ca="1">IF($P482="","",IFERROR(MATCH($P482,firmadas!$N:$N,0),IFERROR(MATCH("*/"&amp;MID($P482,FIND(" ",$P482)+1,9)&amp;"*",firmadas!$B:$B,0),0)))</f>
        <v/>
      </c>
    </row>
    <row r="483" spans="14:20" ht="15" customHeight="1" x14ac:dyDescent="0.25">
      <c r="N483" s="53" t="str">
        <f t="shared" ca="1" si="7"/>
        <v/>
      </c>
      <c r="P483" t="str">
        <f ca="1">IF(TRIM(SUBSTITUTE(($C483&amp;" "&amp;$D483),CHAR(160)," "))="","",IFERROR(IF(ISNUMBER(SEARCH("INC",($C483&amp;" "&amp;$D483))),"INC",IF(ISNUMBER(SEARCH("OPI",($C483&amp;" "&amp;$D483))),"OPI",IF(ISNUMBER(SEARCH("DP",($C483&amp;" "&amp;$D483))),"DP","CONC")))&amp;" "&amp;TEXT(LOOKUP(9.99E+307,--MID(SUBSTITUTE(($C483&amp;" "&amp;$D483),CHAR(160)," "),SUMPRODUCT(MIN(FIND({0,1,2,3,4,5,6,7,8,9},SUBSTITUTE(($C483&amp;" "&amp;$D483),CHAR(160)," ")&amp;"0123456789"))),ROW(INDIRECT("1:6")))),"0"),"SIN NUMERO"))</f>
        <v/>
      </c>
      <c r="Q483" t="str">
        <f ca="1">IF($P483="","",IF(LEFT(UPPER($S483),9)="VERIFICAR","VERIFICAR",IF($A483="","SIN ESTADO",IF(AND($A483="Firmada",$H483=""),"FALTA FECHA DE FIRMA",IF(N($T483)=0,IF(AND(ISNUMBER($H483),$H483&gt;=DATE(2024,1,1)),"FALTA EN FIRMADAS","OK"),IF(OR($A483="Pendiente de presentación",$A483="Observado",$A483="En análisis",$A483="En instrucción",$A483="Suspendida",$A483="IT circulando",$A483="Para resolución",$A483="TDC"),"ABIERTA PERO ESTÁ EN FIRMADAS",IF($H483&lt;&gt;INDEX(firmadas!$F:$F,$T483),"FIRMA DISTINTA EN firmadas ("&amp;IF(INDEX(firmadas!$F:$F,$T483)="","vacía",DAY(INDEX(firmadas!$F:$F,$T483))&amp;"/"&amp;MONTH(INDEX(firmadas!$F:$F,$T483))&amp;"/"&amp;YEAR(INDEX(firmadas!$F:$F,$T483)))&amp;")",IF($G483&lt;&gt;INDEX(firmadas!$E:$E,$T483),"INGRESO DISTINTO EN firmadas ("&amp;IF(INDEX(firmadas!$E:$E,$T483)="","vacía",DAY(INDEX(firmadas!$E:$E,$T483))&amp;"/"&amp;MONTH(INDEX(firmadas!$E:$E,$T483))&amp;"/"&amp;YEAR(INDEX(firmadas!$E:$E,$T483)))&amp;")","OK"))))))))</f>
        <v/>
      </c>
      <c r="T483" t="str">
        <f ca="1">IF($P483="","",IFERROR(MATCH($P483,firmadas!$N:$N,0),IFERROR(MATCH("*/"&amp;MID($P483,FIND(" ",$P483)+1,9)&amp;"*",firmadas!$B:$B,0),0)))</f>
        <v/>
      </c>
    </row>
    <row r="484" spans="14:20" ht="15" customHeight="1" x14ac:dyDescent="0.25">
      <c r="N484" s="53" t="str">
        <f t="shared" ca="1" si="7"/>
        <v/>
      </c>
      <c r="P484" t="str">
        <f ca="1">IF(TRIM(SUBSTITUTE(($C484&amp;" "&amp;$D484),CHAR(160)," "))="","",IFERROR(IF(ISNUMBER(SEARCH("INC",($C484&amp;" "&amp;$D484))),"INC",IF(ISNUMBER(SEARCH("OPI",($C484&amp;" "&amp;$D484))),"OPI",IF(ISNUMBER(SEARCH("DP",($C484&amp;" "&amp;$D484))),"DP","CONC")))&amp;" "&amp;TEXT(LOOKUP(9.99E+307,--MID(SUBSTITUTE(($C484&amp;" "&amp;$D484),CHAR(160)," "),SUMPRODUCT(MIN(FIND({0,1,2,3,4,5,6,7,8,9},SUBSTITUTE(($C484&amp;" "&amp;$D484),CHAR(160)," ")&amp;"0123456789"))),ROW(INDIRECT("1:6")))),"0"),"SIN NUMERO"))</f>
        <v/>
      </c>
      <c r="Q484" t="str">
        <f ca="1">IF($P484="","",IF(LEFT(UPPER($S484),9)="VERIFICAR","VERIFICAR",IF($A484="","SIN ESTADO",IF(AND($A484="Firmada",$H484=""),"FALTA FECHA DE FIRMA",IF(N($T484)=0,IF(AND(ISNUMBER($H484),$H484&gt;=DATE(2024,1,1)),"FALTA EN FIRMADAS","OK"),IF(OR($A484="Pendiente de presentación",$A484="Observado",$A484="En análisis",$A484="En instrucción",$A484="Suspendida",$A484="IT circulando",$A484="Para resolución",$A484="TDC"),"ABIERTA PERO ESTÁ EN FIRMADAS",IF($H484&lt;&gt;INDEX(firmadas!$F:$F,$T484),"FIRMA DISTINTA EN firmadas ("&amp;IF(INDEX(firmadas!$F:$F,$T484)="","vacía",DAY(INDEX(firmadas!$F:$F,$T484))&amp;"/"&amp;MONTH(INDEX(firmadas!$F:$F,$T484))&amp;"/"&amp;YEAR(INDEX(firmadas!$F:$F,$T484)))&amp;")",IF($G484&lt;&gt;INDEX(firmadas!$E:$E,$T484),"INGRESO DISTINTO EN firmadas ("&amp;IF(INDEX(firmadas!$E:$E,$T484)="","vacía",DAY(INDEX(firmadas!$E:$E,$T484))&amp;"/"&amp;MONTH(INDEX(firmadas!$E:$E,$T484))&amp;"/"&amp;YEAR(INDEX(firmadas!$E:$E,$T484)))&amp;")","OK"))))))))</f>
        <v/>
      </c>
      <c r="T484" t="str">
        <f ca="1">IF($P484="","",IFERROR(MATCH($P484,firmadas!$N:$N,0),IFERROR(MATCH("*/"&amp;MID($P484,FIND(" ",$P484)+1,9)&amp;"*",firmadas!$B:$B,0),0)))</f>
        <v/>
      </c>
    </row>
    <row r="485" spans="14:20" ht="15" customHeight="1" x14ac:dyDescent="0.25">
      <c r="N485" s="53" t="str">
        <f t="shared" ca="1" si="7"/>
        <v/>
      </c>
      <c r="P485" t="str">
        <f ca="1">IF(TRIM(SUBSTITUTE(($C485&amp;" "&amp;$D485),CHAR(160)," "))="","",IFERROR(IF(ISNUMBER(SEARCH("INC",($C485&amp;" "&amp;$D485))),"INC",IF(ISNUMBER(SEARCH("OPI",($C485&amp;" "&amp;$D485))),"OPI",IF(ISNUMBER(SEARCH("DP",($C485&amp;" "&amp;$D485))),"DP","CONC")))&amp;" "&amp;TEXT(LOOKUP(9.99E+307,--MID(SUBSTITUTE(($C485&amp;" "&amp;$D485),CHAR(160)," "),SUMPRODUCT(MIN(FIND({0,1,2,3,4,5,6,7,8,9},SUBSTITUTE(($C485&amp;" "&amp;$D485),CHAR(160)," ")&amp;"0123456789"))),ROW(INDIRECT("1:6")))),"0"),"SIN NUMERO"))</f>
        <v/>
      </c>
      <c r="Q485" t="str">
        <f ca="1">IF($P485="","",IF(LEFT(UPPER($S485),9)="VERIFICAR","VERIFICAR",IF($A485="","SIN ESTADO",IF(AND($A485="Firmada",$H485=""),"FALTA FECHA DE FIRMA",IF(N($T485)=0,IF(AND(ISNUMBER($H485),$H485&gt;=DATE(2024,1,1)),"FALTA EN FIRMADAS","OK"),IF(OR($A485="Pendiente de presentación",$A485="Observado",$A485="En análisis",$A485="En instrucción",$A485="Suspendida",$A485="IT circulando",$A485="Para resolución",$A485="TDC"),"ABIERTA PERO ESTÁ EN FIRMADAS",IF($H485&lt;&gt;INDEX(firmadas!$F:$F,$T485),"FIRMA DISTINTA EN firmadas ("&amp;IF(INDEX(firmadas!$F:$F,$T485)="","vacía",DAY(INDEX(firmadas!$F:$F,$T485))&amp;"/"&amp;MONTH(INDEX(firmadas!$F:$F,$T485))&amp;"/"&amp;YEAR(INDEX(firmadas!$F:$F,$T485)))&amp;")",IF($G485&lt;&gt;INDEX(firmadas!$E:$E,$T485),"INGRESO DISTINTO EN firmadas ("&amp;IF(INDEX(firmadas!$E:$E,$T485)="","vacía",DAY(INDEX(firmadas!$E:$E,$T485))&amp;"/"&amp;MONTH(INDEX(firmadas!$E:$E,$T485))&amp;"/"&amp;YEAR(INDEX(firmadas!$E:$E,$T485)))&amp;")","OK"))))))))</f>
        <v/>
      </c>
      <c r="T485" t="str">
        <f ca="1">IF($P485="","",IFERROR(MATCH($P485,firmadas!$N:$N,0),IFERROR(MATCH("*/"&amp;MID($P485,FIND(" ",$P485)+1,9)&amp;"*",firmadas!$B:$B,0),0)))</f>
        <v/>
      </c>
    </row>
    <row r="486" spans="14:20" ht="15" customHeight="1" x14ac:dyDescent="0.25">
      <c r="N486" s="53" t="str">
        <f t="shared" ca="1" si="7"/>
        <v/>
      </c>
      <c r="P486" t="str">
        <f ca="1">IF(TRIM(SUBSTITUTE(($C486&amp;" "&amp;$D486),CHAR(160)," "))="","",IFERROR(IF(ISNUMBER(SEARCH("INC",($C486&amp;" "&amp;$D486))),"INC",IF(ISNUMBER(SEARCH("OPI",($C486&amp;" "&amp;$D486))),"OPI",IF(ISNUMBER(SEARCH("DP",($C486&amp;" "&amp;$D486))),"DP","CONC")))&amp;" "&amp;TEXT(LOOKUP(9.99E+307,--MID(SUBSTITUTE(($C486&amp;" "&amp;$D486),CHAR(160)," "),SUMPRODUCT(MIN(FIND({0,1,2,3,4,5,6,7,8,9},SUBSTITUTE(($C486&amp;" "&amp;$D486),CHAR(160)," ")&amp;"0123456789"))),ROW(INDIRECT("1:6")))),"0"),"SIN NUMERO"))</f>
        <v/>
      </c>
      <c r="Q486" t="str">
        <f ca="1">IF($P486="","",IF(LEFT(UPPER($S486),9)="VERIFICAR","VERIFICAR",IF($A486="","SIN ESTADO",IF(AND($A486="Firmada",$H486=""),"FALTA FECHA DE FIRMA",IF(N($T486)=0,IF(AND(ISNUMBER($H486),$H486&gt;=DATE(2024,1,1)),"FALTA EN FIRMADAS","OK"),IF(OR($A486="Pendiente de presentación",$A486="Observado",$A486="En análisis",$A486="En instrucción",$A486="Suspendida",$A486="IT circulando",$A486="Para resolución",$A486="TDC"),"ABIERTA PERO ESTÁ EN FIRMADAS",IF($H486&lt;&gt;INDEX(firmadas!$F:$F,$T486),"FIRMA DISTINTA EN firmadas ("&amp;IF(INDEX(firmadas!$F:$F,$T486)="","vacía",DAY(INDEX(firmadas!$F:$F,$T486))&amp;"/"&amp;MONTH(INDEX(firmadas!$F:$F,$T486))&amp;"/"&amp;YEAR(INDEX(firmadas!$F:$F,$T486)))&amp;")",IF($G486&lt;&gt;INDEX(firmadas!$E:$E,$T486),"INGRESO DISTINTO EN firmadas ("&amp;IF(INDEX(firmadas!$E:$E,$T486)="","vacía",DAY(INDEX(firmadas!$E:$E,$T486))&amp;"/"&amp;MONTH(INDEX(firmadas!$E:$E,$T486))&amp;"/"&amp;YEAR(INDEX(firmadas!$E:$E,$T486)))&amp;")","OK"))))))))</f>
        <v/>
      </c>
      <c r="T486" t="str">
        <f ca="1">IF($P486="","",IFERROR(MATCH($P486,firmadas!$N:$N,0),IFERROR(MATCH("*/"&amp;MID($P486,FIND(" ",$P486)+1,9)&amp;"*",firmadas!$B:$B,0),0)))</f>
        <v/>
      </c>
    </row>
    <row r="487" spans="14:20" ht="15" customHeight="1" x14ac:dyDescent="0.25">
      <c r="N487" s="53" t="str">
        <f t="shared" ca="1" si="7"/>
        <v/>
      </c>
      <c r="P487" t="str">
        <f ca="1">IF(TRIM(SUBSTITUTE(($C487&amp;" "&amp;$D487),CHAR(160)," "))="","",IFERROR(IF(ISNUMBER(SEARCH("INC",($C487&amp;" "&amp;$D487))),"INC",IF(ISNUMBER(SEARCH("OPI",($C487&amp;" "&amp;$D487))),"OPI",IF(ISNUMBER(SEARCH("DP",($C487&amp;" "&amp;$D487))),"DP","CONC")))&amp;" "&amp;TEXT(LOOKUP(9.99E+307,--MID(SUBSTITUTE(($C487&amp;" "&amp;$D487),CHAR(160)," "),SUMPRODUCT(MIN(FIND({0,1,2,3,4,5,6,7,8,9},SUBSTITUTE(($C487&amp;" "&amp;$D487),CHAR(160)," ")&amp;"0123456789"))),ROW(INDIRECT("1:6")))),"0"),"SIN NUMERO"))</f>
        <v/>
      </c>
      <c r="Q487" t="str">
        <f ca="1">IF($P487="","",IF(LEFT(UPPER($S487),9)="VERIFICAR","VERIFICAR",IF($A487="","SIN ESTADO",IF(AND($A487="Firmada",$H487=""),"FALTA FECHA DE FIRMA",IF(N($T487)=0,IF(AND(ISNUMBER($H487),$H487&gt;=DATE(2024,1,1)),"FALTA EN FIRMADAS","OK"),IF(OR($A487="Pendiente de presentación",$A487="Observado",$A487="En análisis",$A487="En instrucción",$A487="Suspendida",$A487="IT circulando",$A487="Para resolución",$A487="TDC"),"ABIERTA PERO ESTÁ EN FIRMADAS",IF($H487&lt;&gt;INDEX(firmadas!$F:$F,$T487),"FIRMA DISTINTA EN firmadas ("&amp;IF(INDEX(firmadas!$F:$F,$T487)="","vacía",DAY(INDEX(firmadas!$F:$F,$T487))&amp;"/"&amp;MONTH(INDEX(firmadas!$F:$F,$T487))&amp;"/"&amp;YEAR(INDEX(firmadas!$F:$F,$T487)))&amp;")",IF($G487&lt;&gt;INDEX(firmadas!$E:$E,$T487),"INGRESO DISTINTO EN firmadas ("&amp;IF(INDEX(firmadas!$E:$E,$T487)="","vacía",DAY(INDEX(firmadas!$E:$E,$T487))&amp;"/"&amp;MONTH(INDEX(firmadas!$E:$E,$T487))&amp;"/"&amp;YEAR(INDEX(firmadas!$E:$E,$T487)))&amp;")","OK"))))))))</f>
        <v/>
      </c>
      <c r="T487" t="str">
        <f ca="1">IF($P487="","",IFERROR(MATCH($P487,firmadas!$N:$N,0),IFERROR(MATCH("*/"&amp;MID($P487,FIND(" ",$P487)+1,9)&amp;"*",firmadas!$B:$B,0),0)))</f>
        <v/>
      </c>
    </row>
    <row r="488" spans="14:20" ht="15" customHeight="1" x14ac:dyDescent="0.25">
      <c r="N488" s="53" t="str">
        <f t="shared" ca="1" si="7"/>
        <v/>
      </c>
      <c r="P488" t="str">
        <f ca="1">IF(TRIM(SUBSTITUTE(($C488&amp;" "&amp;$D488),CHAR(160)," "))="","",IFERROR(IF(ISNUMBER(SEARCH("INC",($C488&amp;" "&amp;$D488))),"INC",IF(ISNUMBER(SEARCH("OPI",($C488&amp;" "&amp;$D488))),"OPI",IF(ISNUMBER(SEARCH("DP",($C488&amp;" "&amp;$D488))),"DP","CONC")))&amp;" "&amp;TEXT(LOOKUP(9.99E+307,--MID(SUBSTITUTE(($C488&amp;" "&amp;$D488),CHAR(160)," "),SUMPRODUCT(MIN(FIND({0,1,2,3,4,5,6,7,8,9},SUBSTITUTE(($C488&amp;" "&amp;$D488),CHAR(160)," ")&amp;"0123456789"))),ROW(INDIRECT("1:6")))),"0"),"SIN NUMERO"))</f>
        <v/>
      </c>
      <c r="Q488" t="str">
        <f ca="1">IF($P488="","",IF(LEFT(UPPER($S488),9)="VERIFICAR","VERIFICAR",IF($A488="","SIN ESTADO",IF(AND($A488="Firmada",$H488=""),"FALTA FECHA DE FIRMA",IF(N($T488)=0,IF(AND(ISNUMBER($H488),$H488&gt;=DATE(2024,1,1)),"FALTA EN FIRMADAS","OK"),IF(OR($A488="Pendiente de presentación",$A488="Observado",$A488="En análisis",$A488="En instrucción",$A488="Suspendida",$A488="IT circulando",$A488="Para resolución",$A488="TDC"),"ABIERTA PERO ESTÁ EN FIRMADAS",IF($H488&lt;&gt;INDEX(firmadas!$F:$F,$T488),"FIRMA DISTINTA EN firmadas ("&amp;IF(INDEX(firmadas!$F:$F,$T488)="","vacía",DAY(INDEX(firmadas!$F:$F,$T488))&amp;"/"&amp;MONTH(INDEX(firmadas!$F:$F,$T488))&amp;"/"&amp;YEAR(INDEX(firmadas!$F:$F,$T488)))&amp;")",IF($G488&lt;&gt;INDEX(firmadas!$E:$E,$T488),"INGRESO DISTINTO EN firmadas ("&amp;IF(INDEX(firmadas!$E:$E,$T488)="","vacía",DAY(INDEX(firmadas!$E:$E,$T488))&amp;"/"&amp;MONTH(INDEX(firmadas!$E:$E,$T488))&amp;"/"&amp;YEAR(INDEX(firmadas!$E:$E,$T488)))&amp;")","OK"))))))))</f>
        <v/>
      </c>
      <c r="T488" t="str">
        <f ca="1">IF($P488="","",IFERROR(MATCH($P488,firmadas!$N:$N,0),IFERROR(MATCH("*/"&amp;MID($P488,FIND(" ",$P488)+1,9)&amp;"*",firmadas!$B:$B,0),0)))</f>
        <v/>
      </c>
    </row>
    <row r="489" spans="14:20" ht="15" customHeight="1" x14ac:dyDescent="0.25">
      <c r="N489" s="53" t="str">
        <f t="shared" ca="1" si="7"/>
        <v/>
      </c>
      <c r="P489" t="str">
        <f ca="1">IF(TRIM(SUBSTITUTE(($C489&amp;" "&amp;$D489),CHAR(160)," "))="","",IFERROR(IF(ISNUMBER(SEARCH("INC",($C489&amp;" "&amp;$D489))),"INC",IF(ISNUMBER(SEARCH("OPI",($C489&amp;" "&amp;$D489))),"OPI",IF(ISNUMBER(SEARCH("DP",($C489&amp;" "&amp;$D489))),"DP","CONC")))&amp;" "&amp;TEXT(LOOKUP(9.99E+307,--MID(SUBSTITUTE(($C489&amp;" "&amp;$D489),CHAR(160)," "),SUMPRODUCT(MIN(FIND({0,1,2,3,4,5,6,7,8,9},SUBSTITUTE(($C489&amp;" "&amp;$D489),CHAR(160)," ")&amp;"0123456789"))),ROW(INDIRECT("1:6")))),"0"),"SIN NUMERO"))</f>
        <v/>
      </c>
      <c r="Q489" t="str">
        <f ca="1">IF($P489="","",IF(LEFT(UPPER($S489),9)="VERIFICAR","VERIFICAR",IF($A489="","SIN ESTADO",IF(AND($A489="Firmada",$H489=""),"FALTA FECHA DE FIRMA",IF(N($T489)=0,IF(AND(ISNUMBER($H489),$H489&gt;=DATE(2024,1,1)),"FALTA EN FIRMADAS","OK"),IF(OR($A489="Pendiente de presentación",$A489="Observado",$A489="En análisis",$A489="En instrucción",$A489="Suspendida",$A489="IT circulando",$A489="Para resolución",$A489="TDC"),"ABIERTA PERO ESTÁ EN FIRMADAS",IF($H489&lt;&gt;INDEX(firmadas!$F:$F,$T489),"FIRMA DISTINTA EN firmadas ("&amp;IF(INDEX(firmadas!$F:$F,$T489)="","vacía",DAY(INDEX(firmadas!$F:$F,$T489))&amp;"/"&amp;MONTH(INDEX(firmadas!$F:$F,$T489))&amp;"/"&amp;YEAR(INDEX(firmadas!$F:$F,$T489)))&amp;")",IF($G489&lt;&gt;INDEX(firmadas!$E:$E,$T489),"INGRESO DISTINTO EN firmadas ("&amp;IF(INDEX(firmadas!$E:$E,$T489)="","vacía",DAY(INDEX(firmadas!$E:$E,$T489))&amp;"/"&amp;MONTH(INDEX(firmadas!$E:$E,$T489))&amp;"/"&amp;YEAR(INDEX(firmadas!$E:$E,$T489)))&amp;")","OK"))))))))</f>
        <v/>
      </c>
      <c r="T489" t="str">
        <f ca="1">IF($P489="","",IFERROR(MATCH($P489,firmadas!$N:$N,0),IFERROR(MATCH("*/"&amp;MID($P489,FIND(" ",$P489)+1,9)&amp;"*",firmadas!$B:$B,0),0)))</f>
        <v/>
      </c>
    </row>
    <row r="490" spans="14:20" ht="15" customHeight="1" x14ac:dyDescent="0.25">
      <c r="N490" s="53" t="str">
        <f t="shared" ca="1" si="7"/>
        <v/>
      </c>
      <c r="P490" t="str">
        <f ca="1">IF(TRIM(SUBSTITUTE(($C490&amp;" "&amp;$D490),CHAR(160)," "))="","",IFERROR(IF(ISNUMBER(SEARCH("INC",($C490&amp;" "&amp;$D490))),"INC",IF(ISNUMBER(SEARCH("OPI",($C490&amp;" "&amp;$D490))),"OPI",IF(ISNUMBER(SEARCH("DP",($C490&amp;" "&amp;$D490))),"DP","CONC")))&amp;" "&amp;TEXT(LOOKUP(9.99E+307,--MID(SUBSTITUTE(($C490&amp;" "&amp;$D490),CHAR(160)," "),SUMPRODUCT(MIN(FIND({0,1,2,3,4,5,6,7,8,9},SUBSTITUTE(($C490&amp;" "&amp;$D490),CHAR(160)," ")&amp;"0123456789"))),ROW(INDIRECT("1:6")))),"0"),"SIN NUMERO"))</f>
        <v/>
      </c>
      <c r="Q490" t="str">
        <f ca="1">IF($P490="","",IF(LEFT(UPPER($S490),9)="VERIFICAR","VERIFICAR",IF($A490="","SIN ESTADO",IF(AND($A490="Firmada",$H490=""),"FALTA FECHA DE FIRMA",IF(N($T490)=0,IF(AND(ISNUMBER($H490),$H490&gt;=DATE(2024,1,1)),"FALTA EN FIRMADAS","OK"),IF(OR($A490="Pendiente de presentación",$A490="Observado",$A490="En análisis",$A490="En instrucción",$A490="Suspendida",$A490="IT circulando",$A490="Para resolución",$A490="TDC"),"ABIERTA PERO ESTÁ EN FIRMADAS",IF($H490&lt;&gt;INDEX(firmadas!$F:$F,$T490),"FIRMA DISTINTA EN firmadas ("&amp;IF(INDEX(firmadas!$F:$F,$T490)="","vacía",DAY(INDEX(firmadas!$F:$F,$T490))&amp;"/"&amp;MONTH(INDEX(firmadas!$F:$F,$T490))&amp;"/"&amp;YEAR(INDEX(firmadas!$F:$F,$T490)))&amp;")",IF($G490&lt;&gt;INDEX(firmadas!$E:$E,$T490),"INGRESO DISTINTO EN firmadas ("&amp;IF(INDEX(firmadas!$E:$E,$T490)="","vacía",DAY(INDEX(firmadas!$E:$E,$T490))&amp;"/"&amp;MONTH(INDEX(firmadas!$E:$E,$T490))&amp;"/"&amp;YEAR(INDEX(firmadas!$E:$E,$T490)))&amp;")","OK"))))))))</f>
        <v/>
      </c>
      <c r="T490" t="str">
        <f ca="1">IF($P490="","",IFERROR(MATCH($P490,firmadas!$N:$N,0),IFERROR(MATCH("*/"&amp;MID($P490,FIND(" ",$P490)+1,9)&amp;"*",firmadas!$B:$B,0),0)))</f>
        <v/>
      </c>
    </row>
    <row r="491" spans="14:20" ht="15" customHeight="1" x14ac:dyDescent="0.25">
      <c r="N491" s="53" t="str">
        <f t="shared" ca="1" si="7"/>
        <v/>
      </c>
      <c r="P491" t="str">
        <f ca="1">IF(TRIM(SUBSTITUTE(($C491&amp;" "&amp;$D491),CHAR(160)," "))="","",IFERROR(IF(ISNUMBER(SEARCH("INC",($C491&amp;" "&amp;$D491))),"INC",IF(ISNUMBER(SEARCH("OPI",($C491&amp;" "&amp;$D491))),"OPI",IF(ISNUMBER(SEARCH("DP",($C491&amp;" "&amp;$D491))),"DP","CONC")))&amp;" "&amp;TEXT(LOOKUP(9.99E+307,--MID(SUBSTITUTE(($C491&amp;" "&amp;$D491),CHAR(160)," "),SUMPRODUCT(MIN(FIND({0,1,2,3,4,5,6,7,8,9},SUBSTITUTE(($C491&amp;" "&amp;$D491),CHAR(160)," ")&amp;"0123456789"))),ROW(INDIRECT("1:6")))),"0"),"SIN NUMERO"))</f>
        <v/>
      </c>
      <c r="Q491" t="str">
        <f ca="1">IF($P491="","",IF(LEFT(UPPER($S491),9)="VERIFICAR","VERIFICAR",IF($A491="","SIN ESTADO",IF(AND($A491="Firmada",$H491=""),"FALTA FECHA DE FIRMA",IF(N($T491)=0,IF(AND(ISNUMBER($H491),$H491&gt;=DATE(2024,1,1)),"FALTA EN FIRMADAS","OK"),IF(OR($A491="Pendiente de presentación",$A491="Observado",$A491="En análisis",$A491="En instrucción",$A491="Suspendida",$A491="IT circulando",$A491="Para resolución",$A491="TDC"),"ABIERTA PERO ESTÁ EN FIRMADAS",IF($H491&lt;&gt;INDEX(firmadas!$F:$F,$T491),"FIRMA DISTINTA EN firmadas ("&amp;IF(INDEX(firmadas!$F:$F,$T491)="","vacía",DAY(INDEX(firmadas!$F:$F,$T491))&amp;"/"&amp;MONTH(INDEX(firmadas!$F:$F,$T491))&amp;"/"&amp;YEAR(INDEX(firmadas!$F:$F,$T491)))&amp;")",IF($G491&lt;&gt;INDEX(firmadas!$E:$E,$T491),"INGRESO DISTINTO EN firmadas ("&amp;IF(INDEX(firmadas!$E:$E,$T491)="","vacía",DAY(INDEX(firmadas!$E:$E,$T491))&amp;"/"&amp;MONTH(INDEX(firmadas!$E:$E,$T491))&amp;"/"&amp;YEAR(INDEX(firmadas!$E:$E,$T491)))&amp;")","OK"))))))))</f>
        <v/>
      </c>
      <c r="T491" t="str">
        <f ca="1">IF($P491="","",IFERROR(MATCH($P491,firmadas!$N:$N,0),IFERROR(MATCH("*/"&amp;MID($P491,FIND(" ",$P491)+1,9)&amp;"*",firmadas!$B:$B,0),0)))</f>
        <v/>
      </c>
    </row>
    <row r="492" spans="14:20" ht="15" customHeight="1" x14ac:dyDescent="0.25">
      <c r="N492" s="53" t="str">
        <f t="shared" ca="1" si="7"/>
        <v/>
      </c>
      <c r="P492" t="str">
        <f ca="1">IF(TRIM(SUBSTITUTE(($C492&amp;" "&amp;$D492),CHAR(160)," "))="","",IFERROR(IF(ISNUMBER(SEARCH("INC",($C492&amp;" "&amp;$D492))),"INC",IF(ISNUMBER(SEARCH("OPI",($C492&amp;" "&amp;$D492))),"OPI",IF(ISNUMBER(SEARCH("DP",($C492&amp;" "&amp;$D492))),"DP","CONC")))&amp;" "&amp;TEXT(LOOKUP(9.99E+307,--MID(SUBSTITUTE(($C492&amp;" "&amp;$D492),CHAR(160)," "),SUMPRODUCT(MIN(FIND({0,1,2,3,4,5,6,7,8,9},SUBSTITUTE(($C492&amp;" "&amp;$D492),CHAR(160)," ")&amp;"0123456789"))),ROW(INDIRECT("1:6")))),"0"),"SIN NUMERO"))</f>
        <v/>
      </c>
      <c r="Q492" t="str">
        <f ca="1">IF($P492="","",IF(LEFT(UPPER($S492),9)="VERIFICAR","VERIFICAR",IF($A492="","SIN ESTADO",IF(AND($A492="Firmada",$H492=""),"FALTA FECHA DE FIRMA",IF(N($T492)=0,IF(AND(ISNUMBER($H492),$H492&gt;=DATE(2024,1,1)),"FALTA EN FIRMADAS","OK"),IF(OR($A492="Pendiente de presentación",$A492="Observado",$A492="En análisis",$A492="En instrucción",$A492="Suspendida",$A492="IT circulando",$A492="Para resolución",$A492="TDC"),"ABIERTA PERO ESTÁ EN FIRMADAS",IF($H492&lt;&gt;INDEX(firmadas!$F:$F,$T492),"FIRMA DISTINTA EN firmadas ("&amp;IF(INDEX(firmadas!$F:$F,$T492)="","vacía",DAY(INDEX(firmadas!$F:$F,$T492))&amp;"/"&amp;MONTH(INDEX(firmadas!$F:$F,$T492))&amp;"/"&amp;YEAR(INDEX(firmadas!$F:$F,$T492)))&amp;")",IF($G492&lt;&gt;INDEX(firmadas!$E:$E,$T492),"INGRESO DISTINTO EN firmadas ("&amp;IF(INDEX(firmadas!$E:$E,$T492)="","vacía",DAY(INDEX(firmadas!$E:$E,$T492))&amp;"/"&amp;MONTH(INDEX(firmadas!$E:$E,$T492))&amp;"/"&amp;YEAR(INDEX(firmadas!$E:$E,$T492)))&amp;")","OK"))))))))</f>
        <v/>
      </c>
      <c r="T492" t="str">
        <f ca="1">IF($P492="","",IFERROR(MATCH($P492,firmadas!$N:$N,0),IFERROR(MATCH("*/"&amp;MID($P492,FIND(" ",$P492)+1,9)&amp;"*",firmadas!$B:$B,0),0)))</f>
        <v/>
      </c>
    </row>
    <row r="493" spans="14:20" ht="15" customHeight="1" x14ac:dyDescent="0.25">
      <c r="N493" s="53" t="str">
        <f t="shared" ca="1" si="7"/>
        <v/>
      </c>
      <c r="P493" t="str">
        <f ca="1">IF(TRIM(SUBSTITUTE(($C493&amp;" "&amp;$D493),CHAR(160)," "))="","",IFERROR(IF(ISNUMBER(SEARCH("INC",($C493&amp;" "&amp;$D493))),"INC",IF(ISNUMBER(SEARCH("OPI",($C493&amp;" "&amp;$D493))),"OPI",IF(ISNUMBER(SEARCH("DP",($C493&amp;" "&amp;$D493))),"DP","CONC")))&amp;" "&amp;TEXT(LOOKUP(9.99E+307,--MID(SUBSTITUTE(($C493&amp;" "&amp;$D493),CHAR(160)," "),SUMPRODUCT(MIN(FIND({0,1,2,3,4,5,6,7,8,9},SUBSTITUTE(($C493&amp;" "&amp;$D493),CHAR(160)," ")&amp;"0123456789"))),ROW(INDIRECT("1:6")))),"0"),"SIN NUMERO"))</f>
        <v/>
      </c>
      <c r="Q493" t="str">
        <f ca="1">IF($P493="","",IF(LEFT(UPPER($S493),9)="VERIFICAR","VERIFICAR",IF($A493="","SIN ESTADO",IF(AND($A493="Firmada",$H493=""),"FALTA FECHA DE FIRMA",IF(N($T493)=0,IF(AND(ISNUMBER($H493),$H493&gt;=DATE(2024,1,1)),"FALTA EN FIRMADAS","OK"),IF(OR($A493="Pendiente de presentación",$A493="Observado",$A493="En análisis",$A493="En instrucción",$A493="Suspendida",$A493="IT circulando",$A493="Para resolución",$A493="TDC"),"ABIERTA PERO ESTÁ EN FIRMADAS",IF($H493&lt;&gt;INDEX(firmadas!$F:$F,$T493),"FIRMA DISTINTA EN firmadas ("&amp;IF(INDEX(firmadas!$F:$F,$T493)="","vacía",DAY(INDEX(firmadas!$F:$F,$T493))&amp;"/"&amp;MONTH(INDEX(firmadas!$F:$F,$T493))&amp;"/"&amp;YEAR(INDEX(firmadas!$F:$F,$T493)))&amp;")",IF($G493&lt;&gt;INDEX(firmadas!$E:$E,$T493),"INGRESO DISTINTO EN firmadas ("&amp;IF(INDEX(firmadas!$E:$E,$T493)="","vacía",DAY(INDEX(firmadas!$E:$E,$T493))&amp;"/"&amp;MONTH(INDEX(firmadas!$E:$E,$T493))&amp;"/"&amp;YEAR(INDEX(firmadas!$E:$E,$T493)))&amp;")","OK"))))))))</f>
        <v/>
      </c>
      <c r="T493" t="str">
        <f ca="1">IF($P493="","",IFERROR(MATCH($P493,firmadas!$N:$N,0),IFERROR(MATCH("*/"&amp;MID($P493,FIND(" ",$P493)+1,9)&amp;"*",firmadas!$B:$B,0),0)))</f>
        <v/>
      </c>
    </row>
    <row r="494" spans="14:20" ht="15" customHeight="1" x14ac:dyDescent="0.25">
      <c r="N494" s="53" t="str">
        <f t="shared" ca="1" si="7"/>
        <v/>
      </c>
      <c r="P494" t="str">
        <f ca="1">IF(TRIM(SUBSTITUTE(($C494&amp;" "&amp;$D494),CHAR(160)," "))="","",IFERROR(IF(ISNUMBER(SEARCH("INC",($C494&amp;" "&amp;$D494))),"INC",IF(ISNUMBER(SEARCH("OPI",($C494&amp;" "&amp;$D494))),"OPI",IF(ISNUMBER(SEARCH("DP",($C494&amp;" "&amp;$D494))),"DP","CONC")))&amp;" "&amp;TEXT(LOOKUP(9.99E+307,--MID(SUBSTITUTE(($C494&amp;" "&amp;$D494),CHAR(160)," "),SUMPRODUCT(MIN(FIND({0,1,2,3,4,5,6,7,8,9},SUBSTITUTE(($C494&amp;" "&amp;$D494),CHAR(160)," ")&amp;"0123456789"))),ROW(INDIRECT("1:6")))),"0"),"SIN NUMERO"))</f>
        <v/>
      </c>
      <c r="Q494" t="str">
        <f ca="1">IF($P494="","",IF(LEFT(UPPER($S494),9)="VERIFICAR","VERIFICAR",IF($A494="","SIN ESTADO",IF(AND($A494="Firmada",$H494=""),"FALTA FECHA DE FIRMA",IF(N($T494)=0,IF(AND(ISNUMBER($H494),$H494&gt;=DATE(2024,1,1)),"FALTA EN FIRMADAS","OK"),IF(OR($A494="Pendiente de presentación",$A494="Observado",$A494="En análisis",$A494="En instrucción",$A494="Suspendida",$A494="IT circulando",$A494="Para resolución",$A494="TDC"),"ABIERTA PERO ESTÁ EN FIRMADAS",IF($H494&lt;&gt;INDEX(firmadas!$F:$F,$T494),"FIRMA DISTINTA EN firmadas ("&amp;IF(INDEX(firmadas!$F:$F,$T494)="","vacía",DAY(INDEX(firmadas!$F:$F,$T494))&amp;"/"&amp;MONTH(INDEX(firmadas!$F:$F,$T494))&amp;"/"&amp;YEAR(INDEX(firmadas!$F:$F,$T494)))&amp;")",IF($G494&lt;&gt;INDEX(firmadas!$E:$E,$T494),"INGRESO DISTINTO EN firmadas ("&amp;IF(INDEX(firmadas!$E:$E,$T494)="","vacía",DAY(INDEX(firmadas!$E:$E,$T494))&amp;"/"&amp;MONTH(INDEX(firmadas!$E:$E,$T494))&amp;"/"&amp;YEAR(INDEX(firmadas!$E:$E,$T494)))&amp;")","OK"))))))))</f>
        <v/>
      </c>
      <c r="T494" t="str">
        <f ca="1">IF($P494="","",IFERROR(MATCH($P494,firmadas!$N:$N,0),IFERROR(MATCH("*/"&amp;MID($P494,FIND(" ",$P494)+1,9)&amp;"*",firmadas!$B:$B,0),0)))</f>
        <v/>
      </c>
    </row>
    <row r="495" spans="14:20" ht="15" customHeight="1" x14ac:dyDescent="0.25">
      <c r="N495" s="53" t="str">
        <f t="shared" ca="1" si="7"/>
        <v/>
      </c>
      <c r="P495" t="str">
        <f ca="1">IF(TRIM(SUBSTITUTE(($C495&amp;" "&amp;$D495),CHAR(160)," "))="","",IFERROR(IF(ISNUMBER(SEARCH("INC",($C495&amp;" "&amp;$D495))),"INC",IF(ISNUMBER(SEARCH("OPI",($C495&amp;" "&amp;$D495))),"OPI",IF(ISNUMBER(SEARCH("DP",($C495&amp;" "&amp;$D495))),"DP","CONC")))&amp;" "&amp;TEXT(LOOKUP(9.99E+307,--MID(SUBSTITUTE(($C495&amp;" "&amp;$D495),CHAR(160)," "),SUMPRODUCT(MIN(FIND({0,1,2,3,4,5,6,7,8,9},SUBSTITUTE(($C495&amp;" "&amp;$D495),CHAR(160)," ")&amp;"0123456789"))),ROW(INDIRECT("1:6")))),"0"),"SIN NUMERO"))</f>
        <v/>
      </c>
      <c r="Q495" t="str">
        <f ca="1">IF($P495="","",IF(LEFT(UPPER($S495),9)="VERIFICAR","VERIFICAR",IF($A495="","SIN ESTADO",IF(AND($A495="Firmada",$H495=""),"FALTA FECHA DE FIRMA",IF(N($T495)=0,IF(AND(ISNUMBER($H495),$H495&gt;=DATE(2024,1,1)),"FALTA EN FIRMADAS","OK"),IF(OR($A495="Pendiente de presentación",$A495="Observado",$A495="En análisis",$A495="En instrucción",$A495="Suspendida",$A495="IT circulando",$A495="Para resolución",$A495="TDC"),"ABIERTA PERO ESTÁ EN FIRMADAS",IF($H495&lt;&gt;INDEX(firmadas!$F:$F,$T495),"FIRMA DISTINTA EN firmadas ("&amp;IF(INDEX(firmadas!$F:$F,$T495)="","vacía",DAY(INDEX(firmadas!$F:$F,$T495))&amp;"/"&amp;MONTH(INDEX(firmadas!$F:$F,$T495))&amp;"/"&amp;YEAR(INDEX(firmadas!$F:$F,$T495)))&amp;")",IF($G495&lt;&gt;INDEX(firmadas!$E:$E,$T495),"INGRESO DISTINTO EN firmadas ("&amp;IF(INDEX(firmadas!$E:$E,$T495)="","vacía",DAY(INDEX(firmadas!$E:$E,$T495))&amp;"/"&amp;MONTH(INDEX(firmadas!$E:$E,$T495))&amp;"/"&amp;YEAR(INDEX(firmadas!$E:$E,$T495)))&amp;")","OK"))))))))</f>
        <v/>
      </c>
      <c r="T495" t="str">
        <f ca="1">IF($P495="","",IFERROR(MATCH($P495,firmadas!$N:$N,0),IFERROR(MATCH("*/"&amp;MID($P495,FIND(" ",$P495)+1,9)&amp;"*",firmadas!$B:$B,0),0)))</f>
        <v/>
      </c>
    </row>
    <row r="496" spans="14:20" ht="15" customHeight="1" x14ac:dyDescent="0.25">
      <c r="N496" s="53" t="str">
        <f t="shared" ca="1" si="7"/>
        <v/>
      </c>
      <c r="P496" t="str">
        <f ca="1">IF(TRIM(SUBSTITUTE(($C496&amp;" "&amp;$D496),CHAR(160)," "))="","",IFERROR(IF(ISNUMBER(SEARCH("INC",($C496&amp;" "&amp;$D496))),"INC",IF(ISNUMBER(SEARCH("OPI",($C496&amp;" "&amp;$D496))),"OPI",IF(ISNUMBER(SEARCH("DP",($C496&amp;" "&amp;$D496))),"DP","CONC")))&amp;" "&amp;TEXT(LOOKUP(9.99E+307,--MID(SUBSTITUTE(($C496&amp;" "&amp;$D496),CHAR(160)," "),SUMPRODUCT(MIN(FIND({0,1,2,3,4,5,6,7,8,9},SUBSTITUTE(($C496&amp;" "&amp;$D496),CHAR(160)," ")&amp;"0123456789"))),ROW(INDIRECT("1:6")))),"0"),"SIN NUMERO"))</f>
        <v/>
      </c>
      <c r="Q496" t="str">
        <f ca="1">IF($P496="","",IF(LEFT(UPPER($S496),9)="VERIFICAR","VERIFICAR",IF($A496="","SIN ESTADO",IF(AND($A496="Firmada",$H496=""),"FALTA FECHA DE FIRMA",IF(N($T496)=0,IF(AND(ISNUMBER($H496),$H496&gt;=DATE(2024,1,1)),"FALTA EN FIRMADAS","OK"),IF(OR($A496="Pendiente de presentación",$A496="Observado",$A496="En análisis",$A496="En instrucción",$A496="Suspendida",$A496="IT circulando",$A496="Para resolución",$A496="TDC"),"ABIERTA PERO ESTÁ EN FIRMADAS",IF($H496&lt;&gt;INDEX(firmadas!$F:$F,$T496),"FIRMA DISTINTA EN firmadas ("&amp;IF(INDEX(firmadas!$F:$F,$T496)="","vacía",DAY(INDEX(firmadas!$F:$F,$T496))&amp;"/"&amp;MONTH(INDEX(firmadas!$F:$F,$T496))&amp;"/"&amp;YEAR(INDEX(firmadas!$F:$F,$T496)))&amp;")",IF($G496&lt;&gt;INDEX(firmadas!$E:$E,$T496),"INGRESO DISTINTO EN firmadas ("&amp;IF(INDEX(firmadas!$E:$E,$T496)="","vacía",DAY(INDEX(firmadas!$E:$E,$T496))&amp;"/"&amp;MONTH(INDEX(firmadas!$E:$E,$T496))&amp;"/"&amp;YEAR(INDEX(firmadas!$E:$E,$T496)))&amp;")","OK"))))))))</f>
        <v/>
      </c>
      <c r="T496" t="str">
        <f ca="1">IF($P496="","",IFERROR(MATCH($P496,firmadas!$N:$N,0),IFERROR(MATCH("*/"&amp;MID($P496,FIND(" ",$P496)+1,9)&amp;"*",firmadas!$B:$B,0),0)))</f>
        <v/>
      </c>
    </row>
    <row r="497" spans="14:20" ht="15" customHeight="1" x14ac:dyDescent="0.25">
      <c r="N497" s="53" t="str">
        <f t="shared" ca="1" si="7"/>
        <v/>
      </c>
      <c r="P497" t="str">
        <f ca="1">IF(TRIM(SUBSTITUTE(($C497&amp;" "&amp;$D497),CHAR(160)," "))="","",IFERROR(IF(ISNUMBER(SEARCH("INC",($C497&amp;" "&amp;$D497))),"INC",IF(ISNUMBER(SEARCH("OPI",($C497&amp;" "&amp;$D497))),"OPI",IF(ISNUMBER(SEARCH("DP",($C497&amp;" "&amp;$D497))),"DP","CONC")))&amp;" "&amp;TEXT(LOOKUP(9.99E+307,--MID(SUBSTITUTE(($C497&amp;" "&amp;$D497),CHAR(160)," "),SUMPRODUCT(MIN(FIND({0,1,2,3,4,5,6,7,8,9},SUBSTITUTE(($C497&amp;" "&amp;$D497),CHAR(160)," ")&amp;"0123456789"))),ROW(INDIRECT("1:6")))),"0"),"SIN NUMERO"))</f>
        <v/>
      </c>
      <c r="Q497" t="str">
        <f ca="1">IF($P497="","",IF(LEFT(UPPER($S497),9)="VERIFICAR","VERIFICAR",IF($A497="","SIN ESTADO",IF(AND($A497="Firmada",$H497=""),"FALTA FECHA DE FIRMA",IF(N($T497)=0,IF(AND(ISNUMBER($H497),$H497&gt;=DATE(2024,1,1)),"FALTA EN FIRMADAS","OK"),IF(OR($A497="Pendiente de presentación",$A497="Observado",$A497="En análisis",$A497="En instrucción",$A497="Suspendida",$A497="IT circulando",$A497="Para resolución",$A497="TDC"),"ABIERTA PERO ESTÁ EN FIRMADAS",IF($H497&lt;&gt;INDEX(firmadas!$F:$F,$T497),"FIRMA DISTINTA EN firmadas ("&amp;IF(INDEX(firmadas!$F:$F,$T497)="","vacía",DAY(INDEX(firmadas!$F:$F,$T497))&amp;"/"&amp;MONTH(INDEX(firmadas!$F:$F,$T497))&amp;"/"&amp;YEAR(INDEX(firmadas!$F:$F,$T497)))&amp;")",IF($G497&lt;&gt;INDEX(firmadas!$E:$E,$T497),"INGRESO DISTINTO EN firmadas ("&amp;IF(INDEX(firmadas!$E:$E,$T497)="","vacía",DAY(INDEX(firmadas!$E:$E,$T497))&amp;"/"&amp;MONTH(INDEX(firmadas!$E:$E,$T497))&amp;"/"&amp;YEAR(INDEX(firmadas!$E:$E,$T497)))&amp;")","OK"))))))))</f>
        <v/>
      </c>
      <c r="T497" t="str">
        <f ca="1">IF($P497="","",IFERROR(MATCH($P497,firmadas!$N:$N,0),IFERROR(MATCH("*/"&amp;MID($P497,FIND(" ",$P497)+1,9)&amp;"*",firmadas!$B:$B,0),0)))</f>
        <v/>
      </c>
    </row>
    <row r="498" spans="14:20" ht="15" customHeight="1" x14ac:dyDescent="0.25">
      <c r="N498" s="53" t="str">
        <f t="shared" ca="1" si="7"/>
        <v/>
      </c>
      <c r="P498" t="str">
        <f ca="1">IF(TRIM(SUBSTITUTE(($C498&amp;" "&amp;$D498),CHAR(160)," "))="","",IFERROR(IF(ISNUMBER(SEARCH("INC",($C498&amp;" "&amp;$D498))),"INC",IF(ISNUMBER(SEARCH("OPI",($C498&amp;" "&amp;$D498))),"OPI",IF(ISNUMBER(SEARCH("DP",($C498&amp;" "&amp;$D498))),"DP","CONC")))&amp;" "&amp;TEXT(LOOKUP(9.99E+307,--MID(SUBSTITUTE(($C498&amp;" "&amp;$D498),CHAR(160)," "),SUMPRODUCT(MIN(FIND({0,1,2,3,4,5,6,7,8,9},SUBSTITUTE(($C498&amp;" "&amp;$D498),CHAR(160)," ")&amp;"0123456789"))),ROW(INDIRECT("1:6")))),"0"),"SIN NUMERO"))</f>
        <v/>
      </c>
      <c r="Q498" t="str">
        <f ca="1">IF($P498="","",IF(LEFT(UPPER($S498),9)="VERIFICAR","VERIFICAR",IF($A498="","SIN ESTADO",IF(AND($A498="Firmada",$H498=""),"FALTA FECHA DE FIRMA",IF(N($T498)=0,IF(AND(ISNUMBER($H498),$H498&gt;=DATE(2024,1,1)),"FALTA EN FIRMADAS","OK"),IF(OR($A498="Pendiente de presentación",$A498="Observado",$A498="En análisis",$A498="En instrucción",$A498="Suspendida",$A498="IT circulando",$A498="Para resolución",$A498="TDC"),"ABIERTA PERO ESTÁ EN FIRMADAS",IF($H498&lt;&gt;INDEX(firmadas!$F:$F,$T498),"FIRMA DISTINTA EN firmadas ("&amp;IF(INDEX(firmadas!$F:$F,$T498)="","vacía",DAY(INDEX(firmadas!$F:$F,$T498))&amp;"/"&amp;MONTH(INDEX(firmadas!$F:$F,$T498))&amp;"/"&amp;YEAR(INDEX(firmadas!$F:$F,$T498)))&amp;")",IF($G498&lt;&gt;INDEX(firmadas!$E:$E,$T498),"INGRESO DISTINTO EN firmadas ("&amp;IF(INDEX(firmadas!$E:$E,$T498)="","vacía",DAY(INDEX(firmadas!$E:$E,$T498))&amp;"/"&amp;MONTH(INDEX(firmadas!$E:$E,$T498))&amp;"/"&amp;YEAR(INDEX(firmadas!$E:$E,$T498)))&amp;")","OK"))))))))</f>
        <v/>
      </c>
      <c r="T498" t="str">
        <f ca="1">IF($P498="","",IFERROR(MATCH($P498,firmadas!$N:$N,0),IFERROR(MATCH("*/"&amp;MID($P498,FIND(" ",$P498)+1,9)&amp;"*",firmadas!$B:$B,0),0)))</f>
        <v/>
      </c>
    </row>
    <row r="499" spans="14:20" ht="15" customHeight="1" x14ac:dyDescent="0.25">
      <c r="N499" s="53" t="str">
        <f t="shared" ca="1" si="7"/>
        <v/>
      </c>
      <c r="P499" t="str">
        <f ca="1">IF(TRIM(SUBSTITUTE(($C499&amp;" "&amp;$D499),CHAR(160)," "))="","",IFERROR(IF(ISNUMBER(SEARCH("INC",($C499&amp;" "&amp;$D499))),"INC",IF(ISNUMBER(SEARCH("OPI",($C499&amp;" "&amp;$D499))),"OPI",IF(ISNUMBER(SEARCH("DP",($C499&amp;" "&amp;$D499))),"DP","CONC")))&amp;" "&amp;TEXT(LOOKUP(9.99E+307,--MID(SUBSTITUTE(($C499&amp;" "&amp;$D499),CHAR(160)," "),SUMPRODUCT(MIN(FIND({0,1,2,3,4,5,6,7,8,9},SUBSTITUTE(($C499&amp;" "&amp;$D499),CHAR(160)," ")&amp;"0123456789"))),ROW(INDIRECT("1:6")))),"0"),"SIN NUMERO"))</f>
        <v/>
      </c>
      <c r="Q499" t="str">
        <f ca="1">IF($P499="","",IF(LEFT(UPPER($S499),9)="VERIFICAR","VERIFICAR",IF($A499="","SIN ESTADO",IF(AND($A499="Firmada",$H499=""),"FALTA FECHA DE FIRMA",IF(N($T499)=0,IF(AND(ISNUMBER($H499),$H499&gt;=DATE(2024,1,1)),"FALTA EN FIRMADAS","OK"),IF(OR($A499="Pendiente de presentación",$A499="Observado",$A499="En análisis",$A499="En instrucción",$A499="Suspendida",$A499="IT circulando",$A499="Para resolución",$A499="TDC"),"ABIERTA PERO ESTÁ EN FIRMADAS",IF($H499&lt;&gt;INDEX(firmadas!$F:$F,$T499),"FIRMA DISTINTA EN firmadas ("&amp;IF(INDEX(firmadas!$F:$F,$T499)="","vacía",DAY(INDEX(firmadas!$F:$F,$T499))&amp;"/"&amp;MONTH(INDEX(firmadas!$F:$F,$T499))&amp;"/"&amp;YEAR(INDEX(firmadas!$F:$F,$T499)))&amp;")",IF($G499&lt;&gt;INDEX(firmadas!$E:$E,$T499),"INGRESO DISTINTO EN firmadas ("&amp;IF(INDEX(firmadas!$E:$E,$T499)="","vacía",DAY(INDEX(firmadas!$E:$E,$T499))&amp;"/"&amp;MONTH(INDEX(firmadas!$E:$E,$T499))&amp;"/"&amp;YEAR(INDEX(firmadas!$E:$E,$T499)))&amp;")","OK"))))))))</f>
        <v/>
      </c>
      <c r="T499" t="str">
        <f ca="1">IF($P499="","",IFERROR(MATCH($P499,firmadas!$N:$N,0),IFERROR(MATCH("*/"&amp;MID($P499,FIND(" ",$P499)+1,9)&amp;"*",firmadas!$B:$B,0),0)))</f>
        <v/>
      </c>
    </row>
    <row r="500" spans="14:20" ht="15" customHeight="1" x14ac:dyDescent="0.25">
      <c r="N500" s="53" t="str">
        <f t="shared" ca="1" si="7"/>
        <v/>
      </c>
      <c r="P500" t="str">
        <f ca="1">IF(TRIM(SUBSTITUTE(($C500&amp;" "&amp;$D500),CHAR(160)," "))="","",IFERROR(IF(ISNUMBER(SEARCH("INC",($C500&amp;" "&amp;$D500))),"INC",IF(ISNUMBER(SEARCH("OPI",($C500&amp;" "&amp;$D500))),"OPI",IF(ISNUMBER(SEARCH("DP",($C500&amp;" "&amp;$D500))),"DP","CONC")))&amp;" "&amp;TEXT(LOOKUP(9.99E+307,--MID(SUBSTITUTE(($C500&amp;" "&amp;$D500),CHAR(160)," "),SUMPRODUCT(MIN(FIND({0,1,2,3,4,5,6,7,8,9},SUBSTITUTE(($C500&amp;" "&amp;$D500),CHAR(160)," ")&amp;"0123456789"))),ROW(INDIRECT("1:6")))),"0"),"SIN NUMERO"))</f>
        <v/>
      </c>
      <c r="Q500" t="str">
        <f ca="1">IF($P500="","",IF(LEFT(UPPER($S500),9)="VERIFICAR","VERIFICAR",IF($A500="","SIN ESTADO",IF(AND($A500="Firmada",$H500=""),"FALTA FECHA DE FIRMA",IF(N($T500)=0,IF(AND(ISNUMBER($H500),$H500&gt;=DATE(2024,1,1)),"FALTA EN FIRMADAS","OK"),IF(OR($A500="Pendiente de presentación",$A500="Observado",$A500="En análisis",$A500="En instrucción",$A500="Suspendida",$A500="IT circulando",$A500="Para resolución",$A500="TDC"),"ABIERTA PERO ESTÁ EN FIRMADAS",IF($H500&lt;&gt;INDEX(firmadas!$F:$F,$T500),"FIRMA DISTINTA EN firmadas ("&amp;IF(INDEX(firmadas!$F:$F,$T500)="","vacía",DAY(INDEX(firmadas!$F:$F,$T500))&amp;"/"&amp;MONTH(INDEX(firmadas!$F:$F,$T500))&amp;"/"&amp;YEAR(INDEX(firmadas!$F:$F,$T500)))&amp;")",IF($G500&lt;&gt;INDEX(firmadas!$E:$E,$T500),"INGRESO DISTINTO EN firmadas ("&amp;IF(INDEX(firmadas!$E:$E,$T500)="","vacía",DAY(INDEX(firmadas!$E:$E,$T500))&amp;"/"&amp;MONTH(INDEX(firmadas!$E:$E,$T500))&amp;"/"&amp;YEAR(INDEX(firmadas!$E:$E,$T500)))&amp;")","OK"))))))))</f>
        <v/>
      </c>
      <c r="T500" t="str">
        <f ca="1">IF($P500="","",IFERROR(MATCH($P500,firmadas!$N:$N,0),IFERROR(MATCH("*/"&amp;MID($P500,FIND(" ",$P500)+1,9)&amp;"*",firmadas!$B:$B,0),0)))</f>
        <v/>
      </c>
    </row>
    <row r="501" spans="14:20" ht="15" customHeight="1" x14ac:dyDescent="0.25">
      <c r="N501" s="53" t="str">
        <f t="shared" ca="1" si="7"/>
        <v/>
      </c>
      <c r="P501" t="str">
        <f ca="1">IF(TRIM(SUBSTITUTE(($C501&amp;" "&amp;$D501),CHAR(160)," "))="","",IFERROR(IF(ISNUMBER(SEARCH("INC",($C501&amp;" "&amp;$D501))),"INC",IF(ISNUMBER(SEARCH("OPI",($C501&amp;" "&amp;$D501))),"OPI",IF(ISNUMBER(SEARCH("DP",($C501&amp;" "&amp;$D501))),"DP","CONC")))&amp;" "&amp;TEXT(LOOKUP(9.99E+307,--MID(SUBSTITUTE(($C501&amp;" "&amp;$D501),CHAR(160)," "),SUMPRODUCT(MIN(FIND({0,1,2,3,4,5,6,7,8,9},SUBSTITUTE(($C501&amp;" "&amp;$D501),CHAR(160)," ")&amp;"0123456789"))),ROW(INDIRECT("1:6")))),"0"),"SIN NUMERO"))</f>
        <v/>
      </c>
      <c r="Q501" t="str">
        <f ca="1">IF($P501="","",IF(LEFT(UPPER($S501),9)="VERIFICAR","VERIFICAR",IF($A501="","SIN ESTADO",IF(AND($A501="Firmada",$H501=""),"FALTA FECHA DE FIRMA",IF(N($T501)=0,IF(AND(ISNUMBER($H501),$H501&gt;=DATE(2024,1,1)),"FALTA EN FIRMADAS","OK"),IF(OR($A501="Pendiente de presentación",$A501="Observado",$A501="En análisis",$A501="En instrucción",$A501="Suspendida",$A501="IT circulando",$A501="Para resolución",$A501="TDC"),"ABIERTA PERO ESTÁ EN FIRMADAS",IF($H501&lt;&gt;INDEX(firmadas!$F:$F,$T501),"FIRMA DISTINTA EN firmadas ("&amp;IF(INDEX(firmadas!$F:$F,$T501)="","vacía",DAY(INDEX(firmadas!$F:$F,$T501))&amp;"/"&amp;MONTH(INDEX(firmadas!$F:$F,$T501))&amp;"/"&amp;YEAR(INDEX(firmadas!$F:$F,$T501)))&amp;")",IF($G501&lt;&gt;INDEX(firmadas!$E:$E,$T501),"INGRESO DISTINTO EN firmadas ("&amp;IF(INDEX(firmadas!$E:$E,$T501)="","vacía",DAY(INDEX(firmadas!$E:$E,$T501))&amp;"/"&amp;MONTH(INDEX(firmadas!$E:$E,$T501))&amp;"/"&amp;YEAR(INDEX(firmadas!$E:$E,$T501)))&amp;")","OK"))))))))</f>
        <v/>
      </c>
      <c r="T501" t="str">
        <f ca="1">IF($P501="","",IFERROR(MATCH($P501,firmadas!$N:$N,0),IFERROR(MATCH("*/"&amp;MID($P501,FIND(" ",$P501)+1,9)&amp;"*",firmadas!$B:$B,0),0)))</f>
        <v/>
      </c>
    </row>
    <row r="502" spans="14:20" ht="15" customHeight="1" x14ac:dyDescent="0.25">
      <c r="N502" s="53" t="str">
        <f t="shared" ca="1" si="7"/>
        <v/>
      </c>
      <c r="P502" t="str">
        <f ca="1">IF(TRIM(SUBSTITUTE(($C502&amp;" "&amp;$D502),CHAR(160)," "))="","",IFERROR(IF(ISNUMBER(SEARCH("INC",($C502&amp;" "&amp;$D502))),"INC",IF(ISNUMBER(SEARCH("OPI",($C502&amp;" "&amp;$D502))),"OPI",IF(ISNUMBER(SEARCH("DP",($C502&amp;" "&amp;$D502))),"DP","CONC")))&amp;" "&amp;TEXT(LOOKUP(9.99E+307,--MID(SUBSTITUTE(($C502&amp;" "&amp;$D502),CHAR(160)," "),SUMPRODUCT(MIN(FIND({0,1,2,3,4,5,6,7,8,9},SUBSTITUTE(($C502&amp;" "&amp;$D502),CHAR(160)," ")&amp;"0123456789"))),ROW(INDIRECT("1:6")))),"0"),"SIN NUMERO"))</f>
        <v/>
      </c>
      <c r="Q502" t="str">
        <f ca="1">IF($P502="","",IF(LEFT(UPPER($S502),9)="VERIFICAR","VERIFICAR",IF($A502="","SIN ESTADO",IF(AND($A502="Firmada",$H502=""),"FALTA FECHA DE FIRMA",IF(N($T502)=0,IF(AND(ISNUMBER($H502),$H502&gt;=DATE(2024,1,1)),"FALTA EN FIRMADAS","OK"),IF(OR($A502="Pendiente de presentación",$A502="Observado",$A502="En análisis",$A502="En instrucción",$A502="Suspendida",$A502="IT circulando",$A502="Para resolución",$A502="TDC"),"ABIERTA PERO ESTÁ EN FIRMADAS",IF($H502&lt;&gt;INDEX(firmadas!$F:$F,$T502),"FIRMA DISTINTA EN firmadas ("&amp;IF(INDEX(firmadas!$F:$F,$T502)="","vacía",DAY(INDEX(firmadas!$F:$F,$T502))&amp;"/"&amp;MONTH(INDEX(firmadas!$F:$F,$T502))&amp;"/"&amp;YEAR(INDEX(firmadas!$F:$F,$T502)))&amp;")",IF($G502&lt;&gt;INDEX(firmadas!$E:$E,$T502),"INGRESO DISTINTO EN firmadas ("&amp;IF(INDEX(firmadas!$E:$E,$T502)="","vacía",DAY(INDEX(firmadas!$E:$E,$T502))&amp;"/"&amp;MONTH(INDEX(firmadas!$E:$E,$T502))&amp;"/"&amp;YEAR(INDEX(firmadas!$E:$E,$T502)))&amp;")","OK"))))))))</f>
        <v/>
      </c>
      <c r="T502" t="str">
        <f ca="1">IF($P502="","",IFERROR(MATCH($P502,firmadas!$N:$N,0),IFERROR(MATCH("*/"&amp;MID($P502,FIND(" ",$P502)+1,9)&amp;"*",firmadas!$B:$B,0),0)))</f>
        <v/>
      </c>
    </row>
    <row r="503" spans="14:20" ht="15" customHeight="1" x14ac:dyDescent="0.25">
      <c r="N503" s="53" t="str">
        <f t="shared" ca="1" si="7"/>
        <v/>
      </c>
      <c r="P503" t="str">
        <f ca="1">IF(TRIM(SUBSTITUTE(($C503&amp;" "&amp;$D503),CHAR(160)," "))="","",IFERROR(IF(ISNUMBER(SEARCH("INC",($C503&amp;" "&amp;$D503))),"INC",IF(ISNUMBER(SEARCH("OPI",($C503&amp;" "&amp;$D503))),"OPI",IF(ISNUMBER(SEARCH("DP",($C503&amp;" "&amp;$D503))),"DP","CONC")))&amp;" "&amp;TEXT(LOOKUP(9.99E+307,--MID(SUBSTITUTE(($C503&amp;" "&amp;$D503),CHAR(160)," "),SUMPRODUCT(MIN(FIND({0,1,2,3,4,5,6,7,8,9},SUBSTITUTE(($C503&amp;" "&amp;$D503),CHAR(160)," ")&amp;"0123456789"))),ROW(INDIRECT("1:6")))),"0"),"SIN NUMERO"))</f>
        <v/>
      </c>
      <c r="Q503" t="str">
        <f ca="1">IF($P503="","",IF(LEFT(UPPER($S503),9)="VERIFICAR","VERIFICAR",IF($A503="","SIN ESTADO",IF(AND($A503="Firmada",$H503=""),"FALTA FECHA DE FIRMA",IF(N($T503)=0,IF(AND(ISNUMBER($H503),$H503&gt;=DATE(2024,1,1)),"FALTA EN FIRMADAS","OK"),IF(OR($A503="Pendiente de presentación",$A503="Observado",$A503="En análisis",$A503="En instrucción",$A503="Suspendida",$A503="IT circulando",$A503="Para resolución",$A503="TDC"),"ABIERTA PERO ESTÁ EN FIRMADAS",IF($H503&lt;&gt;INDEX(firmadas!$F:$F,$T503),"FIRMA DISTINTA EN firmadas ("&amp;IF(INDEX(firmadas!$F:$F,$T503)="","vacía",DAY(INDEX(firmadas!$F:$F,$T503))&amp;"/"&amp;MONTH(INDEX(firmadas!$F:$F,$T503))&amp;"/"&amp;YEAR(INDEX(firmadas!$F:$F,$T503)))&amp;")",IF($G503&lt;&gt;INDEX(firmadas!$E:$E,$T503),"INGRESO DISTINTO EN firmadas ("&amp;IF(INDEX(firmadas!$E:$E,$T503)="","vacía",DAY(INDEX(firmadas!$E:$E,$T503))&amp;"/"&amp;MONTH(INDEX(firmadas!$E:$E,$T503))&amp;"/"&amp;YEAR(INDEX(firmadas!$E:$E,$T503)))&amp;")","OK"))))))))</f>
        <v/>
      </c>
      <c r="T503" t="str">
        <f ca="1">IF($P503="","",IFERROR(MATCH($P503,firmadas!$N:$N,0),IFERROR(MATCH("*/"&amp;MID($P503,FIND(" ",$P503)+1,9)&amp;"*",firmadas!$B:$B,0),0)))</f>
        <v/>
      </c>
    </row>
    <row r="504" spans="14:20" ht="15" customHeight="1" x14ac:dyDescent="0.25">
      <c r="N504" s="53" t="str">
        <f t="shared" ca="1" si="7"/>
        <v/>
      </c>
      <c r="P504" t="str">
        <f ca="1">IF(TRIM(SUBSTITUTE(($C504&amp;" "&amp;$D504),CHAR(160)," "))="","",IFERROR(IF(ISNUMBER(SEARCH("INC",($C504&amp;" "&amp;$D504))),"INC",IF(ISNUMBER(SEARCH("OPI",($C504&amp;" "&amp;$D504))),"OPI",IF(ISNUMBER(SEARCH("DP",($C504&amp;" "&amp;$D504))),"DP","CONC")))&amp;" "&amp;TEXT(LOOKUP(9.99E+307,--MID(SUBSTITUTE(($C504&amp;" "&amp;$D504),CHAR(160)," "),SUMPRODUCT(MIN(FIND({0,1,2,3,4,5,6,7,8,9},SUBSTITUTE(($C504&amp;" "&amp;$D504),CHAR(160)," ")&amp;"0123456789"))),ROW(INDIRECT("1:6")))),"0"),"SIN NUMERO"))</f>
        <v/>
      </c>
      <c r="Q504" t="str">
        <f ca="1">IF($P504="","",IF(LEFT(UPPER($S504),9)="VERIFICAR","VERIFICAR",IF($A504="","SIN ESTADO",IF(AND($A504="Firmada",$H504=""),"FALTA FECHA DE FIRMA",IF(N($T504)=0,IF(AND(ISNUMBER($H504),$H504&gt;=DATE(2024,1,1)),"FALTA EN FIRMADAS","OK"),IF(OR($A504="Pendiente de presentación",$A504="Observado",$A504="En análisis",$A504="En instrucción",$A504="Suspendida",$A504="IT circulando",$A504="Para resolución",$A504="TDC"),"ABIERTA PERO ESTÁ EN FIRMADAS",IF($H504&lt;&gt;INDEX(firmadas!$F:$F,$T504),"FIRMA DISTINTA EN firmadas ("&amp;IF(INDEX(firmadas!$F:$F,$T504)="","vacía",DAY(INDEX(firmadas!$F:$F,$T504))&amp;"/"&amp;MONTH(INDEX(firmadas!$F:$F,$T504))&amp;"/"&amp;YEAR(INDEX(firmadas!$F:$F,$T504)))&amp;")",IF($G504&lt;&gt;INDEX(firmadas!$E:$E,$T504),"INGRESO DISTINTO EN firmadas ("&amp;IF(INDEX(firmadas!$E:$E,$T504)="","vacía",DAY(INDEX(firmadas!$E:$E,$T504))&amp;"/"&amp;MONTH(INDEX(firmadas!$E:$E,$T504))&amp;"/"&amp;YEAR(INDEX(firmadas!$E:$E,$T504)))&amp;")","OK"))))))))</f>
        <v/>
      </c>
      <c r="T504" t="str">
        <f ca="1">IF($P504="","",IFERROR(MATCH($P504,firmadas!$N:$N,0),IFERROR(MATCH("*/"&amp;MID($P504,FIND(" ",$P504)+1,9)&amp;"*",firmadas!$B:$B,0),0)))</f>
        <v/>
      </c>
    </row>
    <row r="505" spans="14:20" ht="15" customHeight="1" x14ac:dyDescent="0.25">
      <c r="N505" s="53" t="str">
        <f t="shared" ca="1" si="7"/>
        <v/>
      </c>
      <c r="P505" t="str">
        <f ca="1">IF(TRIM(SUBSTITUTE(($C505&amp;" "&amp;$D505),CHAR(160)," "))="","",IFERROR(IF(ISNUMBER(SEARCH("INC",($C505&amp;" "&amp;$D505))),"INC",IF(ISNUMBER(SEARCH("OPI",($C505&amp;" "&amp;$D505))),"OPI",IF(ISNUMBER(SEARCH("DP",($C505&amp;" "&amp;$D505))),"DP","CONC")))&amp;" "&amp;TEXT(LOOKUP(9.99E+307,--MID(SUBSTITUTE(($C505&amp;" "&amp;$D505),CHAR(160)," "),SUMPRODUCT(MIN(FIND({0,1,2,3,4,5,6,7,8,9},SUBSTITUTE(($C505&amp;" "&amp;$D505),CHAR(160)," ")&amp;"0123456789"))),ROW(INDIRECT("1:6")))),"0"),"SIN NUMERO"))</f>
        <v/>
      </c>
      <c r="Q505" t="str">
        <f ca="1">IF($P505="","",IF(LEFT(UPPER($S505),9)="VERIFICAR","VERIFICAR",IF($A505="","SIN ESTADO",IF(AND($A505="Firmada",$H505=""),"FALTA FECHA DE FIRMA",IF(N($T505)=0,IF(AND(ISNUMBER($H505),$H505&gt;=DATE(2024,1,1)),"FALTA EN FIRMADAS","OK"),IF(OR($A505="Pendiente de presentación",$A505="Observado",$A505="En análisis",$A505="En instrucción",$A505="Suspendida",$A505="IT circulando",$A505="Para resolución",$A505="TDC"),"ABIERTA PERO ESTÁ EN FIRMADAS",IF($H505&lt;&gt;INDEX(firmadas!$F:$F,$T505),"FIRMA DISTINTA EN firmadas ("&amp;IF(INDEX(firmadas!$F:$F,$T505)="","vacía",DAY(INDEX(firmadas!$F:$F,$T505))&amp;"/"&amp;MONTH(INDEX(firmadas!$F:$F,$T505))&amp;"/"&amp;YEAR(INDEX(firmadas!$F:$F,$T505)))&amp;")",IF($G505&lt;&gt;INDEX(firmadas!$E:$E,$T505),"INGRESO DISTINTO EN firmadas ("&amp;IF(INDEX(firmadas!$E:$E,$T505)="","vacía",DAY(INDEX(firmadas!$E:$E,$T505))&amp;"/"&amp;MONTH(INDEX(firmadas!$E:$E,$T505))&amp;"/"&amp;YEAR(INDEX(firmadas!$E:$E,$T505)))&amp;")","OK"))))))))</f>
        <v/>
      </c>
      <c r="T505" t="str">
        <f ca="1">IF($P505="","",IFERROR(MATCH($P505,firmadas!$N:$N,0),IFERROR(MATCH("*/"&amp;MID($P505,FIND(" ",$P505)+1,9)&amp;"*",firmadas!$B:$B,0),0)))</f>
        <v/>
      </c>
    </row>
    <row r="506" spans="14:20" ht="15" customHeight="1" x14ac:dyDescent="0.25">
      <c r="N506" s="53" t="str">
        <f t="shared" ca="1" si="7"/>
        <v/>
      </c>
      <c r="P506" t="str">
        <f ca="1">IF(TRIM(SUBSTITUTE(($C506&amp;" "&amp;$D506),CHAR(160)," "))="","",IFERROR(IF(ISNUMBER(SEARCH("INC",($C506&amp;" "&amp;$D506))),"INC",IF(ISNUMBER(SEARCH("OPI",($C506&amp;" "&amp;$D506))),"OPI",IF(ISNUMBER(SEARCH("DP",($C506&amp;" "&amp;$D506))),"DP","CONC")))&amp;" "&amp;TEXT(LOOKUP(9.99E+307,--MID(SUBSTITUTE(($C506&amp;" "&amp;$D506),CHAR(160)," "),SUMPRODUCT(MIN(FIND({0,1,2,3,4,5,6,7,8,9},SUBSTITUTE(($C506&amp;" "&amp;$D506),CHAR(160)," ")&amp;"0123456789"))),ROW(INDIRECT("1:6")))),"0"),"SIN NUMERO"))</f>
        <v/>
      </c>
      <c r="Q506" t="str">
        <f ca="1">IF($P506="","",IF(LEFT(UPPER($S506),9)="VERIFICAR","VERIFICAR",IF($A506="","SIN ESTADO",IF(AND($A506="Firmada",$H506=""),"FALTA FECHA DE FIRMA",IF(N($T506)=0,IF(AND(ISNUMBER($H506),$H506&gt;=DATE(2024,1,1)),"FALTA EN FIRMADAS","OK"),IF(OR($A506="Pendiente de presentación",$A506="Observado",$A506="En análisis",$A506="En instrucción",$A506="Suspendida",$A506="IT circulando",$A506="Para resolución",$A506="TDC"),"ABIERTA PERO ESTÁ EN FIRMADAS",IF($H506&lt;&gt;INDEX(firmadas!$F:$F,$T506),"FIRMA DISTINTA EN firmadas ("&amp;IF(INDEX(firmadas!$F:$F,$T506)="","vacía",DAY(INDEX(firmadas!$F:$F,$T506))&amp;"/"&amp;MONTH(INDEX(firmadas!$F:$F,$T506))&amp;"/"&amp;YEAR(INDEX(firmadas!$F:$F,$T506)))&amp;")",IF($G506&lt;&gt;INDEX(firmadas!$E:$E,$T506),"INGRESO DISTINTO EN firmadas ("&amp;IF(INDEX(firmadas!$E:$E,$T506)="","vacía",DAY(INDEX(firmadas!$E:$E,$T506))&amp;"/"&amp;MONTH(INDEX(firmadas!$E:$E,$T506))&amp;"/"&amp;YEAR(INDEX(firmadas!$E:$E,$T506)))&amp;")","OK"))))))))</f>
        <v/>
      </c>
      <c r="T506" t="str">
        <f ca="1">IF($P506="","",IFERROR(MATCH($P506,firmadas!$N:$N,0),IFERROR(MATCH("*/"&amp;MID($P506,FIND(" ",$P506)+1,9)&amp;"*",firmadas!$B:$B,0),0)))</f>
        <v/>
      </c>
    </row>
    <row r="507" spans="14:20" ht="15" customHeight="1" x14ac:dyDescent="0.25">
      <c r="N507" s="53" t="str">
        <f t="shared" ca="1" si="7"/>
        <v/>
      </c>
      <c r="P507" t="str">
        <f ca="1">IF(TRIM(SUBSTITUTE(($C507&amp;" "&amp;$D507),CHAR(160)," "))="","",IFERROR(IF(ISNUMBER(SEARCH("INC",($C507&amp;" "&amp;$D507))),"INC",IF(ISNUMBER(SEARCH("OPI",($C507&amp;" "&amp;$D507))),"OPI",IF(ISNUMBER(SEARCH("DP",($C507&amp;" "&amp;$D507))),"DP","CONC")))&amp;" "&amp;TEXT(LOOKUP(9.99E+307,--MID(SUBSTITUTE(($C507&amp;" "&amp;$D507),CHAR(160)," "),SUMPRODUCT(MIN(FIND({0,1,2,3,4,5,6,7,8,9},SUBSTITUTE(($C507&amp;" "&amp;$D507),CHAR(160)," ")&amp;"0123456789"))),ROW(INDIRECT("1:6")))),"0"),"SIN NUMERO"))</f>
        <v/>
      </c>
      <c r="Q507" t="str">
        <f ca="1">IF($P507="","",IF(LEFT(UPPER($S507),9)="VERIFICAR","VERIFICAR",IF($A507="","SIN ESTADO",IF(AND($A507="Firmada",$H507=""),"FALTA FECHA DE FIRMA",IF(N($T507)=0,IF(AND(ISNUMBER($H507),$H507&gt;=DATE(2024,1,1)),"FALTA EN FIRMADAS","OK"),IF(OR($A507="Pendiente de presentación",$A507="Observado",$A507="En análisis",$A507="En instrucción",$A507="Suspendida",$A507="IT circulando",$A507="Para resolución",$A507="TDC"),"ABIERTA PERO ESTÁ EN FIRMADAS",IF($H507&lt;&gt;INDEX(firmadas!$F:$F,$T507),"FIRMA DISTINTA EN firmadas ("&amp;IF(INDEX(firmadas!$F:$F,$T507)="","vacía",DAY(INDEX(firmadas!$F:$F,$T507))&amp;"/"&amp;MONTH(INDEX(firmadas!$F:$F,$T507))&amp;"/"&amp;YEAR(INDEX(firmadas!$F:$F,$T507)))&amp;")",IF($G507&lt;&gt;INDEX(firmadas!$E:$E,$T507),"INGRESO DISTINTO EN firmadas ("&amp;IF(INDEX(firmadas!$E:$E,$T507)="","vacía",DAY(INDEX(firmadas!$E:$E,$T507))&amp;"/"&amp;MONTH(INDEX(firmadas!$E:$E,$T507))&amp;"/"&amp;YEAR(INDEX(firmadas!$E:$E,$T507)))&amp;")","OK"))))))))</f>
        <v/>
      </c>
      <c r="T507" t="str">
        <f ca="1">IF($P507="","",IFERROR(MATCH($P507,firmadas!$N:$N,0),IFERROR(MATCH("*/"&amp;MID($P507,FIND(" ",$P507)+1,9)&amp;"*",firmadas!$B:$B,0),0)))</f>
        <v/>
      </c>
    </row>
    <row r="508" spans="14:20" ht="15" customHeight="1" x14ac:dyDescent="0.25">
      <c r="N508" s="53" t="str">
        <f t="shared" ca="1" si="7"/>
        <v/>
      </c>
      <c r="P508" t="str">
        <f ca="1">IF(TRIM(SUBSTITUTE(($C508&amp;" "&amp;$D508),CHAR(160)," "))="","",IFERROR(IF(ISNUMBER(SEARCH("INC",($C508&amp;" "&amp;$D508))),"INC",IF(ISNUMBER(SEARCH("OPI",($C508&amp;" "&amp;$D508))),"OPI",IF(ISNUMBER(SEARCH("DP",($C508&amp;" "&amp;$D508))),"DP","CONC")))&amp;" "&amp;TEXT(LOOKUP(9.99E+307,--MID(SUBSTITUTE(($C508&amp;" "&amp;$D508),CHAR(160)," "),SUMPRODUCT(MIN(FIND({0,1,2,3,4,5,6,7,8,9},SUBSTITUTE(($C508&amp;" "&amp;$D508),CHAR(160)," ")&amp;"0123456789"))),ROW(INDIRECT("1:6")))),"0"),"SIN NUMERO"))</f>
        <v/>
      </c>
      <c r="Q508" t="str">
        <f ca="1">IF($P508="","",IF(LEFT(UPPER($S508),9)="VERIFICAR","VERIFICAR",IF($A508="","SIN ESTADO",IF(AND($A508="Firmada",$H508=""),"FALTA FECHA DE FIRMA",IF(N($T508)=0,IF(AND(ISNUMBER($H508),$H508&gt;=DATE(2024,1,1)),"FALTA EN FIRMADAS","OK"),IF(OR($A508="Pendiente de presentación",$A508="Observado",$A508="En análisis",$A508="En instrucción",$A508="Suspendida",$A508="IT circulando",$A508="Para resolución",$A508="TDC"),"ABIERTA PERO ESTÁ EN FIRMADAS",IF($H508&lt;&gt;INDEX(firmadas!$F:$F,$T508),"FIRMA DISTINTA EN firmadas ("&amp;IF(INDEX(firmadas!$F:$F,$T508)="","vacía",DAY(INDEX(firmadas!$F:$F,$T508))&amp;"/"&amp;MONTH(INDEX(firmadas!$F:$F,$T508))&amp;"/"&amp;YEAR(INDEX(firmadas!$F:$F,$T508)))&amp;")",IF($G508&lt;&gt;INDEX(firmadas!$E:$E,$T508),"INGRESO DISTINTO EN firmadas ("&amp;IF(INDEX(firmadas!$E:$E,$T508)="","vacía",DAY(INDEX(firmadas!$E:$E,$T508))&amp;"/"&amp;MONTH(INDEX(firmadas!$E:$E,$T508))&amp;"/"&amp;YEAR(INDEX(firmadas!$E:$E,$T508)))&amp;")","OK"))))))))</f>
        <v/>
      </c>
      <c r="T508" t="str">
        <f ca="1">IF($P508="","",IFERROR(MATCH($P508,firmadas!$N:$N,0),IFERROR(MATCH("*/"&amp;MID($P508,FIND(" ",$P508)+1,9)&amp;"*",firmadas!$B:$B,0),0)))</f>
        <v/>
      </c>
    </row>
    <row r="509" spans="14:20" ht="15" customHeight="1" x14ac:dyDescent="0.25">
      <c r="N509" s="53" t="str">
        <f t="shared" ca="1" si="7"/>
        <v/>
      </c>
      <c r="P509" t="str">
        <f ca="1">IF(TRIM(SUBSTITUTE(($C509&amp;" "&amp;$D509),CHAR(160)," "))="","",IFERROR(IF(ISNUMBER(SEARCH("INC",($C509&amp;" "&amp;$D509))),"INC",IF(ISNUMBER(SEARCH("OPI",($C509&amp;" "&amp;$D509))),"OPI",IF(ISNUMBER(SEARCH("DP",($C509&amp;" "&amp;$D509))),"DP","CONC")))&amp;" "&amp;TEXT(LOOKUP(9.99E+307,--MID(SUBSTITUTE(($C509&amp;" "&amp;$D509),CHAR(160)," "),SUMPRODUCT(MIN(FIND({0,1,2,3,4,5,6,7,8,9},SUBSTITUTE(($C509&amp;" "&amp;$D509),CHAR(160)," ")&amp;"0123456789"))),ROW(INDIRECT("1:6")))),"0"),"SIN NUMERO"))</f>
        <v/>
      </c>
      <c r="Q509" t="str">
        <f ca="1">IF($P509="","",IF(LEFT(UPPER($S509),9)="VERIFICAR","VERIFICAR",IF($A509="","SIN ESTADO",IF(AND($A509="Firmada",$H509=""),"FALTA FECHA DE FIRMA",IF(N($T509)=0,IF(AND(ISNUMBER($H509),$H509&gt;=DATE(2024,1,1)),"FALTA EN FIRMADAS","OK"),IF(OR($A509="Pendiente de presentación",$A509="Observado",$A509="En análisis",$A509="En instrucción",$A509="Suspendida",$A509="IT circulando",$A509="Para resolución",$A509="TDC"),"ABIERTA PERO ESTÁ EN FIRMADAS",IF($H509&lt;&gt;INDEX(firmadas!$F:$F,$T509),"FIRMA DISTINTA EN firmadas ("&amp;IF(INDEX(firmadas!$F:$F,$T509)="","vacía",DAY(INDEX(firmadas!$F:$F,$T509))&amp;"/"&amp;MONTH(INDEX(firmadas!$F:$F,$T509))&amp;"/"&amp;YEAR(INDEX(firmadas!$F:$F,$T509)))&amp;")",IF($G509&lt;&gt;INDEX(firmadas!$E:$E,$T509),"INGRESO DISTINTO EN firmadas ("&amp;IF(INDEX(firmadas!$E:$E,$T509)="","vacía",DAY(INDEX(firmadas!$E:$E,$T509))&amp;"/"&amp;MONTH(INDEX(firmadas!$E:$E,$T509))&amp;"/"&amp;YEAR(INDEX(firmadas!$E:$E,$T509)))&amp;")","OK"))))))))</f>
        <v/>
      </c>
      <c r="T509" t="str">
        <f ca="1">IF($P509="","",IFERROR(MATCH($P509,firmadas!$N:$N,0),IFERROR(MATCH("*/"&amp;MID($P509,FIND(" ",$P509)+1,9)&amp;"*",firmadas!$B:$B,0),0)))</f>
        <v/>
      </c>
    </row>
    <row r="510" spans="14:20" ht="15" customHeight="1" x14ac:dyDescent="0.25">
      <c r="N510" s="53" t="str">
        <f t="shared" ca="1" si="7"/>
        <v/>
      </c>
      <c r="P510" t="str">
        <f ca="1">IF(TRIM(SUBSTITUTE(($C510&amp;" "&amp;$D510),CHAR(160)," "))="","",IFERROR(IF(ISNUMBER(SEARCH("INC",($C510&amp;" "&amp;$D510))),"INC",IF(ISNUMBER(SEARCH("OPI",($C510&amp;" "&amp;$D510))),"OPI",IF(ISNUMBER(SEARCH("DP",($C510&amp;" "&amp;$D510))),"DP","CONC")))&amp;" "&amp;TEXT(LOOKUP(9.99E+307,--MID(SUBSTITUTE(($C510&amp;" "&amp;$D510),CHAR(160)," "),SUMPRODUCT(MIN(FIND({0,1,2,3,4,5,6,7,8,9},SUBSTITUTE(($C510&amp;" "&amp;$D510),CHAR(160)," ")&amp;"0123456789"))),ROW(INDIRECT("1:6")))),"0"),"SIN NUMERO"))</f>
        <v/>
      </c>
      <c r="Q510" t="str">
        <f ca="1">IF($P510="","",IF(LEFT(UPPER($S510),9)="VERIFICAR","VERIFICAR",IF($A510="","SIN ESTADO",IF(AND($A510="Firmada",$H510=""),"FALTA FECHA DE FIRMA",IF(N($T510)=0,IF(AND(ISNUMBER($H510),$H510&gt;=DATE(2024,1,1)),"FALTA EN FIRMADAS","OK"),IF(OR($A510="Pendiente de presentación",$A510="Observado",$A510="En análisis",$A510="En instrucción",$A510="Suspendida",$A510="IT circulando",$A510="Para resolución",$A510="TDC"),"ABIERTA PERO ESTÁ EN FIRMADAS",IF($H510&lt;&gt;INDEX(firmadas!$F:$F,$T510),"FIRMA DISTINTA EN firmadas ("&amp;IF(INDEX(firmadas!$F:$F,$T510)="","vacía",DAY(INDEX(firmadas!$F:$F,$T510))&amp;"/"&amp;MONTH(INDEX(firmadas!$F:$F,$T510))&amp;"/"&amp;YEAR(INDEX(firmadas!$F:$F,$T510)))&amp;")",IF($G510&lt;&gt;INDEX(firmadas!$E:$E,$T510),"INGRESO DISTINTO EN firmadas ("&amp;IF(INDEX(firmadas!$E:$E,$T510)="","vacía",DAY(INDEX(firmadas!$E:$E,$T510))&amp;"/"&amp;MONTH(INDEX(firmadas!$E:$E,$T510))&amp;"/"&amp;YEAR(INDEX(firmadas!$E:$E,$T510)))&amp;")","OK"))))))))</f>
        <v/>
      </c>
      <c r="T510" t="str">
        <f ca="1">IF($P510="","",IFERROR(MATCH($P510,firmadas!$N:$N,0),IFERROR(MATCH("*/"&amp;MID($P510,FIND(" ",$P510)+1,9)&amp;"*",firmadas!$B:$B,0),0)))</f>
        <v/>
      </c>
    </row>
    <row r="511" spans="14:20" ht="15" customHeight="1" x14ac:dyDescent="0.25">
      <c r="N511" s="53" t="str">
        <f t="shared" ca="1" si="7"/>
        <v/>
      </c>
      <c r="P511" t="str">
        <f ca="1">IF(TRIM(SUBSTITUTE(($C511&amp;" "&amp;$D511),CHAR(160)," "))="","",IFERROR(IF(ISNUMBER(SEARCH("INC",($C511&amp;" "&amp;$D511))),"INC",IF(ISNUMBER(SEARCH("OPI",($C511&amp;" "&amp;$D511))),"OPI",IF(ISNUMBER(SEARCH("DP",($C511&amp;" "&amp;$D511))),"DP","CONC")))&amp;" "&amp;TEXT(LOOKUP(9.99E+307,--MID(SUBSTITUTE(($C511&amp;" "&amp;$D511),CHAR(160)," "),SUMPRODUCT(MIN(FIND({0,1,2,3,4,5,6,7,8,9},SUBSTITUTE(($C511&amp;" "&amp;$D511),CHAR(160)," ")&amp;"0123456789"))),ROW(INDIRECT("1:6")))),"0"),"SIN NUMERO"))</f>
        <v/>
      </c>
      <c r="Q511" t="str">
        <f ca="1">IF($P511="","",IF(LEFT(UPPER($S511),9)="VERIFICAR","VERIFICAR",IF($A511="","SIN ESTADO",IF(AND($A511="Firmada",$H511=""),"FALTA FECHA DE FIRMA",IF(N($T511)=0,IF(AND(ISNUMBER($H511),$H511&gt;=DATE(2024,1,1)),"FALTA EN FIRMADAS","OK"),IF(OR($A511="Pendiente de presentación",$A511="Observado",$A511="En análisis",$A511="En instrucción",$A511="Suspendida",$A511="IT circulando",$A511="Para resolución",$A511="TDC"),"ABIERTA PERO ESTÁ EN FIRMADAS",IF($H511&lt;&gt;INDEX(firmadas!$F:$F,$T511),"FIRMA DISTINTA EN firmadas ("&amp;IF(INDEX(firmadas!$F:$F,$T511)="","vacía",DAY(INDEX(firmadas!$F:$F,$T511))&amp;"/"&amp;MONTH(INDEX(firmadas!$F:$F,$T511))&amp;"/"&amp;YEAR(INDEX(firmadas!$F:$F,$T511)))&amp;")",IF($G511&lt;&gt;INDEX(firmadas!$E:$E,$T511),"INGRESO DISTINTO EN firmadas ("&amp;IF(INDEX(firmadas!$E:$E,$T511)="","vacía",DAY(INDEX(firmadas!$E:$E,$T511))&amp;"/"&amp;MONTH(INDEX(firmadas!$E:$E,$T511))&amp;"/"&amp;YEAR(INDEX(firmadas!$E:$E,$T511)))&amp;")","OK"))))))))</f>
        <v/>
      </c>
      <c r="T511" t="str">
        <f ca="1">IF($P511="","",IFERROR(MATCH($P511,firmadas!$N:$N,0),IFERROR(MATCH("*/"&amp;MID($P511,FIND(" ",$P511)+1,9)&amp;"*",firmadas!$B:$B,0),0)))</f>
        <v/>
      </c>
    </row>
    <row r="512" spans="14:20" ht="15" customHeight="1" x14ac:dyDescent="0.25">
      <c r="N512" s="53" t="str">
        <f t="shared" ca="1" si="7"/>
        <v/>
      </c>
      <c r="P512" t="str">
        <f ca="1">IF(TRIM(SUBSTITUTE(($C512&amp;" "&amp;$D512),CHAR(160)," "))="","",IFERROR(IF(ISNUMBER(SEARCH("INC",($C512&amp;" "&amp;$D512))),"INC",IF(ISNUMBER(SEARCH("OPI",($C512&amp;" "&amp;$D512))),"OPI",IF(ISNUMBER(SEARCH("DP",($C512&amp;" "&amp;$D512))),"DP","CONC")))&amp;" "&amp;TEXT(LOOKUP(9.99E+307,--MID(SUBSTITUTE(($C512&amp;" "&amp;$D512),CHAR(160)," "),SUMPRODUCT(MIN(FIND({0,1,2,3,4,5,6,7,8,9},SUBSTITUTE(($C512&amp;" "&amp;$D512),CHAR(160)," ")&amp;"0123456789"))),ROW(INDIRECT("1:6")))),"0"),"SIN NUMERO"))</f>
        <v/>
      </c>
      <c r="Q512" t="str">
        <f ca="1">IF($P512="","",IF(LEFT(UPPER($S512),9)="VERIFICAR","VERIFICAR",IF($A512="","SIN ESTADO",IF(AND($A512="Firmada",$H512=""),"FALTA FECHA DE FIRMA",IF(N($T512)=0,IF(AND(ISNUMBER($H512),$H512&gt;=DATE(2024,1,1)),"FALTA EN FIRMADAS","OK"),IF(OR($A512="Pendiente de presentación",$A512="Observado",$A512="En análisis",$A512="En instrucción",$A512="Suspendida",$A512="IT circulando",$A512="Para resolución",$A512="TDC"),"ABIERTA PERO ESTÁ EN FIRMADAS",IF($H512&lt;&gt;INDEX(firmadas!$F:$F,$T512),"FIRMA DISTINTA EN firmadas ("&amp;IF(INDEX(firmadas!$F:$F,$T512)="","vacía",DAY(INDEX(firmadas!$F:$F,$T512))&amp;"/"&amp;MONTH(INDEX(firmadas!$F:$F,$T512))&amp;"/"&amp;YEAR(INDEX(firmadas!$F:$F,$T512)))&amp;")",IF($G512&lt;&gt;INDEX(firmadas!$E:$E,$T512),"INGRESO DISTINTO EN firmadas ("&amp;IF(INDEX(firmadas!$E:$E,$T512)="","vacía",DAY(INDEX(firmadas!$E:$E,$T512))&amp;"/"&amp;MONTH(INDEX(firmadas!$E:$E,$T512))&amp;"/"&amp;YEAR(INDEX(firmadas!$E:$E,$T512)))&amp;")","OK"))))))))</f>
        <v/>
      </c>
      <c r="T512" t="str">
        <f ca="1">IF($P512="","",IFERROR(MATCH($P512,firmadas!$N:$N,0),IFERROR(MATCH("*/"&amp;MID($P512,FIND(" ",$P512)+1,9)&amp;"*",firmadas!$B:$B,0),0)))</f>
        <v/>
      </c>
    </row>
    <row r="513" spans="14:20" ht="15" customHeight="1" x14ac:dyDescent="0.25">
      <c r="N513" s="53" t="str">
        <f t="shared" ca="1" si="7"/>
        <v/>
      </c>
      <c r="P513" t="str">
        <f ca="1">IF(TRIM(SUBSTITUTE(($C513&amp;" "&amp;$D513),CHAR(160)," "))="","",IFERROR(IF(ISNUMBER(SEARCH("INC",($C513&amp;" "&amp;$D513))),"INC",IF(ISNUMBER(SEARCH("OPI",($C513&amp;" "&amp;$D513))),"OPI",IF(ISNUMBER(SEARCH("DP",($C513&amp;" "&amp;$D513))),"DP","CONC")))&amp;" "&amp;TEXT(LOOKUP(9.99E+307,--MID(SUBSTITUTE(($C513&amp;" "&amp;$D513),CHAR(160)," "),SUMPRODUCT(MIN(FIND({0,1,2,3,4,5,6,7,8,9},SUBSTITUTE(($C513&amp;" "&amp;$D513),CHAR(160)," ")&amp;"0123456789"))),ROW(INDIRECT("1:6")))),"0"),"SIN NUMERO"))</f>
        <v/>
      </c>
      <c r="Q513" t="str">
        <f ca="1">IF($P513="","",IF(LEFT(UPPER($S513),9)="VERIFICAR","VERIFICAR",IF($A513="","SIN ESTADO",IF(AND($A513="Firmada",$H513=""),"FALTA FECHA DE FIRMA",IF(N($T513)=0,IF(AND(ISNUMBER($H513),$H513&gt;=DATE(2024,1,1)),"FALTA EN FIRMADAS","OK"),IF(OR($A513="Pendiente de presentación",$A513="Observado",$A513="En análisis",$A513="En instrucción",$A513="Suspendida",$A513="IT circulando",$A513="Para resolución",$A513="TDC"),"ABIERTA PERO ESTÁ EN FIRMADAS",IF($H513&lt;&gt;INDEX(firmadas!$F:$F,$T513),"FIRMA DISTINTA EN firmadas ("&amp;IF(INDEX(firmadas!$F:$F,$T513)="","vacía",DAY(INDEX(firmadas!$F:$F,$T513))&amp;"/"&amp;MONTH(INDEX(firmadas!$F:$F,$T513))&amp;"/"&amp;YEAR(INDEX(firmadas!$F:$F,$T513)))&amp;")",IF($G513&lt;&gt;INDEX(firmadas!$E:$E,$T513),"INGRESO DISTINTO EN firmadas ("&amp;IF(INDEX(firmadas!$E:$E,$T513)="","vacía",DAY(INDEX(firmadas!$E:$E,$T513))&amp;"/"&amp;MONTH(INDEX(firmadas!$E:$E,$T513))&amp;"/"&amp;YEAR(INDEX(firmadas!$E:$E,$T513)))&amp;")","OK"))))))))</f>
        <v/>
      </c>
      <c r="T513" t="str">
        <f ca="1">IF($P513="","",IFERROR(MATCH($P513,firmadas!$N:$N,0),IFERROR(MATCH("*/"&amp;MID($P513,FIND(" ",$P513)+1,9)&amp;"*",firmadas!$B:$B,0),0)))</f>
        <v/>
      </c>
    </row>
    <row r="514" spans="14:20" ht="15" customHeight="1" x14ac:dyDescent="0.25">
      <c r="N514" s="53" t="str">
        <f t="shared" ref="N514:N577" ca="1" si="8">IF($G514="","",(IF($H514="",TODAY(),$H514)-$G514)/30)</f>
        <v/>
      </c>
      <c r="P514" t="str">
        <f ca="1">IF(TRIM(SUBSTITUTE(($C514&amp;" "&amp;$D514),CHAR(160)," "))="","",IFERROR(IF(ISNUMBER(SEARCH("INC",($C514&amp;" "&amp;$D514))),"INC",IF(ISNUMBER(SEARCH("OPI",($C514&amp;" "&amp;$D514))),"OPI",IF(ISNUMBER(SEARCH("DP",($C514&amp;" "&amp;$D514))),"DP","CONC")))&amp;" "&amp;TEXT(LOOKUP(9.99E+307,--MID(SUBSTITUTE(($C514&amp;" "&amp;$D514),CHAR(160)," "),SUMPRODUCT(MIN(FIND({0,1,2,3,4,5,6,7,8,9},SUBSTITUTE(($C514&amp;" "&amp;$D514),CHAR(160)," ")&amp;"0123456789"))),ROW(INDIRECT("1:6")))),"0"),"SIN NUMERO"))</f>
        <v/>
      </c>
      <c r="Q514" t="str">
        <f ca="1">IF($P514="","",IF(LEFT(UPPER($S514),9)="VERIFICAR","VERIFICAR",IF($A514="","SIN ESTADO",IF(AND($A514="Firmada",$H514=""),"FALTA FECHA DE FIRMA",IF(N($T514)=0,IF(AND(ISNUMBER($H514),$H514&gt;=DATE(2024,1,1)),"FALTA EN FIRMADAS","OK"),IF(OR($A514="Pendiente de presentación",$A514="Observado",$A514="En análisis",$A514="En instrucción",$A514="Suspendida",$A514="IT circulando",$A514="Para resolución",$A514="TDC"),"ABIERTA PERO ESTÁ EN FIRMADAS",IF($H514&lt;&gt;INDEX(firmadas!$F:$F,$T514),"FIRMA DISTINTA EN firmadas ("&amp;IF(INDEX(firmadas!$F:$F,$T514)="","vacía",DAY(INDEX(firmadas!$F:$F,$T514))&amp;"/"&amp;MONTH(INDEX(firmadas!$F:$F,$T514))&amp;"/"&amp;YEAR(INDEX(firmadas!$F:$F,$T514)))&amp;")",IF($G514&lt;&gt;INDEX(firmadas!$E:$E,$T514),"INGRESO DISTINTO EN firmadas ("&amp;IF(INDEX(firmadas!$E:$E,$T514)="","vacía",DAY(INDEX(firmadas!$E:$E,$T514))&amp;"/"&amp;MONTH(INDEX(firmadas!$E:$E,$T514))&amp;"/"&amp;YEAR(INDEX(firmadas!$E:$E,$T514)))&amp;")","OK"))))))))</f>
        <v/>
      </c>
      <c r="T514" t="str">
        <f ca="1">IF($P514="","",IFERROR(MATCH($P514,firmadas!$N:$N,0),IFERROR(MATCH("*/"&amp;MID($P514,FIND(" ",$P514)+1,9)&amp;"*",firmadas!$B:$B,0),0)))</f>
        <v/>
      </c>
    </row>
    <row r="515" spans="14:20" ht="15" customHeight="1" x14ac:dyDescent="0.25">
      <c r="N515" s="53" t="str">
        <f t="shared" ca="1" si="8"/>
        <v/>
      </c>
      <c r="P515" t="str">
        <f ca="1">IF(TRIM(SUBSTITUTE(($C515&amp;" "&amp;$D515),CHAR(160)," "))="","",IFERROR(IF(ISNUMBER(SEARCH("INC",($C515&amp;" "&amp;$D515))),"INC",IF(ISNUMBER(SEARCH("OPI",($C515&amp;" "&amp;$D515))),"OPI",IF(ISNUMBER(SEARCH("DP",($C515&amp;" "&amp;$D515))),"DP","CONC")))&amp;" "&amp;TEXT(LOOKUP(9.99E+307,--MID(SUBSTITUTE(($C515&amp;" "&amp;$D515),CHAR(160)," "),SUMPRODUCT(MIN(FIND({0,1,2,3,4,5,6,7,8,9},SUBSTITUTE(($C515&amp;" "&amp;$D515),CHAR(160)," ")&amp;"0123456789"))),ROW(INDIRECT("1:6")))),"0"),"SIN NUMERO"))</f>
        <v/>
      </c>
      <c r="Q515" t="str">
        <f ca="1">IF($P515="","",IF(LEFT(UPPER($S515),9)="VERIFICAR","VERIFICAR",IF($A515="","SIN ESTADO",IF(AND($A515="Firmada",$H515=""),"FALTA FECHA DE FIRMA",IF(N($T515)=0,IF(AND(ISNUMBER($H515),$H515&gt;=DATE(2024,1,1)),"FALTA EN FIRMADAS","OK"),IF(OR($A515="Pendiente de presentación",$A515="Observado",$A515="En análisis",$A515="En instrucción",$A515="Suspendida",$A515="IT circulando",$A515="Para resolución",$A515="TDC"),"ABIERTA PERO ESTÁ EN FIRMADAS",IF($H515&lt;&gt;INDEX(firmadas!$F:$F,$T515),"FIRMA DISTINTA EN firmadas ("&amp;IF(INDEX(firmadas!$F:$F,$T515)="","vacía",DAY(INDEX(firmadas!$F:$F,$T515))&amp;"/"&amp;MONTH(INDEX(firmadas!$F:$F,$T515))&amp;"/"&amp;YEAR(INDEX(firmadas!$F:$F,$T515)))&amp;")",IF($G515&lt;&gt;INDEX(firmadas!$E:$E,$T515),"INGRESO DISTINTO EN firmadas ("&amp;IF(INDEX(firmadas!$E:$E,$T515)="","vacía",DAY(INDEX(firmadas!$E:$E,$T515))&amp;"/"&amp;MONTH(INDEX(firmadas!$E:$E,$T515))&amp;"/"&amp;YEAR(INDEX(firmadas!$E:$E,$T515)))&amp;")","OK"))))))))</f>
        <v/>
      </c>
      <c r="T515" t="str">
        <f ca="1">IF($P515="","",IFERROR(MATCH($P515,firmadas!$N:$N,0),IFERROR(MATCH("*/"&amp;MID($P515,FIND(" ",$P515)+1,9)&amp;"*",firmadas!$B:$B,0),0)))</f>
        <v/>
      </c>
    </row>
    <row r="516" spans="14:20" ht="15" customHeight="1" x14ac:dyDescent="0.25">
      <c r="N516" s="53" t="str">
        <f t="shared" ca="1" si="8"/>
        <v/>
      </c>
      <c r="P516" t="str">
        <f ca="1">IF(TRIM(SUBSTITUTE(($C516&amp;" "&amp;$D516),CHAR(160)," "))="","",IFERROR(IF(ISNUMBER(SEARCH("INC",($C516&amp;" "&amp;$D516))),"INC",IF(ISNUMBER(SEARCH("OPI",($C516&amp;" "&amp;$D516))),"OPI",IF(ISNUMBER(SEARCH("DP",($C516&amp;" "&amp;$D516))),"DP","CONC")))&amp;" "&amp;TEXT(LOOKUP(9.99E+307,--MID(SUBSTITUTE(($C516&amp;" "&amp;$D516),CHAR(160)," "),SUMPRODUCT(MIN(FIND({0,1,2,3,4,5,6,7,8,9},SUBSTITUTE(($C516&amp;" "&amp;$D516),CHAR(160)," ")&amp;"0123456789"))),ROW(INDIRECT("1:6")))),"0"),"SIN NUMERO"))</f>
        <v/>
      </c>
      <c r="Q516" t="str">
        <f ca="1">IF($P516="","",IF(LEFT(UPPER($S516),9)="VERIFICAR","VERIFICAR",IF($A516="","SIN ESTADO",IF(AND($A516="Firmada",$H516=""),"FALTA FECHA DE FIRMA",IF(N($T516)=0,IF(AND(ISNUMBER($H516),$H516&gt;=DATE(2024,1,1)),"FALTA EN FIRMADAS","OK"),IF(OR($A516="Pendiente de presentación",$A516="Observado",$A516="En análisis",$A516="En instrucción",$A516="Suspendida",$A516="IT circulando",$A516="Para resolución",$A516="TDC"),"ABIERTA PERO ESTÁ EN FIRMADAS",IF($H516&lt;&gt;INDEX(firmadas!$F:$F,$T516),"FIRMA DISTINTA EN firmadas ("&amp;IF(INDEX(firmadas!$F:$F,$T516)="","vacía",DAY(INDEX(firmadas!$F:$F,$T516))&amp;"/"&amp;MONTH(INDEX(firmadas!$F:$F,$T516))&amp;"/"&amp;YEAR(INDEX(firmadas!$F:$F,$T516)))&amp;")",IF($G516&lt;&gt;INDEX(firmadas!$E:$E,$T516),"INGRESO DISTINTO EN firmadas ("&amp;IF(INDEX(firmadas!$E:$E,$T516)="","vacía",DAY(INDEX(firmadas!$E:$E,$T516))&amp;"/"&amp;MONTH(INDEX(firmadas!$E:$E,$T516))&amp;"/"&amp;YEAR(INDEX(firmadas!$E:$E,$T516)))&amp;")","OK"))))))))</f>
        <v/>
      </c>
      <c r="T516" t="str">
        <f ca="1">IF($P516="","",IFERROR(MATCH($P516,firmadas!$N:$N,0),IFERROR(MATCH("*/"&amp;MID($P516,FIND(" ",$P516)+1,9)&amp;"*",firmadas!$B:$B,0),0)))</f>
        <v/>
      </c>
    </row>
    <row r="517" spans="14:20" ht="15" customHeight="1" x14ac:dyDescent="0.25">
      <c r="N517" s="53" t="str">
        <f t="shared" ca="1" si="8"/>
        <v/>
      </c>
      <c r="P517" t="str">
        <f ca="1">IF(TRIM(SUBSTITUTE(($C517&amp;" "&amp;$D517),CHAR(160)," "))="","",IFERROR(IF(ISNUMBER(SEARCH("INC",($C517&amp;" "&amp;$D517))),"INC",IF(ISNUMBER(SEARCH("OPI",($C517&amp;" "&amp;$D517))),"OPI",IF(ISNUMBER(SEARCH("DP",($C517&amp;" "&amp;$D517))),"DP","CONC")))&amp;" "&amp;TEXT(LOOKUP(9.99E+307,--MID(SUBSTITUTE(($C517&amp;" "&amp;$D517),CHAR(160)," "),SUMPRODUCT(MIN(FIND({0,1,2,3,4,5,6,7,8,9},SUBSTITUTE(($C517&amp;" "&amp;$D517),CHAR(160)," ")&amp;"0123456789"))),ROW(INDIRECT("1:6")))),"0"),"SIN NUMERO"))</f>
        <v/>
      </c>
      <c r="Q517" t="str">
        <f ca="1">IF($P517="","",IF(LEFT(UPPER($S517),9)="VERIFICAR","VERIFICAR",IF($A517="","SIN ESTADO",IF(AND($A517="Firmada",$H517=""),"FALTA FECHA DE FIRMA",IF(N($T517)=0,IF(AND(ISNUMBER($H517),$H517&gt;=DATE(2024,1,1)),"FALTA EN FIRMADAS","OK"),IF(OR($A517="Pendiente de presentación",$A517="Observado",$A517="En análisis",$A517="En instrucción",$A517="Suspendida",$A517="IT circulando",$A517="Para resolución",$A517="TDC"),"ABIERTA PERO ESTÁ EN FIRMADAS",IF($H517&lt;&gt;INDEX(firmadas!$F:$F,$T517),"FIRMA DISTINTA EN firmadas ("&amp;IF(INDEX(firmadas!$F:$F,$T517)="","vacía",DAY(INDEX(firmadas!$F:$F,$T517))&amp;"/"&amp;MONTH(INDEX(firmadas!$F:$F,$T517))&amp;"/"&amp;YEAR(INDEX(firmadas!$F:$F,$T517)))&amp;")",IF($G517&lt;&gt;INDEX(firmadas!$E:$E,$T517),"INGRESO DISTINTO EN firmadas ("&amp;IF(INDEX(firmadas!$E:$E,$T517)="","vacía",DAY(INDEX(firmadas!$E:$E,$T517))&amp;"/"&amp;MONTH(INDEX(firmadas!$E:$E,$T517))&amp;"/"&amp;YEAR(INDEX(firmadas!$E:$E,$T517)))&amp;")","OK"))))))))</f>
        <v/>
      </c>
      <c r="T517" t="str">
        <f ca="1">IF($P517="","",IFERROR(MATCH($P517,firmadas!$N:$N,0),IFERROR(MATCH("*/"&amp;MID($P517,FIND(" ",$P517)+1,9)&amp;"*",firmadas!$B:$B,0),0)))</f>
        <v/>
      </c>
    </row>
    <row r="518" spans="14:20" ht="15" customHeight="1" x14ac:dyDescent="0.25">
      <c r="N518" s="53" t="str">
        <f t="shared" ca="1" si="8"/>
        <v/>
      </c>
      <c r="P518" t="str">
        <f ca="1">IF(TRIM(SUBSTITUTE(($C518&amp;" "&amp;$D518),CHAR(160)," "))="","",IFERROR(IF(ISNUMBER(SEARCH("INC",($C518&amp;" "&amp;$D518))),"INC",IF(ISNUMBER(SEARCH("OPI",($C518&amp;" "&amp;$D518))),"OPI",IF(ISNUMBER(SEARCH("DP",($C518&amp;" "&amp;$D518))),"DP","CONC")))&amp;" "&amp;TEXT(LOOKUP(9.99E+307,--MID(SUBSTITUTE(($C518&amp;" "&amp;$D518),CHAR(160)," "),SUMPRODUCT(MIN(FIND({0,1,2,3,4,5,6,7,8,9},SUBSTITUTE(($C518&amp;" "&amp;$D518),CHAR(160)," ")&amp;"0123456789"))),ROW(INDIRECT("1:6")))),"0"),"SIN NUMERO"))</f>
        <v/>
      </c>
      <c r="Q518" t="str">
        <f ca="1">IF($P518="","",IF(LEFT(UPPER($S518),9)="VERIFICAR","VERIFICAR",IF($A518="","SIN ESTADO",IF(AND($A518="Firmada",$H518=""),"FALTA FECHA DE FIRMA",IF(N($T518)=0,IF(AND(ISNUMBER($H518),$H518&gt;=DATE(2024,1,1)),"FALTA EN FIRMADAS","OK"),IF(OR($A518="Pendiente de presentación",$A518="Observado",$A518="En análisis",$A518="En instrucción",$A518="Suspendida",$A518="IT circulando",$A518="Para resolución",$A518="TDC"),"ABIERTA PERO ESTÁ EN FIRMADAS",IF($H518&lt;&gt;INDEX(firmadas!$F:$F,$T518),"FIRMA DISTINTA EN firmadas ("&amp;IF(INDEX(firmadas!$F:$F,$T518)="","vacía",DAY(INDEX(firmadas!$F:$F,$T518))&amp;"/"&amp;MONTH(INDEX(firmadas!$F:$F,$T518))&amp;"/"&amp;YEAR(INDEX(firmadas!$F:$F,$T518)))&amp;")",IF($G518&lt;&gt;INDEX(firmadas!$E:$E,$T518),"INGRESO DISTINTO EN firmadas ("&amp;IF(INDEX(firmadas!$E:$E,$T518)="","vacía",DAY(INDEX(firmadas!$E:$E,$T518))&amp;"/"&amp;MONTH(INDEX(firmadas!$E:$E,$T518))&amp;"/"&amp;YEAR(INDEX(firmadas!$E:$E,$T518)))&amp;")","OK"))))))))</f>
        <v/>
      </c>
      <c r="T518" t="str">
        <f ca="1">IF($P518="","",IFERROR(MATCH($P518,firmadas!$N:$N,0),IFERROR(MATCH("*/"&amp;MID($P518,FIND(" ",$P518)+1,9)&amp;"*",firmadas!$B:$B,0),0)))</f>
        <v/>
      </c>
    </row>
    <row r="519" spans="14:20" ht="15" customHeight="1" x14ac:dyDescent="0.25">
      <c r="N519" s="53" t="str">
        <f t="shared" ca="1" si="8"/>
        <v/>
      </c>
      <c r="P519" t="str">
        <f ca="1">IF(TRIM(SUBSTITUTE(($C519&amp;" "&amp;$D519),CHAR(160)," "))="","",IFERROR(IF(ISNUMBER(SEARCH("INC",($C519&amp;" "&amp;$D519))),"INC",IF(ISNUMBER(SEARCH("OPI",($C519&amp;" "&amp;$D519))),"OPI",IF(ISNUMBER(SEARCH("DP",($C519&amp;" "&amp;$D519))),"DP","CONC")))&amp;" "&amp;TEXT(LOOKUP(9.99E+307,--MID(SUBSTITUTE(($C519&amp;" "&amp;$D519),CHAR(160)," "),SUMPRODUCT(MIN(FIND({0,1,2,3,4,5,6,7,8,9},SUBSTITUTE(($C519&amp;" "&amp;$D519),CHAR(160)," ")&amp;"0123456789"))),ROW(INDIRECT("1:6")))),"0"),"SIN NUMERO"))</f>
        <v/>
      </c>
      <c r="Q519" t="str">
        <f ca="1">IF($P519="","",IF(LEFT(UPPER($S519),9)="VERIFICAR","VERIFICAR",IF($A519="","SIN ESTADO",IF(AND($A519="Firmada",$H519=""),"FALTA FECHA DE FIRMA",IF(N($T519)=0,IF(AND(ISNUMBER($H519),$H519&gt;=DATE(2024,1,1)),"FALTA EN FIRMADAS","OK"),IF(OR($A519="Pendiente de presentación",$A519="Observado",$A519="En análisis",$A519="En instrucción",$A519="Suspendida",$A519="IT circulando",$A519="Para resolución",$A519="TDC"),"ABIERTA PERO ESTÁ EN FIRMADAS",IF($H519&lt;&gt;INDEX(firmadas!$F:$F,$T519),"FIRMA DISTINTA EN firmadas ("&amp;IF(INDEX(firmadas!$F:$F,$T519)="","vacía",DAY(INDEX(firmadas!$F:$F,$T519))&amp;"/"&amp;MONTH(INDEX(firmadas!$F:$F,$T519))&amp;"/"&amp;YEAR(INDEX(firmadas!$F:$F,$T519)))&amp;")",IF($G519&lt;&gt;INDEX(firmadas!$E:$E,$T519),"INGRESO DISTINTO EN firmadas ("&amp;IF(INDEX(firmadas!$E:$E,$T519)="","vacía",DAY(INDEX(firmadas!$E:$E,$T519))&amp;"/"&amp;MONTH(INDEX(firmadas!$E:$E,$T519))&amp;"/"&amp;YEAR(INDEX(firmadas!$E:$E,$T519)))&amp;")","OK"))))))))</f>
        <v/>
      </c>
      <c r="T519" t="str">
        <f ca="1">IF($P519="","",IFERROR(MATCH($P519,firmadas!$N:$N,0),IFERROR(MATCH("*/"&amp;MID($P519,FIND(" ",$P519)+1,9)&amp;"*",firmadas!$B:$B,0),0)))</f>
        <v/>
      </c>
    </row>
    <row r="520" spans="14:20" ht="15" customHeight="1" x14ac:dyDescent="0.25">
      <c r="N520" s="53" t="str">
        <f t="shared" ca="1" si="8"/>
        <v/>
      </c>
      <c r="P520" t="str">
        <f ca="1">IF(TRIM(SUBSTITUTE(($C520&amp;" "&amp;$D520),CHAR(160)," "))="","",IFERROR(IF(ISNUMBER(SEARCH("INC",($C520&amp;" "&amp;$D520))),"INC",IF(ISNUMBER(SEARCH("OPI",($C520&amp;" "&amp;$D520))),"OPI",IF(ISNUMBER(SEARCH("DP",($C520&amp;" "&amp;$D520))),"DP","CONC")))&amp;" "&amp;TEXT(LOOKUP(9.99E+307,--MID(SUBSTITUTE(($C520&amp;" "&amp;$D520),CHAR(160)," "),SUMPRODUCT(MIN(FIND({0,1,2,3,4,5,6,7,8,9},SUBSTITUTE(($C520&amp;" "&amp;$D520),CHAR(160)," ")&amp;"0123456789"))),ROW(INDIRECT("1:6")))),"0"),"SIN NUMERO"))</f>
        <v/>
      </c>
      <c r="Q520" t="str">
        <f ca="1">IF($P520="","",IF(LEFT(UPPER($S520),9)="VERIFICAR","VERIFICAR",IF($A520="","SIN ESTADO",IF(AND($A520="Firmada",$H520=""),"FALTA FECHA DE FIRMA",IF(N($T520)=0,IF(AND(ISNUMBER($H520),$H520&gt;=DATE(2024,1,1)),"FALTA EN FIRMADAS","OK"),IF(OR($A520="Pendiente de presentación",$A520="Observado",$A520="En análisis",$A520="En instrucción",$A520="Suspendida",$A520="IT circulando",$A520="Para resolución",$A520="TDC"),"ABIERTA PERO ESTÁ EN FIRMADAS",IF($H520&lt;&gt;INDEX(firmadas!$F:$F,$T520),"FIRMA DISTINTA EN firmadas ("&amp;IF(INDEX(firmadas!$F:$F,$T520)="","vacía",DAY(INDEX(firmadas!$F:$F,$T520))&amp;"/"&amp;MONTH(INDEX(firmadas!$F:$F,$T520))&amp;"/"&amp;YEAR(INDEX(firmadas!$F:$F,$T520)))&amp;")",IF($G520&lt;&gt;INDEX(firmadas!$E:$E,$T520),"INGRESO DISTINTO EN firmadas ("&amp;IF(INDEX(firmadas!$E:$E,$T520)="","vacía",DAY(INDEX(firmadas!$E:$E,$T520))&amp;"/"&amp;MONTH(INDEX(firmadas!$E:$E,$T520))&amp;"/"&amp;YEAR(INDEX(firmadas!$E:$E,$T520)))&amp;")","OK"))))))))</f>
        <v/>
      </c>
      <c r="T520" t="str">
        <f ca="1">IF($P520="","",IFERROR(MATCH($P520,firmadas!$N:$N,0),IFERROR(MATCH("*/"&amp;MID($P520,FIND(" ",$P520)+1,9)&amp;"*",firmadas!$B:$B,0),0)))</f>
        <v/>
      </c>
    </row>
    <row r="521" spans="14:20" ht="15" customHeight="1" x14ac:dyDescent="0.25">
      <c r="N521" s="53" t="str">
        <f t="shared" ca="1" si="8"/>
        <v/>
      </c>
      <c r="P521" t="str">
        <f ca="1">IF(TRIM(SUBSTITUTE(($C521&amp;" "&amp;$D521),CHAR(160)," "))="","",IFERROR(IF(ISNUMBER(SEARCH("INC",($C521&amp;" "&amp;$D521))),"INC",IF(ISNUMBER(SEARCH("OPI",($C521&amp;" "&amp;$D521))),"OPI",IF(ISNUMBER(SEARCH("DP",($C521&amp;" "&amp;$D521))),"DP","CONC")))&amp;" "&amp;TEXT(LOOKUP(9.99E+307,--MID(SUBSTITUTE(($C521&amp;" "&amp;$D521),CHAR(160)," "),SUMPRODUCT(MIN(FIND({0,1,2,3,4,5,6,7,8,9},SUBSTITUTE(($C521&amp;" "&amp;$D521),CHAR(160)," ")&amp;"0123456789"))),ROW(INDIRECT("1:6")))),"0"),"SIN NUMERO"))</f>
        <v/>
      </c>
      <c r="Q521" t="str">
        <f ca="1">IF($P521="","",IF(LEFT(UPPER($S521),9)="VERIFICAR","VERIFICAR",IF($A521="","SIN ESTADO",IF(AND($A521="Firmada",$H521=""),"FALTA FECHA DE FIRMA",IF(N($T521)=0,IF(AND(ISNUMBER($H521),$H521&gt;=DATE(2024,1,1)),"FALTA EN FIRMADAS","OK"),IF(OR($A521="Pendiente de presentación",$A521="Observado",$A521="En análisis",$A521="En instrucción",$A521="Suspendida",$A521="IT circulando",$A521="Para resolución",$A521="TDC"),"ABIERTA PERO ESTÁ EN FIRMADAS",IF($H521&lt;&gt;INDEX(firmadas!$F:$F,$T521),"FIRMA DISTINTA EN firmadas ("&amp;IF(INDEX(firmadas!$F:$F,$T521)="","vacía",DAY(INDEX(firmadas!$F:$F,$T521))&amp;"/"&amp;MONTH(INDEX(firmadas!$F:$F,$T521))&amp;"/"&amp;YEAR(INDEX(firmadas!$F:$F,$T521)))&amp;")",IF($G521&lt;&gt;INDEX(firmadas!$E:$E,$T521),"INGRESO DISTINTO EN firmadas ("&amp;IF(INDEX(firmadas!$E:$E,$T521)="","vacía",DAY(INDEX(firmadas!$E:$E,$T521))&amp;"/"&amp;MONTH(INDEX(firmadas!$E:$E,$T521))&amp;"/"&amp;YEAR(INDEX(firmadas!$E:$E,$T521)))&amp;")","OK"))))))))</f>
        <v/>
      </c>
      <c r="T521" t="str">
        <f ca="1">IF($P521="","",IFERROR(MATCH($P521,firmadas!$N:$N,0),IFERROR(MATCH("*/"&amp;MID($P521,FIND(" ",$P521)+1,9)&amp;"*",firmadas!$B:$B,0),0)))</f>
        <v/>
      </c>
    </row>
    <row r="522" spans="14:20" ht="15" customHeight="1" x14ac:dyDescent="0.25">
      <c r="N522" s="53" t="str">
        <f t="shared" ca="1" si="8"/>
        <v/>
      </c>
      <c r="P522" t="str">
        <f ca="1">IF(TRIM(SUBSTITUTE(($C522&amp;" "&amp;$D522),CHAR(160)," "))="","",IFERROR(IF(ISNUMBER(SEARCH("INC",($C522&amp;" "&amp;$D522))),"INC",IF(ISNUMBER(SEARCH("OPI",($C522&amp;" "&amp;$D522))),"OPI",IF(ISNUMBER(SEARCH("DP",($C522&amp;" "&amp;$D522))),"DP","CONC")))&amp;" "&amp;TEXT(LOOKUP(9.99E+307,--MID(SUBSTITUTE(($C522&amp;" "&amp;$D522),CHAR(160)," "),SUMPRODUCT(MIN(FIND({0,1,2,3,4,5,6,7,8,9},SUBSTITUTE(($C522&amp;" "&amp;$D522),CHAR(160)," ")&amp;"0123456789"))),ROW(INDIRECT("1:6")))),"0"),"SIN NUMERO"))</f>
        <v/>
      </c>
      <c r="Q522" t="str">
        <f ca="1">IF($P522="","",IF(LEFT(UPPER($S522),9)="VERIFICAR","VERIFICAR",IF($A522="","SIN ESTADO",IF(AND($A522="Firmada",$H522=""),"FALTA FECHA DE FIRMA",IF(N($T522)=0,IF(AND(ISNUMBER($H522),$H522&gt;=DATE(2024,1,1)),"FALTA EN FIRMADAS","OK"),IF(OR($A522="Pendiente de presentación",$A522="Observado",$A522="En análisis",$A522="En instrucción",$A522="Suspendida",$A522="IT circulando",$A522="Para resolución",$A522="TDC"),"ABIERTA PERO ESTÁ EN FIRMADAS",IF($H522&lt;&gt;INDEX(firmadas!$F:$F,$T522),"FIRMA DISTINTA EN firmadas ("&amp;IF(INDEX(firmadas!$F:$F,$T522)="","vacía",DAY(INDEX(firmadas!$F:$F,$T522))&amp;"/"&amp;MONTH(INDEX(firmadas!$F:$F,$T522))&amp;"/"&amp;YEAR(INDEX(firmadas!$F:$F,$T522)))&amp;")",IF($G522&lt;&gt;INDEX(firmadas!$E:$E,$T522),"INGRESO DISTINTO EN firmadas ("&amp;IF(INDEX(firmadas!$E:$E,$T522)="","vacía",DAY(INDEX(firmadas!$E:$E,$T522))&amp;"/"&amp;MONTH(INDEX(firmadas!$E:$E,$T522))&amp;"/"&amp;YEAR(INDEX(firmadas!$E:$E,$T522)))&amp;")","OK"))))))))</f>
        <v/>
      </c>
      <c r="T522" t="str">
        <f ca="1">IF($P522="","",IFERROR(MATCH($P522,firmadas!$N:$N,0),IFERROR(MATCH("*/"&amp;MID($P522,FIND(" ",$P522)+1,9)&amp;"*",firmadas!$B:$B,0),0)))</f>
        <v/>
      </c>
    </row>
    <row r="523" spans="14:20" ht="15" customHeight="1" x14ac:dyDescent="0.25">
      <c r="N523" s="53" t="str">
        <f t="shared" ca="1" si="8"/>
        <v/>
      </c>
      <c r="P523" t="str">
        <f ca="1">IF(TRIM(SUBSTITUTE(($C523&amp;" "&amp;$D523),CHAR(160)," "))="","",IFERROR(IF(ISNUMBER(SEARCH("INC",($C523&amp;" "&amp;$D523))),"INC",IF(ISNUMBER(SEARCH("OPI",($C523&amp;" "&amp;$D523))),"OPI",IF(ISNUMBER(SEARCH("DP",($C523&amp;" "&amp;$D523))),"DP","CONC")))&amp;" "&amp;TEXT(LOOKUP(9.99E+307,--MID(SUBSTITUTE(($C523&amp;" "&amp;$D523),CHAR(160)," "),SUMPRODUCT(MIN(FIND({0,1,2,3,4,5,6,7,8,9},SUBSTITUTE(($C523&amp;" "&amp;$D523),CHAR(160)," ")&amp;"0123456789"))),ROW(INDIRECT("1:6")))),"0"),"SIN NUMERO"))</f>
        <v/>
      </c>
      <c r="Q523" t="str">
        <f ca="1">IF($P523="","",IF(LEFT(UPPER($S523),9)="VERIFICAR","VERIFICAR",IF($A523="","SIN ESTADO",IF(AND($A523="Firmada",$H523=""),"FALTA FECHA DE FIRMA",IF(N($T523)=0,IF(AND(ISNUMBER($H523),$H523&gt;=DATE(2024,1,1)),"FALTA EN FIRMADAS","OK"),IF(OR($A523="Pendiente de presentación",$A523="Observado",$A523="En análisis",$A523="En instrucción",$A523="Suspendida",$A523="IT circulando",$A523="Para resolución",$A523="TDC"),"ABIERTA PERO ESTÁ EN FIRMADAS",IF($H523&lt;&gt;INDEX(firmadas!$F:$F,$T523),"FIRMA DISTINTA EN firmadas ("&amp;IF(INDEX(firmadas!$F:$F,$T523)="","vacía",DAY(INDEX(firmadas!$F:$F,$T523))&amp;"/"&amp;MONTH(INDEX(firmadas!$F:$F,$T523))&amp;"/"&amp;YEAR(INDEX(firmadas!$F:$F,$T523)))&amp;")",IF($G523&lt;&gt;INDEX(firmadas!$E:$E,$T523),"INGRESO DISTINTO EN firmadas ("&amp;IF(INDEX(firmadas!$E:$E,$T523)="","vacía",DAY(INDEX(firmadas!$E:$E,$T523))&amp;"/"&amp;MONTH(INDEX(firmadas!$E:$E,$T523))&amp;"/"&amp;YEAR(INDEX(firmadas!$E:$E,$T523)))&amp;")","OK"))))))))</f>
        <v/>
      </c>
      <c r="T523" t="str">
        <f ca="1">IF($P523="","",IFERROR(MATCH($P523,firmadas!$N:$N,0),IFERROR(MATCH("*/"&amp;MID($P523,FIND(" ",$P523)+1,9)&amp;"*",firmadas!$B:$B,0),0)))</f>
        <v/>
      </c>
    </row>
    <row r="524" spans="14:20" ht="15" customHeight="1" x14ac:dyDescent="0.25">
      <c r="N524" s="53" t="str">
        <f t="shared" ca="1" si="8"/>
        <v/>
      </c>
      <c r="P524" t="str">
        <f ca="1">IF(TRIM(SUBSTITUTE(($C524&amp;" "&amp;$D524),CHAR(160)," "))="","",IFERROR(IF(ISNUMBER(SEARCH("INC",($C524&amp;" "&amp;$D524))),"INC",IF(ISNUMBER(SEARCH("OPI",($C524&amp;" "&amp;$D524))),"OPI",IF(ISNUMBER(SEARCH("DP",($C524&amp;" "&amp;$D524))),"DP","CONC")))&amp;" "&amp;TEXT(LOOKUP(9.99E+307,--MID(SUBSTITUTE(($C524&amp;" "&amp;$D524),CHAR(160)," "),SUMPRODUCT(MIN(FIND({0,1,2,3,4,5,6,7,8,9},SUBSTITUTE(($C524&amp;" "&amp;$D524),CHAR(160)," ")&amp;"0123456789"))),ROW(INDIRECT("1:6")))),"0"),"SIN NUMERO"))</f>
        <v/>
      </c>
      <c r="Q524" t="str">
        <f ca="1">IF($P524="","",IF(LEFT(UPPER($S524),9)="VERIFICAR","VERIFICAR",IF($A524="","SIN ESTADO",IF(AND($A524="Firmada",$H524=""),"FALTA FECHA DE FIRMA",IF(N($T524)=0,IF(AND(ISNUMBER($H524),$H524&gt;=DATE(2024,1,1)),"FALTA EN FIRMADAS","OK"),IF(OR($A524="Pendiente de presentación",$A524="Observado",$A524="En análisis",$A524="En instrucción",$A524="Suspendida",$A524="IT circulando",$A524="Para resolución",$A524="TDC"),"ABIERTA PERO ESTÁ EN FIRMADAS",IF($H524&lt;&gt;INDEX(firmadas!$F:$F,$T524),"FIRMA DISTINTA EN firmadas ("&amp;IF(INDEX(firmadas!$F:$F,$T524)="","vacía",DAY(INDEX(firmadas!$F:$F,$T524))&amp;"/"&amp;MONTH(INDEX(firmadas!$F:$F,$T524))&amp;"/"&amp;YEAR(INDEX(firmadas!$F:$F,$T524)))&amp;")",IF($G524&lt;&gt;INDEX(firmadas!$E:$E,$T524),"INGRESO DISTINTO EN firmadas ("&amp;IF(INDEX(firmadas!$E:$E,$T524)="","vacía",DAY(INDEX(firmadas!$E:$E,$T524))&amp;"/"&amp;MONTH(INDEX(firmadas!$E:$E,$T524))&amp;"/"&amp;YEAR(INDEX(firmadas!$E:$E,$T524)))&amp;")","OK"))))))))</f>
        <v/>
      </c>
      <c r="T524" t="str">
        <f ca="1">IF($P524="","",IFERROR(MATCH($P524,firmadas!$N:$N,0),IFERROR(MATCH("*/"&amp;MID($P524,FIND(" ",$P524)+1,9)&amp;"*",firmadas!$B:$B,0),0)))</f>
        <v/>
      </c>
    </row>
    <row r="525" spans="14:20" ht="15" customHeight="1" x14ac:dyDescent="0.25">
      <c r="N525" s="53" t="str">
        <f t="shared" ca="1" si="8"/>
        <v/>
      </c>
      <c r="P525" t="str">
        <f ca="1">IF(TRIM(SUBSTITUTE(($C525&amp;" "&amp;$D525),CHAR(160)," "))="","",IFERROR(IF(ISNUMBER(SEARCH("INC",($C525&amp;" "&amp;$D525))),"INC",IF(ISNUMBER(SEARCH("OPI",($C525&amp;" "&amp;$D525))),"OPI",IF(ISNUMBER(SEARCH("DP",($C525&amp;" "&amp;$D525))),"DP","CONC")))&amp;" "&amp;TEXT(LOOKUP(9.99E+307,--MID(SUBSTITUTE(($C525&amp;" "&amp;$D525),CHAR(160)," "),SUMPRODUCT(MIN(FIND({0,1,2,3,4,5,6,7,8,9},SUBSTITUTE(($C525&amp;" "&amp;$D525),CHAR(160)," ")&amp;"0123456789"))),ROW(INDIRECT("1:6")))),"0"),"SIN NUMERO"))</f>
        <v/>
      </c>
      <c r="Q525" t="str">
        <f ca="1">IF($P525="","",IF(LEFT(UPPER($S525),9)="VERIFICAR","VERIFICAR",IF($A525="","SIN ESTADO",IF(AND($A525="Firmada",$H525=""),"FALTA FECHA DE FIRMA",IF(N($T525)=0,IF(AND(ISNUMBER($H525),$H525&gt;=DATE(2024,1,1)),"FALTA EN FIRMADAS","OK"),IF(OR($A525="Pendiente de presentación",$A525="Observado",$A525="En análisis",$A525="En instrucción",$A525="Suspendida",$A525="IT circulando",$A525="Para resolución",$A525="TDC"),"ABIERTA PERO ESTÁ EN FIRMADAS",IF($H525&lt;&gt;INDEX(firmadas!$F:$F,$T525),"FIRMA DISTINTA EN firmadas ("&amp;IF(INDEX(firmadas!$F:$F,$T525)="","vacía",DAY(INDEX(firmadas!$F:$F,$T525))&amp;"/"&amp;MONTH(INDEX(firmadas!$F:$F,$T525))&amp;"/"&amp;YEAR(INDEX(firmadas!$F:$F,$T525)))&amp;")",IF($G525&lt;&gt;INDEX(firmadas!$E:$E,$T525),"INGRESO DISTINTO EN firmadas ("&amp;IF(INDEX(firmadas!$E:$E,$T525)="","vacía",DAY(INDEX(firmadas!$E:$E,$T525))&amp;"/"&amp;MONTH(INDEX(firmadas!$E:$E,$T525))&amp;"/"&amp;YEAR(INDEX(firmadas!$E:$E,$T525)))&amp;")","OK"))))))))</f>
        <v/>
      </c>
      <c r="T525" t="str">
        <f ca="1">IF($P525="","",IFERROR(MATCH($P525,firmadas!$N:$N,0),IFERROR(MATCH("*/"&amp;MID($P525,FIND(" ",$P525)+1,9)&amp;"*",firmadas!$B:$B,0),0)))</f>
        <v/>
      </c>
    </row>
    <row r="526" spans="14:20" ht="15" customHeight="1" x14ac:dyDescent="0.25">
      <c r="N526" s="53" t="str">
        <f t="shared" ca="1" si="8"/>
        <v/>
      </c>
      <c r="P526" t="str">
        <f ca="1">IF(TRIM(SUBSTITUTE(($C526&amp;" "&amp;$D526),CHAR(160)," "))="","",IFERROR(IF(ISNUMBER(SEARCH("INC",($C526&amp;" "&amp;$D526))),"INC",IF(ISNUMBER(SEARCH("OPI",($C526&amp;" "&amp;$D526))),"OPI",IF(ISNUMBER(SEARCH("DP",($C526&amp;" "&amp;$D526))),"DP","CONC")))&amp;" "&amp;TEXT(LOOKUP(9.99E+307,--MID(SUBSTITUTE(($C526&amp;" "&amp;$D526),CHAR(160)," "),SUMPRODUCT(MIN(FIND({0,1,2,3,4,5,6,7,8,9},SUBSTITUTE(($C526&amp;" "&amp;$D526),CHAR(160)," ")&amp;"0123456789"))),ROW(INDIRECT("1:6")))),"0"),"SIN NUMERO"))</f>
        <v/>
      </c>
      <c r="Q526" t="str">
        <f ca="1">IF($P526="","",IF(LEFT(UPPER($S526),9)="VERIFICAR","VERIFICAR",IF($A526="","SIN ESTADO",IF(AND($A526="Firmada",$H526=""),"FALTA FECHA DE FIRMA",IF(N($T526)=0,IF(AND(ISNUMBER($H526),$H526&gt;=DATE(2024,1,1)),"FALTA EN FIRMADAS","OK"),IF(OR($A526="Pendiente de presentación",$A526="Observado",$A526="En análisis",$A526="En instrucción",$A526="Suspendida",$A526="IT circulando",$A526="Para resolución",$A526="TDC"),"ABIERTA PERO ESTÁ EN FIRMADAS",IF($H526&lt;&gt;INDEX(firmadas!$F:$F,$T526),"FIRMA DISTINTA EN firmadas ("&amp;IF(INDEX(firmadas!$F:$F,$T526)="","vacía",DAY(INDEX(firmadas!$F:$F,$T526))&amp;"/"&amp;MONTH(INDEX(firmadas!$F:$F,$T526))&amp;"/"&amp;YEAR(INDEX(firmadas!$F:$F,$T526)))&amp;")",IF($G526&lt;&gt;INDEX(firmadas!$E:$E,$T526),"INGRESO DISTINTO EN firmadas ("&amp;IF(INDEX(firmadas!$E:$E,$T526)="","vacía",DAY(INDEX(firmadas!$E:$E,$T526))&amp;"/"&amp;MONTH(INDEX(firmadas!$E:$E,$T526))&amp;"/"&amp;YEAR(INDEX(firmadas!$E:$E,$T526)))&amp;")","OK"))))))))</f>
        <v/>
      </c>
      <c r="T526" t="str">
        <f ca="1">IF($P526="","",IFERROR(MATCH($P526,firmadas!$N:$N,0),IFERROR(MATCH("*/"&amp;MID($P526,FIND(" ",$P526)+1,9)&amp;"*",firmadas!$B:$B,0),0)))</f>
        <v/>
      </c>
    </row>
    <row r="527" spans="14:20" ht="15" customHeight="1" x14ac:dyDescent="0.25">
      <c r="N527" s="53" t="str">
        <f t="shared" ca="1" si="8"/>
        <v/>
      </c>
      <c r="P527" t="str">
        <f ca="1">IF(TRIM(SUBSTITUTE(($C527&amp;" "&amp;$D527),CHAR(160)," "))="","",IFERROR(IF(ISNUMBER(SEARCH("INC",($C527&amp;" "&amp;$D527))),"INC",IF(ISNUMBER(SEARCH("OPI",($C527&amp;" "&amp;$D527))),"OPI",IF(ISNUMBER(SEARCH("DP",($C527&amp;" "&amp;$D527))),"DP","CONC")))&amp;" "&amp;TEXT(LOOKUP(9.99E+307,--MID(SUBSTITUTE(($C527&amp;" "&amp;$D527),CHAR(160)," "),SUMPRODUCT(MIN(FIND({0,1,2,3,4,5,6,7,8,9},SUBSTITUTE(($C527&amp;" "&amp;$D527),CHAR(160)," ")&amp;"0123456789"))),ROW(INDIRECT("1:6")))),"0"),"SIN NUMERO"))</f>
        <v/>
      </c>
      <c r="Q527" t="str">
        <f ca="1">IF($P527="","",IF(LEFT(UPPER($S527),9)="VERIFICAR","VERIFICAR",IF($A527="","SIN ESTADO",IF(AND($A527="Firmada",$H527=""),"FALTA FECHA DE FIRMA",IF(N($T527)=0,IF(AND(ISNUMBER($H527),$H527&gt;=DATE(2024,1,1)),"FALTA EN FIRMADAS","OK"),IF(OR($A527="Pendiente de presentación",$A527="Observado",$A527="En análisis",$A527="En instrucción",$A527="Suspendida",$A527="IT circulando",$A527="Para resolución",$A527="TDC"),"ABIERTA PERO ESTÁ EN FIRMADAS",IF($H527&lt;&gt;INDEX(firmadas!$F:$F,$T527),"FIRMA DISTINTA EN firmadas ("&amp;IF(INDEX(firmadas!$F:$F,$T527)="","vacía",DAY(INDEX(firmadas!$F:$F,$T527))&amp;"/"&amp;MONTH(INDEX(firmadas!$F:$F,$T527))&amp;"/"&amp;YEAR(INDEX(firmadas!$F:$F,$T527)))&amp;")",IF($G527&lt;&gt;INDEX(firmadas!$E:$E,$T527),"INGRESO DISTINTO EN firmadas ("&amp;IF(INDEX(firmadas!$E:$E,$T527)="","vacía",DAY(INDEX(firmadas!$E:$E,$T527))&amp;"/"&amp;MONTH(INDEX(firmadas!$E:$E,$T527))&amp;"/"&amp;YEAR(INDEX(firmadas!$E:$E,$T527)))&amp;")","OK"))))))))</f>
        <v/>
      </c>
      <c r="T527" t="str">
        <f ca="1">IF($P527="","",IFERROR(MATCH($P527,firmadas!$N:$N,0),IFERROR(MATCH("*/"&amp;MID($P527,FIND(" ",$P527)+1,9)&amp;"*",firmadas!$B:$B,0),0)))</f>
        <v/>
      </c>
    </row>
    <row r="528" spans="14:20" ht="15" customHeight="1" x14ac:dyDescent="0.25">
      <c r="N528" s="53" t="str">
        <f t="shared" ca="1" si="8"/>
        <v/>
      </c>
      <c r="P528" t="str">
        <f ca="1">IF(TRIM(SUBSTITUTE(($C528&amp;" "&amp;$D528),CHAR(160)," "))="","",IFERROR(IF(ISNUMBER(SEARCH("INC",($C528&amp;" "&amp;$D528))),"INC",IF(ISNUMBER(SEARCH("OPI",($C528&amp;" "&amp;$D528))),"OPI",IF(ISNUMBER(SEARCH("DP",($C528&amp;" "&amp;$D528))),"DP","CONC")))&amp;" "&amp;TEXT(LOOKUP(9.99E+307,--MID(SUBSTITUTE(($C528&amp;" "&amp;$D528),CHAR(160)," "),SUMPRODUCT(MIN(FIND({0,1,2,3,4,5,6,7,8,9},SUBSTITUTE(($C528&amp;" "&amp;$D528),CHAR(160)," ")&amp;"0123456789"))),ROW(INDIRECT("1:6")))),"0"),"SIN NUMERO"))</f>
        <v/>
      </c>
      <c r="Q528" t="str">
        <f ca="1">IF($P528="","",IF(LEFT(UPPER($S528),9)="VERIFICAR","VERIFICAR",IF($A528="","SIN ESTADO",IF(AND($A528="Firmada",$H528=""),"FALTA FECHA DE FIRMA",IF(N($T528)=0,IF(AND(ISNUMBER($H528),$H528&gt;=DATE(2024,1,1)),"FALTA EN FIRMADAS","OK"),IF(OR($A528="Pendiente de presentación",$A528="Observado",$A528="En análisis",$A528="En instrucción",$A528="Suspendida",$A528="IT circulando",$A528="Para resolución",$A528="TDC"),"ABIERTA PERO ESTÁ EN FIRMADAS",IF($H528&lt;&gt;INDEX(firmadas!$F:$F,$T528),"FIRMA DISTINTA EN firmadas ("&amp;IF(INDEX(firmadas!$F:$F,$T528)="","vacía",DAY(INDEX(firmadas!$F:$F,$T528))&amp;"/"&amp;MONTH(INDEX(firmadas!$F:$F,$T528))&amp;"/"&amp;YEAR(INDEX(firmadas!$F:$F,$T528)))&amp;")",IF($G528&lt;&gt;INDEX(firmadas!$E:$E,$T528),"INGRESO DISTINTO EN firmadas ("&amp;IF(INDEX(firmadas!$E:$E,$T528)="","vacía",DAY(INDEX(firmadas!$E:$E,$T528))&amp;"/"&amp;MONTH(INDEX(firmadas!$E:$E,$T528))&amp;"/"&amp;YEAR(INDEX(firmadas!$E:$E,$T528)))&amp;")","OK"))))))))</f>
        <v/>
      </c>
      <c r="T528" t="str">
        <f ca="1">IF($P528="","",IFERROR(MATCH($P528,firmadas!$N:$N,0),IFERROR(MATCH("*/"&amp;MID($P528,FIND(" ",$P528)+1,9)&amp;"*",firmadas!$B:$B,0),0)))</f>
        <v/>
      </c>
    </row>
    <row r="529" spans="14:20" ht="15" customHeight="1" x14ac:dyDescent="0.25">
      <c r="N529" s="53" t="str">
        <f t="shared" ca="1" si="8"/>
        <v/>
      </c>
      <c r="P529" t="str">
        <f ca="1">IF(TRIM(SUBSTITUTE(($C529&amp;" "&amp;$D529),CHAR(160)," "))="","",IFERROR(IF(ISNUMBER(SEARCH("INC",($C529&amp;" "&amp;$D529))),"INC",IF(ISNUMBER(SEARCH("OPI",($C529&amp;" "&amp;$D529))),"OPI",IF(ISNUMBER(SEARCH("DP",($C529&amp;" "&amp;$D529))),"DP","CONC")))&amp;" "&amp;TEXT(LOOKUP(9.99E+307,--MID(SUBSTITUTE(($C529&amp;" "&amp;$D529),CHAR(160)," "),SUMPRODUCT(MIN(FIND({0,1,2,3,4,5,6,7,8,9},SUBSTITUTE(($C529&amp;" "&amp;$D529),CHAR(160)," ")&amp;"0123456789"))),ROW(INDIRECT("1:6")))),"0"),"SIN NUMERO"))</f>
        <v/>
      </c>
      <c r="Q529" t="str">
        <f ca="1">IF($P529="","",IF(LEFT(UPPER($S529),9)="VERIFICAR","VERIFICAR",IF($A529="","SIN ESTADO",IF(AND($A529="Firmada",$H529=""),"FALTA FECHA DE FIRMA",IF(N($T529)=0,IF(AND(ISNUMBER($H529),$H529&gt;=DATE(2024,1,1)),"FALTA EN FIRMADAS","OK"),IF(OR($A529="Pendiente de presentación",$A529="Observado",$A529="En análisis",$A529="En instrucción",$A529="Suspendida",$A529="IT circulando",$A529="Para resolución",$A529="TDC"),"ABIERTA PERO ESTÁ EN FIRMADAS",IF($H529&lt;&gt;INDEX(firmadas!$F:$F,$T529),"FIRMA DISTINTA EN firmadas ("&amp;IF(INDEX(firmadas!$F:$F,$T529)="","vacía",DAY(INDEX(firmadas!$F:$F,$T529))&amp;"/"&amp;MONTH(INDEX(firmadas!$F:$F,$T529))&amp;"/"&amp;YEAR(INDEX(firmadas!$F:$F,$T529)))&amp;")",IF($G529&lt;&gt;INDEX(firmadas!$E:$E,$T529),"INGRESO DISTINTO EN firmadas ("&amp;IF(INDEX(firmadas!$E:$E,$T529)="","vacía",DAY(INDEX(firmadas!$E:$E,$T529))&amp;"/"&amp;MONTH(INDEX(firmadas!$E:$E,$T529))&amp;"/"&amp;YEAR(INDEX(firmadas!$E:$E,$T529)))&amp;")","OK"))))))))</f>
        <v/>
      </c>
      <c r="T529" t="str">
        <f ca="1">IF($P529="","",IFERROR(MATCH($P529,firmadas!$N:$N,0),IFERROR(MATCH("*/"&amp;MID($P529,FIND(" ",$P529)+1,9)&amp;"*",firmadas!$B:$B,0),0)))</f>
        <v/>
      </c>
    </row>
    <row r="530" spans="14:20" ht="15" customHeight="1" x14ac:dyDescent="0.25">
      <c r="N530" s="53" t="str">
        <f t="shared" ca="1" si="8"/>
        <v/>
      </c>
      <c r="P530" t="str">
        <f ca="1">IF(TRIM(SUBSTITUTE(($C530&amp;" "&amp;$D530),CHAR(160)," "))="","",IFERROR(IF(ISNUMBER(SEARCH("INC",($C530&amp;" "&amp;$D530))),"INC",IF(ISNUMBER(SEARCH("OPI",($C530&amp;" "&amp;$D530))),"OPI",IF(ISNUMBER(SEARCH("DP",($C530&amp;" "&amp;$D530))),"DP","CONC")))&amp;" "&amp;TEXT(LOOKUP(9.99E+307,--MID(SUBSTITUTE(($C530&amp;" "&amp;$D530),CHAR(160)," "),SUMPRODUCT(MIN(FIND({0,1,2,3,4,5,6,7,8,9},SUBSTITUTE(($C530&amp;" "&amp;$D530),CHAR(160)," ")&amp;"0123456789"))),ROW(INDIRECT("1:6")))),"0"),"SIN NUMERO"))</f>
        <v/>
      </c>
      <c r="Q530" t="str">
        <f ca="1">IF($P530="","",IF(LEFT(UPPER($S530),9)="VERIFICAR","VERIFICAR",IF($A530="","SIN ESTADO",IF(AND($A530="Firmada",$H530=""),"FALTA FECHA DE FIRMA",IF(N($T530)=0,IF(AND(ISNUMBER($H530),$H530&gt;=DATE(2024,1,1)),"FALTA EN FIRMADAS","OK"),IF(OR($A530="Pendiente de presentación",$A530="Observado",$A530="En análisis",$A530="En instrucción",$A530="Suspendida",$A530="IT circulando",$A530="Para resolución",$A530="TDC"),"ABIERTA PERO ESTÁ EN FIRMADAS",IF($H530&lt;&gt;INDEX(firmadas!$F:$F,$T530),"FIRMA DISTINTA EN firmadas ("&amp;IF(INDEX(firmadas!$F:$F,$T530)="","vacía",DAY(INDEX(firmadas!$F:$F,$T530))&amp;"/"&amp;MONTH(INDEX(firmadas!$F:$F,$T530))&amp;"/"&amp;YEAR(INDEX(firmadas!$F:$F,$T530)))&amp;")",IF($G530&lt;&gt;INDEX(firmadas!$E:$E,$T530),"INGRESO DISTINTO EN firmadas ("&amp;IF(INDEX(firmadas!$E:$E,$T530)="","vacía",DAY(INDEX(firmadas!$E:$E,$T530))&amp;"/"&amp;MONTH(INDEX(firmadas!$E:$E,$T530))&amp;"/"&amp;YEAR(INDEX(firmadas!$E:$E,$T530)))&amp;")","OK"))))))))</f>
        <v/>
      </c>
      <c r="T530" t="str">
        <f ca="1">IF($P530="","",IFERROR(MATCH($P530,firmadas!$N:$N,0),IFERROR(MATCH("*/"&amp;MID($P530,FIND(" ",$P530)+1,9)&amp;"*",firmadas!$B:$B,0),0)))</f>
        <v/>
      </c>
    </row>
    <row r="531" spans="14:20" ht="15" customHeight="1" x14ac:dyDescent="0.25">
      <c r="N531" s="53" t="str">
        <f t="shared" ca="1" si="8"/>
        <v/>
      </c>
      <c r="P531" t="str">
        <f ca="1">IF(TRIM(SUBSTITUTE(($C531&amp;" "&amp;$D531),CHAR(160)," "))="","",IFERROR(IF(ISNUMBER(SEARCH("INC",($C531&amp;" "&amp;$D531))),"INC",IF(ISNUMBER(SEARCH("OPI",($C531&amp;" "&amp;$D531))),"OPI",IF(ISNUMBER(SEARCH("DP",($C531&amp;" "&amp;$D531))),"DP","CONC")))&amp;" "&amp;TEXT(LOOKUP(9.99E+307,--MID(SUBSTITUTE(($C531&amp;" "&amp;$D531),CHAR(160)," "),SUMPRODUCT(MIN(FIND({0,1,2,3,4,5,6,7,8,9},SUBSTITUTE(($C531&amp;" "&amp;$D531),CHAR(160)," ")&amp;"0123456789"))),ROW(INDIRECT("1:6")))),"0"),"SIN NUMERO"))</f>
        <v/>
      </c>
      <c r="Q531" t="str">
        <f ca="1">IF($P531="","",IF(LEFT(UPPER($S531),9)="VERIFICAR","VERIFICAR",IF($A531="","SIN ESTADO",IF(AND($A531="Firmada",$H531=""),"FALTA FECHA DE FIRMA",IF(N($T531)=0,IF(AND(ISNUMBER($H531),$H531&gt;=DATE(2024,1,1)),"FALTA EN FIRMADAS","OK"),IF(OR($A531="Pendiente de presentación",$A531="Observado",$A531="En análisis",$A531="En instrucción",$A531="Suspendida",$A531="IT circulando",$A531="Para resolución",$A531="TDC"),"ABIERTA PERO ESTÁ EN FIRMADAS",IF($H531&lt;&gt;INDEX(firmadas!$F:$F,$T531),"FIRMA DISTINTA EN firmadas ("&amp;IF(INDEX(firmadas!$F:$F,$T531)="","vacía",DAY(INDEX(firmadas!$F:$F,$T531))&amp;"/"&amp;MONTH(INDEX(firmadas!$F:$F,$T531))&amp;"/"&amp;YEAR(INDEX(firmadas!$F:$F,$T531)))&amp;")",IF($G531&lt;&gt;INDEX(firmadas!$E:$E,$T531),"INGRESO DISTINTO EN firmadas ("&amp;IF(INDEX(firmadas!$E:$E,$T531)="","vacía",DAY(INDEX(firmadas!$E:$E,$T531))&amp;"/"&amp;MONTH(INDEX(firmadas!$E:$E,$T531))&amp;"/"&amp;YEAR(INDEX(firmadas!$E:$E,$T531)))&amp;")","OK"))))))))</f>
        <v/>
      </c>
      <c r="T531" t="str">
        <f ca="1">IF($P531="","",IFERROR(MATCH($P531,firmadas!$N:$N,0),IFERROR(MATCH("*/"&amp;MID($P531,FIND(" ",$P531)+1,9)&amp;"*",firmadas!$B:$B,0),0)))</f>
        <v/>
      </c>
    </row>
    <row r="532" spans="14:20" ht="15" customHeight="1" x14ac:dyDescent="0.25">
      <c r="N532" s="53" t="str">
        <f t="shared" ca="1" si="8"/>
        <v/>
      </c>
      <c r="P532" t="str">
        <f ca="1">IF(TRIM(SUBSTITUTE(($C532&amp;" "&amp;$D532),CHAR(160)," "))="","",IFERROR(IF(ISNUMBER(SEARCH("INC",($C532&amp;" "&amp;$D532))),"INC",IF(ISNUMBER(SEARCH("OPI",($C532&amp;" "&amp;$D532))),"OPI",IF(ISNUMBER(SEARCH("DP",($C532&amp;" "&amp;$D532))),"DP","CONC")))&amp;" "&amp;TEXT(LOOKUP(9.99E+307,--MID(SUBSTITUTE(($C532&amp;" "&amp;$D532),CHAR(160)," "),SUMPRODUCT(MIN(FIND({0,1,2,3,4,5,6,7,8,9},SUBSTITUTE(($C532&amp;" "&amp;$D532),CHAR(160)," ")&amp;"0123456789"))),ROW(INDIRECT("1:6")))),"0"),"SIN NUMERO"))</f>
        <v/>
      </c>
      <c r="Q532" t="str">
        <f ca="1">IF($P532="","",IF(LEFT(UPPER($S532),9)="VERIFICAR","VERIFICAR",IF($A532="","SIN ESTADO",IF(AND($A532="Firmada",$H532=""),"FALTA FECHA DE FIRMA",IF(N($T532)=0,IF(AND(ISNUMBER($H532),$H532&gt;=DATE(2024,1,1)),"FALTA EN FIRMADAS","OK"),IF(OR($A532="Pendiente de presentación",$A532="Observado",$A532="En análisis",$A532="En instrucción",$A532="Suspendida",$A532="IT circulando",$A532="Para resolución",$A532="TDC"),"ABIERTA PERO ESTÁ EN FIRMADAS",IF($H532&lt;&gt;INDEX(firmadas!$F:$F,$T532),"FIRMA DISTINTA EN firmadas ("&amp;IF(INDEX(firmadas!$F:$F,$T532)="","vacía",DAY(INDEX(firmadas!$F:$F,$T532))&amp;"/"&amp;MONTH(INDEX(firmadas!$F:$F,$T532))&amp;"/"&amp;YEAR(INDEX(firmadas!$F:$F,$T532)))&amp;")",IF($G532&lt;&gt;INDEX(firmadas!$E:$E,$T532),"INGRESO DISTINTO EN firmadas ("&amp;IF(INDEX(firmadas!$E:$E,$T532)="","vacía",DAY(INDEX(firmadas!$E:$E,$T532))&amp;"/"&amp;MONTH(INDEX(firmadas!$E:$E,$T532))&amp;"/"&amp;YEAR(INDEX(firmadas!$E:$E,$T532)))&amp;")","OK"))))))))</f>
        <v/>
      </c>
      <c r="T532" t="str">
        <f ca="1">IF($P532="","",IFERROR(MATCH($P532,firmadas!$N:$N,0),IFERROR(MATCH("*/"&amp;MID($P532,FIND(" ",$P532)+1,9)&amp;"*",firmadas!$B:$B,0),0)))</f>
        <v/>
      </c>
    </row>
    <row r="533" spans="14:20" ht="15" customHeight="1" x14ac:dyDescent="0.25">
      <c r="N533" s="53" t="str">
        <f t="shared" ca="1" si="8"/>
        <v/>
      </c>
      <c r="P533" t="str">
        <f ca="1">IF(TRIM(SUBSTITUTE(($C533&amp;" "&amp;$D533),CHAR(160)," "))="","",IFERROR(IF(ISNUMBER(SEARCH("INC",($C533&amp;" "&amp;$D533))),"INC",IF(ISNUMBER(SEARCH("OPI",($C533&amp;" "&amp;$D533))),"OPI",IF(ISNUMBER(SEARCH("DP",($C533&amp;" "&amp;$D533))),"DP","CONC")))&amp;" "&amp;TEXT(LOOKUP(9.99E+307,--MID(SUBSTITUTE(($C533&amp;" "&amp;$D533),CHAR(160)," "),SUMPRODUCT(MIN(FIND({0,1,2,3,4,5,6,7,8,9},SUBSTITUTE(($C533&amp;" "&amp;$D533),CHAR(160)," ")&amp;"0123456789"))),ROW(INDIRECT("1:6")))),"0"),"SIN NUMERO"))</f>
        <v/>
      </c>
      <c r="Q533" t="str">
        <f ca="1">IF($P533="","",IF(LEFT(UPPER($S533),9)="VERIFICAR","VERIFICAR",IF($A533="","SIN ESTADO",IF(AND($A533="Firmada",$H533=""),"FALTA FECHA DE FIRMA",IF(N($T533)=0,IF(AND(ISNUMBER($H533),$H533&gt;=DATE(2024,1,1)),"FALTA EN FIRMADAS","OK"),IF(OR($A533="Pendiente de presentación",$A533="Observado",$A533="En análisis",$A533="En instrucción",$A533="Suspendida",$A533="IT circulando",$A533="Para resolución",$A533="TDC"),"ABIERTA PERO ESTÁ EN FIRMADAS",IF($H533&lt;&gt;INDEX(firmadas!$F:$F,$T533),"FIRMA DISTINTA EN firmadas ("&amp;IF(INDEX(firmadas!$F:$F,$T533)="","vacía",DAY(INDEX(firmadas!$F:$F,$T533))&amp;"/"&amp;MONTH(INDEX(firmadas!$F:$F,$T533))&amp;"/"&amp;YEAR(INDEX(firmadas!$F:$F,$T533)))&amp;")",IF($G533&lt;&gt;INDEX(firmadas!$E:$E,$T533),"INGRESO DISTINTO EN firmadas ("&amp;IF(INDEX(firmadas!$E:$E,$T533)="","vacía",DAY(INDEX(firmadas!$E:$E,$T533))&amp;"/"&amp;MONTH(INDEX(firmadas!$E:$E,$T533))&amp;"/"&amp;YEAR(INDEX(firmadas!$E:$E,$T533)))&amp;")","OK"))))))))</f>
        <v/>
      </c>
      <c r="T533" t="str">
        <f ca="1">IF($P533="","",IFERROR(MATCH($P533,firmadas!$N:$N,0),IFERROR(MATCH("*/"&amp;MID($P533,FIND(" ",$P533)+1,9)&amp;"*",firmadas!$B:$B,0),0)))</f>
        <v/>
      </c>
    </row>
    <row r="534" spans="14:20" ht="15" customHeight="1" x14ac:dyDescent="0.25">
      <c r="N534" s="53" t="str">
        <f t="shared" ca="1" si="8"/>
        <v/>
      </c>
      <c r="P534" t="str">
        <f ca="1">IF(TRIM(SUBSTITUTE(($C534&amp;" "&amp;$D534),CHAR(160)," "))="","",IFERROR(IF(ISNUMBER(SEARCH("INC",($C534&amp;" "&amp;$D534))),"INC",IF(ISNUMBER(SEARCH("OPI",($C534&amp;" "&amp;$D534))),"OPI",IF(ISNUMBER(SEARCH("DP",($C534&amp;" "&amp;$D534))),"DP","CONC")))&amp;" "&amp;TEXT(LOOKUP(9.99E+307,--MID(SUBSTITUTE(($C534&amp;" "&amp;$D534),CHAR(160)," "),SUMPRODUCT(MIN(FIND({0,1,2,3,4,5,6,7,8,9},SUBSTITUTE(($C534&amp;" "&amp;$D534),CHAR(160)," ")&amp;"0123456789"))),ROW(INDIRECT("1:6")))),"0"),"SIN NUMERO"))</f>
        <v/>
      </c>
      <c r="Q534" t="str">
        <f ca="1">IF($P534="","",IF(LEFT(UPPER($S534),9)="VERIFICAR","VERIFICAR",IF($A534="","SIN ESTADO",IF(AND($A534="Firmada",$H534=""),"FALTA FECHA DE FIRMA",IF(N($T534)=0,IF(AND(ISNUMBER($H534),$H534&gt;=DATE(2024,1,1)),"FALTA EN FIRMADAS","OK"),IF(OR($A534="Pendiente de presentación",$A534="Observado",$A534="En análisis",$A534="En instrucción",$A534="Suspendida",$A534="IT circulando",$A534="Para resolución",$A534="TDC"),"ABIERTA PERO ESTÁ EN FIRMADAS",IF($H534&lt;&gt;INDEX(firmadas!$F:$F,$T534),"FIRMA DISTINTA EN firmadas ("&amp;IF(INDEX(firmadas!$F:$F,$T534)="","vacía",DAY(INDEX(firmadas!$F:$F,$T534))&amp;"/"&amp;MONTH(INDEX(firmadas!$F:$F,$T534))&amp;"/"&amp;YEAR(INDEX(firmadas!$F:$F,$T534)))&amp;")",IF($G534&lt;&gt;INDEX(firmadas!$E:$E,$T534),"INGRESO DISTINTO EN firmadas ("&amp;IF(INDEX(firmadas!$E:$E,$T534)="","vacía",DAY(INDEX(firmadas!$E:$E,$T534))&amp;"/"&amp;MONTH(INDEX(firmadas!$E:$E,$T534))&amp;"/"&amp;YEAR(INDEX(firmadas!$E:$E,$T534)))&amp;")","OK"))))))))</f>
        <v/>
      </c>
      <c r="T534" t="str">
        <f ca="1">IF($P534="","",IFERROR(MATCH($P534,firmadas!$N:$N,0),IFERROR(MATCH("*/"&amp;MID($P534,FIND(" ",$P534)+1,9)&amp;"*",firmadas!$B:$B,0),0)))</f>
        <v/>
      </c>
    </row>
    <row r="535" spans="14:20" ht="15" customHeight="1" x14ac:dyDescent="0.25">
      <c r="N535" s="53" t="str">
        <f t="shared" ca="1" si="8"/>
        <v/>
      </c>
      <c r="P535" t="str">
        <f ca="1">IF(TRIM(SUBSTITUTE(($C535&amp;" "&amp;$D535),CHAR(160)," "))="","",IFERROR(IF(ISNUMBER(SEARCH("INC",($C535&amp;" "&amp;$D535))),"INC",IF(ISNUMBER(SEARCH("OPI",($C535&amp;" "&amp;$D535))),"OPI",IF(ISNUMBER(SEARCH("DP",($C535&amp;" "&amp;$D535))),"DP","CONC")))&amp;" "&amp;TEXT(LOOKUP(9.99E+307,--MID(SUBSTITUTE(($C535&amp;" "&amp;$D535),CHAR(160)," "),SUMPRODUCT(MIN(FIND({0,1,2,3,4,5,6,7,8,9},SUBSTITUTE(($C535&amp;" "&amp;$D535),CHAR(160)," ")&amp;"0123456789"))),ROW(INDIRECT("1:6")))),"0"),"SIN NUMERO"))</f>
        <v/>
      </c>
      <c r="Q535" t="str">
        <f ca="1">IF($P535="","",IF(LEFT(UPPER($S535),9)="VERIFICAR","VERIFICAR",IF($A535="","SIN ESTADO",IF(AND($A535="Firmada",$H535=""),"FALTA FECHA DE FIRMA",IF(N($T535)=0,IF(AND(ISNUMBER($H535),$H535&gt;=DATE(2024,1,1)),"FALTA EN FIRMADAS","OK"),IF(OR($A535="Pendiente de presentación",$A535="Observado",$A535="En análisis",$A535="En instrucción",$A535="Suspendida",$A535="IT circulando",$A535="Para resolución",$A535="TDC"),"ABIERTA PERO ESTÁ EN FIRMADAS",IF($H535&lt;&gt;INDEX(firmadas!$F:$F,$T535),"FIRMA DISTINTA EN firmadas ("&amp;IF(INDEX(firmadas!$F:$F,$T535)="","vacía",DAY(INDEX(firmadas!$F:$F,$T535))&amp;"/"&amp;MONTH(INDEX(firmadas!$F:$F,$T535))&amp;"/"&amp;YEAR(INDEX(firmadas!$F:$F,$T535)))&amp;")",IF($G535&lt;&gt;INDEX(firmadas!$E:$E,$T535),"INGRESO DISTINTO EN firmadas ("&amp;IF(INDEX(firmadas!$E:$E,$T535)="","vacía",DAY(INDEX(firmadas!$E:$E,$T535))&amp;"/"&amp;MONTH(INDEX(firmadas!$E:$E,$T535))&amp;"/"&amp;YEAR(INDEX(firmadas!$E:$E,$T535)))&amp;")","OK"))))))))</f>
        <v/>
      </c>
      <c r="T535" t="str">
        <f ca="1">IF($P535="","",IFERROR(MATCH($P535,firmadas!$N:$N,0),IFERROR(MATCH("*/"&amp;MID($P535,FIND(" ",$P535)+1,9)&amp;"*",firmadas!$B:$B,0),0)))</f>
        <v/>
      </c>
    </row>
    <row r="536" spans="14:20" ht="15" customHeight="1" x14ac:dyDescent="0.25">
      <c r="N536" s="53" t="str">
        <f t="shared" ca="1" si="8"/>
        <v/>
      </c>
      <c r="P536" t="str">
        <f ca="1">IF(TRIM(SUBSTITUTE(($C536&amp;" "&amp;$D536),CHAR(160)," "))="","",IFERROR(IF(ISNUMBER(SEARCH("INC",($C536&amp;" "&amp;$D536))),"INC",IF(ISNUMBER(SEARCH("OPI",($C536&amp;" "&amp;$D536))),"OPI",IF(ISNUMBER(SEARCH("DP",($C536&amp;" "&amp;$D536))),"DP","CONC")))&amp;" "&amp;TEXT(LOOKUP(9.99E+307,--MID(SUBSTITUTE(($C536&amp;" "&amp;$D536),CHAR(160)," "),SUMPRODUCT(MIN(FIND({0,1,2,3,4,5,6,7,8,9},SUBSTITUTE(($C536&amp;" "&amp;$D536),CHAR(160)," ")&amp;"0123456789"))),ROW(INDIRECT("1:6")))),"0"),"SIN NUMERO"))</f>
        <v/>
      </c>
      <c r="Q536" t="str">
        <f ca="1">IF($P536="","",IF(LEFT(UPPER($S536),9)="VERIFICAR","VERIFICAR",IF($A536="","SIN ESTADO",IF(AND($A536="Firmada",$H536=""),"FALTA FECHA DE FIRMA",IF(N($T536)=0,IF(AND(ISNUMBER($H536),$H536&gt;=DATE(2024,1,1)),"FALTA EN FIRMADAS","OK"),IF(OR($A536="Pendiente de presentación",$A536="Observado",$A536="En análisis",$A536="En instrucción",$A536="Suspendida",$A536="IT circulando",$A536="Para resolución",$A536="TDC"),"ABIERTA PERO ESTÁ EN FIRMADAS",IF($H536&lt;&gt;INDEX(firmadas!$F:$F,$T536),"FIRMA DISTINTA EN firmadas ("&amp;IF(INDEX(firmadas!$F:$F,$T536)="","vacía",DAY(INDEX(firmadas!$F:$F,$T536))&amp;"/"&amp;MONTH(INDEX(firmadas!$F:$F,$T536))&amp;"/"&amp;YEAR(INDEX(firmadas!$F:$F,$T536)))&amp;")",IF($G536&lt;&gt;INDEX(firmadas!$E:$E,$T536),"INGRESO DISTINTO EN firmadas ("&amp;IF(INDEX(firmadas!$E:$E,$T536)="","vacía",DAY(INDEX(firmadas!$E:$E,$T536))&amp;"/"&amp;MONTH(INDEX(firmadas!$E:$E,$T536))&amp;"/"&amp;YEAR(INDEX(firmadas!$E:$E,$T536)))&amp;")","OK"))))))))</f>
        <v/>
      </c>
      <c r="T536" t="str">
        <f ca="1">IF($P536="","",IFERROR(MATCH($P536,firmadas!$N:$N,0),IFERROR(MATCH("*/"&amp;MID($P536,FIND(" ",$P536)+1,9)&amp;"*",firmadas!$B:$B,0),0)))</f>
        <v/>
      </c>
    </row>
    <row r="537" spans="14:20" ht="15" customHeight="1" x14ac:dyDescent="0.25">
      <c r="N537" s="53" t="str">
        <f t="shared" ca="1" si="8"/>
        <v/>
      </c>
      <c r="P537" t="str">
        <f ca="1">IF(TRIM(SUBSTITUTE(($C537&amp;" "&amp;$D537),CHAR(160)," "))="","",IFERROR(IF(ISNUMBER(SEARCH("INC",($C537&amp;" "&amp;$D537))),"INC",IF(ISNUMBER(SEARCH("OPI",($C537&amp;" "&amp;$D537))),"OPI",IF(ISNUMBER(SEARCH("DP",($C537&amp;" "&amp;$D537))),"DP","CONC")))&amp;" "&amp;TEXT(LOOKUP(9.99E+307,--MID(SUBSTITUTE(($C537&amp;" "&amp;$D537),CHAR(160)," "),SUMPRODUCT(MIN(FIND({0,1,2,3,4,5,6,7,8,9},SUBSTITUTE(($C537&amp;" "&amp;$D537),CHAR(160)," ")&amp;"0123456789"))),ROW(INDIRECT("1:6")))),"0"),"SIN NUMERO"))</f>
        <v/>
      </c>
      <c r="Q537" t="str">
        <f ca="1">IF($P537="","",IF(LEFT(UPPER($S537),9)="VERIFICAR","VERIFICAR",IF($A537="","SIN ESTADO",IF(AND($A537="Firmada",$H537=""),"FALTA FECHA DE FIRMA",IF(N($T537)=0,IF(AND(ISNUMBER($H537),$H537&gt;=DATE(2024,1,1)),"FALTA EN FIRMADAS","OK"),IF(OR($A537="Pendiente de presentación",$A537="Observado",$A537="En análisis",$A537="En instrucción",$A537="Suspendida",$A537="IT circulando",$A537="Para resolución",$A537="TDC"),"ABIERTA PERO ESTÁ EN FIRMADAS",IF($H537&lt;&gt;INDEX(firmadas!$F:$F,$T537),"FIRMA DISTINTA EN firmadas ("&amp;IF(INDEX(firmadas!$F:$F,$T537)="","vacía",DAY(INDEX(firmadas!$F:$F,$T537))&amp;"/"&amp;MONTH(INDEX(firmadas!$F:$F,$T537))&amp;"/"&amp;YEAR(INDEX(firmadas!$F:$F,$T537)))&amp;")",IF($G537&lt;&gt;INDEX(firmadas!$E:$E,$T537),"INGRESO DISTINTO EN firmadas ("&amp;IF(INDEX(firmadas!$E:$E,$T537)="","vacía",DAY(INDEX(firmadas!$E:$E,$T537))&amp;"/"&amp;MONTH(INDEX(firmadas!$E:$E,$T537))&amp;"/"&amp;YEAR(INDEX(firmadas!$E:$E,$T537)))&amp;")","OK"))))))))</f>
        <v/>
      </c>
      <c r="T537" t="str">
        <f ca="1">IF($P537="","",IFERROR(MATCH($P537,firmadas!$N:$N,0),IFERROR(MATCH("*/"&amp;MID($P537,FIND(" ",$P537)+1,9)&amp;"*",firmadas!$B:$B,0),0)))</f>
        <v/>
      </c>
    </row>
    <row r="538" spans="14:20" ht="15" customHeight="1" x14ac:dyDescent="0.25">
      <c r="N538" s="53" t="str">
        <f t="shared" ca="1" si="8"/>
        <v/>
      </c>
      <c r="P538" t="str">
        <f ca="1">IF(TRIM(SUBSTITUTE(($C538&amp;" "&amp;$D538),CHAR(160)," "))="","",IFERROR(IF(ISNUMBER(SEARCH("INC",($C538&amp;" "&amp;$D538))),"INC",IF(ISNUMBER(SEARCH("OPI",($C538&amp;" "&amp;$D538))),"OPI",IF(ISNUMBER(SEARCH("DP",($C538&amp;" "&amp;$D538))),"DP","CONC")))&amp;" "&amp;TEXT(LOOKUP(9.99E+307,--MID(SUBSTITUTE(($C538&amp;" "&amp;$D538),CHAR(160)," "),SUMPRODUCT(MIN(FIND({0,1,2,3,4,5,6,7,8,9},SUBSTITUTE(($C538&amp;" "&amp;$D538),CHAR(160)," ")&amp;"0123456789"))),ROW(INDIRECT("1:6")))),"0"),"SIN NUMERO"))</f>
        <v/>
      </c>
      <c r="Q538" t="str">
        <f ca="1">IF($P538="","",IF(LEFT(UPPER($S538),9)="VERIFICAR","VERIFICAR",IF($A538="","SIN ESTADO",IF(AND($A538="Firmada",$H538=""),"FALTA FECHA DE FIRMA",IF(N($T538)=0,IF(AND(ISNUMBER($H538),$H538&gt;=DATE(2024,1,1)),"FALTA EN FIRMADAS","OK"),IF(OR($A538="Pendiente de presentación",$A538="Observado",$A538="En análisis",$A538="En instrucción",$A538="Suspendida",$A538="IT circulando",$A538="Para resolución",$A538="TDC"),"ABIERTA PERO ESTÁ EN FIRMADAS",IF($H538&lt;&gt;INDEX(firmadas!$F:$F,$T538),"FIRMA DISTINTA EN firmadas ("&amp;IF(INDEX(firmadas!$F:$F,$T538)="","vacía",DAY(INDEX(firmadas!$F:$F,$T538))&amp;"/"&amp;MONTH(INDEX(firmadas!$F:$F,$T538))&amp;"/"&amp;YEAR(INDEX(firmadas!$F:$F,$T538)))&amp;")",IF($G538&lt;&gt;INDEX(firmadas!$E:$E,$T538),"INGRESO DISTINTO EN firmadas ("&amp;IF(INDEX(firmadas!$E:$E,$T538)="","vacía",DAY(INDEX(firmadas!$E:$E,$T538))&amp;"/"&amp;MONTH(INDEX(firmadas!$E:$E,$T538))&amp;"/"&amp;YEAR(INDEX(firmadas!$E:$E,$T538)))&amp;")","OK"))))))))</f>
        <v/>
      </c>
      <c r="T538" t="str">
        <f ca="1">IF($P538="","",IFERROR(MATCH($P538,firmadas!$N:$N,0),IFERROR(MATCH("*/"&amp;MID($P538,FIND(" ",$P538)+1,9)&amp;"*",firmadas!$B:$B,0),0)))</f>
        <v/>
      </c>
    </row>
    <row r="539" spans="14:20" ht="15" customHeight="1" x14ac:dyDescent="0.25">
      <c r="N539" s="53" t="str">
        <f t="shared" ca="1" si="8"/>
        <v/>
      </c>
      <c r="P539" t="str">
        <f ca="1">IF(TRIM(SUBSTITUTE(($C539&amp;" "&amp;$D539),CHAR(160)," "))="","",IFERROR(IF(ISNUMBER(SEARCH("INC",($C539&amp;" "&amp;$D539))),"INC",IF(ISNUMBER(SEARCH("OPI",($C539&amp;" "&amp;$D539))),"OPI",IF(ISNUMBER(SEARCH("DP",($C539&amp;" "&amp;$D539))),"DP","CONC")))&amp;" "&amp;TEXT(LOOKUP(9.99E+307,--MID(SUBSTITUTE(($C539&amp;" "&amp;$D539),CHAR(160)," "),SUMPRODUCT(MIN(FIND({0,1,2,3,4,5,6,7,8,9},SUBSTITUTE(($C539&amp;" "&amp;$D539),CHAR(160)," ")&amp;"0123456789"))),ROW(INDIRECT("1:6")))),"0"),"SIN NUMERO"))</f>
        <v/>
      </c>
      <c r="Q539" t="str">
        <f ca="1">IF($P539="","",IF(LEFT(UPPER($S539),9)="VERIFICAR","VERIFICAR",IF($A539="","SIN ESTADO",IF(AND($A539="Firmada",$H539=""),"FALTA FECHA DE FIRMA",IF(N($T539)=0,IF(AND(ISNUMBER($H539),$H539&gt;=DATE(2024,1,1)),"FALTA EN FIRMADAS","OK"),IF(OR($A539="Pendiente de presentación",$A539="Observado",$A539="En análisis",$A539="En instrucción",$A539="Suspendida",$A539="IT circulando",$A539="Para resolución",$A539="TDC"),"ABIERTA PERO ESTÁ EN FIRMADAS",IF($H539&lt;&gt;INDEX(firmadas!$F:$F,$T539),"FIRMA DISTINTA EN firmadas ("&amp;IF(INDEX(firmadas!$F:$F,$T539)="","vacía",DAY(INDEX(firmadas!$F:$F,$T539))&amp;"/"&amp;MONTH(INDEX(firmadas!$F:$F,$T539))&amp;"/"&amp;YEAR(INDEX(firmadas!$F:$F,$T539)))&amp;")",IF($G539&lt;&gt;INDEX(firmadas!$E:$E,$T539),"INGRESO DISTINTO EN firmadas ("&amp;IF(INDEX(firmadas!$E:$E,$T539)="","vacía",DAY(INDEX(firmadas!$E:$E,$T539))&amp;"/"&amp;MONTH(INDEX(firmadas!$E:$E,$T539))&amp;"/"&amp;YEAR(INDEX(firmadas!$E:$E,$T539)))&amp;")","OK"))))))))</f>
        <v/>
      </c>
      <c r="T539" t="str">
        <f ca="1">IF($P539="","",IFERROR(MATCH($P539,firmadas!$N:$N,0),IFERROR(MATCH("*/"&amp;MID($P539,FIND(" ",$P539)+1,9)&amp;"*",firmadas!$B:$B,0),0)))</f>
        <v/>
      </c>
    </row>
    <row r="540" spans="14:20" ht="15" customHeight="1" x14ac:dyDescent="0.25">
      <c r="N540" s="53" t="str">
        <f t="shared" ca="1" si="8"/>
        <v/>
      </c>
      <c r="P540" t="str">
        <f ca="1">IF(TRIM(SUBSTITUTE(($C540&amp;" "&amp;$D540),CHAR(160)," "))="","",IFERROR(IF(ISNUMBER(SEARCH("INC",($C540&amp;" "&amp;$D540))),"INC",IF(ISNUMBER(SEARCH("OPI",($C540&amp;" "&amp;$D540))),"OPI",IF(ISNUMBER(SEARCH("DP",($C540&amp;" "&amp;$D540))),"DP","CONC")))&amp;" "&amp;TEXT(LOOKUP(9.99E+307,--MID(SUBSTITUTE(($C540&amp;" "&amp;$D540),CHAR(160)," "),SUMPRODUCT(MIN(FIND({0,1,2,3,4,5,6,7,8,9},SUBSTITUTE(($C540&amp;" "&amp;$D540),CHAR(160)," ")&amp;"0123456789"))),ROW(INDIRECT("1:6")))),"0"),"SIN NUMERO"))</f>
        <v/>
      </c>
      <c r="Q540" t="str">
        <f ca="1">IF($P540="","",IF(LEFT(UPPER($S540),9)="VERIFICAR","VERIFICAR",IF($A540="","SIN ESTADO",IF(AND($A540="Firmada",$H540=""),"FALTA FECHA DE FIRMA",IF(N($T540)=0,IF(AND(ISNUMBER($H540),$H540&gt;=DATE(2024,1,1)),"FALTA EN FIRMADAS","OK"),IF(OR($A540="Pendiente de presentación",$A540="Observado",$A540="En análisis",$A540="En instrucción",$A540="Suspendida",$A540="IT circulando",$A540="Para resolución",$A540="TDC"),"ABIERTA PERO ESTÁ EN FIRMADAS",IF($H540&lt;&gt;INDEX(firmadas!$F:$F,$T540),"FIRMA DISTINTA EN firmadas ("&amp;IF(INDEX(firmadas!$F:$F,$T540)="","vacía",DAY(INDEX(firmadas!$F:$F,$T540))&amp;"/"&amp;MONTH(INDEX(firmadas!$F:$F,$T540))&amp;"/"&amp;YEAR(INDEX(firmadas!$F:$F,$T540)))&amp;")",IF($G540&lt;&gt;INDEX(firmadas!$E:$E,$T540),"INGRESO DISTINTO EN firmadas ("&amp;IF(INDEX(firmadas!$E:$E,$T540)="","vacía",DAY(INDEX(firmadas!$E:$E,$T540))&amp;"/"&amp;MONTH(INDEX(firmadas!$E:$E,$T540))&amp;"/"&amp;YEAR(INDEX(firmadas!$E:$E,$T540)))&amp;")","OK"))))))))</f>
        <v/>
      </c>
      <c r="T540" t="str">
        <f ca="1">IF($P540="","",IFERROR(MATCH($P540,firmadas!$N:$N,0),IFERROR(MATCH("*/"&amp;MID($P540,FIND(" ",$P540)+1,9)&amp;"*",firmadas!$B:$B,0),0)))</f>
        <v/>
      </c>
    </row>
    <row r="541" spans="14:20" ht="15" customHeight="1" x14ac:dyDescent="0.25">
      <c r="N541" s="53" t="str">
        <f t="shared" ca="1" si="8"/>
        <v/>
      </c>
      <c r="P541" t="str">
        <f ca="1">IF(TRIM(SUBSTITUTE(($C541&amp;" "&amp;$D541),CHAR(160)," "))="","",IFERROR(IF(ISNUMBER(SEARCH("INC",($C541&amp;" "&amp;$D541))),"INC",IF(ISNUMBER(SEARCH("OPI",($C541&amp;" "&amp;$D541))),"OPI",IF(ISNUMBER(SEARCH("DP",($C541&amp;" "&amp;$D541))),"DP","CONC")))&amp;" "&amp;TEXT(LOOKUP(9.99E+307,--MID(SUBSTITUTE(($C541&amp;" "&amp;$D541),CHAR(160)," "),SUMPRODUCT(MIN(FIND({0,1,2,3,4,5,6,7,8,9},SUBSTITUTE(($C541&amp;" "&amp;$D541),CHAR(160)," ")&amp;"0123456789"))),ROW(INDIRECT("1:6")))),"0"),"SIN NUMERO"))</f>
        <v/>
      </c>
      <c r="Q541" t="str">
        <f ca="1">IF($P541="","",IF(LEFT(UPPER($S541),9)="VERIFICAR","VERIFICAR",IF($A541="","SIN ESTADO",IF(AND($A541="Firmada",$H541=""),"FALTA FECHA DE FIRMA",IF(N($T541)=0,IF(AND(ISNUMBER($H541),$H541&gt;=DATE(2024,1,1)),"FALTA EN FIRMADAS","OK"),IF(OR($A541="Pendiente de presentación",$A541="Observado",$A541="En análisis",$A541="En instrucción",$A541="Suspendida",$A541="IT circulando",$A541="Para resolución",$A541="TDC"),"ABIERTA PERO ESTÁ EN FIRMADAS",IF($H541&lt;&gt;INDEX(firmadas!$F:$F,$T541),"FIRMA DISTINTA EN firmadas ("&amp;IF(INDEX(firmadas!$F:$F,$T541)="","vacía",DAY(INDEX(firmadas!$F:$F,$T541))&amp;"/"&amp;MONTH(INDEX(firmadas!$F:$F,$T541))&amp;"/"&amp;YEAR(INDEX(firmadas!$F:$F,$T541)))&amp;")",IF($G541&lt;&gt;INDEX(firmadas!$E:$E,$T541),"INGRESO DISTINTO EN firmadas ("&amp;IF(INDEX(firmadas!$E:$E,$T541)="","vacía",DAY(INDEX(firmadas!$E:$E,$T541))&amp;"/"&amp;MONTH(INDEX(firmadas!$E:$E,$T541))&amp;"/"&amp;YEAR(INDEX(firmadas!$E:$E,$T541)))&amp;")","OK"))))))))</f>
        <v/>
      </c>
      <c r="T541" t="str">
        <f ca="1">IF($P541="","",IFERROR(MATCH($P541,firmadas!$N:$N,0),IFERROR(MATCH("*/"&amp;MID($P541,FIND(" ",$P541)+1,9)&amp;"*",firmadas!$B:$B,0),0)))</f>
        <v/>
      </c>
    </row>
    <row r="542" spans="14:20" ht="15" customHeight="1" x14ac:dyDescent="0.25">
      <c r="N542" s="53" t="str">
        <f t="shared" ca="1" si="8"/>
        <v/>
      </c>
      <c r="P542" t="str">
        <f ca="1">IF(TRIM(SUBSTITUTE(($C542&amp;" "&amp;$D542),CHAR(160)," "))="","",IFERROR(IF(ISNUMBER(SEARCH("INC",($C542&amp;" "&amp;$D542))),"INC",IF(ISNUMBER(SEARCH("OPI",($C542&amp;" "&amp;$D542))),"OPI",IF(ISNUMBER(SEARCH("DP",($C542&amp;" "&amp;$D542))),"DP","CONC")))&amp;" "&amp;TEXT(LOOKUP(9.99E+307,--MID(SUBSTITUTE(($C542&amp;" "&amp;$D542),CHAR(160)," "),SUMPRODUCT(MIN(FIND({0,1,2,3,4,5,6,7,8,9},SUBSTITUTE(($C542&amp;" "&amp;$D542),CHAR(160)," ")&amp;"0123456789"))),ROW(INDIRECT("1:6")))),"0"),"SIN NUMERO"))</f>
        <v/>
      </c>
      <c r="Q542" t="str">
        <f ca="1">IF($P542="","",IF(LEFT(UPPER($S542),9)="VERIFICAR","VERIFICAR",IF($A542="","SIN ESTADO",IF(AND($A542="Firmada",$H542=""),"FALTA FECHA DE FIRMA",IF(N($T542)=0,IF(AND(ISNUMBER($H542),$H542&gt;=DATE(2024,1,1)),"FALTA EN FIRMADAS","OK"),IF(OR($A542="Pendiente de presentación",$A542="Observado",$A542="En análisis",$A542="En instrucción",$A542="Suspendida",$A542="IT circulando",$A542="Para resolución",$A542="TDC"),"ABIERTA PERO ESTÁ EN FIRMADAS",IF($H542&lt;&gt;INDEX(firmadas!$F:$F,$T542),"FIRMA DISTINTA EN firmadas ("&amp;IF(INDEX(firmadas!$F:$F,$T542)="","vacía",DAY(INDEX(firmadas!$F:$F,$T542))&amp;"/"&amp;MONTH(INDEX(firmadas!$F:$F,$T542))&amp;"/"&amp;YEAR(INDEX(firmadas!$F:$F,$T542)))&amp;")",IF($G542&lt;&gt;INDEX(firmadas!$E:$E,$T542),"INGRESO DISTINTO EN firmadas ("&amp;IF(INDEX(firmadas!$E:$E,$T542)="","vacía",DAY(INDEX(firmadas!$E:$E,$T542))&amp;"/"&amp;MONTH(INDEX(firmadas!$E:$E,$T542))&amp;"/"&amp;YEAR(INDEX(firmadas!$E:$E,$T542)))&amp;")","OK"))))))))</f>
        <v/>
      </c>
      <c r="T542" t="str">
        <f ca="1">IF($P542="","",IFERROR(MATCH($P542,firmadas!$N:$N,0),IFERROR(MATCH("*/"&amp;MID($P542,FIND(" ",$P542)+1,9)&amp;"*",firmadas!$B:$B,0),0)))</f>
        <v/>
      </c>
    </row>
    <row r="543" spans="14:20" ht="15" customHeight="1" x14ac:dyDescent="0.25">
      <c r="N543" s="53" t="str">
        <f t="shared" ca="1" si="8"/>
        <v/>
      </c>
      <c r="P543" t="str">
        <f ca="1">IF(TRIM(SUBSTITUTE(($C543&amp;" "&amp;$D543),CHAR(160)," "))="","",IFERROR(IF(ISNUMBER(SEARCH("INC",($C543&amp;" "&amp;$D543))),"INC",IF(ISNUMBER(SEARCH("OPI",($C543&amp;" "&amp;$D543))),"OPI",IF(ISNUMBER(SEARCH("DP",($C543&amp;" "&amp;$D543))),"DP","CONC")))&amp;" "&amp;TEXT(LOOKUP(9.99E+307,--MID(SUBSTITUTE(($C543&amp;" "&amp;$D543),CHAR(160)," "),SUMPRODUCT(MIN(FIND({0,1,2,3,4,5,6,7,8,9},SUBSTITUTE(($C543&amp;" "&amp;$D543),CHAR(160)," ")&amp;"0123456789"))),ROW(INDIRECT("1:6")))),"0"),"SIN NUMERO"))</f>
        <v/>
      </c>
      <c r="Q543" t="str">
        <f ca="1">IF($P543="","",IF(LEFT(UPPER($S543),9)="VERIFICAR","VERIFICAR",IF($A543="","SIN ESTADO",IF(AND($A543="Firmada",$H543=""),"FALTA FECHA DE FIRMA",IF(N($T543)=0,IF(AND(ISNUMBER($H543),$H543&gt;=DATE(2024,1,1)),"FALTA EN FIRMADAS","OK"),IF(OR($A543="Pendiente de presentación",$A543="Observado",$A543="En análisis",$A543="En instrucción",$A543="Suspendida",$A543="IT circulando",$A543="Para resolución",$A543="TDC"),"ABIERTA PERO ESTÁ EN FIRMADAS",IF($H543&lt;&gt;INDEX(firmadas!$F:$F,$T543),"FIRMA DISTINTA EN firmadas ("&amp;IF(INDEX(firmadas!$F:$F,$T543)="","vacía",DAY(INDEX(firmadas!$F:$F,$T543))&amp;"/"&amp;MONTH(INDEX(firmadas!$F:$F,$T543))&amp;"/"&amp;YEAR(INDEX(firmadas!$F:$F,$T543)))&amp;")",IF($G543&lt;&gt;INDEX(firmadas!$E:$E,$T543),"INGRESO DISTINTO EN firmadas ("&amp;IF(INDEX(firmadas!$E:$E,$T543)="","vacía",DAY(INDEX(firmadas!$E:$E,$T543))&amp;"/"&amp;MONTH(INDEX(firmadas!$E:$E,$T543))&amp;"/"&amp;YEAR(INDEX(firmadas!$E:$E,$T543)))&amp;")","OK"))))))))</f>
        <v/>
      </c>
      <c r="T543" t="str">
        <f ca="1">IF($P543="","",IFERROR(MATCH($P543,firmadas!$N:$N,0),IFERROR(MATCH("*/"&amp;MID($P543,FIND(" ",$P543)+1,9)&amp;"*",firmadas!$B:$B,0),0)))</f>
        <v/>
      </c>
    </row>
    <row r="544" spans="14:20" ht="15" customHeight="1" x14ac:dyDescent="0.25">
      <c r="N544" s="53" t="str">
        <f t="shared" ca="1" si="8"/>
        <v/>
      </c>
      <c r="P544" t="str">
        <f ca="1">IF(TRIM(SUBSTITUTE(($C544&amp;" "&amp;$D544),CHAR(160)," "))="","",IFERROR(IF(ISNUMBER(SEARCH("INC",($C544&amp;" "&amp;$D544))),"INC",IF(ISNUMBER(SEARCH("OPI",($C544&amp;" "&amp;$D544))),"OPI",IF(ISNUMBER(SEARCH("DP",($C544&amp;" "&amp;$D544))),"DP","CONC")))&amp;" "&amp;TEXT(LOOKUP(9.99E+307,--MID(SUBSTITUTE(($C544&amp;" "&amp;$D544),CHAR(160)," "),SUMPRODUCT(MIN(FIND({0,1,2,3,4,5,6,7,8,9},SUBSTITUTE(($C544&amp;" "&amp;$D544),CHAR(160)," ")&amp;"0123456789"))),ROW(INDIRECT("1:6")))),"0"),"SIN NUMERO"))</f>
        <v/>
      </c>
      <c r="Q544" t="str">
        <f ca="1">IF($P544="","",IF(LEFT(UPPER($S544),9)="VERIFICAR","VERIFICAR",IF($A544="","SIN ESTADO",IF(AND($A544="Firmada",$H544=""),"FALTA FECHA DE FIRMA",IF(N($T544)=0,IF(AND(ISNUMBER($H544),$H544&gt;=DATE(2024,1,1)),"FALTA EN FIRMADAS","OK"),IF(OR($A544="Pendiente de presentación",$A544="Observado",$A544="En análisis",$A544="En instrucción",$A544="Suspendida",$A544="IT circulando",$A544="Para resolución",$A544="TDC"),"ABIERTA PERO ESTÁ EN FIRMADAS",IF($H544&lt;&gt;INDEX(firmadas!$F:$F,$T544),"FIRMA DISTINTA EN firmadas ("&amp;IF(INDEX(firmadas!$F:$F,$T544)="","vacía",DAY(INDEX(firmadas!$F:$F,$T544))&amp;"/"&amp;MONTH(INDEX(firmadas!$F:$F,$T544))&amp;"/"&amp;YEAR(INDEX(firmadas!$F:$F,$T544)))&amp;")",IF($G544&lt;&gt;INDEX(firmadas!$E:$E,$T544),"INGRESO DISTINTO EN firmadas ("&amp;IF(INDEX(firmadas!$E:$E,$T544)="","vacía",DAY(INDEX(firmadas!$E:$E,$T544))&amp;"/"&amp;MONTH(INDEX(firmadas!$E:$E,$T544))&amp;"/"&amp;YEAR(INDEX(firmadas!$E:$E,$T544)))&amp;")","OK"))))))))</f>
        <v/>
      </c>
      <c r="T544" t="str">
        <f ca="1">IF($P544="","",IFERROR(MATCH($P544,firmadas!$N:$N,0),IFERROR(MATCH("*/"&amp;MID($P544,FIND(" ",$P544)+1,9)&amp;"*",firmadas!$B:$B,0),0)))</f>
        <v/>
      </c>
    </row>
    <row r="545" spans="14:20" ht="15" customHeight="1" x14ac:dyDescent="0.25">
      <c r="N545" s="53" t="str">
        <f t="shared" ca="1" si="8"/>
        <v/>
      </c>
      <c r="P545" t="str">
        <f ca="1">IF(TRIM(SUBSTITUTE(($C545&amp;" "&amp;$D545),CHAR(160)," "))="","",IFERROR(IF(ISNUMBER(SEARCH("INC",($C545&amp;" "&amp;$D545))),"INC",IF(ISNUMBER(SEARCH("OPI",($C545&amp;" "&amp;$D545))),"OPI",IF(ISNUMBER(SEARCH("DP",($C545&amp;" "&amp;$D545))),"DP","CONC")))&amp;" "&amp;TEXT(LOOKUP(9.99E+307,--MID(SUBSTITUTE(($C545&amp;" "&amp;$D545),CHAR(160)," "),SUMPRODUCT(MIN(FIND({0,1,2,3,4,5,6,7,8,9},SUBSTITUTE(($C545&amp;" "&amp;$D545),CHAR(160)," ")&amp;"0123456789"))),ROW(INDIRECT("1:6")))),"0"),"SIN NUMERO"))</f>
        <v/>
      </c>
      <c r="Q545" t="str">
        <f ca="1">IF($P545="","",IF(LEFT(UPPER($S545),9)="VERIFICAR","VERIFICAR",IF($A545="","SIN ESTADO",IF(AND($A545="Firmada",$H545=""),"FALTA FECHA DE FIRMA",IF(N($T545)=0,IF(AND(ISNUMBER($H545),$H545&gt;=DATE(2024,1,1)),"FALTA EN FIRMADAS","OK"),IF(OR($A545="Pendiente de presentación",$A545="Observado",$A545="En análisis",$A545="En instrucción",$A545="Suspendida",$A545="IT circulando",$A545="Para resolución",$A545="TDC"),"ABIERTA PERO ESTÁ EN FIRMADAS",IF($H545&lt;&gt;INDEX(firmadas!$F:$F,$T545),"FIRMA DISTINTA EN firmadas ("&amp;IF(INDEX(firmadas!$F:$F,$T545)="","vacía",DAY(INDEX(firmadas!$F:$F,$T545))&amp;"/"&amp;MONTH(INDEX(firmadas!$F:$F,$T545))&amp;"/"&amp;YEAR(INDEX(firmadas!$F:$F,$T545)))&amp;")",IF($G545&lt;&gt;INDEX(firmadas!$E:$E,$T545),"INGRESO DISTINTO EN firmadas ("&amp;IF(INDEX(firmadas!$E:$E,$T545)="","vacía",DAY(INDEX(firmadas!$E:$E,$T545))&amp;"/"&amp;MONTH(INDEX(firmadas!$E:$E,$T545))&amp;"/"&amp;YEAR(INDEX(firmadas!$E:$E,$T545)))&amp;")","OK"))))))))</f>
        <v/>
      </c>
      <c r="T545" t="str">
        <f ca="1">IF($P545="","",IFERROR(MATCH($P545,firmadas!$N:$N,0),IFERROR(MATCH("*/"&amp;MID($P545,FIND(" ",$P545)+1,9)&amp;"*",firmadas!$B:$B,0),0)))</f>
        <v/>
      </c>
    </row>
    <row r="546" spans="14:20" ht="15" customHeight="1" x14ac:dyDescent="0.25">
      <c r="N546" s="53" t="str">
        <f t="shared" ca="1" si="8"/>
        <v/>
      </c>
      <c r="P546" t="str">
        <f ca="1">IF(TRIM(SUBSTITUTE(($C546&amp;" "&amp;$D546),CHAR(160)," "))="","",IFERROR(IF(ISNUMBER(SEARCH("INC",($C546&amp;" "&amp;$D546))),"INC",IF(ISNUMBER(SEARCH("OPI",($C546&amp;" "&amp;$D546))),"OPI",IF(ISNUMBER(SEARCH("DP",($C546&amp;" "&amp;$D546))),"DP","CONC")))&amp;" "&amp;TEXT(LOOKUP(9.99E+307,--MID(SUBSTITUTE(($C546&amp;" "&amp;$D546),CHAR(160)," "),SUMPRODUCT(MIN(FIND({0,1,2,3,4,5,6,7,8,9},SUBSTITUTE(($C546&amp;" "&amp;$D546),CHAR(160)," ")&amp;"0123456789"))),ROW(INDIRECT("1:6")))),"0"),"SIN NUMERO"))</f>
        <v/>
      </c>
      <c r="Q546" t="str">
        <f ca="1">IF($P546="","",IF(LEFT(UPPER($S546),9)="VERIFICAR","VERIFICAR",IF($A546="","SIN ESTADO",IF(AND($A546="Firmada",$H546=""),"FALTA FECHA DE FIRMA",IF(N($T546)=0,IF(AND(ISNUMBER($H546),$H546&gt;=DATE(2024,1,1)),"FALTA EN FIRMADAS","OK"),IF(OR($A546="Pendiente de presentación",$A546="Observado",$A546="En análisis",$A546="En instrucción",$A546="Suspendida",$A546="IT circulando",$A546="Para resolución",$A546="TDC"),"ABIERTA PERO ESTÁ EN FIRMADAS",IF($H546&lt;&gt;INDEX(firmadas!$F:$F,$T546),"FIRMA DISTINTA EN firmadas ("&amp;IF(INDEX(firmadas!$F:$F,$T546)="","vacía",DAY(INDEX(firmadas!$F:$F,$T546))&amp;"/"&amp;MONTH(INDEX(firmadas!$F:$F,$T546))&amp;"/"&amp;YEAR(INDEX(firmadas!$F:$F,$T546)))&amp;")",IF($G546&lt;&gt;INDEX(firmadas!$E:$E,$T546),"INGRESO DISTINTO EN firmadas ("&amp;IF(INDEX(firmadas!$E:$E,$T546)="","vacía",DAY(INDEX(firmadas!$E:$E,$T546))&amp;"/"&amp;MONTH(INDEX(firmadas!$E:$E,$T546))&amp;"/"&amp;YEAR(INDEX(firmadas!$E:$E,$T546)))&amp;")","OK"))))))))</f>
        <v/>
      </c>
      <c r="T546" t="str">
        <f ca="1">IF($P546="","",IFERROR(MATCH($P546,firmadas!$N:$N,0),IFERROR(MATCH("*/"&amp;MID($P546,FIND(" ",$P546)+1,9)&amp;"*",firmadas!$B:$B,0),0)))</f>
        <v/>
      </c>
    </row>
    <row r="547" spans="14:20" ht="15" customHeight="1" x14ac:dyDescent="0.25">
      <c r="N547" s="53" t="str">
        <f t="shared" ca="1" si="8"/>
        <v/>
      </c>
      <c r="P547" t="str">
        <f ca="1">IF(TRIM(SUBSTITUTE(($C547&amp;" "&amp;$D547),CHAR(160)," "))="","",IFERROR(IF(ISNUMBER(SEARCH("INC",($C547&amp;" "&amp;$D547))),"INC",IF(ISNUMBER(SEARCH("OPI",($C547&amp;" "&amp;$D547))),"OPI",IF(ISNUMBER(SEARCH("DP",($C547&amp;" "&amp;$D547))),"DP","CONC")))&amp;" "&amp;TEXT(LOOKUP(9.99E+307,--MID(SUBSTITUTE(($C547&amp;" "&amp;$D547),CHAR(160)," "),SUMPRODUCT(MIN(FIND({0,1,2,3,4,5,6,7,8,9},SUBSTITUTE(($C547&amp;" "&amp;$D547),CHAR(160)," ")&amp;"0123456789"))),ROW(INDIRECT("1:6")))),"0"),"SIN NUMERO"))</f>
        <v/>
      </c>
      <c r="Q547" t="str">
        <f ca="1">IF($P547="","",IF(LEFT(UPPER($S547),9)="VERIFICAR","VERIFICAR",IF($A547="","SIN ESTADO",IF(AND($A547="Firmada",$H547=""),"FALTA FECHA DE FIRMA",IF(N($T547)=0,IF(AND(ISNUMBER($H547),$H547&gt;=DATE(2024,1,1)),"FALTA EN FIRMADAS","OK"),IF(OR($A547="Pendiente de presentación",$A547="Observado",$A547="En análisis",$A547="En instrucción",$A547="Suspendida",$A547="IT circulando",$A547="Para resolución",$A547="TDC"),"ABIERTA PERO ESTÁ EN FIRMADAS",IF($H547&lt;&gt;INDEX(firmadas!$F:$F,$T547),"FIRMA DISTINTA EN firmadas ("&amp;IF(INDEX(firmadas!$F:$F,$T547)="","vacía",DAY(INDEX(firmadas!$F:$F,$T547))&amp;"/"&amp;MONTH(INDEX(firmadas!$F:$F,$T547))&amp;"/"&amp;YEAR(INDEX(firmadas!$F:$F,$T547)))&amp;")",IF($G547&lt;&gt;INDEX(firmadas!$E:$E,$T547),"INGRESO DISTINTO EN firmadas ("&amp;IF(INDEX(firmadas!$E:$E,$T547)="","vacía",DAY(INDEX(firmadas!$E:$E,$T547))&amp;"/"&amp;MONTH(INDEX(firmadas!$E:$E,$T547))&amp;"/"&amp;YEAR(INDEX(firmadas!$E:$E,$T547)))&amp;")","OK"))))))))</f>
        <v/>
      </c>
      <c r="T547" t="str">
        <f ca="1">IF($P547="","",IFERROR(MATCH($P547,firmadas!$N:$N,0),IFERROR(MATCH("*/"&amp;MID($P547,FIND(" ",$P547)+1,9)&amp;"*",firmadas!$B:$B,0),0)))</f>
        <v/>
      </c>
    </row>
    <row r="548" spans="14:20" ht="15" customHeight="1" x14ac:dyDescent="0.25">
      <c r="N548" s="53" t="str">
        <f t="shared" ca="1" si="8"/>
        <v/>
      </c>
      <c r="P548" t="str">
        <f ca="1">IF(TRIM(SUBSTITUTE(($C548&amp;" "&amp;$D548),CHAR(160)," "))="","",IFERROR(IF(ISNUMBER(SEARCH("INC",($C548&amp;" "&amp;$D548))),"INC",IF(ISNUMBER(SEARCH("OPI",($C548&amp;" "&amp;$D548))),"OPI",IF(ISNUMBER(SEARCH("DP",($C548&amp;" "&amp;$D548))),"DP","CONC")))&amp;" "&amp;TEXT(LOOKUP(9.99E+307,--MID(SUBSTITUTE(($C548&amp;" "&amp;$D548),CHAR(160)," "),SUMPRODUCT(MIN(FIND({0,1,2,3,4,5,6,7,8,9},SUBSTITUTE(($C548&amp;" "&amp;$D548),CHAR(160)," ")&amp;"0123456789"))),ROW(INDIRECT("1:6")))),"0"),"SIN NUMERO"))</f>
        <v/>
      </c>
      <c r="Q548" t="str">
        <f ca="1">IF($P548="","",IF(LEFT(UPPER($S548),9)="VERIFICAR","VERIFICAR",IF($A548="","SIN ESTADO",IF(AND($A548="Firmada",$H548=""),"FALTA FECHA DE FIRMA",IF(N($T548)=0,IF(AND(ISNUMBER($H548),$H548&gt;=DATE(2024,1,1)),"FALTA EN FIRMADAS","OK"),IF(OR($A548="Pendiente de presentación",$A548="Observado",$A548="En análisis",$A548="En instrucción",$A548="Suspendida",$A548="IT circulando",$A548="Para resolución",$A548="TDC"),"ABIERTA PERO ESTÁ EN FIRMADAS",IF($H548&lt;&gt;INDEX(firmadas!$F:$F,$T548),"FIRMA DISTINTA EN firmadas ("&amp;IF(INDEX(firmadas!$F:$F,$T548)="","vacía",DAY(INDEX(firmadas!$F:$F,$T548))&amp;"/"&amp;MONTH(INDEX(firmadas!$F:$F,$T548))&amp;"/"&amp;YEAR(INDEX(firmadas!$F:$F,$T548)))&amp;")",IF($G548&lt;&gt;INDEX(firmadas!$E:$E,$T548),"INGRESO DISTINTO EN firmadas ("&amp;IF(INDEX(firmadas!$E:$E,$T548)="","vacía",DAY(INDEX(firmadas!$E:$E,$T548))&amp;"/"&amp;MONTH(INDEX(firmadas!$E:$E,$T548))&amp;"/"&amp;YEAR(INDEX(firmadas!$E:$E,$T548)))&amp;")","OK"))))))))</f>
        <v/>
      </c>
      <c r="T548" t="str">
        <f ca="1">IF($P548="","",IFERROR(MATCH($P548,firmadas!$N:$N,0),IFERROR(MATCH("*/"&amp;MID($P548,FIND(" ",$P548)+1,9)&amp;"*",firmadas!$B:$B,0),0)))</f>
        <v/>
      </c>
    </row>
    <row r="549" spans="14:20" ht="15" customHeight="1" x14ac:dyDescent="0.25">
      <c r="N549" s="53" t="str">
        <f t="shared" ca="1" si="8"/>
        <v/>
      </c>
      <c r="P549" t="str">
        <f ca="1">IF(TRIM(SUBSTITUTE(($C549&amp;" "&amp;$D549),CHAR(160)," "))="","",IFERROR(IF(ISNUMBER(SEARCH("INC",($C549&amp;" "&amp;$D549))),"INC",IF(ISNUMBER(SEARCH("OPI",($C549&amp;" "&amp;$D549))),"OPI",IF(ISNUMBER(SEARCH("DP",($C549&amp;" "&amp;$D549))),"DP","CONC")))&amp;" "&amp;TEXT(LOOKUP(9.99E+307,--MID(SUBSTITUTE(($C549&amp;" "&amp;$D549),CHAR(160)," "),SUMPRODUCT(MIN(FIND({0,1,2,3,4,5,6,7,8,9},SUBSTITUTE(($C549&amp;" "&amp;$D549),CHAR(160)," ")&amp;"0123456789"))),ROW(INDIRECT("1:6")))),"0"),"SIN NUMERO"))</f>
        <v/>
      </c>
      <c r="Q549" t="str">
        <f ca="1">IF($P549="","",IF(LEFT(UPPER($S549),9)="VERIFICAR","VERIFICAR",IF($A549="","SIN ESTADO",IF(AND($A549="Firmada",$H549=""),"FALTA FECHA DE FIRMA",IF(N($T549)=0,IF(AND(ISNUMBER($H549),$H549&gt;=DATE(2024,1,1)),"FALTA EN FIRMADAS","OK"),IF(OR($A549="Pendiente de presentación",$A549="Observado",$A549="En análisis",$A549="En instrucción",$A549="Suspendida",$A549="IT circulando",$A549="Para resolución",$A549="TDC"),"ABIERTA PERO ESTÁ EN FIRMADAS",IF($H549&lt;&gt;INDEX(firmadas!$F:$F,$T549),"FIRMA DISTINTA EN firmadas ("&amp;IF(INDEX(firmadas!$F:$F,$T549)="","vacía",DAY(INDEX(firmadas!$F:$F,$T549))&amp;"/"&amp;MONTH(INDEX(firmadas!$F:$F,$T549))&amp;"/"&amp;YEAR(INDEX(firmadas!$F:$F,$T549)))&amp;")",IF($G549&lt;&gt;INDEX(firmadas!$E:$E,$T549),"INGRESO DISTINTO EN firmadas ("&amp;IF(INDEX(firmadas!$E:$E,$T549)="","vacía",DAY(INDEX(firmadas!$E:$E,$T549))&amp;"/"&amp;MONTH(INDEX(firmadas!$E:$E,$T549))&amp;"/"&amp;YEAR(INDEX(firmadas!$E:$E,$T549)))&amp;")","OK"))))))))</f>
        <v/>
      </c>
      <c r="T549" t="str">
        <f ca="1">IF($P549="","",IFERROR(MATCH($P549,firmadas!$N:$N,0),IFERROR(MATCH("*/"&amp;MID($P549,FIND(" ",$P549)+1,9)&amp;"*",firmadas!$B:$B,0),0)))</f>
        <v/>
      </c>
    </row>
    <row r="550" spans="14:20" ht="15" customHeight="1" x14ac:dyDescent="0.25">
      <c r="N550" s="53" t="str">
        <f t="shared" ca="1" si="8"/>
        <v/>
      </c>
      <c r="P550" t="str">
        <f ca="1">IF(TRIM(SUBSTITUTE(($C550&amp;" "&amp;$D550),CHAR(160)," "))="","",IFERROR(IF(ISNUMBER(SEARCH("INC",($C550&amp;" "&amp;$D550))),"INC",IF(ISNUMBER(SEARCH("OPI",($C550&amp;" "&amp;$D550))),"OPI",IF(ISNUMBER(SEARCH("DP",($C550&amp;" "&amp;$D550))),"DP","CONC")))&amp;" "&amp;TEXT(LOOKUP(9.99E+307,--MID(SUBSTITUTE(($C550&amp;" "&amp;$D550),CHAR(160)," "),SUMPRODUCT(MIN(FIND({0,1,2,3,4,5,6,7,8,9},SUBSTITUTE(($C550&amp;" "&amp;$D550),CHAR(160)," ")&amp;"0123456789"))),ROW(INDIRECT("1:6")))),"0"),"SIN NUMERO"))</f>
        <v/>
      </c>
      <c r="Q550" t="str">
        <f ca="1">IF($P550="","",IF(LEFT(UPPER($S550),9)="VERIFICAR","VERIFICAR",IF($A550="","SIN ESTADO",IF(AND($A550="Firmada",$H550=""),"FALTA FECHA DE FIRMA",IF(N($T550)=0,IF(AND(ISNUMBER($H550),$H550&gt;=DATE(2024,1,1)),"FALTA EN FIRMADAS","OK"),IF(OR($A550="Pendiente de presentación",$A550="Observado",$A550="En análisis",$A550="En instrucción",$A550="Suspendida",$A550="IT circulando",$A550="Para resolución",$A550="TDC"),"ABIERTA PERO ESTÁ EN FIRMADAS",IF($H550&lt;&gt;INDEX(firmadas!$F:$F,$T550),"FIRMA DISTINTA EN firmadas ("&amp;IF(INDEX(firmadas!$F:$F,$T550)="","vacía",DAY(INDEX(firmadas!$F:$F,$T550))&amp;"/"&amp;MONTH(INDEX(firmadas!$F:$F,$T550))&amp;"/"&amp;YEAR(INDEX(firmadas!$F:$F,$T550)))&amp;")",IF($G550&lt;&gt;INDEX(firmadas!$E:$E,$T550),"INGRESO DISTINTO EN firmadas ("&amp;IF(INDEX(firmadas!$E:$E,$T550)="","vacía",DAY(INDEX(firmadas!$E:$E,$T550))&amp;"/"&amp;MONTH(INDEX(firmadas!$E:$E,$T550))&amp;"/"&amp;YEAR(INDEX(firmadas!$E:$E,$T550)))&amp;")","OK"))))))))</f>
        <v/>
      </c>
      <c r="T550" t="str">
        <f ca="1">IF($P550="","",IFERROR(MATCH($P550,firmadas!$N:$N,0),IFERROR(MATCH("*/"&amp;MID($P550,FIND(" ",$P550)+1,9)&amp;"*",firmadas!$B:$B,0),0)))</f>
        <v/>
      </c>
    </row>
    <row r="551" spans="14:20" ht="15" customHeight="1" x14ac:dyDescent="0.25">
      <c r="N551" s="53" t="str">
        <f t="shared" ca="1" si="8"/>
        <v/>
      </c>
      <c r="P551" t="str">
        <f ca="1">IF(TRIM(SUBSTITUTE(($C551&amp;" "&amp;$D551),CHAR(160)," "))="","",IFERROR(IF(ISNUMBER(SEARCH("INC",($C551&amp;" "&amp;$D551))),"INC",IF(ISNUMBER(SEARCH("OPI",($C551&amp;" "&amp;$D551))),"OPI",IF(ISNUMBER(SEARCH("DP",($C551&amp;" "&amp;$D551))),"DP","CONC")))&amp;" "&amp;TEXT(LOOKUP(9.99E+307,--MID(SUBSTITUTE(($C551&amp;" "&amp;$D551),CHAR(160)," "),SUMPRODUCT(MIN(FIND({0,1,2,3,4,5,6,7,8,9},SUBSTITUTE(($C551&amp;" "&amp;$D551),CHAR(160)," ")&amp;"0123456789"))),ROW(INDIRECT("1:6")))),"0"),"SIN NUMERO"))</f>
        <v/>
      </c>
      <c r="Q551" t="str">
        <f ca="1">IF($P551="","",IF(LEFT(UPPER($S551),9)="VERIFICAR","VERIFICAR",IF($A551="","SIN ESTADO",IF(AND($A551="Firmada",$H551=""),"FALTA FECHA DE FIRMA",IF(N($T551)=0,IF(AND(ISNUMBER($H551),$H551&gt;=DATE(2024,1,1)),"FALTA EN FIRMADAS","OK"),IF(OR($A551="Pendiente de presentación",$A551="Observado",$A551="En análisis",$A551="En instrucción",$A551="Suspendida",$A551="IT circulando",$A551="Para resolución",$A551="TDC"),"ABIERTA PERO ESTÁ EN FIRMADAS",IF($H551&lt;&gt;INDEX(firmadas!$F:$F,$T551),"FIRMA DISTINTA EN firmadas ("&amp;IF(INDEX(firmadas!$F:$F,$T551)="","vacía",DAY(INDEX(firmadas!$F:$F,$T551))&amp;"/"&amp;MONTH(INDEX(firmadas!$F:$F,$T551))&amp;"/"&amp;YEAR(INDEX(firmadas!$F:$F,$T551)))&amp;")",IF($G551&lt;&gt;INDEX(firmadas!$E:$E,$T551),"INGRESO DISTINTO EN firmadas ("&amp;IF(INDEX(firmadas!$E:$E,$T551)="","vacía",DAY(INDEX(firmadas!$E:$E,$T551))&amp;"/"&amp;MONTH(INDEX(firmadas!$E:$E,$T551))&amp;"/"&amp;YEAR(INDEX(firmadas!$E:$E,$T551)))&amp;")","OK"))))))))</f>
        <v/>
      </c>
      <c r="T551" t="str">
        <f ca="1">IF($P551="","",IFERROR(MATCH($P551,firmadas!$N:$N,0),IFERROR(MATCH("*/"&amp;MID($P551,FIND(" ",$P551)+1,9)&amp;"*",firmadas!$B:$B,0),0)))</f>
        <v/>
      </c>
    </row>
    <row r="552" spans="14:20" ht="15" customHeight="1" x14ac:dyDescent="0.25">
      <c r="N552" s="53" t="str">
        <f t="shared" ca="1" si="8"/>
        <v/>
      </c>
      <c r="P552" t="str">
        <f ca="1">IF(TRIM(SUBSTITUTE(($C552&amp;" "&amp;$D552),CHAR(160)," "))="","",IFERROR(IF(ISNUMBER(SEARCH("INC",($C552&amp;" "&amp;$D552))),"INC",IF(ISNUMBER(SEARCH("OPI",($C552&amp;" "&amp;$D552))),"OPI",IF(ISNUMBER(SEARCH("DP",($C552&amp;" "&amp;$D552))),"DP","CONC")))&amp;" "&amp;TEXT(LOOKUP(9.99E+307,--MID(SUBSTITUTE(($C552&amp;" "&amp;$D552),CHAR(160)," "),SUMPRODUCT(MIN(FIND({0,1,2,3,4,5,6,7,8,9},SUBSTITUTE(($C552&amp;" "&amp;$D552),CHAR(160)," ")&amp;"0123456789"))),ROW(INDIRECT("1:6")))),"0"),"SIN NUMERO"))</f>
        <v/>
      </c>
      <c r="Q552" t="str">
        <f ca="1">IF($P552="","",IF(LEFT(UPPER($S552),9)="VERIFICAR","VERIFICAR",IF($A552="","SIN ESTADO",IF(AND($A552="Firmada",$H552=""),"FALTA FECHA DE FIRMA",IF(N($T552)=0,IF(AND(ISNUMBER($H552),$H552&gt;=DATE(2024,1,1)),"FALTA EN FIRMADAS","OK"),IF(OR($A552="Pendiente de presentación",$A552="Observado",$A552="En análisis",$A552="En instrucción",$A552="Suspendida",$A552="IT circulando",$A552="Para resolución",$A552="TDC"),"ABIERTA PERO ESTÁ EN FIRMADAS",IF($H552&lt;&gt;INDEX(firmadas!$F:$F,$T552),"FIRMA DISTINTA EN firmadas ("&amp;IF(INDEX(firmadas!$F:$F,$T552)="","vacía",DAY(INDEX(firmadas!$F:$F,$T552))&amp;"/"&amp;MONTH(INDEX(firmadas!$F:$F,$T552))&amp;"/"&amp;YEAR(INDEX(firmadas!$F:$F,$T552)))&amp;")",IF($G552&lt;&gt;INDEX(firmadas!$E:$E,$T552),"INGRESO DISTINTO EN firmadas ("&amp;IF(INDEX(firmadas!$E:$E,$T552)="","vacía",DAY(INDEX(firmadas!$E:$E,$T552))&amp;"/"&amp;MONTH(INDEX(firmadas!$E:$E,$T552))&amp;"/"&amp;YEAR(INDEX(firmadas!$E:$E,$T552)))&amp;")","OK"))))))))</f>
        <v/>
      </c>
      <c r="T552" t="str">
        <f ca="1">IF($P552="","",IFERROR(MATCH($P552,firmadas!$N:$N,0),IFERROR(MATCH("*/"&amp;MID($P552,FIND(" ",$P552)+1,9)&amp;"*",firmadas!$B:$B,0),0)))</f>
        <v/>
      </c>
    </row>
    <row r="553" spans="14:20" ht="15" customHeight="1" x14ac:dyDescent="0.25">
      <c r="N553" s="53" t="str">
        <f t="shared" ca="1" si="8"/>
        <v/>
      </c>
      <c r="P553" t="str">
        <f ca="1">IF(TRIM(SUBSTITUTE(($C553&amp;" "&amp;$D553),CHAR(160)," "))="","",IFERROR(IF(ISNUMBER(SEARCH("INC",($C553&amp;" "&amp;$D553))),"INC",IF(ISNUMBER(SEARCH("OPI",($C553&amp;" "&amp;$D553))),"OPI",IF(ISNUMBER(SEARCH("DP",($C553&amp;" "&amp;$D553))),"DP","CONC")))&amp;" "&amp;TEXT(LOOKUP(9.99E+307,--MID(SUBSTITUTE(($C553&amp;" "&amp;$D553),CHAR(160)," "),SUMPRODUCT(MIN(FIND({0,1,2,3,4,5,6,7,8,9},SUBSTITUTE(($C553&amp;" "&amp;$D553),CHAR(160)," ")&amp;"0123456789"))),ROW(INDIRECT("1:6")))),"0"),"SIN NUMERO"))</f>
        <v/>
      </c>
      <c r="Q553" t="str">
        <f ca="1">IF($P553="","",IF(LEFT(UPPER($S553),9)="VERIFICAR","VERIFICAR",IF($A553="","SIN ESTADO",IF(AND($A553="Firmada",$H553=""),"FALTA FECHA DE FIRMA",IF(N($T553)=0,IF(AND(ISNUMBER($H553),$H553&gt;=DATE(2024,1,1)),"FALTA EN FIRMADAS","OK"),IF(OR($A553="Pendiente de presentación",$A553="Observado",$A553="En análisis",$A553="En instrucción",$A553="Suspendida",$A553="IT circulando",$A553="Para resolución",$A553="TDC"),"ABIERTA PERO ESTÁ EN FIRMADAS",IF($H553&lt;&gt;INDEX(firmadas!$F:$F,$T553),"FIRMA DISTINTA EN firmadas ("&amp;IF(INDEX(firmadas!$F:$F,$T553)="","vacía",DAY(INDEX(firmadas!$F:$F,$T553))&amp;"/"&amp;MONTH(INDEX(firmadas!$F:$F,$T553))&amp;"/"&amp;YEAR(INDEX(firmadas!$F:$F,$T553)))&amp;")",IF($G553&lt;&gt;INDEX(firmadas!$E:$E,$T553),"INGRESO DISTINTO EN firmadas ("&amp;IF(INDEX(firmadas!$E:$E,$T553)="","vacía",DAY(INDEX(firmadas!$E:$E,$T553))&amp;"/"&amp;MONTH(INDEX(firmadas!$E:$E,$T553))&amp;"/"&amp;YEAR(INDEX(firmadas!$E:$E,$T553)))&amp;")","OK"))))))))</f>
        <v/>
      </c>
      <c r="T553" t="str">
        <f ca="1">IF($P553="","",IFERROR(MATCH($P553,firmadas!$N:$N,0),IFERROR(MATCH("*/"&amp;MID($P553,FIND(" ",$P553)+1,9)&amp;"*",firmadas!$B:$B,0),0)))</f>
        <v/>
      </c>
    </row>
    <row r="554" spans="14:20" ht="15" customHeight="1" x14ac:dyDescent="0.25">
      <c r="N554" s="53" t="str">
        <f t="shared" ca="1" si="8"/>
        <v/>
      </c>
      <c r="P554" t="str">
        <f ca="1">IF(TRIM(SUBSTITUTE(($C554&amp;" "&amp;$D554),CHAR(160)," "))="","",IFERROR(IF(ISNUMBER(SEARCH("INC",($C554&amp;" "&amp;$D554))),"INC",IF(ISNUMBER(SEARCH("OPI",($C554&amp;" "&amp;$D554))),"OPI",IF(ISNUMBER(SEARCH("DP",($C554&amp;" "&amp;$D554))),"DP","CONC")))&amp;" "&amp;TEXT(LOOKUP(9.99E+307,--MID(SUBSTITUTE(($C554&amp;" "&amp;$D554),CHAR(160)," "),SUMPRODUCT(MIN(FIND({0,1,2,3,4,5,6,7,8,9},SUBSTITUTE(($C554&amp;" "&amp;$D554),CHAR(160)," ")&amp;"0123456789"))),ROW(INDIRECT("1:6")))),"0"),"SIN NUMERO"))</f>
        <v/>
      </c>
      <c r="Q554" t="str">
        <f ca="1">IF($P554="","",IF(LEFT(UPPER($S554),9)="VERIFICAR","VERIFICAR",IF($A554="","SIN ESTADO",IF(AND($A554="Firmada",$H554=""),"FALTA FECHA DE FIRMA",IF(N($T554)=0,IF(AND(ISNUMBER($H554),$H554&gt;=DATE(2024,1,1)),"FALTA EN FIRMADAS","OK"),IF(OR($A554="Pendiente de presentación",$A554="Observado",$A554="En análisis",$A554="En instrucción",$A554="Suspendida",$A554="IT circulando",$A554="Para resolución",$A554="TDC"),"ABIERTA PERO ESTÁ EN FIRMADAS",IF($H554&lt;&gt;INDEX(firmadas!$F:$F,$T554),"FIRMA DISTINTA EN firmadas ("&amp;IF(INDEX(firmadas!$F:$F,$T554)="","vacía",DAY(INDEX(firmadas!$F:$F,$T554))&amp;"/"&amp;MONTH(INDEX(firmadas!$F:$F,$T554))&amp;"/"&amp;YEAR(INDEX(firmadas!$F:$F,$T554)))&amp;")",IF($G554&lt;&gt;INDEX(firmadas!$E:$E,$T554),"INGRESO DISTINTO EN firmadas ("&amp;IF(INDEX(firmadas!$E:$E,$T554)="","vacía",DAY(INDEX(firmadas!$E:$E,$T554))&amp;"/"&amp;MONTH(INDEX(firmadas!$E:$E,$T554))&amp;"/"&amp;YEAR(INDEX(firmadas!$E:$E,$T554)))&amp;")","OK"))))))))</f>
        <v/>
      </c>
      <c r="T554" t="str">
        <f ca="1">IF($P554="","",IFERROR(MATCH($P554,firmadas!$N:$N,0),IFERROR(MATCH("*/"&amp;MID($P554,FIND(" ",$P554)+1,9)&amp;"*",firmadas!$B:$B,0),0)))</f>
        <v/>
      </c>
    </row>
    <row r="555" spans="14:20" ht="15" customHeight="1" x14ac:dyDescent="0.25">
      <c r="N555" s="53" t="str">
        <f t="shared" ca="1" si="8"/>
        <v/>
      </c>
      <c r="P555" t="str">
        <f ca="1">IF(TRIM(SUBSTITUTE(($C555&amp;" "&amp;$D555),CHAR(160)," "))="","",IFERROR(IF(ISNUMBER(SEARCH("INC",($C555&amp;" "&amp;$D555))),"INC",IF(ISNUMBER(SEARCH("OPI",($C555&amp;" "&amp;$D555))),"OPI",IF(ISNUMBER(SEARCH("DP",($C555&amp;" "&amp;$D555))),"DP","CONC")))&amp;" "&amp;TEXT(LOOKUP(9.99E+307,--MID(SUBSTITUTE(($C555&amp;" "&amp;$D555),CHAR(160)," "),SUMPRODUCT(MIN(FIND({0,1,2,3,4,5,6,7,8,9},SUBSTITUTE(($C555&amp;" "&amp;$D555),CHAR(160)," ")&amp;"0123456789"))),ROW(INDIRECT("1:6")))),"0"),"SIN NUMERO"))</f>
        <v/>
      </c>
      <c r="Q555" t="str">
        <f ca="1">IF($P555="","",IF(LEFT(UPPER($S555),9)="VERIFICAR","VERIFICAR",IF($A555="","SIN ESTADO",IF(AND($A555="Firmada",$H555=""),"FALTA FECHA DE FIRMA",IF(N($T555)=0,IF(AND(ISNUMBER($H555),$H555&gt;=DATE(2024,1,1)),"FALTA EN FIRMADAS","OK"),IF(OR($A555="Pendiente de presentación",$A555="Observado",$A555="En análisis",$A555="En instrucción",$A555="Suspendida",$A555="IT circulando",$A555="Para resolución",$A555="TDC"),"ABIERTA PERO ESTÁ EN FIRMADAS",IF($H555&lt;&gt;INDEX(firmadas!$F:$F,$T555),"FIRMA DISTINTA EN firmadas ("&amp;IF(INDEX(firmadas!$F:$F,$T555)="","vacía",DAY(INDEX(firmadas!$F:$F,$T555))&amp;"/"&amp;MONTH(INDEX(firmadas!$F:$F,$T555))&amp;"/"&amp;YEAR(INDEX(firmadas!$F:$F,$T555)))&amp;")",IF($G555&lt;&gt;INDEX(firmadas!$E:$E,$T555),"INGRESO DISTINTO EN firmadas ("&amp;IF(INDEX(firmadas!$E:$E,$T555)="","vacía",DAY(INDEX(firmadas!$E:$E,$T555))&amp;"/"&amp;MONTH(INDEX(firmadas!$E:$E,$T555))&amp;"/"&amp;YEAR(INDEX(firmadas!$E:$E,$T555)))&amp;")","OK"))))))))</f>
        <v/>
      </c>
      <c r="T555" t="str">
        <f ca="1">IF($P555="","",IFERROR(MATCH($P555,firmadas!$N:$N,0),IFERROR(MATCH("*/"&amp;MID($P555,FIND(" ",$P555)+1,9)&amp;"*",firmadas!$B:$B,0),0)))</f>
        <v/>
      </c>
    </row>
    <row r="556" spans="14:20" ht="15" customHeight="1" x14ac:dyDescent="0.25">
      <c r="N556" s="53" t="str">
        <f t="shared" ca="1" si="8"/>
        <v/>
      </c>
      <c r="P556" t="str">
        <f ca="1">IF(TRIM(SUBSTITUTE(($C556&amp;" "&amp;$D556),CHAR(160)," "))="","",IFERROR(IF(ISNUMBER(SEARCH("INC",($C556&amp;" "&amp;$D556))),"INC",IF(ISNUMBER(SEARCH("OPI",($C556&amp;" "&amp;$D556))),"OPI",IF(ISNUMBER(SEARCH("DP",($C556&amp;" "&amp;$D556))),"DP","CONC")))&amp;" "&amp;TEXT(LOOKUP(9.99E+307,--MID(SUBSTITUTE(($C556&amp;" "&amp;$D556),CHAR(160)," "),SUMPRODUCT(MIN(FIND({0,1,2,3,4,5,6,7,8,9},SUBSTITUTE(($C556&amp;" "&amp;$D556),CHAR(160)," ")&amp;"0123456789"))),ROW(INDIRECT("1:6")))),"0"),"SIN NUMERO"))</f>
        <v/>
      </c>
      <c r="Q556" t="str">
        <f ca="1">IF($P556="","",IF(LEFT(UPPER($S556),9)="VERIFICAR","VERIFICAR",IF($A556="","SIN ESTADO",IF(AND($A556="Firmada",$H556=""),"FALTA FECHA DE FIRMA",IF(N($T556)=0,IF(AND(ISNUMBER($H556),$H556&gt;=DATE(2024,1,1)),"FALTA EN FIRMADAS","OK"),IF(OR($A556="Pendiente de presentación",$A556="Observado",$A556="En análisis",$A556="En instrucción",$A556="Suspendida",$A556="IT circulando",$A556="Para resolución",$A556="TDC"),"ABIERTA PERO ESTÁ EN FIRMADAS",IF($H556&lt;&gt;INDEX(firmadas!$F:$F,$T556),"FIRMA DISTINTA EN firmadas ("&amp;IF(INDEX(firmadas!$F:$F,$T556)="","vacía",DAY(INDEX(firmadas!$F:$F,$T556))&amp;"/"&amp;MONTH(INDEX(firmadas!$F:$F,$T556))&amp;"/"&amp;YEAR(INDEX(firmadas!$F:$F,$T556)))&amp;")",IF($G556&lt;&gt;INDEX(firmadas!$E:$E,$T556),"INGRESO DISTINTO EN firmadas ("&amp;IF(INDEX(firmadas!$E:$E,$T556)="","vacía",DAY(INDEX(firmadas!$E:$E,$T556))&amp;"/"&amp;MONTH(INDEX(firmadas!$E:$E,$T556))&amp;"/"&amp;YEAR(INDEX(firmadas!$E:$E,$T556)))&amp;")","OK"))))))))</f>
        <v/>
      </c>
      <c r="T556" t="str">
        <f ca="1">IF($P556="","",IFERROR(MATCH($P556,firmadas!$N:$N,0),IFERROR(MATCH("*/"&amp;MID($P556,FIND(" ",$P556)+1,9)&amp;"*",firmadas!$B:$B,0),0)))</f>
        <v/>
      </c>
    </row>
    <row r="557" spans="14:20" ht="15" customHeight="1" x14ac:dyDescent="0.25">
      <c r="N557" s="53" t="str">
        <f t="shared" ca="1" si="8"/>
        <v/>
      </c>
      <c r="P557" t="str">
        <f ca="1">IF(TRIM(SUBSTITUTE(($C557&amp;" "&amp;$D557),CHAR(160)," "))="","",IFERROR(IF(ISNUMBER(SEARCH("INC",($C557&amp;" "&amp;$D557))),"INC",IF(ISNUMBER(SEARCH("OPI",($C557&amp;" "&amp;$D557))),"OPI",IF(ISNUMBER(SEARCH("DP",($C557&amp;" "&amp;$D557))),"DP","CONC")))&amp;" "&amp;TEXT(LOOKUP(9.99E+307,--MID(SUBSTITUTE(($C557&amp;" "&amp;$D557),CHAR(160)," "),SUMPRODUCT(MIN(FIND({0,1,2,3,4,5,6,7,8,9},SUBSTITUTE(($C557&amp;" "&amp;$D557),CHAR(160)," ")&amp;"0123456789"))),ROW(INDIRECT("1:6")))),"0"),"SIN NUMERO"))</f>
        <v/>
      </c>
      <c r="Q557" t="str">
        <f ca="1">IF($P557="","",IF(LEFT(UPPER($S557),9)="VERIFICAR","VERIFICAR",IF($A557="","SIN ESTADO",IF(AND($A557="Firmada",$H557=""),"FALTA FECHA DE FIRMA",IF(N($T557)=0,IF(AND(ISNUMBER($H557),$H557&gt;=DATE(2024,1,1)),"FALTA EN FIRMADAS","OK"),IF(OR($A557="Pendiente de presentación",$A557="Observado",$A557="En análisis",$A557="En instrucción",$A557="Suspendida",$A557="IT circulando",$A557="Para resolución",$A557="TDC"),"ABIERTA PERO ESTÁ EN FIRMADAS",IF($H557&lt;&gt;INDEX(firmadas!$F:$F,$T557),"FIRMA DISTINTA EN firmadas ("&amp;IF(INDEX(firmadas!$F:$F,$T557)="","vacía",DAY(INDEX(firmadas!$F:$F,$T557))&amp;"/"&amp;MONTH(INDEX(firmadas!$F:$F,$T557))&amp;"/"&amp;YEAR(INDEX(firmadas!$F:$F,$T557)))&amp;")",IF($G557&lt;&gt;INDEX(firmadas!$E:$E,$T557),"INGRESO DISTINTO EN firmadas ("&amp;IF(INDEX(firmadas!$E:$E,$T557)="","vacía",DAY(INDEX(firmadas!$E:$E,$T557))&amp;"/"&amp;MONTH(INDEX(firmadas!$E:$E,$T557))&amp;"/"&amp;YEAR(INDEX(firmadas!$E:$E,$T557)))&amp;")","OK"))))))))</f>
        <v/>
      </c>
      <c r="T557" t="str">
        <f ca="1">IF($P557="","",IFERROR(MATCH($P557,firmadas!$N:$N,0),IFERROR(MATCH("*/"&amp;MID($P557,FIND(" ",$P557)+1,9)&amp;"*",firmadas!$B:$B,0),0)))</f>
        <v/>
      </c>
    </row>
    <row r="558" spans="14:20" ht="15" customHeight="1" x14ac:dyDescent="0.25">
      <c r="N558" s="53" t="str">
        <f t="shared" ca="1" si="8"/>
        <v/>
      </c>
      <c r="P558" t="str">
        <f ca="1">IF(TRIM(SUBSTITUTE(($C558&amp;" "&amp;$D558),CHAR(160)," "))="","",IFERROR(IF(ISNUMBER(SEARCH("INC",($C558&amp;" "&amp;$D558))),"INC",IF(ISNUMBER(SEARCH("OPI",($C558&amp;" "&amp;$D558))),"OPI",IF(ISNUMBER(SEARCH("DP",($C558&amp;" "&amp;$D558))),"DP","CONC")))&amp;" "&amp;TEXT(LOOKUP(9.99E+307,--MID(SUBSTITUTE(($C558&amp;" "&amp;$D558),CHAR(160)," "),SUMPRODUCT(MIN(FIND({0,1,2,3,4,5,6,7,8,9},SUBSTITUTE(($C558&amp;" "&amp;$D558),CHAR(160)," ")&amp;"0123456789"))),ROW(INDIRECT("1:6")))),"0"),"SIN NUMERO"))</f>
        <v/>
      </c>
      <c r="Q558" t="str">
        <f ca="1">IF($P558="","",IF(LEFT(UPPER($S558),9)="VERIFICAR","VERIFICAR",IF($A558="","SIN ESTADO",IF(AND($A558="Firmada",$H558=""),"FALTA FECHA DE FIRMA",IF(N($T558)=0,IF(AND(ISNUMBER($H558),$H558&gt;=DATE(2024,1,1)),"FALTA EN FIRMADAS","OK"),IF(OR($A558="Pendiente de presentación",$A558="Observado",$A558="En análisis",$A558="En instrucción",$A558="Suspendida",$A558="IT circulando",$A558="Para resolución",$A558="TDC"),"ABIERTA PERO ESTÁ EN FIRMADAS",IF($H558&lt;&gt;INDEX(firmadas!$F:$F,$T558),"FIRMA DISTINTA EN firmadas ("&amp;IF(INDEX(firmadas!$F:$F,$T558)="","vacía",DAY(INDEX(firmadas!$F:$F,$T558))&amp;"/"&amp;MONTH(INDEX(firmadas!$F:$F,$T558))&amp;"/"&amp;YEAR(INDEX(firmadas!$F:$F,$T558)))&amp;")",IF($G558&lt;&gt;INDEX(firmadas!$E:$E,$T558),"INGRESO DISTINTO EN firmadas ("&amp;IF(INDEX(firmadas!$E:$E,$T558)="","vacía",DAY(INDEX(firmadas!$E:$E,$T558))&amp;"/"&amp;MONTH(INDEX(firmadas!$E:$E,$T558))&amp;"/"&amp;YEAR(INDEX(firmadas!$E:$E,$T558)))&amp;")","OK"))))))))</f>
        <v/>
      </c>
      <c r="T558" t="str">
        <f ca="1">IF($P558="","",IFERROR(MATCH($P558,firmadas!$N:$N,0),IFERROR(MATCH("*/"&amp;MID($P558,FIND(" ",$P558)+1,9)&amp;"*",firmadas!$B:$B,0),0)))</f>
        <v/>
      </c>
    </row>
    <row r="559" spans="14:20" ht="15" customHeight="1" x14ac:dyDescent="0.25">
      <c r="N559" s="53" t="str">
        <f t="shared" ca="1" si="8"/>
        <v/>
      </c>
      <c r="P559" t="str">
        <f ca="1">IF(TRIM(SUBSTITUTE(($C559&amp;" "&amp;$D559),CHAR(160)," "))="","",IFERROR(IF(ISNUMBER(SEARCH("INC",($C559&amp;" "&amp;$D559))),"INC",IF(ISNUMBER(SEARCH("OPI",($C559&amp;" "&amp;$D559))),"OPI",IF(ISNUMBER(SEARCH("DP",($C559&amp;" "&amp;$D559))),"DP","CONC")))&amp;" "&amp;TEXT(LOOKUP(9.99E+307,--MID(SUBSTITUTE(($C559&amp;" "&amp;$D559),CHAR(160)," "),SUMPRODUCT(MIN(FIND({0,1,2,3,4,5,6,7,8,9},SUBSTITUTE(($C559&amp;" "&amp;$D559),CHAR(160)," ")&amp;"0123456789"))),ROW(INDIRECT("1:6")))),"0"),"SIN NUMERO"))</f>
        <v/>
      </c>
      <c r="Q559" t="str">
        <f ca="1">IF($P559="","",IF(LEFT(UPPER($S559),9)="VERIFICAR","VERIFICAR",IF($A559="","SIN ESTADO",IF(AND($A559="Firmada",$H559=""),"FALTA FECHA DE FIRMA",IF(N($T559)=0,IF(AND(ISNUMBER($H559),$H559&gt;=DATE(2024,1,1)),"FALTA EN FIRMADAS","OK"),IF(OR($A559="Pendiente de presentación",$A559="Observado",$A559="En análisis",$A559="En instrucción",$A559="Suspendida",$A559="IT circulando",$A559="Para resolución",$A559="TDC"),"ABIERTA PERO ESTÁ EN FIRMADAS",IF($H559&lt;&gt;INDEX(firmadas!$F:$F,$T559),"FIRMA DISTINTA EN firmadas ("&amp;IF(INDEX(firmadas!$F:$F,$T559)="","vacía",DAY(INDEX(firmadas!$F:$F,$T559))&amp;"/"&amp;MONTH(INDEX(firmadas!$F:$F,$T559))&amp;"/"&amp;YEAR(INDEX(firmadas!$F:$F,$T559)))&amp;")",IF($G559&lt;&gt;INDEX(firmadas!$E:$E,$T559),"INGRESO DISTINTO EN firmadas ("&amp;IF(INDEX(firmadas!$E:$E,$T559)="","vacía",DAY(INDEX(firmadas!$E:$E,$T559))&amp;"/"&amp;MONTH(INDEX(firmadas!$E:$E,$T559))&amp;"/"&amp;YEAR(INDEX(firmadas!$E:$E,$T559)))&amp;")","OK"))))))))</f>
        <v/>
      </c>
      <c r="T559" t="str">
        <f ca="1">IF($P559="","",IFERROR(MATCH($P559,firmadas!$N:$N,0),IFERROR(MATCH("*/"&amp;MID($P559,FIND(" ",$P559)+1,9)&amp;"*",firmadas!$B:$B,0),0)))</f>
        <v/>
      </c>
    </row>
    <row r="560" spans="14:20" ht="15" customHeight="1" x14ac:dyDescent="0.25">
      <c r="N560" s="53" t="str">
        <f t="shared" ca="1" si="8"/>
        <v/>
      </c>
      <c r="P560" t="str">
        <f ca="1">IF(TRIM(SUBSTITUTE(($C560&amp;" "&amp;$D560),CHAR(160)," "))="","",IFERROR(IF(ISNUMBER(SEARCH("INC",($C560&amp;" "&amp;$D560))),"INC",IF(ISNUMBER(SEARCH("OPI",($C560&amp;" "&amp;$D560))),"OPI",IF(ISNUMBER(SEARCH("DP",($C560&amp;" "&amp;$D560))),"DP","CONC")))&amp;" "&amp;TEXT(LOOKUP(9.99E+307,--MID(SUBSTITUTE(($C560&amp;" "&amp;$D560),CHAR(160)," "),SUMPRODUCT(MIN(FIND({0,1,2,3,4,5,6,7,8,9},SUBSTITUTE(($C560&amp;" "&amp;$D560),CHAR(160)," ")&amp;"0123456789"))),ROW(INDIRECT("1:6")))),"0"),"SIN NUMERO"))</f>
        <v/>
      </c>
      <c r="Q560" t="str">
        <f ca="1">IF($P560="","",IF(LEFT(UPPER($S560),9)="VERIFICAR","VERIFICAR",IF($A560="","SIN ESTADO",IF(AND($A560="Firmada",$H560=""),"FALTA FECHA DE FIRMA",IF(N($T560)=0,IF(AND(ISNUMBER($H560),$H560&gt;=DATE(2024,1,1)),"FALTA EN FIRMADAS","OK"),IF(OR($A560="Pendiente de presentación",$A560="Observado",$A560="En análisis",$A560="En instrucción",$A560="Suspendida",$A560="IT circulando",$A560="Para resolución",$A560="TDC"),"ABIERTA PERO ESTÁ EN FIRMADAS",IF($H560&lt;&gt;INDEX(firmadas!$F:$F,$T560),"FIRMA DISTINTA EN firmadas ("&amp;IF(INDEX(firmadas!$F:$F,$T560)="","vacía",DAY(INDEX(firmadas!$F:$F,$T560))&amp;"/"&amp;MONTH(INDEX(firmadas!$F:$F,$T560))&amp;"/"&amp;YEAR(INDEX(firmadas!$F:$F,$T560)))&amp;")",IF($G560&lt;&gt;INDEX(firmadas!$E:$E,$T560),"INGRESO DISTINTO EN firmadas ("&amp;IF(INDEX(firmadas!$E:$E,$T560)="","vacía",DAY(INDEX(firmadas!$E:$E,$T560))&amp;"/"&amp;MONTH(INDEX(firmadas!$E:$E,$T560))&amp;"/"&amp;YEAR(INDEX(firmadas!$E:$E,$T560)))&amp;")","OK"))))))))</f>
        <v/>
      </c>
      <c r="T560" t="str">
        <f ca="1">IF($P560="","",IFERROR(MATCH($P560,firmadas!$N:$N,0),IFERROR(MATCH("*/"&amp;MID($P560,FIND(" ",$P560)+1,9)&amp;"*",firmadas!$B:$B,0),0)))</f>
        <v/>
      </c>
    </row>
    <row r="561" spans="14:20" ht="15" customHeight="1" x14ac:dyDescent="0.25">
      <c r="N561" s="53" t="str">
        <f t="shared" ca="1" si="8"/>
        <v/>
      </c>
      <c r="P561" t="str">
        <f ca="1">IF(TRIM(SUBSTITUTE(($C561&amp;" "&amp;$D561),CHAR(160)," "))="","",IFERROR(IF(ISNUMBER(SEARCH("INC",($C561&amp;" "&amp;$D561))),"INC",IF(ISNUMBER(SEARCH("OPI",($C561&amp;" "&amp;$D561))),"OPI",IF(ISNUMBER(SEARCH("DP",($C561&amp;" "&amp;$D561))),"DP","CONC")))&amp;" "&amp;TEXT(LOOKUP(9.99E+307,--MID(SUBSTITUTE(($C561&amp;" "&amp;$D561),CHAR(160)," "),SUMPRODUCT(MIN(FIND({0,1,2,3,4,5,6,7,8,9},SUBSTITUTE(($C561&amp;" "&amp;$D561),CHAR(160)," ")&amp;"0123456789"))),ROW(INDIRECT("1:6")))),"0"),"SIN NUMERO"))</f>
        <v/>
      </c>
      <c r="Q561" t="str">
        <f ca="1">IF($P561="","",IF(LEFT(UPPER($S561),9)="VERIFICAR","VERIFICAR",IF($A561="","SIN ESTADO",IF(AND($A561="Firmada",$H561=""),"FALTA FECHA DE FIRMA",IF(N($T561)=0,IF(AND(ISNUMBER($H561),$H561&gt;=DATE(2024,1,1)),"FALTA EN FIRMADAS","OK"),IF(OR($A561="Pendiente de presentación",$A561="Observado",$A561="En análisis",$A561="En instrucción",$A561="Suspendida",$A561="IT circulando",$A561="Para resolución",$A561="TDC"),"ABIERTA PERO ESTÁ EN FIRMADAS",IF($H561&lt;&gt;INDEX(firmadas!$F:$F,$T561),"FIRMA DISTINTA EN firmadas ("&amp;IF(INDEX(firmadas!$F:$F,$T561)="","vacía",DAY(INDEX(firmadas!$F:$F,$T561))&amp;"/"&amp;MONTH(INDEX(firmadas!$F:$F,$T561))&amp;"/"&amp;YEAR(INDEX(firmadas!$F:$F,$T561)))&amp;")",IF($G561&lt;&gt;INDEX(firmadas!$E:$E,$T561),"INGRESO DISTINTO EN firmadas ("&amp;IF(INDEX(firmadas!$E:$E,$T561)="","vacía",DAY(INDEX(firmadas!$E:$E,$T561))&amp;"/"&amp;MONTH(INDEX(firmadas!$E:$E,$T561))&amp;"/"&amp;YEAR(INDEX(firmadas!$E:$E,$T561)))&amp;")","OK"))))))))</f>
        <v/>
      </c>
      <c r="T561" t="str">
        <f ca="1">IF($P561="","",IFERROR(MATCH($P561,firmadas!$N:$N,0),IFERROR(MATCH("*/"&amp;MID($P561,FIND(" ",$P561)+1,9)&amp;"*",firmadas!$B:$B,0),0)))</f>
        <v/>
      </c>
    </row>
    <row r="562" spans="14:20" ht="15" customHeight="1" x14ac:dyDescent="0.25">
      <c r="N562" s="53" t="str">
        <f t="shared" ca="1" si="8"/>
        <v/>
      </c>
      <c r="P562" t="str">
        <f ca="1">IF(TRIM(SUBSTITUTE(($C562&amp;" "&amp;$D562),CHAR(160)," "))="","",IFERROR(IF(ISNUMBER(SEARCH("INC",($C562&amp;" "&amp;$D562))),"INC",IF(ISNUMBER(SEARCH("OPI",($C562&amp;" "&amp;$D562))),"OPI",IF(ISNUMBER(SEARCH("DP",($C562&amp;" "&amp;$D562))),"DP","CONC")))&amp;" "&amp;TEXT(LOOKUP(9.99E+307,--MID(SUBSTITUTE(($C562&amp;" "&amp;$D562),CHAR(160)," "),SUMPRODUCT(MIN(FIND({0,1,2,3,4,5,6,7,8,9},SUBSTITUTE(($C562&amp;" "&amp;$D562),CHAR(160)," ")&amp;"0123456789"))),ROW(INDIRECT("1:6")))),"0"),"SIN NUMERO"))</f>
        <v/>
      </c>
      <c r="Q562" t="str">
        <f ca="1">IF($P562="","",IF(LEFT(UPPER($S562),9)="VERIFICAR","VERIFICAR",IF($A562="","SIN ESTADO",IF(AND($A562="Firmada",$H562=""),"FALTA FECHA DE FIRMA",IF(N($T562)=0,IF(AND(ISNUMBER($H562),$H562&gt;=DATE(2024,1,1)),"FALTA EN FIRMADAS","OK"),IF(OR($A562="Pendiente de presentación",$A562="Observado",$A562="En análisis",$A562="En instrucción",$A562="Suspendida",$A562="IT circulando",$A562="Para resolución",$A562="TDC"),"ABIERTA PERO ESTÁ EN FIRMADAS",IF($H562&lt;&gt;INDEX(firmadas!$F:$F,$T562),"FIRMA DISTINTA EN firmadas ("&amp;IF(INDEX(firmadas!$F:$F,$T562)="","vacía",DAY(INDEX(firmadas!$F:$F,$T562))&amp;"/"&amp;MONTH(INDEX(firmadas!$F:$F,$T562))&amp;"/"&amp;YEAR(INDEX(firmadas!$F:$F,$T562)))&amp;")",IF($G562&lt;&gt;INDEX(firmadas!$E:$E,$T562),"INGRESO DISTINTO EN firmadas ("&amp;IF(INDEX(firmadas!$E:$E,$T562)="","vacía",DAY(INDEX(firmadas!$E:$E,$T562))&amp;"/"&amp;MONTH(INDEX(firmadas!$E:$E,$T562))&amp;"/"&amp;YEAR(INDEX(firmadas!$E:$E,$T562)))&amp;")","OK"))))))))</f>
        <v/>
      </c>
      <c r="T562" t="str">
        <f ca="1">IF($P562="","",IFERROR(MATCH($P562,firmadas!$N:$N,0),IFERROR(MATCH("*/"&amp;MID($P562,FIND(" ",$P562)+1,9)&amp;"*",firmadas!$B:$B,0),0)))</f>
        <v/>
      </c>
    </row>
    <row r="563" spans="14:20" ht="15" customHeight="1" x14ac:dyDescent="0.25">
      <c r="N563" s="53" t="str">
        <f t="shared" ca="1" si="8"/>
        <v/>
      </c>
      <c r="P563" t="str">
        <f ca="1">IF(TRIM(SUBSTITUTE(($C563&amp;" "&amp;$D563),CHAR(160)," "))="","",IFERROR(IF(ISNUMBER(SEARCH("INC",($C563&amp;" "&amp;$D563))),"INC",IF(ISNUMBER(SEARCH("OPI",($C563&amp;" "&amp;$D563))),"OPI",IF(ISNUMBER(SEARCH("DP",($C563&amp;" "&amp;$D563))),"DP","CONC")))&amp;" "&amp;TEXT(LOOKUP(9.99E+307,--MID(SUBSTITUTE(($C563&amp;" "&amp;$D563),CHAR(160)," "),SUMPRODUCT(MIN(FIND({0,1,2,3,4,5,6,7,8,9},SUBSTITUTE(($C563&amp;" "&amp;$D563),CHAR(160)," ")&amp;"0123456789"))),ROW(INDIRECT("1:6")))),"0"),"SIN NUMERO"))</f>
        <v/>
      </c>
      <c r="Q563" t="str">
        <f ca="1">IF($P563="","",IF(LEFT(UPPER($S563),9)="VERIFICAR","VERIFICAR",IF($A563="","SIN ESTADO",IF(AND($A563="Firmada",$H563=""),"FALTA FECHA DE FIRMA",IF(N($T563)=0,IF(AND(ISNUMBER($H563),$H563&gt;=DATE(2024,1,1)),"FALTA EN FIRMADAS","OK"),IF(OR($A563="Pendiente de presentación",$A563="Observado",$A563="En análisis",$A563="En instrucción",$A563="Suspendida",$A563="IT circulando",$A563="Para resolución",$A563="TDC"),"ABIERTA PERO ESTÁ EN FIRMADAS",IF($H563&lt;&gt;INDEX(firmadas!$F:$F,$T563),"FIRMA DISTINTA EN firmadas ("&amp;IF(INDEX(firmadas!$F:$F,$T563)="","vacía",DAY(INDEX(firmadas!$F:$F,$T563))&amp;"/"&amp;MONTH(INDEX(firmadas!$F:$F,$T563))&amp;"/"&amp;YEAR(INDEX(firmadas!$F:$F,$T563)))&amp;")",IF($G563&lt;&gt;INDEX(firmadas!$E:$E,$T563),"INGRESO DISTINTO EN firmadas ("&amp;IF(INDEX(firmadas!$E:$E,$T563)="","vacía",DAY(INDEX(firmadas!$E:$E,$T563))&amp;"/"&amp;MONTH(INDEX(firmadas!$E:$E,$T563))&amp;"/"&amp;YEAR(INDEX(firmadas!$E:$E,$T563)))&amp;")","OK"))))))))</f>
        <v/>
      </c>
      <c r="T563" t="str">
        <f ca="1">IF($P563="","",IFERROR(MATCH($P563,firmadas!$N:$N,0),IFERROR(MATCH("*/"&amp;MID($P563,FIND(" ",$P563)+1,9)&amp;"*",firmadas!$B:$B,0),0)))</f>
        <v/>
      </c>
    </row>
    <row r="564" spans="14:20" ht="15" customHeight="1" x14ac:dyDescent="0.25">
      <c r="N564" s="53" t="str">
        <f t="shared" ca="1" si="8"/>
        <v/>
      </c>
      <c r="P564" t="str">
        <f ca="1">IF(TRIM(SUBSTITUTE(($C564&amp;" "&amp;$D564),CHAR(160)," "))="","",IFERROR(IF(ISNUMBER(SEARCH("INC",($C564&amp;" "&amp;$D564))),"INC",IF(ISNUMBER(SEARCH("OPI",($C564&amp;" "&amp;$D564))),"OPI",IF(ISNUMBER(SEARCH("DP",($C564&amp;" "&amp;$D564))),"DP","CONC")))&amp;" "&amp;TEXT(LOOKUP(9.99E+307,--MID(SUBSTITUTE(($C564&amp;" "&amp;$D564),CHAR(160)," "),SUMPRODUCT(MIN(FIND({0,1,2,3,4,5,6,7,8,9},SUBSTITUTE(($C564&amp;" "&amp;$D564),CHAR(160)," ")&amp;"0123456789"))),ROW(INDIRECT("1:6")))),"0"),"SIN NUMERO"))</f>
        <v/>
      </c>
      <c r="Q564" t="str">
        <f ca="1">IF($P564="","",IF(LEFT(UPPER($S564),9)="VERIFICAR","VERIFICAR",IF($A564="","SIN ESTADO",IF(AND($A564="Firmada",$H564=""),"FALTA FECHA DE FIRMA",IF(N($T564)=0,IF(AND(ISNUMBER($H564),$H564&gt;=DATE(2024,1,1)),"FALTA EN FIRMADAS","OK"),IF(OR($A564="Pendiente de presentación",$A564="Observado",$A564="En análisis",$A564="En instrucción",$A564="Suspendida",$A564="IT circulando",$A564="Para resolución",$A564="TDC"),"ABIERTA PERO ESTÁ EN FIRMADAS",IF($H564&lt;&gt;INDEX(firmadas!$F:$F,$T564),"FIRMA DISTINTA EN firmadas ("&amp;IF(INDEX(firmadas!$F:$F,$T564)="","vacía",DAY(INDEX(firmadas!$F:$F,$T564))&amp;"/"&amp;MONTH(INDEX(firmadas!$F:$F,$T564))&amp;"/"&amp;YEAR(INDEX(firmadas!$F:$F,$T564)))&amp;")",IF($G564&lt;&gt;INDEX(firmadas!$E:$E,$T564),"INGRESO DISTINTO EN firmadas ("&amp;IF(INDEX(firmadas!$E:$E,$T564)="","vacía",DAY(INDEX(firmadas!$E:$E,$T564))&amp;"/"&amp;MONTH(INDEX(firmadas!$E:$E,$T564))&amp;"/"&amp;YEAR(INDEX(firmadas!$E:$E,$T564)))&amp;")","OK"))))))))</f>
        <v/>
      </c>
      <c r="T564" t="str">
        <f ca="1">IF($P564="","",IFERROR(MATCH($P564,firmadas!$N:$N,0),IFERROR(MATCH("*/"&amp;MID($P564,FIND(" ",$P564)+1,9)&amp;"*",firmadas!$B:$B,0),0)))</f>
        <v/>
      </c>
    </row>
    <row r="565" spans="14:20" ht="15" customHeight="1" x14ac:dyDescent="0.25">
      <c r="N565" s="53" t="str">
        <f t="shared" ca="1" si="8"/>
        <v/>
      </c>
      <c r="P565" t="str">
        <f ca="1">IF(TRIM(SUBSTITUTE(($C565&amp;" "&amp;$D565),CHAR(160)," "))="","",IFERROR(IF(ISNUMBER(SEARCH("INC",($C565&amp;" "&amp;$D565))),"INC",IF(ISNUMBER(SEARCH("OPI",($C565&amp;" "&amp;$D565))),"OPI",IF(ISNUMBER(SEARCH("DP",($C565&amp;" "&amp;$D565))),"DP","CONC")))&amp;" "&amp;TEXT(LOOKUP(9.99E+307,--MID(SUBSTITUTE(($C565&amp;" "&amp;$D565),CHAR(160)," "),SUMPRODUCT(MIN(FIND({0,1,2,3,4,5,6,7,8,9},SUBSTITUTE(($C565&amp;" "&amp;$D565),CHAR(160)," ")&amp;"0123456789"))),ROW(INDIRECT("1:6")))),"0"),"SIN NUMERO"))</f>
        <v/>
      </c>
      <c r="Q565" t="str">
        <f ca="1">IF($P565="","",IF(LEFT(UPPER($S565),9)="VERIFICAR","VERIFICAR",IF($A565="","SIN ESTADO",IF(AND($A565="Firmada",$H565=""),"FALTA FECHA DE FIRMA",IF(N($T565)=0,IF(AND(ISNUMBER($H565),$H565&gt;=DATE(2024,1,1)),"FALTA EN FIRMADAS","OK"),IF(OR($A565="Pendiente de presentación",$A565="Observado",$A565="En análisis",$A565="En instrucción",$A565="Suspendida",$A565="IT circulando",$A565="Para resolución",$A565="TDC"),"ABIERTA PERO ESTÁ EN FIRMADAS",IF($H565&lt;&gt;INDEX(firmadas!$F:$F,$T565),"FIRMA DISTINTA EN firmadas ("&amp;IF(INDEX(firmadas!$F:$F,$T565)="","vacía",DAY(INDEX(firmadas!$F:$F,$T565))&amp;"/"&amp;MONTH(INDEX(firmadas!$F:$F,$T565))&amp;"/"&amp;YEAR(INDEX(firmadas!$F:$F,$T565)))&amp;")",IF($G565&lt;&gt;INDEX(firmadas!$E:$E,$T565),"INGRESO DISTINTO EN firmadas ("&amp;IF(INDEX(firmadas!$E:$E,$T565)="","vacía",DAY(INDEX(firmadas!$E:$E,$T565))&amp;"/"&amp;MONTH(INDEX(firmadas!$E:$E,$T565))&amp;"/"&amp;YEAR(INDEX(firmadas!$E:$E,$T565)))&amp;")","OK"))))))))</f>
        <v/>
      </c>
      <c r="T565" t="str">
        <f ca="1">IF($P565="","",IFERROR(MATCH($P565,firmadas!$N:$N,0),IFERROR(MATCH("*/"&amp;MID($P565,FIND(" ",$P565)+1,9)&amp;"*",firmadas!$B:$B,0),0)))</f>
        <v/>
      </c>
    </row>
    <row r="566" spans="14:20" ht="15" customHeight="1" x14ac:dyDescent="0.25">
      <c r="N566" s="53" t="str">
        <f t="shared" ca="1" si="8"/>
        <v/>
      </c>
      <c r="P566" t="str">
        <f ca="1">IF(TRIM(SUBSTITUTE(($C566&amp;" "&amp;$D566),CHAR(160)," "))="","",IFERROR(IF(ISNUMBER(SEARCH("INC",($C566&amp;" "&amp;$D566))),"INC",IF(ISNUMBER(SEARCH("OPI",($C566&amp;" "&amp;$D566))),"OPI",IF(ISNUMBER(SEARCH("DP",($C566&amp;" "&amp;$D566))),"DP","CONC")))&amp;" "&amp;TEXT(LOOKUP(9.99E+307,--MID(SUBSTITUTE(($C566&amp;" "&amp;$D566),CHAR(160)," "),SUMPRODUCT(MIN(FIND({0,1,2,3,4,5,6,7,8,9},SUBSTITUTE(($C566&amp;" "&amp;$D566),CHAR(160)," ")&amp;"0123456789"))),ROW(INDIRECT("1:6")))),"0"),"SIN NUMERO"))</f>
        <v/>
      </c>
      <c r="Q566" t="str">
        <f ca="1">IF($P566="","",IF(LEFT(UPPER($S566),9)="VERIFICAR","VERIFICAR",IF($A566="","SIN ESTADO",IF(AND($A566="Firmada",$H566=""),"FALTA FECHA DE FIRMA",IF(N($T566)=0,IF(AND(ISNUMBER($H566),$H566&gt;=DATE(2024,1,1)),"FALTA EN FIRMADAS","OK"),IF(OR($A566="Pendiente de presentación",$A566="Observado",$A566="En análisis",$A566="En instrucción",$A566="Suspendida",$A566="IT circulando",$A566="Para resolución",$A566="TDC"),"ABIERTA PERO ESTÁ EN FIRMADAS",IF($H566&lt;&gt;INDEX(firmadas!$F:$F,$T566),"FIRMA DISTINTA EN firmadas ("&amp;IF(INDEX(firmadas!$F:$F,$T566)="","vacía",DAY(INDEX(firmadas!$F:$F,$T566))&amp;"/"&amp;MONTH(INDEX(firmadas!$F:$F,$T566))&amp;"/"&amp;YEAR(INDEX(firmadas!$F:$F,$T566)))&amp;")",IF($G566&lt;&gt;INDEX(firmadas!$E:$E,$T566),"INGRESO DISTINTO EN firmadas ("&amp;IF(INDEX(firmadas!$E:$E,$T566)="","vacía",DAY(INDEX(firmadas!$E:$E,$T566))&amp;"/"&amp;MONTH(INDEX(firmadas!$E:$E,$T566))&amp;"/"&amp;YEAR(INDEX(firmadas!$E:$E,$T566)))&amp;")","OK"))))))))</f>
        <v/>
      </c>
      <c r="T566" t="str">
        <f ca="1">IF($P566="","",IFERROR(MATCH($P566,firmadas!$N:$N,0),IFERROR(MATCH("*/"&amp;MID($P566,FIND(" ",$P566)+1,9)&amp;"*",firmadas!$B:$B,0),0)))</f>
        <v/>
      </c>
    </row>
    <row r="567" spans="14:20" ht="15" customHeight="1" x14ac:dyDescent="0.25">
      <c r="N567" s="53" t="str">
        <f t="shared" ca="1" si="8"/>
        <v/>
      </c>
      <c r="P567" t="str">
        <f ca="1">IF(TRIM(SUBSTITUTE(($C567&amp;" "&amp;$D567),CHAR(160)," "))="","",IFERROR(IF(ISNUMBER(SEARCH("INC",($C567&amp;" "&amp;$D567))),"INC",IF(ISNUMBER(SEARCH("OPI",($C567&amp;" "&amp;$D567))),"OPI",IF(ISNUMBER(SEARCH("DP",($C567&amp;" "&amp;$D567))),"DP","CONC")))&amp;" "&amp;TEXT(LOOKUP(9.99E+307,--MID(SUBSTITUTE(($C567&amp;" "&amp;$D567),CHAR(160)," "),SUMPRODUCT(MIN(FIND({0,1,2,3,4,5,6,7,8,9},SUBSTITUTE(($C567&amp;" "&amp;$D567),CHAR(160)," ")&amp;"0123456789"))),ROW(INDIRECT("1:6")))),"0"),"SIN NUMERO"))</f>
        <v/>
      </c>
      <c r="Q567" t="str">
        <f ca="1">IF($P567="","",IF(LEFT(UPPER($S567),9)="VERIFICAR","VERIFICAR",IF($A567="","SIN ESTADO",IF(AND($A567="Firmada",$H567=""),"FALTA FECHA DE FIRMA",IF(N($T567)=0,IF(AND(ISNUMBER($H567),$H567&gt;=DATE(2024,1,1)),"FALTA EN FIRMADAS","OK"),IF(OR($A567="Pendiente de presentación",$A567="Observado",$A567="En análisis",$A567="En instrucción",$A567="Suspendida",$A567="IT circulando",$A567="Para resolución",$A567="TDC"),"ABIERTA PERO ESTÁ EN FIRMADAS",IF($H567&lt;&gt;INDEX(firmadas!$F:$F,$T567),"FIRMA DISTINTA EN firmadas ("&amp;IF(INDEX(firmadas!$F:$F,$T567)="","vacía",DAY(INDEX(firmadas!$F:$F,$T567))&amp;"/"&amp;MONTH(INDEX(firmadas!$F:$F,$T567))&amp;"/"&amp;YEAR(INDEX(firmadas!$F:$F,$T567)))&amp;")",IF($G567&lt;&gt;INDEX(firmadas!$E:$E,$T567),"INGRESO DISTINTO EN firmadas ("&amp;IF(INDEX(firmadas!$E:$E,$T567)="","vacía",DAY(INDEX(firmadas!$E:$E,$T567))&amp;"/"&amp;MONTH(INDEX(firmadas!$E:$E,$T567))&amp;"/"&amp;YEAR(INDEX(firmadas!$E:$E,$T567)))&amp;")","OK"))))))))</f>
        <v/>
      </c>
      <c r="T567" t="str">
        <f ca="1">IF($P567="","",IFERROR(MATCH($P567,firmadas!$N:$N,0),IFERROR(MATCH("*/"&amp;MID($P567,FIND(" ",$P567)+1,9)&amp;"*",firmadas!$B:$B,0),0)))</f>
        <v/>
      </c>
    </row>
    <row r="568" spans="14:20" ht="15" customHeight="1" x14ac:dyDescent="0.25">
      <c r="N568" s="53" t="str">
        <f t="shared" ca="1" si="8"/>
        <v/>
      </c>
      <c r="P568" t="str">
        <f ca="1">IF(TRIM(SUBSTITUTE(($C568&amp;" "&amp;$D568),CHAR(160)," "))="","",IFERROR(IF(ISNUMBER(SEARCH("INC",($C568&amp;" "&amp;$D568))),"INC",IF(ISNUMBER(SEARCH("OPI",($C568&amp;" "&amp;$D568))),"OPI",IF(ISNUMBER(SEARCH("DP",($C568&amp;" "&amp;$D568))),"DP","CONC")))&amp;" "&amp;TEXT(LOOKUP(9.99E+307,--MID(SUBSTITUTE(($C568&amp;" "&amp;$D568),CHAR(160)," "),SUMPRODUCT(MIN(FIND({0,1,2,3,4,5,6,7,8,9},SUBSTITUTE(($C568&amp;" "&amp;$D568),CHAR(160)," ")&amp;"0123456789"))),ROW(INDIRECT("1:6")))),"0"),"SIN NUMERO"))</f>
        <v/>
      </c>
      <c r="Q568" t="str">
        <f ca="1">IF($P568="","",IF(LEFT(UPPER($S568),9)="VERIFICAR","VERIFICAR",IF($A568="","SIN ESTADO",IF(AND($A568="Firmada",$H568=""),"FALTA FECHA DE FIRMA",IF(N($T568)=0,IF(AND(ISNUMBER($H568),$H568&gt;=DATE(2024,1,1)),"FALTA EN FIRMADAS","OK"),IF(OR($A568="Pendiente de presentación",$A568="Observado",$A568="En análisis",$A568="En instrucción",$A568="Suspendida",$A568="IT circulando",$A568="Para resolución",$A568="TDC"),"ABIERTA PERO ESTÁ EN FIRMADAS",IF($H568&lt;&gt;INDEX(firmadas!$F:$F,$T568),"FIRMA DISTINTA EN firmadas ("&amp;IF(INDEX(firmadas!$F:$F,$T568)="","vacía",DAY(INDEX(firmadas!$F:$F,$T568))&amp;"/"&amp;MONTH(INDEX(firmadas!$F:$F,$T568))&amp;"/"&amp;YEAR(INDEX(firmadas!$F:$F,$T568)))&amp;")",IF($G568&lt;&gt;INDEX(firmadas!$E:$E,$T568),"INGRESO DISTINTO EN firmadas ("&amp;IF(INDEX(firmadas!$E:$E,$T568)="","vacía",DAY(INDEX(firmadas!$E:$E,$T568))&amp;"/"&amp;MONTH(INDEX(firmadas!$E:$E,$T568))&amp;"/"&amp;YEAR(INDEX(firmadas!$E:$E,$T568)))&amp;")","OK"))))))))</f>
        <v/>
      </c>
      <c r="T568" t="str">
        <f ca="1">IF($P568="","",IFERROR(MATCH($P568,firmadas!$N:$N,0),IFERROR(MATCH("*/"&amp;MID($P568,FIND(" ",$P568)+1,9)&amp;"*",firmadas!$B:$B,0),0)))</f>
        <v/>
      </c>
    </row>
    <row r="569" spans="14:20" ht="15" customHeight="1" x14ac:dyDescent="0.25">
      <c r="N569" s="53" t="str">
        <f t="shared" ca="1" si="8"/>
        <v/>
      </c>
      <c r="P569" t="str">
        <f ca="1">IF(TRIM(SUBSTITUTE(($C569&amp;" "&amp;$D569),CHAR(160)," "))="","",IFERROR(IF(ISNUMBER(SEARCH("INC",($C569&amp;" "&amp;$D569))),"INC",IF(ISNUMBER(SEARCH("OPI",($C569&amp;" "&amp;$D569))),"OPI",IF(ISNUMBER(SEARCH("DP",($C569&amp;" "&amp;$D569))),"DP","CONC")))&amp;" "&amp;TEXT(LOOKUP(9.99E+307,--MID(SUBSTITUTE(($C569&amp;" "&amp;$D569),CHAR(160)," "),SUMPRODUCT(MIN(FIND({0,1,2,3,4,5,6,7,8,9},SUBSTITUTE(($C569&amp;" "&amp;$D569),CHAR(160)," ")&amp;"0123456789"))),ROW(INDIRECT("1:6")))),"0"),"SIN NUMERO"))</f>
        <v/>
      </c>
      <c r="Q569" t="str">
        <f ca="1">IF($P569="","",IF(LEFT(UPPER($S569),9)="VERIFICAR","VERIFICAR",IF($A569="","SIN ESTADO",IF(AND($A569="Firmada",$H569=""),"FALTA FECHA DE FIRMA",IF(N($T569)=0,IF(AND(ISNUMBER($H569),$H569&gt;=DATE(2024,1,1)),"FALTA EN FIRMADAS","OK"),IF(OR($A569="Pendiente de presentación",$A569="Observado",$A569="En análisis",$A569="En instrucción",$A569="Suspendida",$A569="IT circulando",$A569="Para resolución",$A569="TDC"),"ABIERTA PERO ESTÁ EN FIRMADAS",IF($H569&lt;&gt;INDEX(firmadas!$F:$F,$T569),"FIRMA DISTINTA EN firmadas ("&amp;IF(INDEX(firmadas!$F:$F,$T569)="","vacía",DAY(INDEX(firmadas!$F:$F,$T569))&amp;"/"&amp;MONTH(INDEX(firmadas!$F:$F,$T569))&amp;"/"&amp;YEAR(INDEX(firmadas!$F:$F,$T569)))&amp;")",IF($G569&lt;&gt;INDEX(firmadas!$E:$E,$T569),"INGRESO DISTINTO EN firmadas ("&amp;IF(INDEX(firmadas!$E:$E,$T569)="","vacía",DAY(INDEX(firmadas!$E:$E,$T569))&amp;"/"&amp;MONTH(INDEX(firmadas!$E:$E,$T569))&amp;"/"&amp;YEAR(INDEX(firmadas!$E:$E,$T569)))&amp;")","OK"))))))))</f>
        <v/>
      </c>
      <c r="T569" t="str">
        <f ca="1">IF($P569="","",IFERROR(MATCH($P569,firmadas!$N:$N,0),IFERROR(MATCH("*/"&amp;MID($P569,FIND(" ",$P569)+1,9)&amp;"*",firmadas!$B:$B,0),0)))</f>
        <v/>
      </c>
    </row>
    <row r="570" spans="14:20" ht="15" customHeight="1" x14ac:dyDescent="0.25">
      <c r="N570" s="53" t="str">
        <f t="shared" ca="1" si="8"/>
        <v/>
      </c>
      <c r="P570" t="str">
        <f ca="1">IF(TRIM(SUBSTITUTE(($C570&amp;" "&amp;$D570),CHAR(160)," "))="","",IFERROR(IF(ISNUMBER(SEARCH("INC",($C570&amp;" "&amp;$D570))),"INC",IF(ISNUMBER(SEARCH("OPI",($C570&amp;" "&amp;$D570))),"OPI",IF(ISNUMBER(SEARCH("DP",($C570&amp;" "&amp;$D570))),"DP","CONC")))&amp;" "&amp;TEXT(LOOKUP(9.99E+307,--MID(SUBSTITUTE(($C570&amp;" "&amp;$D570),CHAR(160)," "),SUMPRODUCT(MIN(FIND({0,1,2,3,4,5,6,7,8,9},SUBSTITUTE(($C570&amp;" "&amp;$D570),CHAR(160)," ")&amp;"0123456789"))),ROW(INDIRECT("1:6")))),"0"),"SIN NUMERO"))</f>
        <v/>
      </c>
      <c r="Q570" t="str">
        <f ca="1">IF($P570="","",IF(LEFT(UPPER($S570),9)="VERIFICAR","VERIFICAR",IF($A570="","SIN ESTADO",IF(AND($A570="Firmada",$H570=""),"FALTA FECHA DE FIRMA",IF(N($T570)=0,IF(AND(ISNUMBER($H570),$H570&gt;=DATE(2024,1,1)),"FALTA EN FIRMADAS","OK"),IF(OR($A570="Pendiente de presentación",$A570="Observado",$A570="En análisis",$A570="En instrucción",$A570="Suspendida",$A570="IT circulando",$A570="Para resolución",$A570="TDC"),"ABIERTA PERO ESTÁ EN FIRMADAS",IF($H570&lt;&gt;INDEX(firmadas!$F:$F,$T570),"FIRMA DISTINTA EN firmadas ("&amp;IF(INDEX(firmadas!$F:$F,$T570)="","vacía",DAY(INDEX(firmadas!$F:$F,$T570))&amp;"/"&amp;MONTH(INDEX(firmadas!$F:$F,$T570))&amp;"/"&amp;YEAR(INDEX(firmadas!$F:$F,$T570)))&amp;")",IF($G570&lt;&gt;INDEX(firmadas!$E:$E,$T570),"INGRESO DISTINTO EN firmadas ("&amp;IF(INDEX(firmadas!$E:$E,$T570)="","vacía",DAY(INDEX(firmadas!$E:$E,$T570))&amp;"/"&amp;MONTH(INDEX(firmadas!$E:$E,$T570))&amp;"/"&amp;YEAR(INDEX(firmadas!$E:$E,$T570)))&amp;")","OK"))))))))</f>
        <v/>
      </c>
      <c r="T570" t="str">
        <f ca="1">IF($P570="","",IFERROR(MATCH($P570,firmadas!$N:$N,0),IFERROR(MATCH("*/"&amp;MID($P570,FIND(" ",$P570)+1,9)&amp;"*",firmadas!$B:$B,0),0)))</f>
        <v/>
      </c>
    </row>
    <row r="571" spans="14:20" ht="15" customHeight="1" x14ac:dyDescent="0.25">
      <c r="N571" s="53" t="str">
        <f t="shared" ca="1" si="8"/>
        <v/>
      </c>
      <c r="P571" t="str">
        <f ca="1">IF(TRIM(SUBSTITUTE(($C571&amp;" "&amp;$D571),CHAR(160)," "))="","",IFERROR(IF(ISNUMBER(SEARCH("INC",($C571&amp;" "&amp;$D571))),"INC",IF(ISNUMBER(SEARCH("OPI",($C571&amp;" "&amp;$D571))),"OPI",IF(ISNUMBER(SEARCH("DP",($C571&amp;" "&amp;$D571))),"DP","CONC")))&amp;" "&amp;TEXT(LOOKUP(9.99E+307,--MID(SUBSTITUTE(($C571&amp;" "&amp;$D571),CHAR(160)," "),SUMPRODUCT(MIN(FIND({0,1,2,3,4,5,6,7,8,9},SUBSTITUTE(($C571&amp;" "&amp;$D571),CHAR(160)," ")&amp;"0123456789"))),ROW(INDIRECT("1:6")))),"0"),"SIN NUMERO"))</f>
        <v/>
      </c>
      <c r="Q571" t="str">
        <f ca="1">IF($P571="","",IF(LEFT(UPPER($S571),9)="VERIFICAR","VERIFICAR",IF($A571="","SIN ESTADO",IF(AND($A571="Firmada",$H571=""),"FALTA FECHA DE FIRMA",IF(N($T571)=0,IF(AND(ISNUMBER($H571),$H571&gt;=DATE(2024,1,1)),"FALTA EN FIRMADAS","OK"),IF(OR($A571="Pendiente de presentación",$A571="Observado",$A571="En análisis",$A571="En instrucción",$A571="Suspendida",$A571="IT circulando",$A571="Para resolución",$A571="TDC"),"ABIERTA PERO ESTÁ EN FIRMADAS",IF($H571&lt;&gt;INDEX(firmadas!$F:$F,$T571),"FIRMA DISTINTA EN firmadas ("&amp;IF(INDEX(firmadas!$F:$F,$T571)="","vacía",DAY(INDEX(firmadas!$F:$F,$T571))&amp;"/"&amp;MONTH(INDEX(firmadas!$F:$F,$T571))&amp;"/"&amp;YEAR(INDEX(firmadas!$F:$F,$T571)))&amp;")",IF($G571&lt;&gt;INDEX(firmadas!$E:$E,$T571),"INGRESO DISTINTO EN firmadas ("&amp;IF(INDEX(firmadas!$E:$E,$T571)="","vacía",DAY(INDEX(firmadas!$E:$E,$T571))&amp;"/"&amp;MONTH(INDEX(firmadas!$E:$E,$T571))&amp;"/"&amp;YEAR(INDEX(firmadas!$E:$E,$T571)))&amp;")","OK"))))))))</f>
        <v/>
      </c>
      <c r="T571" t="str">
        <f ca="1">IF($P571="","",IFERROR(MATCH($P571,firmadas!$N:$N,0),IFERROR(MATCH("*/"&amp;MID($P571,FIND(" ",$P571)+1,9)&amp;"*",firmadas!$B:$B,0),0)))</f>
        <v/>
      </c>
    </row>
    <row r="572" spans="14:20" ht="15" customHeight="1" x14ac:dyDescent="0.25">
      <c r="N572" s="53" t="str">
        <f t="shared" ca="1" si="8"/>
        <v/>
      </c>
      <c r="P572" t="str">
        <f ca="1">IF(TRIM(SUBSTITUTE(($C572&amp;" "&amp;$D572),CHAR(160)," "))="","",IFERROR(IF(ISNUMBER(SEARCH("INC",($C572&amp;" "&amp;$D572))),"INC",IF(ISNUMBER(SEARCH("OPI",($C572&amp;" "&amp;$D572))),"OPI",IF(ISNUMBER(SEARCH("DP",($C572&amp;" "&amp;$D572))),"DP","CONC")))&amp;" "&amp;TEXT(LOOKUP(9.99E+307,--MID(SUBSTITUTE(($C572&amp;" "&amp;$D572),CHAR(160)," "),SUMPRODUCT(MIN(FIND({0,1,2,3,4,5,6,7,8,9},SUBSTITUTE(($C572&amp;" "&amp;$D572),CHAR(160)," ")&amp;"0123456789"))),ROW(INDIRECT("1:6")))),"0"),"SIN NUMERO"))</f>
        <v/>
      </c>
      <c r="Q572" t="str">
        <f ca="1">IF($P572="","",IF(LEFT(UPPER($S572),9)="VERIFICAR","VERIFICAR",IF($A572="","SIN ESTADO",IF(AND($A572="Firmada",$H572=""),"FALTA FECHA DE FIRMA",IF(N($T572)=0,IF(AND(ISNUMBER($H572),$H572&gt;=DATE(2024,1,1)),"FALTA EN FIRMADAS","OK"),IF(OR($A572="Pendiente de presentación",$A572="Observado",$A572="En análisis",$A572="En instrucción",$A572="Suspendida",$A572="IT circulando",$A572="Para resolución",$A572="TDC"),"ABIERTA PERO ESTÁ EN FIRMADAS",IF($H572&lt;&gt;INDEX(firmadas!$F:$F,$T572),"FIRMA DISTINTA EN firmadas ("&amp;IF(INDEX(firmadas!$F:$F,$T572)="","vacía",DAY(INDEX(firmadas!$F:$F,$T572))&amp;"/"&amp;MONTH(INDEX(firmadas!$F:$F,$T572))&amp;"/"&amp;YEAR(INDEX(firmadas!$F:$F,$T572)))&amp;")",IF($G572&lt;&gt;INDEX(firmadas!$E:$E,$T572),"INGRESO DISTINTO EN firmadas ("&amp;IF(INDEX(firmadas!$E:$E,$T572)="","vacía",DAY(INDEX(firmadas!$E:$E,$T572))&amp;"/"&amp;MONTH(INDEX(firmadas!$E:$E,$T572))&amp;"/"&amp;YEAR(INDEX(firmadas!$E:$E,$T572)))&amp;")","OK"))))))))</f>
        <v/>
      </c>
      <c r="T572" t="str">
        <f ca="1">IF($P572="","",IFERROR(MATCH($P572,firmadas!$N:$N,0),IFERROR(MATCH("*/"&amp;MID($P572,FIND(" ",$P572)+1,9)&amp;"*",firmadas!$B:$B,0),0)))</f>
        <v/>
      </c>
    </row>
    <row r="573" spans="14:20" ht="15" customHeight="1" x14ac:dyDescent="0.25">
      <c r="N573" s="53" t="str">
        <f t="shared" ca="1" si="8"/>
        <v/>
      </c>
      <c r="P573" t="str">
        <f ca="1">IF(TRIM(SUBSTITUTE(($C573&amp;" "&amp;$D573),CHAR(160)," "))="","",IFERROR(IF(ISNUMBER(SEARCH("INC",($C573&amp;" "&amp;$D573))),"INC",IF(ISNUMBER(SEARCH("OPI",($C573&amp;" "&amp;$D573))),"OPI",IF(ISNUMBER(SEARCH("DP",($C573&amp;" "&amp;$D573))),"DP","CONC")))&amp;" "&amp;TEXT(LOOKUP(9.99E+307,--MID(SUBSTITUTE(($C573&amp;" "&amp;$D573),CHAR(160)," "),SUMPRODUCT(MIN(FIND({0,1,2,3,4,5,6,7,8,9},SUBSTITUTE(($C573&amp;" "&amp;$D573),CHAR(160)," ")&amp;"0123456789"))),ROW(INDIRECT("1:6")))),"0"),"SIN NUMERO"))</f>
        <v/>
      </c>
      <c r="Q573" t="str">
        <f ca="1">IF($P573="","",IF(LEFT(UPPER($S573),9)="VERIFICAR","VERIFICAR",IF($A573="","SIN ESTADO",IF(AND($A573="Firmada",$H573=""),"FALTA FECHA DE FIRMA",IF(N($T573)=0,IF(AND(ISNUMBER($H573),$H573&gt;=DATE(2024,1,1)),"FALTA EN FIRMADAS","OK"),IF(OR($A573="Pendiente de presentación",$A573="Observado",$A573="En análisis",$A573="En instrucción",$A573="Suspendida",$A573="IT circulando",$A573="Para resolución",$A573="TDC"),"ABIERTA PERO ESTÁ EN FIRMADAS",IF($H573&lt;&gt;INDEX(firmadas!$F:$F,$T573),"FIRMA DISTINTA EN firmadas ("&amp;IF(INDEX(firmadas!$F:$F,$T573)="","vacía",DAY(INDEX(firmadas!$F:$F,$T573))&amp;"/"&amp;MONTH(INDEX(firmadas!$F:$F,$T573))&amp;"/"&amp;YEAR(INDEX(firmadas!$F:$F,$T573)))&amp;")",IF($G573&lt;&gt;INDEX(firmadas!$E:$E,$T573),"INGRESO DISTINTO EN firmadas ("&amp;IF(INDEX(firmadas!$E:$E,$T573)="","vacía",DAY(INDEX(firmadas!$E:$E,$T573))&amp;"/"&amp;MONTH(INDEX(firmadas!$E:$E,$T573))&amp;"/"&amp;YEAR(INDEX(firmadas!$E:$E,$T573)))&amp;")","OK"))))))))</f>
        <v/>
      </c>
      <c r="T573" t="str">
        <f ca="1">IF($P573="","",IFERROR(MATCH($P573,firmadas!$N:$N,0),IFERROR(MATCH("*/"&amp;MID($P573,FIND(" ",$P573)+1,9)&amp;"*",firmadas!$B:$B,0),0)))</f>
        <v/>
      </c>
    </row>
    <row r="574" spans="14:20" ht="15" customHeight="1" x14ac:dyDescent="0.25">
      <c r="N574" s="53" t="str">
        <f t="shared" ca="1" si="8"/>
        <v/>
      </c>
      <c r="P574" t="str">
        <f ca="1">IF(TRIM(SUBSTITUTE(($C574&amp;" "&amp;$D574),CHAR(160)," "))="","",IFERROR(IF(ISNUMBER(SEARCH("INC",($C574&amp;" "&amp;$D574))),"INC",IF(ISNUMBER(SEARCH("OPI",($C574&amp;" "&amp;$D574))),"OPI",IF(ISNUMBER(SEARCH("DP",($C574&amp;" "&amp;$D574))),"DP","CONC")))&amp;" "&amp;TEXT(LOOKUP(9.99E+307,--MID(SUBSTITUTE(($C574&amp;" "&amp;$D574),CHAR(160)," "),SUMPRODUCT(MIN(FIND({0,1,2,3,4,5,6,7,8,9},SUBSTITUTE(($C574&amp;" "&amp;$D574),CHAR(160)," ")&amp;"0123456789"))),ROW(INDIRECT("1:6")))),"0"),"SIN NUMERO"))</f>
        <v/>
      </c>
      <c r="Q574" t="str">
        <f ca="1">IF($P574="","",IF(LEFT(UPPER($S574),9)="VERIFICAR","VERIFICAR",IF($A574="","SIN ESTADO",IF(AND($A574="Firmada",$H574=""),"FALTA FECHA DE FIRMA",IF(N($T574)=0,IF(AND(ISNUMBER($H574),$H574&gt;=DATE(2024,1,1)),"FALTA EN FIRMADAS","OK"),IF(OR($A574="Pendiente de presentación",$A574="Observado",$A574="En análisis",$A574="En instrucción",$A574="Suspendida",$A574="IT circulando",$A574="Para resolución",$A574="TDC"),"ABIERTA PERO ESTÁ EN FIRMADAS",IF($H574&lt;&gt;INDEX(firmadas!$F:$F,$T574),"FIRMA DISTINTA EN firmadas ("&amp;IF(INDEX(firmadas!$F:$F,$T574)="","vacía",DAY(INDEX(firmadas!$F:$F,$T574))&amp;"/"&amp;MONTH(INDEX(firmadas!$F:$F,$T574))&amp;"/"&amp;YEAR(INDEX(firmadas!$F:$F,$T574)))&amp;")",IF($G574&lt;&gt;INDEX(firmadas!$E:$E,$T574),"INGRESO DISTINTO EN firmadas ("&amp;IF(INDEX(firmadas!$E:$E,$T574)="","vacía",DAY(INDEX(firmadas!$E:$E,$T574))&amp;"/"&amp;MONTH(INDEX(firmadas!$E:$E,$T574))&amp;"/"&amp;YEAR(INDEX(firmadas!$E:$E,$T574)))&amp;")","OK"))))))))</f>
        <v/>
      </c>
      <c r="T574" t="str">
        <f ca="1">IF($P574="","",IFERROR(MATCH($P574,firmadas!$N:$N,0),IFERROR(MATCH("*/"&amp;MID($P574,FIND(" ",$P574)+1,9)&amp;"*",firmadas!$B:$B,0),0)))</f>
        <v/>
      </c>
    </row>
    <row r="575" spans="14:20" ht="15" customHeight="1" x14ac:dyDescent="0.25">
      <c r="N575" s="53" t="str">
        <f t="shared" ca="1" si="8"/>
        <v/>
      </c>
      <c r="P575" t="str">
        <f ca="1">IF(TRIM(SUBSTITUTE(($C575&amp;" "&amp;$D575),CHAR(160)," "))="","",IFERROR(IF(ISNUMBER(SEARCH("INC",($C575&amp;" "&amp;$D575))),"INC",IF(ISNUMBER(SEARCH("OPI",($C575&amp;" "&amp;$D575))),"OPI",IF(ISNUMBER(SEARCH("DP",($C575&amp;" "&amp;$D575))),"DP","CONC")))&amp;" "&amp;TEXT(LOOKUP(9.99E+307,--MID(SUBSTITUTE(($C575&amp;" "&amp;$D575),CHAR(160)," "),SUMPRODUCT(MIN(FIND({0,1,2,3,4,5,6,7,8,9},SUBSTITUTE(($C575&amp;" "&amp;$D575),CHAR(160)," ")&amp;"0123456789"))),ROW(INDIRECT("1:6")))),"0"),"SIN NUMERO"))</f>
        <v/>
      </c>
      <c r="Q575" t="str">
        <f ca="1">IF($P575="","",IF(LEFT(UPPER($S575),9)="VERIFICAR","VERIFICAR",IF($A575="","SIN ESTADO",IF(AND($A575="Firmada",$H575=""),"FALTA FECHA DE FIRMA",IF(N($T575)=0,IF(AND(ISNUMBER($H575),$H575&gt;=DATE(2024,1,1)),"FALTA EN FIRMADAS","OK"),IF(OR($A575="Pendiente de presentación",$A575="Observado",$A575="En análisis",$A575="En instrucción",$A575="Suspendida",$A575="IT circulando",$A575="Para resolución",$A575="TDC"),"ABIERTA PERO ESTÁ EN FIRMADAS",IF($H575&lt;&gt;INDEX(firmadas!$F:$F,$T575),"FIRMA DISTINTA EN firmadas ("&amp;IF(INDEX(firmadas!$F:$F,$T575)="","vacía",DAY(INDEX(firmadas!$F:$F,$T575))&amp;"/"&amp;MONTH(INDEX(firmadas!$F:$F,$T575))&amp;"/"&amp;YEAR(INDEX(firmadas!$F:$F,$T575)))&amp;")",IF($G575&lt;&gt;INDEX(firmadas!$E:$E,$T575),"INGRESO DISTINTO EN firmadas ("&amp;IF(INDEX(firmadas!$E:$E,$T575)="","vacía",DAY(INDEX(firmadas!$E:$E,$T575))&amp;"/"&amp;MONTH(INDEX(firmadas!$E:$E,$T575))&amp;"/"&amp;YEAR(INDEX(firmadas!$E:$E,$T575)))&amp;")","OK"))))))))</f>
        <v/>
      </c>
      <c r="T575" t="str">
        <f ca="1">IF($P575="","",IFERROR(MATCH($P575,firmadas!$N:$N,0),IFERROR(MATCH("*/"&amp;MID($P575,FIND(" ",$P575)+1,9)&amp;"*",firmadas!$B:$B,0),0)))</f>
        <v/>
      </c>
    </row>
    <row r="576" spans="14:20" ht="15" customHeight="1" x14ac:dyDescent="0.25">
      <c r="N576" s="53" t="str">
        <f t="shared" ca="1" si="8"/>
        <v/>
      </c>
      <c r="P576" t="str">
        <f ca="1">IF(TRIM(SUBSTITUTE(($C576&amp;" "&amp;$D576),CHAR(160)," "))="","",IFERROR(IF(ISNUMBER(SEARCH("INC",($C576&amp;" "&amp;$D576))),"INC",IF(ISNUMBER(SEARCH("OPI",($C576&amp;" "&amp;$D576))),"OPI",IF(ISNUMBER(SEARCH("DP",($C576&amp;" "&amp;$D576))),"DP","CONC")))&amp;" "&amp;TEXT(LOOKUP(9.99E+307,--MID(SUBSTITUTE(($C576&amp;" "&amp;$D576),CHAR(160)," "),SUMPRODUCT(MIN(FIND({0,1,2,3,4,5,6,7,8,9},SUBSTITUTE(($C576&amp;" "&amp;$D576),CHAR(160)," ")&amp;"0123456789"))),ROW(INDIRECT("1:6")))),"0"),"SIN NUMERO"))</f>
        <v/>
      </c>
      <c r="Q576" t="str">
        <f ca="1">IF($P576="","",IF(LEFT(UPPER($S576),9)="VERIFICAR","VERIFICAR",IF($A576="","SIN ESTADO",IF(AND($A576="Firmada",$H576=""),"FALTA FECHA DE FIRMA",IF(N($T576)=0,IF(AND(ISNUMBER($H576),$H576&gt;=DATE(2024,1,1)),"FALTA EN FIRMADAS","OK"),IF(OR($A576="Pendiente de presentación",$A576="Observado",$A576="En análisis",$A576="En instrucción",$A576="Suspendida",$A576="IT circulando",$A576="Para resolución",$A576="TDC"),"ABIERTA PERO ESTÁ EN FIRMADAS",IF($H576&lt;&gt;INDEX(firmadas!$F:$F,$T576),"FIRMA DISTINTA EN firmadas ("&amp;IF(INDEX(firmadas!$F:$F,$T576)="","vacía",DAY(INDEX(firmadas!$F:$F,$T576))&amp;"/"&amp;MONTH(INDEX(firmadas!$F:$F,$T576))&amp;"/"&amp;YEAR(INDEX(firmadas!$F:$F,$T576)))&amp;")",IF($G576&lt;&gt;INDEX(firmadas!$E:$E,$T576),"INGRESO DISTINTO EN firmadas ("&amp;IF(INDEX(firmadas!$E:$E,$T576)="","vacía",DAY(INDEX(firmadas!$E:$E,$T576))&amp;"/"&amp;MONTH(INDEX(firmadas!$E:$E,$T576))&amp;"/"&amp;YEAR(INDEX(firmadas!$E:$E,$T576)))&amp;")","OK"))))))))</f>
        <v/>
      </c>
      <c r="T576" t="str">
        <f ca="1">IF($P576="","",IFERROR(MATCH($P576,firmadas!$N:$N,0),IFERROR(MATCH("*/"&amp;MID($P576,FIND(" ",$P576)+1,9)&amp;"*",firmadas!$B:$B,0),0)))</f>
        <v/>
      </c>
    </row>
    <row r="577" spans="14:20" ht="15" customHeight="1" x14ac:dyDescent="0.25">
      <c r="N577" s="53" t="str">
        <f t="shared" ca="1" si="8"/>
        <v/>
      </c>
      <c r="P577" t="str">
        <f ca="1">IF(TRIM(SUBSTITUTE(($C577&amp;" "&amp;$D577),CHAR(160)," "))="","",IFERROR(IF(ISNUMBER(SEARCH("INC",($C577&amp;" "&amp;$D577))),"INC",IF(ISNUMBER(SEARCH("OPI",($C577&amp;" "&amp;$D577))),"OPI",IF(ISNUMBER(SEARCH("DP",($C577&amp;" "&amp;$D577))),"DP","CONC")))&amp;" "&amp;TEXT(LOOKUP(9.99E+307,--MID(SUBSTITUTE(($C577&amp;" "&amp;$D577),CHAR(160)," "),SUMPRODUCT(MIN(FIND({0,1,2,3,4,5,6,7,8,9},SUBSTITUTE(($C577&amp;" "&amp;$D577),CHAR(160)," ")&amp;"0123456789"))),ROW(INDIRECT("1:6")))),"0"),"SIN NUMERO"))</f>
        <v/>
      </c>
      <c r="Q577" t="str">
        <f ca="1">IF($P577="","",IF(LEFT(UPPER($S577),9)="VERIFICAR","VERIFICAR",IF($A577="","SIN ESTADO",IF(AND($A577="Firmada",$H577=""),"FALTA FECHA DE FIRMA",IF(N($T577)=0,IF(AND(ISNUMBER($H577),$H577&gt;=DATE(2024,1,1)),"FALTA EN FIRMADAS","OK"),IF(OR($A577="Pendiente de presentación",$A577="Observado",$A577="En análisis",$A577="En instrucción",$A577="Suspendida",$A577="IT circulando",$A577="Para resolución",$A577="TDC"),"ABIERTA PERO ESTÁ EN FIRMADAS",IF($H577&lt;&gt;INDEX(firmadas!$F:$F,$T577),"FIRMA DISTINTA EN firmadas ("&amp;IF(INDEX(firmadas!$F:$F,$T577)="","vacía",DAY(INDEX(firmadas!$F:$F,$T577))&amp;"/"&amp;MONTH(INDEX(firmadas!$F:$F,$T577))&amp;"/"&amp;YEAR(INDEX(firmadas!$F:$F,$T577)))&amp;")",IF($G577&lt;&gt;INDEX(firmadas!$E:$E,$T577),"INGRESO DISTINTO EN firmadas ("&amp;IF(INDEX(firmadas!$E:$E,$T577)="","vacía",DAY(INDEX(firmadas!$E:$E,$T577))&amp;"/"&amp;MONTH(INDEX(firmadas!$E:$E,$T577))&amp;"/"&amp;YEAR(INDEX(firmadas!$E:$E,$T577)))&amp;")","OK"))))))))</f>
        <v/>
      </c>
      <c r="T577" t="str">
        <f ca="1">IF($P577="","",IFERROR(MATCH($P577,firmadas!$N:$N,0),IFERROR(MATCH("*/"&amp;MID($P577,FIND(" ",$P577)+1,9)&amp;"*",firmadas!$B:$B,0),0)))</f>
        <v/>
      </c>
    </row>
    <row r="578" spans="14:20" ht="15" customHeight="1" x14ac:dyDescent="0.25">
      <c r="N578" s="53" t="str">
        <f t="shared" ref="N578:N641" ca="1" si="9">IF($G578="","",(IF($H578="",TODAY(),$H578)-$G578)/30)</f>
        <v/>
      </c>
      <c r="P578" t="str">
        <f ca="1">IF(TRIM(SUBSTITUTE(($C578&amp;" "&amp;$D578),CHAR(160)," "))="","",IFERROR(IF(ISNUMBER(SEARCH("INC",($C578&amp;" "&amp;$D578))),"INC",IF(ISNUMBER(SEARCH("OPI",($C578&amp;" "&amp;$D578))),"OPI",IF(ISNUMBER(SEARCH("DP",($C578&amp;" "&amp;$D578))),"DP","CONC")))&amp;" "&amp;TEXT(LOOKUP(9.99E+307,--MID(SUBSTITUTE(($C578&amp;" "&amp;$D578),CHAR(160)," "),SUMPRODUCT(MIN(FIND({0,1,2,3,4,5,6,7,8,9},SUBSTITUTE(($C578&amp;" "&amp;$D578),CHAR(160)," ")&amp;"0123456789"))),ROW(INDIRECT("1:6")))),"0"),"SIN NUMERO"))</f>
        <v/>
      </c>
      <c r="Q578" t="str">
        <f ca="1">IF($P578="","",IF(LEFT(UPPER($S578),9)="VERIFICAR","VERIFICAR",IF($A578="","SIN ESTADO",IF(AND($A578="Firmada",$H578=""),"FALTA FECHA DE FIRMA",IF(N($T578)=0,IF(AND(ISNUMBER($H578),$H578&gt;=DATE(2024,1,1)),"FALTA EN FIRMADAS","OK"),IF(OR($A578="Pendiente de presentación",$A578="Observado",$A578="En análisis",$A578="En instrucción",$A578="Suspendida",$A578="IT circulando",$A578="Para resolución",$A578="TDC"),"ABIERTA PERO ESTÁ EN FIRMADAS",IF($H578&lt;&gt;INDEX(firmadas!$F:$F,$T578),"FIRMA DISTINTA EN firmadas ("&amp;IF(INDEX(firmadas!$F:$F,$T578)="","vacía",DAY(INDEX(firmadas!$F:$F,$T578))&amp;"/"&amp;MONTH(INDEX(firmadas!$F:$F,$T578))&amp;"/"&amp;YEAR(INDEX(firmadas!$F:$F,$T578)))&amp;")",IF($G578&lt;&gt;INDEX(firmadas!$E:$E,$T578),"INGRESO DISTINTO EN firmadas ("&amp;IF(INDEX(firmadas!$E:$E,$T578)="","vacía",DAY(INDEX(firmadas!$E:$E,$T578))&amp;"/"&amp;MONTH(INDEX(firmadas!$E:$E,$T578))&amp;"/"&amp;YEAR(INDEX(firmadas!$E:$E,$T578)))&amp;")","OK"))))))))</f>
        <v/>
      </c>
      <c r="T578" t="str">
        <f ca="1">IF($P578="","",IFERROR(MATCH($P578,firmadas!$N:$N,0),IFERROR(MATCH("*/"&amp;MID($P578,FIND(" ",$P578)+1,9)&amp;"*",firmadas!$B:$B,0),0)))</f>
        <v/>
      </c>
    </row>
    <row r="579" spans="14:20" ht="15" customHeight="1" x14ac:dyDescent="0.25">
      <c r="N579" s="53" t="str">
        <f t="shared" ca="1" si="9"/>
        <v/>
      </c>
      <c r="P579" t="str">
        <f ca="1">IF(TRIM(SUBSTITUTE(($C579&amp;" "&amp;$D579),CHAR(160)," "))="","",IFERROR(IF(ISNUMBER(SEARCH("INC",($C579&amp;" "&amp;$D579))),"INC",IF(ISNUMBER(SEARCH("OPI",($C579&amp;" "&amp;$D579))),"OPI",IF(ISNUMBER(SEARCH("DP",($C579&amp;" "&amp;$D579))),"DP","CONC")))&amp;" "&amp;TEXT(LOOKUP(9.99E+307,--MID(SUBSTITUTE(($C579&amp;" "&amp;$D579),CHAR(160)," "),SUMPRODUCT(MIN(FIND({0,1,2,3,4,5,6,7,8,9},SUBSTITUTE(($C579&amp;" "&amp;$D579),CHAR(160)," ")&amp;"0123456789"))),ROW(INDIRECT("1:6")))),"0"),"SIN NUMERO"))</f>
        <v/>
      </c>
      <c r="Q579" t="str">
        <f ca="1">IF($P579="","",IF(LEFT(UPPER($S579),9)="VERIFICAR","VERIFICAR",IF($A579="","SIN ESTADO",IF(AND($A579="Firmada",$H579=""),"FALTA FECHA DE FIRMA",IF(N($T579)=0,IF(AND(ISNUMBER($H579),$H579&gt;=DATE(2024,1,1)),"FALTA EN FIRMADAS","OK"),IF(OR($A579="Pendiente de presentación",$A579="Observado",$A579="En análisis",$A579="En instrucción",$A579="Suspendida",$A579="IT circulando",$A579="Para resolución",$A579="TDC"),"ABIERTA PERO ESTÁ EN FIRMADAS",IF($H579&lt;&gt;INDEX(firmadas!$F:$F,$T579),"FIRMA DISTINTA EN firmadas ("&amp;IF(INDEX(firmadas!$F:$F,$T579)="","vacía",DAY(INDEX(firmadas!$F:$F,$T579))&amp;"/"&amp;MONTH(INDEX(firmadas!$F:$F,$T579))&amp;"/"&amp;YEAR(INDEX(firmadas!$F:$F,$T579)))&amp;")",IF($G579&lt;&gt;INDEX(firmadas!$E:$E,$T579),"INGRESO DISTINTO EN firmadas ("&amp;IF(INDEX(firmadas!$E:$E,$T579)="","vacía",DAY(INDEX(firmadas!$E:$E,$T579))&amp;"/"&amp;MONTH(INDEX(firmadas!$E:$E,$T579))&amp;"/"&amp;YEAR(INDEX(firmadas!$E:$E,$T579)))&amp;")","OK"))))))))</f>
        <v/>
      </c>
      <c r="T579" t="str">
        <f ca="1">IF($P579="","",IFERROR(MATCH($P579,firmadas!$N:$N,0),IFERROR(MATCH("*/"&amp;MID($P579,FIND(" ",$P579)+1,9)&amp;"*",firmadas!$B:$B,0),0)))</f>
        <v/>
      </c>
    </row>
    <row r="580" spans="14:20" ht="15" customHeight="1" x14ac:dyDescent="0.25">
      <c r="N580" s="53" t="str">
        <f t="shared" ca="1" si="9"/>
        <v/>
      </c>
      <c r="P580" t="str">
        <f ca="1">IF(TRIM(SUBSTITUTE(($C580&amp;" "&amp;$D580),CHAR(160)," "))="","",IFERROR(IF(ISNUMBER(SEARCH("INC",($C580&amp;" "&amp;$D580))),"INC",IF(ISNUMBER(SEARCH("OPI",($C580&amp;" "&amp;$D580))),"OPI",IF(ISNUMBER(SEARCH("DP",($C580&amp;" "&amp;$D580))),"DP","CONC")))&amp;" "&amp;TEXT(LOOKUP(9.99E+307,--MID(SUBSTITUTE(($C580&amp;" "&amp;$D580),CHAR(160)," "),SUMPRODUCT(MIN(FIND({0,1,2,3,4,5,6,7,8,9},SUBSTITUTE(($C580&amp;" "&amp;$D580),CHAR(160)," ")&amp;"0123456789"))),ROW(INDIRECT("1:6")))),"0"),"SIN NUMERO"))</f>
        <v/>
      </c>
      <c r="Q580" t="str">
        <f ca="1">IF($P580="","",IF(LEFT(UPPER($S580),9)="VERIFICAR","VERIFICAR",IF($A580="","SIN ESTADO",IF(AND($A580="Firmada",$H580=""),"FALTA FECHA DE FIRMA",IF(N($T580)=0,IF(AND(ISNUMBER($H580),$H580&gt;=DATE(2024,1,1)),"FALTA EN FIRMADAS","OK"),IF(OR($A580="Pendiente de presentación",$A580="Observado",$A580="En análisis",$A580="En instrucción",$A580="Suspendida",$A580="IT circulando",$A580="Para resolución",$A580="TDC"),"ABIERTA PERO ESTÁ EN FIRMADAS",IF($H580&lt;&gt;INDEX(firmadas!$F:$F,$T580),"FIRMA DISTINTA EN firmadas ("&amp;IF(INDEX(firmadas!$F:$F,$T580)="","vacía",DAY(INDEX(firmadas!$F:$F,$T580))&amp;"/"&amp;MONTH(INDEX(firmadas!$F:$F,$T580))&amp;"/"&amp;YEAR(INDEX(firmadas!$F:$F,$T580)))&amp;")",IF($G580&lt;&gt;INDEX(firmadas!$E:$E,$T580),"INGRESO DISTINTO EN firmadas ("&amp;IF(INDEX(firmadas!$E:$E,$T580)="","vacía",DAY(INDEX(firmadas!$E:$E,$T580))&amp;"/"&amp;MONTH(INDEX(firmadas!$E:$E,$T580))&amp;"/"&amp;YEAR(INDEX(firmadas!$E:$E,$T580)))&amp;")","OK"))))))))</f>
        <v/>
      </c>
      <c r="T580" t="str">
        <f ca="1">IF($P580="","",IFERROR(MATCH($P580,firmadas!$N:$N,0),IFERROR(MATCH("*/"&amp;MID($P580,FIND(" ",$P580)+1,9)&amp;"*",firmadas!$B:$B,0),0)))</f>
        <v/>
      </c>
    </row>
    <row r="581" spans="14:20" ht="15" customHeight="1" x14ac:dyDescent="0.25">
      <c r="N581" s="53" t="str">
        <f t="shared" ca="1" si="9"/>
        <v/>
      </c>
      <c r="P581" t="str">
        <f ca="1">IF(TRIM(SUBSTITUTE(($C581&amp;" "&amp;$D581),CHAR(160)," "))="","",IFERROR(IF(ISNUMBER(SEARCH("INC",($C581&amp;" "&amp;$D581))),"INC",IF(ISNUMBER(SEARCH("OPI",($C581&amp;" "&amp;$D581))),"OPI",IF(ISNUMBER(SEARCH("DP",($C581&amp;" "&amp;$D581))),"DP","CONC")))&amp;" "&amp;TEXT(LOOKUP(9.99E+307,--MID(SUBSTITUTE(($C581&amp;" "&amp;$D581),CHAR(160)," "),SUMPRODUCT(MIN(FIND({0,1,2,3,4,5,6,7,8,9},SUBSTITUTE(($C581&amp;" "&amp;$D581),CHAR(160)," ")&amp;"0123456789"))),ROW(INDIRECT("1:6")))),"0"),"SIN NUMERO"))</f>
        <v/>
      </c>
      <c r="Q581" t="str">
        <f ca="1">IF($P581="","",IF(LEFT(UPPER($S581),9)="VERIFICAR","VERIFICAR",IF($A581="","SIN ESTADO",IF(AND($A581="Firmada",$H581=""),"FALTA FECHA DE FIRMA",IF(N($T581)=0,IF(AND(ISNUMBER($H581),$H581&gt;=DATE(2024,1,1)),"FALTA EN FIRMADAS","OK"),IF(OR($A581="Pendiente de presentación",$A581="Observado",$A581="En análisis",$A581="En instrucción",$A581="Suspendida",$A581="IT circulando",$A581="Para resolución",$A581="TDC"),"ABIERTA PERO ESTÁ EN FIRMADAS",IF($H581&lt;&gt;INDEX(firmadas!$F:$F,$T581),"FIRMA DISTINTA EN firmadas ("&amp;IF(INDEX(firmadas!$F:$F,$T581)="","vacía",DAY(INDEX(firmadas!$F:$F,$T581))&amp;"/"&amp;MONTH(INDEX(firmadas!$F:$F,$T581))&amp;"/"&amp;YEAR(INDEX(firmadas!$F:$F,$T581)))&amp;")",IF($G581&lt;&gt;INDEX(firmadas!$E:$E,$T581),"INGRESO DISTINTO EN firmadas ("&amp;IF(INDEX(firmadas!$E:$E,$T581)="","vacía",DAY(INDEX(firmadas!$E:$E,$T581))&amp;"/"&amp;MONTH(INDEX(firmadas!$E:$E,$T581))&amp;"/"&amp;YEAR(INDEX(firmadas!$E:$E,$T581)))&amp;")","OK"))))))))</f>
        <v/>
      </c>
      <c r="T581" t="str">
        <f ca="1">IF($P581="","",IFERROR(MATCH($P581,firmadas!$N:$N,0),IFERROR(MATCH("*/"&amp;MID($P581,FIND(" ",$P581)+1,9)&amp;"*",firmadas!$B:$B,0),0)))</f>
        <v/>
      </c>
    </row>
    <row r="582" spans="14:20" ht="15" customHeight="1" x14ac:dyDescent="0.25">
      <c r="N582" s="53" t="str">
        <f t="shared" ca="1" si="9"/>
        <v/>
      </c>
      <c r="P582" t="str">
        <f ca="1">IF(TRIM(SUBSTITUTE(($C582&amp;" "&amp;$D582),CHAR(160)," "))="","",IFERROR(IF(ISNUMBER(SEARCH("INC",($C582&amp;" "&amp;$D582))),"INC",IF(ISNUMBER(SEARCH("OPI",($C582&amp;" "&amp;$D582))),"OPI",IF(ISNUMBER(SEARCH("DP",($C582&amp;" "&amp;$D582))),"DP","CONC")))&amp;" "&amp;TEXT(LOOKUP(9.99E+307,--MID(SUBSTITUTE(($C582&amp;" "&amp;$D582),CHAR(160)," "),SUMPRODUCT(MIN(FIND({0,1,2,3,4,5,6,7,8,9},SUBSTITUTE(($C582&amp;" "&amp;$D582),CHAR(160)," ")&amp;"0123456789"))),ROW(INDIRECT("1:6")))),"0"),"SIN NUMERO"))</f>
        <v/>
      </c>
      <c r="Q582" t="str">
        <f ca="1">IF($P582="","",IF(LEFT(UPPER($S582),9)="VERIFICAR","VERIFICAR",IF($A582="","SIN ESTADO",IF(AND($A582="Firmada",$H582=""),"FALTA FECHA DE FIRMA",IF(N($T582)=0,IF(AND(ISNUMBER($H582),$H582&gt;=DATE(2024,1,1)),"FALTA EN FIRMADAS","OK"),IF(OR($A582="Pendiente de presentación",$A582="Observado",$A582="En análisis",$A582="En instrucción",$A582="Suspendida",$A582="IT circulando",$A582="Para resolución",$A582="TDC"),"ABIERTA PERO ESTÁ EN FIRMADAS",IF($H582&lt;&gt;INDEX(firmadas!$F:$F,$T582),"FIRMA DISTINTA EN firmadas ("&amp;IF(INDEX(firmadas!$F:$F,$T582)="","vacía",DAY(INDEX(firmadas!$F:$F,$T582))&amp;"/"&amp;MONTH(INDEX(firmadas!$F:$F,$T582))&amp;"/"&amp;YEAR(INDEX(firmadas!$F:$F,$T582)))&amp;")",IF($G582&lt;&gt;INDEX(firmadas!$E:$E,$T582),"INGRESO DISTINTO EN firmadas ("&amp;IF(INDEX(firmadas!$E:$E,$T582)="","vacía",DAY(INDEX(firmadas!$E:$E,$T582))&amp;"/"&amp;MONTH(INDEX(firmadas!$E:$E,$T582))&amp;"/"&amp;YEAR(INDEX(firmadas!$E:$E,$T582)))&amp;")","OK"))))))))</f>
        <v/>
      </c>
      <c r="T582" t="str">
        <f ca="1">IF($P582="","",IFERROR(MATCH($P582,firmadas!$N:$N,0),IFERROR(MATCH("*/"&amp;MID($P582,FIND(" ",$P582)+1,9)&amp;"*",firmadas!$B:$B,0),0)))</f>
        <v/>
      </c>
    </row>
    <row r="583" spans="14:20" ht="15" customHeight="1" x14ac:dyDescent="0.25">
      <c r="N583" s="53" t="str">
        <f t="shared" ca="1" si="9"/>
        <v/>
      </c>
      <c r="P583" t="str">
        <f ca="1">IF(TRIM(SUBSTITUTE(($C583&amp;" "&amp;$D583),CHAR(160)," "))="","",IFERROR(IF(ISNUMBER(SEARCH("INC",($C583&amp;" "&amp;$D583))),"INC",IF(ISNUMBER(SEARCH("OPI",($C583&amp;" "&amp;$D583))),"OPI",IF(ISNUMBER(SEARCH("DP",($C583&amp;" "&amp;$D583))),"DP","CONC")))&amp;" "&amp;TEXT(LOOKUP(9.99E+307,--MID(SUBSTITUTE(($C583&amp;" "&amp;$D583),CHAR(160)," "),SUMPRODUCT(MIN(FIND({0,1,2,3,4,5,6,7,8,9},SUBSTITUTE(($C583&amp;" "&amp;$D583),CHAR(160)," ")&amp;"0123456789"))),ROW(INDIRECT("1:6")))),"0"),"SIN NUMERO"))</f>
        <v/>
      </c>
      <c r="Q583" t="str">
        <f ca="1">IF($P583="","",IF(LEFT(UPPER($S583),9)="VERIFICAR","VERIFICAR",IF($A583="","SIN ESTADO",IF(AND($A583="Firmada",$H583=""),"FALTA FECHA DE FIRMA",IF(N($T583)=0,IF(AND(ISNUMBER($H583),$H583&gt;=DATE(2024,1,1)),"FALTA EN FIRMADAS","OK"),IF(OR($A583="Pendiente de presentación",$A583="Observado",$A583="En análisis",$A583="En instrucción",$A583="Suspendida",$A583="IT circulando",$A583="Para resolución",$A583="TDC"),"ABIERTA PERO ESTÁ EN FIRMADAS",IF($H583&lt;&gt;INDEX(firmadas!$F:$F,$T583),"FIRMA DISTINTA EN firmadas ("&amp;IF(INDEX(firmadas!$F:$F,$T583)="","vacía",DAY(INDEX(firmadas!$F:$F,$T583))&amp;"/"&amp;MONTH(INDEX(firmadas!$F:$F,$T583))&amp;"/"&amp;YEAR(INDEX(firmadas!$F:$F,$T583)))&amp;")",IF($G583&lt;&gt;INDEX(firmadas!$E:$E,$T583),"INGRESO DISTINTO EN firmadas ("&amp;IF(INDEX(firmadas!$E:$E,$T583)="","vacía",DAY(INDEX(firmadas!$E:$E,$T583))&amp;"/"&amp;MONTH(INDEX(firmadas!$E:$E,$T583))&amp;"/"&amp;YEAR(INDEX(firmadas!$E:$E,$T583)))&amp;")","OK"))))))))</f>
        <v/>
      </c>
      <c r="T583" t="str">
        <f ca="1">IF($P583="","",IFERROR(MATCH($P583,firmadas!$N:$N,0),IFERROR(MATCH("*/"&amp;MID($P583,FIND(" ",$P583)+1,9)&amp;"*",firmadas!$B:$B,0),0)))</f>
        <v/>
      </c>
    </row>
    <row r="584" spans="14:20" ht="15" customHeight="1" x14ac:dyDescent="0.25">
      <c r="N584" s="53" t="str">
        <f t="shared" ca="1" si="9"/>
        <v/>
      </c>
      <c r="P584" t="str">
        <f ca="1">IF(TRIM(SUBSTITUTE(($C584&amp;" "&amp;$D584),CHAR(160)," "))="","",IFERROR(IF(ISNUMBER(SEARCH("INC",($C584&amp;" "&amp;$D584))),"INC",IF(ISNUMBER(SEARCH("OPI",($C584&amp;" "&amp;$D584))),"OPI",IF(ISNUMBER(SEARCH("DP",($C584&amp;" "&amp;$D584))),"DP","CONC")))&amp;" "&amp;TEXT(LOOKUP(9.99E+307,--MID(SUBSTITUTE(($C584&amp;" "&amp;$D584),CHAR(160)," "),SUMPRODUCT(MIN(FIND({0,1,2,3,4,5,6,7,8,9},SUBSTITUTE(($C584&amp;" "&amp;$D584),CHAR(160)," ")&amp;"0123456789"))),ROW(INDIRECT("1:6")))),"0"),"SIN NUMERO"))</f>
        <v/>
      </c>
      <c r="Q584" t="str">
        <f ca="1">IF($P584="","",IF(LEFT(UPPER($S584),9)="VERIFICAR","VERIFICAR",IF($A584="","SIN ESTADO",IF(AND($A584="Firmada",$H584=""),"FALTA FECHA DE FIRMA",IF(N($T584)=0,IF(AND(ISNUMBER($H584),$H584&gt;=DATE(2024,1,1)),"FALTA EN FIRMADAS","OK"),IF(OR($A584="Pendiente de presentación",$A584="Observado",$A584="En análisis",$A584="En instrucción",$A584="Suspendida",$A584="IT circulando",$A584="Para resolución",$A584="TDC"),"ABIERTA PERO ESTÁ EN FIRMADAS",IF($H584&lt;&gt;INDEX(firmadas!$F:$F,$T584),"FIRMA DISTINTA EN firmadas ("&amp;IF(INDEX(firmadas!$F:$F,$T584)="","vacía",DAY(INDEX(firmadas!$F:$F,$T584))&amp;"/"&amp;MONTH(INDEX(firmadas!$F:$F,$T584))&amp;"/"&amp;YEAR(INDEX(firmadas!$F:$F,$T584)))&amp;")",IF($G584&lt;&gt;INDEX(firmadas!$E:$E,$T584),"INGRESO DISTINTO EN firmadas ("&amp;IF(INDEX(firmadas!$E:$E,$T584)="","vacía",DAY(INDEX(firmadas!$E:$E,$T584))&amp;"/"&amp;MONTH(INDEX(firmadas!$E:$E,$T584))&amp;"/"&amp;YEAR(INDEX(firmadas!$E:$E,$T584)))&amp;")","OK"))))))))</f>
        <v/>
      </c>
      <c r="T584" t="str">
        <f ca="1">IF($P584="","",IFERROR(MATCH($P584,firmadas!$N:$N,0),IFERROR(MATCH("*/"&amp;MID($P584,FIND(" ",$P584)+1,9)&amp;"*",firmadas!$B:$B,0),0)))</f>
        <v/>
      </c>
    </row>
    <row r="585" spans="14:20" ht="15" customHeight="1" x14ac:dyDescent="0.25">
      <c r="N585" s="53" t="str">
        <f t="shared" ca="1" si="9"/>
        <v/>
      </c>
      <c r="P585" t="str">
        <f ca="1">IF(TRIM(SUBSTITUTE(($C585&amp;" "&amp;$D585),CHAR(160)," "))="","",IFERROR(IF(ISNUMBER(SEARCH("INC",($C585&amp;" "&amp;$D585))),"INC",IF(ISNUMBER(SEARCH("OPI",($C585&amp;" "&amp;$D585))),"OPI",IF(ISNUMBER(SEARCH("DP",($C585&amp;" "&amp;$D585))),"DP","CONC")))&amp;" "&amp;TEXT(LOOKUP(9.99E+307,--MID(SUBSTITUTE(($C585&amp;" "&amp;$D585),CHAR(160)," "),SUMPRODUCT(MIN(FIND({0,1,2,3,4,5,6,7,8,9},SUBSTITUTE(($C585&amp;" "&amp;$D585),CHAR(160)," ")&amp;"0123456789"))),ROW(INDIRECT("1:6")))),"0"),"SIN NUMERO"))</f>
        <v/>
      </c>
      <c r="Q585" t="str">
        <f ca="1">IF($P585="","",IF(LEFT(UPPER($S585),9)="VERIFICAR","VERIFICAR",IF($A585="","SIN ESTADO",IF(AND($A585="Firmada",$H585=""),"FALTA FECHA DE FIRMA",IF(N($T585)=0,IF(AND(ISNUMBER($H585),$H585&gt;=DATE(2024,1,1)),"FALTA EN FIRMADAS","OK"),IF(OR($A585="Pendiente de presentación",$A585="Observado",$A585="En análisis",$A585="En instrucción",$A585="Suspendida",$A585="IT circulando",$A585="Para resolución",$A585="TDC"),"ABIERTA PERO ESTÁ EN FIRMADAS",IF($H585&lt;&gt;INDEX(firmadas!$F:$F,$T585),"FIRMA DISTINTA EN firmadas ("&amp;IF(INDEX(firmadas!$F:$F,$T585)="","vacía",DAY(INDEX(firmadas!$F:$F,$T585))&amp;"/"&amp;MONTH(INDEX(firmadas!$F:$F,$T585))&amp;"/"&amp;YEAR(INDEX(firmadas!$F:$F,$T585)))&amp;")",IF($G585&lt;&gt;INDEX(firmadas!$E:$E,$T585),"INGRESO DISTINTO EN firmadas ("&amp;IF(INDEX(firmadas!$E:$E,$T585)="","vacía",DAY(INDEX(firmadas!$E:$E,$T585))&amp;"/"&amp;MONTH(INDEX(firmadas!$E:$E,$T585))&amp;"/"&amp;YEAR(INDEX(firmadas!$E:$E,$T585)))&amp;")","OK"))))))))</f>
        <v/>
      </c>
      <c r="T585" t="str">
        <f ca="1">IF($P585="","",IFERROR(MATCH($P585,firmadas!$N:$N,0),IFERROR(MATCH("*/"&amp;MID($P585,FIND(" ",$P585)+1,9)&amp;"*",firmadas!$B:$B,0),0)))</f>
        <v/>
      </c>
    </row>
    <row r="586" spans="14:20" ht="15" customHeight="1" x14ac:dyDescent="0.25">
      <c r="N586" s="53" t="str">
        <f t="shared" ca="1" si="9"/>
        <v/>
      </c>
      <c r="P586" t="str">
        <f ca="1">IF(TRIM(SUBSTITUTE(($C586&amp;" "&amp;$D586),CHAR(160)," "))="","",IFERROR(IF(ISNUMBER(SEARCH("INC",($C586&amp;" "&amp;$D586))),"INC",IF(ISNUMBER(SEARCH("OPI",($C586&amp;" "&amp;$D586))),"OPI",IF(ISNUMBER(SEARCH("DP",($C586&amp;" "&amp;$D586))),"DP","CONC")))&amp;" "&amp;TEXT(LOOKUP(9.99E+307,--MID(SUBSTITUTE(($C586&amp;" "&amp;$D586),CHAR(160)," "),SUMPRODUCT(MIN(FIND({0,1,2,3,4,5,6,7,8,9},SUBSTITUTE(($C586&amp;" "&amp;$D586),CHAR(160)," ")&amp;"0123456789"))),ROW(INDIRECT("1:6")))),"0"),"SIN NUMERO"))</f>
        <v/>
      </c>
      <c r="Q586" t="str">
        <f ca="1">IF($P586="","",IF(LEFT(UPPER($S586),9)="VERIFICAR","VERIFICAR",IF($A586="","SIN ESTADO",IF(AND($A586="Firmada",$H586=""),"FALTA FECHA DE FIRMA",IF(N($T586)=0,IF(AND(ISNUMBER($H586),$H586&gt;=DATE(2024,1,1)),"FALTA EN FIRMADAS","OK"),IF(OR($A586="Pendiente de presentación",$A586="Observado",$A586="En análisis",$A586="En instrucción",$A586="Suspendida",$A586="IT circulando",$A586="Para resolución",$A586="TDC"),"ABIERTA PERO ESTÁ EN FIRMADAS",IF($H586&lt;&gt;INDEX(firmadas!$F:$F,$T586),"FIRMA DISTINTA EN firmadas ("&amp;IF(INDEX(firmadas!$F:$F,$T586)="","vacía",DAY(INDEX(firmadas!$F:$F,$T586))&amp;"/"&amp;MONTH(INDEX(firmadas!$F:$F,$T586))&amp;"/"&amp;YEAR(INDEX(firmadas!$F:$F,$T586)))&amp;")",IF($G586&lt;&gt;INDEX(firmadas!$E:$E,$T586),"INGRESO DISTINTO EN firmadas ("&amp;IF(INDEX(firmadas!$E:$E,$T586)="","vacía",DAY(INDEX(firmadas!$E:$E,$T586))&amp;"/"&amp;MONTH(INDEX(firmadas!$E:$E,$T586))&amp;"/"&amp;YEAR(INDEX(firmadas!$E:$E,$T586)))&amp;")","OK"))))))))</f>
        <v/>
      </c>
      <c r="T586" t="str">
        <f ca="1">IF($P586="","",IFERROR(MATCH($P586,firmadas!$N:$N,0),IFERROR(MATCH("*/"&amp;MID($P586,FIND(" ",$P586)+1,9)&amp;"*",firmadas!$B:$B,0),0)))</f>
        <v/>
      </c>
    </row>
    <row r="587" spans="14:20" ht="15" customHeight="1" x14ac:dyDescent="0.25">
      <c r="N587" s="53" t="str">
        <f t="shared" ca="1" si="9"/>
        <v/>
      </c>
      <c r="P587" t="str">
        <f ca="1">IF(TRIM(SUBSTITUTE(($C587&amp;" "&amp;$D587),CHAR(160)," "))="","",IFERROR(IF(ISNUMBER(SEARCH("INC",($C587&amp;" "&amp;$D587))),"INC",IF(ISNUMBER(SEARCH("OPI",($C587&amp;" "&amp;$D587))),"OPI",IF(ISNUMBER(SEARCH("DP",($C587&amp;" "&amp;$D587))),"DP","CONC")))&amp;" "&amp;TEXT(LOOKUP(9.99E+307,--MID(SUBSTITUTE(($C587&amp;" "&amp;$D587),CHAR(160)," "),SUMPRODUCT(MIN(FIND({0,1,2,3,4,5,6,7,8,9},SUBSTITUTE(($C587&amp;" "&amp;$D587),CHAR(160)," ")&amp;"0123456789"))),ROW(INDIRECT("1:6")))),"0"),"SIN NUMERO"))</f>
        <v/>
      </c>
      <c r="Q587" t="str">
        <f ca="1">IF($P587="","",IF(LEFT(UPPER($S587),9)="VERIFICAR","VERIFICAR",IF($A587="","SIN ESTADO",IF(AND($A587="Firmada",$H587=""),"FALTA FECHA DE FIRMA",IF(N($T587)=0,IF(AND(ISNUMBER($H587),$H587&gt;=DATE(2024,1,1)),"FALTA EN FIRMADAS","OK"),IF(OR($A587="Pendiente de presentación",$A587="Observado",$A587="En análisis",$A587="En instrucción",$A587="Suspendida",$A587="IT circulando",$A587="Para resolución",$A587="TDC"),"ABIERTA PERO ESTÁ EN FIRMADAS",IF($H587&lt;&gt;INDEX(firmadas!$F:$F,$T587),"FIRMA DISTINTA EN firmadas ("&amp;IF(INDEX(firmadas!$F:$F,$T587)="","vacía",DAY(INDEX(firmadas!$F:$F,$T587))&amp;"/"&amp;MONTH(INDEX(firmadas!$F:$F,$T587))&amp;"/"&amp;YEAR(INDEX(firmadas!$F:$F,$T587)))&amp;")",IF($G587&lt;&gt;INDEX(firmadas!$E:$E,$T587),"INGRESO DISTINTO EN firmadas ("&amp;IF(INDEX(firmadas!$E:$E,$T587)="","vacía",DAY(INDEX(firmadas!$E:$E,$T587))&amp;"/"&amp;MONTH(INDEX(firmadas!$E:$E,$T587))&amp;"/"&amp;YEAR(INDEX(firmadas!$E:$E,$T587)))&amp;")","OK"))))))))</f>
        <v/>
      </c>
      <c r="T587" t="str">
        <f ca="1">IF($P587="","",IFERROR(MATCH($P587,firmadas!$N:$N,0),IFERROR(MATCH("*/"&amp;MID($P587,FIND(" ",$P587)+1,9)&amp;"*",firmadas!$B:$B,0),0)))</f>
        <v/>
      </c>
    </row>
    <row r="588" spans="14:20" ht="15" customHeight="1" x14ac:dyDescent="0.25">
      <c r="N588" s="53" t="str">
        <f t="shared" ca="1" si="9"/>
        <v/>
      </c>
      <c r="P588" t="str">
        <f ca="1">IF(TRIM(SUBSTITUTE(($C588&amp;" "&amp;$D588),CHAR(160)," "))="","",IFERROR(IF(ISNUMBER(SEARCH("INC",($C588&amp;" "&amp;$D588))),"INC",IF(ISNUMBER(SEARCH("OPI",($C588&amp;" "&amp;$D588))),"OPI",IF(ISNUMBER(SEARCH("DP",($C588&amp;" "&amp;$D588))),"DP","CONC")))&amp;" "&amp;TEXT(LOOKUP(9.99E+307,--MID(SUBSTITUTE(($C588&amp;" "&amp;$D588),CHAR(160)," "),SUMPRODUCT(MIN(FIND({0,1,2,3,4,5,6,7,8,9},SUBSTITUTE(($C588&amp;" "&amp;$D588),CHAR(160)," ")&amp;"0123456789"))),ROW(INDIRECT("1:6")))),"0"),"SIN NUMERO"))</f>
        <v/>
      </c>
      <c r="Q588" t="str">
        <f ca="1">IF($P588="","",IF(LEFT(UPPER($S588),9)="VERIFICAR","VERIFICAR",IF($A588="","SIN ESTADO",IF(AND($A588="Firmada",$H588=""),"FALTA FECHA DE FIRMA",IF(N($T588)=0,IF(AND(ISNUMBER($H588),$H588&gt;=DATE(2024,1,1)),"FALTA EN FIRMADAS","OK"),IF(OR($A588="Pendiente de presentación",$A588="Observado",$A588="En análisis",$A588="En instrucción",$A588="Suspendida",$A588="IT circulando",$A588="Para resolución",$A588="TDC"),"ABIERTA PERO ESTÁ EN FIRMADAS",IF($H588&lt;&gt;INDEX(firmadas!$F:$F,$T588),"FIRMA DISTINTA EN firmadas ("&amp;IF(INDEX(firmadas!$F:$F,$T588)="","vacía",DAY(INDEX(firmadas!$F:$F,$T588))&amp;"/"&amp;MONTH(INDEX(firmadas!$F:$F,$T588))&amp;"/"&amp;YEAR(INDEX(firmadas!$F:$F,$T588)))&amp;")",IF($G588&lt;&gt;INDEX(firmadas!$E:$E,$T588),"INGRESO DISTINTO EN firmadas ("&amp;IF(INDEX(firmadas!$E:$E,$T588)="","vacía",DAY(INDEX(firmadas!$E:$E,$T588))&amp;"/"&amp;MONTH(INDEX(firmadas!$E:$E,$T588))&amp;"/"&amp;YEAR(INDEX(firmadas!$E:$E,$T588)))&amp;")","OK"))))))))</f>
        <v/>
      </c>
      <c r="T588" t="str">
        <f ca="1">IF($P588="","",IFERROR(MATCH($P588,firmadas!$N:$N,0),IFERROR(MATCH("*/"&amp;MID($P588,FIND(" ",$P588)+1,9)&amp;"*",firmadas!$B:$B,0),0)))</f>
        <v/>
      </c>
    </row>
    <row r="589" spans="14:20" ht="15" customHeight="1" x14ac:dyDescent="0.25">
      <c r="N589" s="53" t="str">
        <f t="shared" ca="1" si="9"/>
        <v/>
      </c>
      <c r="P589" t="str">
        <f ca="1">IF(TRIM(SUBSTITUTE(($C589&amp;" "&amp;$D589),CHAR(160)," "))="","",IFERROR(IF(ISNUMBER(SEARCH("INC",($C589&amp;" "&amp;$D589))),"INC",IF(ISNUMBER(SEARCH("OPI",($C589&amp;" "&amp;$D589))),"OPI",IF(ISNUMBER(SEARCH("DP",($C589&amp;" "&amp;$D589))),"DP","CONC")))&amp;" "&amp;TEXT(LOOKUP(9.99E+307,--MID(SUBSTITUTE(($C589&amp;" "&amp;$D589),CHAR(160)," "),SUMPRODUCT(MIN(FIND({0,1,2,3,4,5,6,7,8,9},SUBSTITUTE(($C589&amp;" "&amp;$D589),CHAR(160)," ")&amp;"0123456789"))),ROW(INDIRECT("1:6")))),"0"),"SIN NUMERO"))</f>
        <v/>
      </c>
      <c r="Q589" t="str">
        <f ca="1">IF($P589="","",IF(LEFT(UPPER($S589),9)="VERIFICAR","VERIFICAR",IF($A589="","SIN ESTADO",IF(AND($A589="Firmada",$H589=""),"FALTA FECHA DE FIRMA",IF(N($T589)=0,IF(AND(ISNUMBER($H589),$H589&gt;=DATE(2024,1,1)),"FALTA EN FIRMADAS","OK"),IF(OR($A589="Pendiente de presentación",$A589="Observado",$A589="En análisis",$A589="En instrucción",$A589="Suspendida",$A589="IT circulando",$A589="Para resolución",$A589="TDC"),"ABIERTA PERO ESTÁ EN FIRMADAS",IF($H589&lt;&gt;INDEX(firmadas!$F:$F,$T589),"FIRMA DISTINTA EN firmadas ("&amp;IF(INDEX(firmadas!$F:$F,$T589)="","vacía",DAY(INDEX(firmadas!$F:$F,$T589))&amp;"/"&amp;MONTH(INDEX(firmadas!$F:$F,$T589))&amp;"/"&amp;YEAR(INDEX(firmadas!$F:$F,$T589)))&amp;")",IF($G589&lt;&gt;INDEX(firmadas!$E:$E,$T589),"INGRESO DISTINTO EN firmadas ("&amp;IF(INDEX(firmadas!$E:$E,$T589)="","vacía",DAY(INDEX(firmadas!$E:$E,$T589))&amp;"/"&amp;MONTH(INDEX(firmadas!$E:$E,$T589))&amp;"/"&amp;YEAR(INDEX(firmadas!$E:$E,$T589)))&amp;")","OK"))))))))</f>
        <v/>
      </c>
      <c r="T589" t="str">
        <f ca="1">IF($P589="","",IFERROR(MATCH($P589,firmadas!$N:$N,0),IFERROR(MATCH("*/"&amp;MID($P589,FIND(" ",$P589)+1,9)&amp;"*",firmadas!$B:$B,0),0)))</f>
        <v/>
      </c>
    </row>
    <row r="590" spans="14:20" ht="15" customHeight="1" x14ac:dyDescent="0.25">
      <c r="N590" s="53" t="str">
        <f t="shared" ca="1" si="9"/>
        <v/>
      </c>
      <c r="P590" t="str">
        <f ca="1">IF(TRIM(SUBSTITUTE(($C590&amp;" "&amp;$D590),CHAR(160)," "))="","",IFERROR(IF(ISNUMBER(SEARCH("INC",($C590&amp;" "&amp;$D590))),"INC",IF(ISNUMBER(SEARCH("OPI",($C590&amp;" "&amp;$D590))),"OPI",IF(ISNUMBER(SEARCH("DP",($C590&amp;" "&amp;$D590))),"DP","CONC")))&amp;" "&amp;TEXT(LOOKUP(9.99E+307,--MID(SUBSTITUTE(($C590&amp;" "&amp;$D590),CHAR(160)," "),SUMPRODUCT(MIN(FIND({0,1,2,3,4,5,6,7,8,9},SUBSTITUTE(($C590&amp;" "&amp;$D590),CHAR(160)," ")&amp;"0123456789"))),ROW(INDIRECT("1:6")))),"0"),"SIN NUMERO"))</f>
        <v/>
      </c>
      <c r="Q590" t="str">
        <f ca="1">IF($P590="","",IF(LEFT(UPPER($S590),9)="VERIFICAR","VERIFICAR",IF($A590="","SIN ESTADO",IF(AND($A590="Firmada",$H590=""),"FALTA FECHA DE FIRMA",IF(N($T590)=0,IF(AND(ISNUMBER($H590),$H590&gt;=DATE(2024,1,1)),"FALTA EN FIRMADAS","OK"),IF(OR($A590="Pendiente de presentación",$A590="Observado",$A590="En análisis",$A590="En instrucción",$A590="Suspendida",$A590="IT circulando",$A590="Para resolución",$A590="TDC"),"ABIERTA PERO ESTÁ EN FIRMADAS",IF($H590&lt;&gt;INDEX(firmadas!$F:$F,$T590),"FIRMA DISTINTA EN firmadas ("&amp;IF(INDEX(firmadas!$F:$F,$T590)="","vacía",DAY(INDEX(firmadas!$F:$F,$T590))&amp;"/"&amp;MONTH(INDEX(firmadas!$F:$F,$T590))&amp;"/"&amp;YEAR(INDEX(firmadas!$F:$F,$T590)))&amp;")",IF($G590&lt;&gt;INDEX(firmadas!$E:$E,$T590),"INGRESO DISTINTO EN firmadas ("&amp;IF(INDEX(firmadas!$E:$E,$T590)="","vacía",DAY(INDEX(firmadas!$E:$E,$T590))&amp;"/"&amp;MONTH(INDEX(firmadas!$E:$E,$T590))&amp;"/"&amp;YEAR(INDEX(firmadas!$E:$E,$T590)))&amp;")","OK"))))))))</f>
        <v/>
      </c>
      <c r="T590" t="str">
        <f ca="1">IF($P590="","",IFERROR(MATCH($P590,firmadas!$N:$N,0),IFERROR(MATCH("*/"&amp;MID($P590,FIND(" ",$P590)+1,9)&amp;"*",firmadas!$B:$B,0),0)))</f>
        <v/>
      </c>
    </row>
    <row r="591" spans="14:20" ht="15" customHeight="1" x14ac:dyDescent="0.25">
      <c r="N591" s="53" t="str">
        <f t="shared" ca="1" si="9"/>
        <v/>
      </c>
      <c r="P591" t="str">
        <f ca="1">IF(TRIM(SUBSTITUTE(($C591&amp;" "&amp;$D591),CHAR(160)," "))="","",IFERROR(IF(ISNUMBER(SEARCH("INC",($C591&amp;" "&amp;$D591))),"INC",IF(ISNUMBER(SEARCH("OPI",($C591&amp;" "&amp;$D591))),"OPI",IF(ISNUMBER(SEARCH("DP",($C591&amp;" "&amp;$D591))),"DP","CONC")))&amp;" "&amp;TEXT(LOOKUP(9.99E+307,--MID(SUBSTITUTE(($C591&amp;" "&amp;$D591),CHAR(160)," "),SUMPRODUCT(MIN(FIND({0,1,2,3,4,5,6,7,8,9},SUBSTITUTE(($C591&amp;" "&amp;$D591),CHAR(160)," ")&amp;"0123456789"))),ROW(INDIRECT("1:6")))),"0"),"SIN NUMERO"))</f>
        <v/>
      </c>
      <c r="Q591" t="str">
        <f ca="1">IF($P591="","",IF(LEFT(UPPER($S591),9)="VERIFICAR","VERIFICAR",IF($A591="","SIN ESTADO",IF(AND($A591="Firmada",$H591=""),"FALTA FECHA DE FIRMA",IF(N($T591)=0,IF(AND(ISNUMBER($H591),$H591&gt;=DATE(2024,1,1)),"FALTA EN FIRMADAS","OK"),IF(OR($A591="Pendiente de presentación",$A591="Observado",$A591="En análisis",$A591="En instrucción",$A591="Suspendida",$A591="IT circulando",$A591="Para resolución",$A591="TDC"),"ABIERTA PERO ESTÁ EN FIRMADAS",IF($H591&lt;&gt;INDEX(firmadas!$F:$F,$T591),"FIRMA DISTINTA EN firmadas ("&amp;IF(INDEX(firmadas!$F:$F,$T591)="","vacía",DAY(INDEX(firmadas!$F:$F,$T591))&amp;"/"&amp;MONTH(INDEX(firmadas!$F:$F,$T591))&amp;"/"&amp;YEAR(INDEX(firmadas!$F:$F,$T591)))&amp;")",IF($G591&lt;&gt;INDEX(firmadas!$E:$E,$T591),"INGRESO DISTINTO EN firmadas ("&amp;IF(INDEX(firmadas!$E:$E,$T591)="","vacía",DAY(INDEX(firmadas!$E:$E,$T591))&amp;"/"&amp;MONTH(INDEX(firmadas!$E:$E,$T591))&amp;"/"&amp;YEAR(INDEX(firmadas!$E:$E,$T591)))&amp;")","OK"))))))))</f>
        <v/>
      </c>
      <c r="T591" t="str">
        <f ca="1">IF($P591="","",IFERROR(MATCH($P591,firmadas!$N:$N,0),IFERROR(MATCH("*/"&amp;MID($P591,FIND(" ",$P591)+1,9)&amp;"*",firmadas!$B:$B,0),0)))</f>
        <v/>
      </c>
    </row>
    <row r="592" spans="14:20" ht="15" customHeight="1" x14ac:dyDescent="0.25">
      <c r="N592" s="53" t="str">
        <f t="shared" ca="1" si="9"/>
        <v/>
      </c>
      <c r="P592" t="str">
        <f ca="1">IF(TRIM(SUBSTITUTE(($C592&amp;" "&amp;$D592),CHAR(160)," "))="","",IFERROR(IF(ISNUMBER(SEARCH("INC",($C592&amp;" "&amp;$D592))),"INC",IF(ISNUMBER(SEARCH("OPI",($C592&amp;" "&amp;$D592))),"OPI",IF(ISNUMBER(SEARCH("DP",($C592&amp;" "&amp;$D592))),"DP","CONC")))&amp;" "&amp;TEXT(LOOKUP(9.99E+307,--MID(SUBSTITUTE(($C592&amp;" "&amp;$D592),CHAR(160)," "),SUMPRODUCT(MIN(FIND({0,1,2,3,4,5,6,7,8,9},SUBSTITUTE(($C592&amp;" "&amp;$D592),CHAR(160)," ")&amp;"0123456789"))),ROW(INDIRECT("1:6")))),"0"),"SIN NUMERO"))</f>
        <v/>
      </c>
      <c r="Q592" t="str">
        <f ca="1">IF($P592="","",IF(LEFT(UPPER($S592),9)="VERIFICAR","VERIFICAR",IF($A592="","SIN ESTADO",IF(AND($A592="Firmada",$H592=""),"FALTA FECHA DE FIRMA",IF(N($T592)=0,IF(AND(ISNUMBER($H592),$H592&gt;=DATE(2024,1,1)),"FALTA EN FIRMADAS","OK"),IF(OR($A592="Pendiente de presentación",$A592="Observado",$A592="En análisis",$A592="En instrucción",$A592="Suspendida",$A592="IT circulando",$A592="Para resolución",$A592="TDC"),"ABIERTA PERO ESTÁ EN FIRMADAS",IF($H592&lt;&gt;INDEX(firmadas!$F:$F,$T592),"FIRMA DISTINTA EN firmadas ("&amp;IF(INDEX(firmadas!$F:$F,$T592)="","vacía",DAY(INDEX(firmadas!$F:$F,$T592))&amp;"/"&amp;MONTH(INDEX(firmadas!$F:$F,$T592))&amp;"/"&amp;YEAR(INDEX(firmadas!$F:$F,$T592)))&amp;")",IF($G592&lt;&gt;INDEX(firmadas!$E:$E,$T592),"INGRESO DISTINTO EN firmadas ("&amp;IF(INDEX(firmadas!$E:$E,$T592)="","vacía",DAY(INDEX(firmadas!$E:$E,$T592))&amp;"/"&amp;MONTH(INDEX(firmadas!$E:$E,$T592))&amp;"/"&amp;YEAR(INDEX(firmadas!$E:$E,$T592)))&amp;")","OK"))))))))</f>
        <v/>
      </c>
      <c r="T592" t="str">
        <f ca="1">IF($P592="","",IFERROR(MATCH($P592,firmadas!$N:$N,0),IFERROR(MATCH("*/"&amp;MID($P592,FIND(" ",$P592)+1,9)&amp;"*",firmadas!$B:$B,0),0)))</f>
        <v/>
      </c>
    </row>
    <row r="593" spans="14:20" ht="15" customHeight="1" x14ac:dyDescent="0.25">
      <c r="N593" s="53" t="str">
        <f t="shared" ca="1" si="9"/>
        <v/>
      </c>
      <c r="P593" t="str">
        <f ca="1">IF(TRIM(SUBSTITUTE(($C593&amp;" "&amp;$D593),CHAR(160)," "))="","",IFERROR(IF(ISNUMBER(SEARCH("INC",($C593&amp;" "&amp;$D593))),"INC",IF(ISNUMBER(SEARCH("OPI",($C593&amp;" "&amp;$D593))),"OPI",IF(ISNUMBER(SEARCH("DP",($C593&amp;" "&amp;$D593))),"DP","CONC")))&amp;" "&amp;TEXT(LOOKUP(9.99E+307,--MID(SUBSTITUTE(($C593&amp;" "&amp;$D593),CHAR(160)," "),SUMPRODUCT(MIN(FIND({0,1,2,3,4,5,6,7,8,9},SUBSTITUTE(($C593&amp;" "&amp;$D593),CHAR(160)," ")&amp;"0123456789"))),ROW(INDIRECT("1:6")))),"0"),"SIN NUMERO"))</f>
        <v/>
      </c>
      <c r="Q593" t="str">
        <f ca="1">IF($P593="","",IF(LEFT(UPPER($S593),9)="VERIFICAR","VERIFICAR",IF($A593="","SIN ESTADO",IF(AND($A593="Firmada",$H593=""),"FALTA FECHA DE FIRMA",IF(N($T593)=0,IF(AND(ISNUMBER($H593),$H593&gt;=DATE(2024,1,1)),"FALTA EN FIRMADAS","OK"),IF(OR($A593="Pendiente de presentación",$A593="Observado",$A593="En análisis",$A593="En instrucción",$A593="Suspendida",$A593="IT circulando",$A593="Para resolución",$A593="TDC"),"ABIERTA PERO ESTÁ EN FIRMADAS",IF($H593&lt;&gt;INDEX(firmadas!$F:$F,$T593),"FIRMA DISTINTA EN firmadas ("&amp;IF(INDEX(firmadas!$F:$F,$T593)="","vacía",DAY(INDEX(firmadas!$F:$F,$T593))&amp;"/"&amp;MONTH(INDEX(firmadas!$F:$F,$T593))&amp;"/"&amp;YEAR(INDEX(firmadas!$F:$F,$T593)))&amp;")",IF($G593&lt;&gt;INDEX(firmadas!$E:$E,$T593),"INGRESO DISTINTO EN firmadas ("&amp;IF(INDEX(firmadas!$E:$E,$T593)="","vacía",DAY(INDEX(firmadas!$E:$E,$T593))&amp;"/"&amp;MONTH(INDEX(firmadas!$E:$E,$T593))&amp;"/"&amp;YEAR(INDEX(firmadas!$E:$E,$T593)))&amp;")","OK"))))))))</f>
        <v/>
      </c>
      <c r="T593" t="str">
        <f ca="1">IF($P593="","",IFERROR(MATCH($P593,firmadas!$N:$N,0),IFERROR(MATCH("*/"&amp;MID($P593,FIND(" ",$P593)+1,9)&amp;"*",firmadas!$B:$B,0),0)))</f>
        <v/>
      </c>
    </row>
    <row r="594" spans="14:20" ht="15" customHeight="1" x14ac:dyDescent="0.25">
      <c r="N594" s="53" t="str">
        <f t="shared" ca="1" si="9"/>
        <v/>
      </c>
      <c r="P594" t="str">
        <f ca="1">IF(TRIM(SUBSTITUTE(($C594&amp;" "&amp;$D594),CHAR(160)," "))="","",IFERROR(IF(ISNUMBER(SEARCH("INC",($C594&amp;" "&amp;$D594))),"INC",IF(ISNUMBER(SEARCH("OPI",($C594&amp;" "&amp;$D594))),"OPI",IF(ISNUMBER(SEARCH("DP",($C594&amp;" "&amp;$D594))),"DP","CONC")))&amp;" "&amp;TEXT(LOOKUP(9.99E+307,--MID(SUBSTITUTE(($C594&amp;" "&amp;$D594),CHAR(160)," "),SUMPRODUCT(MIN(FIND({0,1,2,3,4,5,6,7,8,9},SUBSTITUTE(($C594&amp;" "&amp;$D594),CHAR(160)," ")&amp;"0123456789"))),ROW(INDIRECT("1:6")))),"0"),"SIN NUMERO"))</f>
        <v/>
      </c>
      <c r="Q594" t="str">
        <f ca="1">IF($P594="","",IF(LEFT(UPPER($S594),9)="VERIFICAR","VERIFICAR",IF($A594="","SIN ESTADO",IF(AND($A594="Firmada",$H594=""),"FALTA FECHA DE FIRMA",IF(N($T594)=0,IF(AND(ISNUMBER($H594),$H594&gt;=DATE(2024,1,1)),"FALTA EN FIRMADAS","OK"),IF(OR($A594="Pendiente de presentación",$A594="Observado",$A594="En análisis",$A594="En instrucción",$A594="Suspendida",$A594="IT circulando",$A594="Para resolución",$A594="TDC"),"ABIERTA PERO ESTÁ EN FIRMADAS",IF($H594&lt;&gt;INDEX(firmadas!$F:$F,$T594),"FIRMA DISTINTA EN firmadas ("&amp;IF(INDEX(firmadas!$F:$F,$T594)="","vacía",DAY(INDEX(firmadas!$F:$F,$T594))&amp;"/"&amp;MONTH(INDEX(firmadas!$F:$F,$T594))&amp;"/"&amp;YEAR(INDEX(firmadas!$F:$F,$T594)))&amp;")",IF($G594&lt;&gt;INDEX(firmadas!$E:$E,$T594),"INGRESO DISTINTO EN firmadas ("&amp;IF(INDEX(firmadas!$E:$E,$T594)="","vacía",DAY(INDEX(firmadas!$E:$E,$T594))&amp;"/"&amp;MONTH(INDEX(firmadas!$E:$E,$T594))&amp;"/"&amp;YEAR(INDEX(firmadas!$E:$E,$T594)))&amp;")","OK"))))))))</f>
        <v/>
      </c>
      <c r="T594" t="str">
        <f ca="1">IF($P594="","",IFERROR(MATCH($P594,firmadas!$N:$N,0),IFERROR(MATCH("*/"&amp;MID($P594,FIND(" ",$P594)+1,9)&amp;"*",firmadas!$B:$B,0),0)))</f>
        <v/>
      </c>
    </row>
    <row r="595" spans="14:20" ht="15" customHeight="1" x14ac:dyDescent="0.25">
      <c r="N595" s="53" t="str">
        <f t="shared" ca="1" si="9"/>
        <v/>
      </c>
      <c r="P595" t="str">
        <f ca="1">IF(TRIM(SUBSTITUTE(($C595&amp;" "&amp;$D595),CHAR(160)," "))="","",IFERROR(IF(ISNUMBER(SEARCH("INC",($C595&amp;" "&amp;$D595))),"INC",IF(ISNUMBER(SEARCH("OPI",($C595&amp;" "&amp;$D595))),"OPI",IF(ISNUMBER(SEARCH("DP",($C595&amp;" "&amp;$D595))),"DP","CONC")))&amp;" "&amp;TEXT(LOOKUP(9.99E+307,--MID(SUBSTITUTE(($C595&amp;" "&amp;$D595),CHAR(160)," "),SUMPRODUCT(MIN(FIND({0,1,2,3,4,5,6,7,8,9},SUBSTITUTE(($C595&amp;" "&amp;$D595),CHAR(160)," ")&amp;"0123456789"))),ROW(INDIRECT("1:6")))),"0"),"SIN NUMERO"))</f>
        <v/>
      </c>
      <c r="Q595" t="str">
        <f ca="1">IF($P595="","",IF(LEFT(UPPER($S595),9)="VERIFICAR","VERIFICAR",IF($A595="","SIN ESTADO",IF(AND($A595="Firmada",$H595=""),"FALTA FECHA DE FIRMA",IF(N($T595)=0,IF(AND(ISNUMBER($H595),$H595&gt;=DATE(2024,1,1)),"FALTA EN FIRMADAS","OK"),IF(OR($A595="Pendiente de presentación",$A595="Observado",$A595="En análisis",$A595="En instrucción",$A595="Suspendida",$A595="IT circulando",$A595="Para resolución",$A595="TDC"),"ABIERTA PERO ESTÁ EN FIRMADAS",IF($H595&lt;&gt;INDEX(firmadas!$F:$F,$T595),"FIRMA DISTINTA EN firmadas ("&amp;IF(INDEX(firmadas!$F:$F,$T595)="","vacía",DAY(INDEX(firmadas!$F:$F,$T595))&amp;"/"&amp;MONTH(INDEX(firmadas!$F:$F,$T595))&amp;"/"&amp;YEAR(INDEX(firmadas!$F:$F,$T595)))&amp;")",IF($G595&lt;&gt;INDEX(firmadas!$E:$E,$T595),"INGRESO DISTINTO EN firmadas ("&amp;IF(INDEX(firmadas!$E:$E,$T595)="","vacía",DAY(INDEX(firmadas!$E:$E,$T595))&amp;"/"&amp;MONTH(INDEX(firmadas!$E:$E,$T595))&amp;"/"&amp;YEAR(INDEX(firmadas!$E:$E,$T595)))&amp;")","OK"))))))))</f>
        <v/>
      </c>
      <c r="T595" t="str">
        <f ca="1">IF($P595="","",IFERROR(MATCH($P595,firmadas!$N:$N,0),IFERROR(MATCH("*/"&amp;MID($P595,FIND(" ",$P595)+1,9)&amp;"*",firmadas!$B:$B,0),0)))</f>
        <v/>
      </c>
    </row>
    <row r="596" spans="14:20" ht="15" customHeight="1" x14ac:dyDescent="0.25">
      <c r="N596" s="53" t="str">
        <f t="shared" ca="1" si="9"/>
        <v/>
      </c>
      <c r="P596" t="str">
        <f ca="1">IF(TRIM(SUBSTITUTE(($C596&amp;" "&amp;$D596),CHAR(160)," "))="","",IFERROR(IF(ISNUMBER(SEARCH("INC",($C596&amp;" "&amp;$D596))),"INC",IF(ISNUMBER(SEARCH("OPI",($C596&amp;" "&amp;$D596))),"OPI",IF(ISNUMBER(SEARCH("DP",($C596&amp;" "&amp;$D596))),"DP","CONC")))&amp;" "&amp;TEXT(LOOKUP(9.99E+307,--MID(SUBSTITUTE(($C596&amp;" "&amp;$D596),CHAR(160)," "),SUMPRODUCT(MIN(FIND({0,1,2,3,4,5,6,7,8,9},SUBSTITUTE(($C596&amp;" "&amp;$D596),CHAR(160)," ")&amp;"0123456789"))),ROW(INDIRECT("1:6")))),"0"),"SIN NUMERO"))</f>
        <v/>
      </c>
      <c r="Q596" t="str">
        <f ca="1">IF($P596="","",IF(LEFT(UPPER($S596),9)="VERIFICAR","VERIFICAR",IF($A596="","SIN ESTADO",IF(AND($A596="Firmada",$H596=""),"FALTA FECHA DE FIRMA",IF(N($T596)=0,IF(AND(ISNUMBER($H596),$H596&gt;=DATE(2024,1,1)),"FALTA EN FIRMADAS","OK"),IF(OR($A596="Pendiente de presentación",$A596="Observado",$A596="En análisis",$A596="En instrucción",$A596="Suspendida",$A596="IT circulando",$A596="Para resolución",$A596="TDC"),"ABIERTA PERO ESTÁ EN FIRMADAS",IF($H596&lt;&gt;INDEX(firmadas!$F:$F,$T596),"FIRMA DISTINTA EN firmadas ("&amp;IF(INDEX(firmadas!$F:$F,$T596)="","vacía",DAY(INDEX(firmadas!$F:$F,$T596))&amp;"/"&amp;MONTH(INDEX(firmadas!$F:$F,$T596))&amp;"/"&amp;YEAR(INDEX(firmadas!$F:$F,$T596)))&amp;")",IF($G596&lt;&gt;INDEX(firmadas!$E:$E,$T596),"INGRESO DISTINTO EN firmadas ("&amp;IF(INDEX(firmadas!$E:$E,$T596)="","vacía",DAY(INDEX(firmadas!$E:$E,$T596))&amp;"/"&amp;MONTH(INDEX(firmadas!$E:$E,$T596))&amp;"/"&amp;YEAR(INDEX(firmadas!$E:$E,$T596)))&amp;")","OK"))))))))</f>
        <v/>
      </c>
      <c r="T596" t="str">
        <f ca="1">IF($P596="","",IFERROR(MATCH($P596,firmadas!$N:$N,0),IFERROR(MATCH("*/"&amp;MID($P596,FIND(" ",$P596)+1,9)&amp;"*",firmadas!$B:$B,0),0)))</f>
        <v/>
      </c>
    </row>
    <row r="597" spans="14:20" ht="15" customHeight="1" x14ac:dyDescent="0.25">
      <c r="N597" s="53" t="str">
        <f t="shared" ca="1" si="9"/>
        <v/>
      </c>
      <c r="P597" t="str">
        <f ca="1">IF(TRIM(SUBSTITUTE(($C597&amp;" "&amp;$D597),CHAR(160)," "))="","",IFERROR(IF(ISNUMBER(SEARCH("INC",($C597&amp;" "&amp;$D597))),"INC",IF(ISNUMBER(SEARCH("OPI",($C597&amp;" "&amp;$D597))),"OPI",IF(ISNUMBER(SEARCH("DP",($C597&amp;" "&amp;$D597))),"DP","CONC")))&amp;" "&amp;TEXT(LOOKUP(9.99E+307,--MID(SUBSTITUTE(($C597&amp;" "&amp;$D597),CHAR(160)," "),SUMPRODUCT(MIN(FIND({0,1,2,3,4,5,6,7,8,9},SUBSTITUTE(($C597&amp;" "&amp;$D597),CHAR(160)," ")&amp;"0123456789"))),ROW(INDIRECT("1:6")))),"0"),"SIN NUMERO"))</f>
        <v/>
      </c>
      <c r="Q597" t="str">
        <f ca="1">IF($P597="","",IF(LEFT(UPPER($S597),9)="VERIFICAR","VERIFICAR",IF($A597="","SIN ESTADO",IF(AND($A597="Firmada",$H597=""),"FALTA FECHA DE FIRMA",IF(N($T597)=0,IF(AND(ISNUMBER($H597),$H597&gt;=DATE(2024,1,1)),"FALTA EN FIRMADAS","OK"),IF(OR($A597="Pendiente de presentación",$A597="Observado",$A597="En análisis",$A597="En instrucción",$A597="Suspendida",$A597="IT circulando",$A597="Para resolución",$A597="TDC"),"ABIERTA PERO ESTÁ EN FIRMADAS",IF($H597&lt;&gt;INDEX(firmadas!$F:$F,$T597),"FIRMA DISTINTA EN firmadas ("&amp;IF(INDEX(firmadas!$F:$F,$T597)="","vacía",DAY(INDEX(firmadas!$F:$F,$T597))&amp;"/"&amp;MONTH(INDEX(firmadas!$F:$F,$T597))&amp;"/"&amp;YEAR(INDEX(firmadas!$F:$F,$T597)))&amp;")",IF($G597&lt;&gt;INDEX(firmadas!$E:$E,$T597),"INGRESO DISTINTO EN firmadas ("&amp;IF(INDEX(firmadas!$E:$E,$T597)="","vacía",DAY(INDEX(firmadas!$E:$E,$T597))&amp;"/"&amp;MONTH(INDEX(firmadas!$E:$E,$T597))&amp;"/"&amp;YEAR(INDEX(firmadas!$E:$E,$T597)))&amp;")","OK"))))))))</f>
        <v/>
      </c>
      <c r="T597" t="str">
        <f ca="1">IF($P597="","",IFERROR(MATCH($P597,firmadas!$N:$N,0),IFERROR(MATCH("*/"&amp;MID($P597,FIND(" ",$P597)+1,9)&amp;"*",firmadas!$B:$B,0),0)))</f>
        <v/>
      </c>
    </row>
    <row r="598" spans="14:20" ht="15" customHeight="1" x14ac:dyDescent="0.25">
      <c r="N598" s="53" t="str">
        <f t="shared" ca="1" si="9"/>
        <v/>
      </c>
      <c r="P598" t="str">
        <f ca="1">IF(TRIM(SUBSTITUTE(($C598&amp;" "&amp;$D598),CHAR(160)," "))="","",IFERROR(IF(ISNUMBER(SEARCH("INC",($C598&amp;" "&amp;$D598))),"INC",IF(ISNUMBER(SEARCH("OPI",($C598&amp;" "&amp;$D598))),"OPI",IF(ISNUMBER(SEARCH("DP",($C598&amp;" "&amp;$D598))),"DP","CONC")))&amp;" "&amp;TEXT(LOOKUP(9.99E+307,--MID(SUBSTITUTE(($C598&amp;" "&amp;$D598),CHAR(160)," "),SUMPRODUCT(MIN(FIND({0,1,2,3,4,5,6,7,8,9},SUBSTITUTE(($C598&amp;" "&amp;$D598),CHAR(160)," ")&amp;"0123456789"))),ROW(INDIRECT("1:6")))),"0"),"SIN NUMERO"))</f>
        <v/>
      </c>
      <c r="Q598" t="str">
        <f ca="1">IF($P598="","",IF(LEFT(UPPER($S598),9)="VERIFICAR","VERIFICAR",IF($A598="","SIN ESTADO",IF(AND($A598="Firmada",$H598=""),"FALTA FECHA DE FIRMA",IF(N($T598)=0,IF(AND(ISNUMBER($H598),$H598&gt;=DATE(2024,1,1)),"FALTA EN FIRMADAS","OK"),IF(OR($A598="Pendiente de presentación",$A598="Observado",$A598="En análisis",$A598="En instrucción",$A598="Suspendida",$A598="IT circulando",$A598="Para resolución",$A598="TDC"),"ABIERTA PERO ESTÁ EN FIRMADAS",IF($H598&lt;&gt;INDEX(firmadas!$F:$F,$T598),"FIRMA DISTINTA EN firmadas ("&amp;IF(INDEX(firmadas!$F:$F,$T598)="","vacía",DAY(INDEX(firmadas!$F:$F,$T598))&amp;"/"&amp;MONTH(INDEX(firmadas!$F:$F,$T598))&amp;"/"&amp;YEAR(INDEX(firmadas!$F:$F,$T598)))&amp;")",IF($G598&lt;&gt;INDEX(firmadas!$E:$E,$T598),"INGRESO DISTINTO EN firmadas ("&amp;IF(INDEX(firmadas!$E:$E,$T598)="","vacía",DAY(INDEX(firmadas!$E:$E,$T598))&amp;"/"&amp;MONTH(INDEX(firmadas!$E:$E,$T598))&amp;"/"&amp;YEAR(INDEX(firmadas!$E:$E,$T598)))&amp;")","OK"))))))))</f>
        <v/>
      </c>
      <c r="T598" t="str">
        <f ca="1">IF($P598="","",IFERROR(MATCH($P598,firmadas!$N:$N,0),IFERROR(MATCH("*/"&amp;MID($P598,FIND(" ",$P598)+1,9)&amp;"*",firmadas!$B:$B,0),0)))</f>
        <v/>
      </c>
    </row>
    <row r="599" spans="14:20" ht="15" customHeight="1" x14ac:dyDescent="0.25">
      <c r="N599" s="53" t="str">
        <f t="shared" ca="1" si="9"/>
        <v/>
      </c>
      <c r="P599" t="str">
        <f ca="1">IF(TRIM(SUBSTITUTE(($C599&amp;" "&amp;$D599),CHAR(160)," "))="","",IFERROR(IF(ISNUMBER(SEARCH("INC",($C599&amp;" "&amp;$D599))),"INC",IF(ISNUMBER(SEARCH("OPI",($C599&amp;" "&amp;$D599))),"OPI",IF(ISNUMBER(SEARCH("DP",($C599&amp;" "&amp;$D599))),"DP","CONC")))&amp;" "&amp;TEXT(LOOKUP(9.99E+307,--MID(SUBSTITUTE(($C599&amp;" "&amp;$D599),CHAR(160)," "),SUMPRODUCT(MIN(FIND({0,1,2,3,4,5,6,7,8,9},SUBSTITUTE(($C599&amp;" "&amp;$D599),CHAR(160)," ")&amp;"0123456789"))),ROW(INDIRECT("1:6")))),"0"),"SIN NUMERO"))</f>
        <v/>
      </c>
      <c r="Q599" t="str">
        <f ca="1">IF($P599="","",IF(LEFT(UPPER($S599),9)="VERIFICAR","VERIFICAR",IF($A599="","SIN ESTADO",IF(AND($A599="Firmada",$H599=""),"FALTA FECHA DE FIRMA",IF(N($T599)=0,IF(AND(ISNUMBER($H599),$H599&gt;=DATE(2024,1,1)),"FALTA EN FIRMADAS","OK"),IF(OR($A599="Pendiente de presentación",$A599="Observado",$A599="En análisis",$A599="En instrucción",$A599="Suspendida",$A599="IT circulando",$A599="Para resolución",$A599="TDC"),"ABIERTA PERO ESTÁ EN FIRMADAS",IF($H599&lt;&gt;INDEX(firmadas!$F:$F,$T599),"FIRMA DISTINTA EN firmadas ("&amp;IF(INDEX(firmadas!$F:$F,$T599)="","vacía",DAY(INDEX(firmadas!$F:$F,$T599))&amp;"/"&amp;MONTH(INDEX(firmadas!$F:$F,$T599))&amp;"/"&amp;YEAR(INDEX(firmadas!$F:$F,$T599)))&amp;")",IF($G599&lt;&gt;INDEX(firmadas!$E:$E,$T599),"INGRESO DISTINTO EN firmadas ("&amp;IF(INDEX(firmadas!$E:$E,$T599)="","vacía",DAY(INDEX(firmadas!$E:$E,$T599))&amp;"/"&amp;MONTH(INDEX(firmadas!$E:$E,$T599))&amp;"/"&amp;YEAR(INDEX(firmadas!$E:$E,$T599)))&amp;")","OK"))))))))</f>
        <v/>
      </c>
      <c r="T599" t="str">
        <f ca="1">IF($P599="","",IFERROR(MATCH($P599,firmadas!$N:$N,0),IFERROR(MATCH("*/"&amp;MID($P599,FIND(" ",$P599)+1,9)&amp;"*",firmadas!$B:$B,0),0)))</f>
        <v/>
      </c>
    </row>
    <row r="600" spans="14:20" ht="15" customHeight="1" x14ac:dyDescent="0.25">
      <c r="N600" s="53" t="str">
        <f t="shared" ca="1" si="9"/>
        <v/>
      </c>
      <c r="P600" t="str">
        <f ca="1">IF(TRIM(SUBSTITUTE(($C600&amp;" "&amp;$D600),CHAR(160)," "))="","",IFERROR(IF(ISNUMBER(SEARCH("INC",($C600&amp;" "&amp;$D600))),"INC",IF(ISNUMBER(SEARCH("OPI",($C600&amp;" "&amp;$D600))),"OPI",IF(ISNUMBER(SEARCH("DP",($C600&amp;" "&amp;$D600))),"DP","CONC")))&amp;" "&amp;TEXT(LOOKUP(9.99E+307,--MID(SUBSTITUTE(($C600&amp;" "&amp;$D600),CHAR(160)," "),SUMPRODUCT(MIN(FIND({0,1,2,3,4,5,6,7,8,9},SUBSTITUTE(($C600&amp;" "&amp;$D600),CHAR(160)," ")&amp;"0123456789"))),ROW(INDIRECT("1:6")))),"0"),"SIN NUMERO"))</f>
        <v/>
      </c>
      <c r="Q600" t="str">
        <f ca="1">IF($P600="","",IF(LEFT(UPPER($S600),9)="VERIFICAR","VERIFICAR",IF($A600="","SIN ESTADO",IF(AND($A600="Firmada",$H600=""),"FALTA FECHA DE FIRMA",IF(N($T600)=0,IF(AND(ISNUMBER($H600),$H600&gt;=DATE(2024,1,1)),"FALTA EN FIRMADAS","OK"),IF(OR($A600="Pendiente de presentación",$A600="Observado",$A600="En análisis",$A600="En instrucción",$A600="Suspendida",$A600="IT circulando",$A600="Para resolución",$A600="TDC"),"ABIERTA PERO ESTÁ EN FIRMADAS",IF($H600&lt;&gt;INDEX(firmadas!$F:$F,$T600),"FIRMA DISTINTA EN firmadas ("&amp;IF(INDEX(firmadas!$F:$F,$T600)="","vacía",DAY(INDEX(firmadas!$F:$F,$T600))&amp;"/"&amp;MONTH(INDEX(firmadas!$F:$F,$T600))&amp;"/"&amp;YEAR(INDEX(firmadas!$F:$F,$T600)))&amp;")",IF($G600&lt;&gt;INDEX(firmadas!$E:$E,$T600),"INGRESO DISTINTO EN firmadas ("&amp;IF(INDEX(firmadas!$E:$E,$T600)="","vacía",DAY(INDEX(firmadas!$E:$E,$T600))&amp;"/"&amp;MONTH(INDEX(firmadas!$E:$E,$T600))&amp;"/"&amp;YEAR(INDEX(firmadas!$E:$E,$T600)))&amp;")","OK"))))))))</f>
        <v/>
      </c>
      <c r="T600" t="str">
        <f ca="1">IF($P600="","",IFERROR(MATCH($P600,firmadas!$N:$N,0),IFERROR(MATCH("*/"&amp;MID($P600,FIND(" ",$P600)+1,9)&amp;"*",firmadas!$B:$B,0),0)))</f>
        <v/>
      </c>
    </row>
    <row r="601" spans="14:20" ht="15" customHeight="1" x14ac:dyDescent="0.25">
      <c r="N601" s="53" t="str">
        <f t="shared" ca="1" si="9"/>
        <v/>
      </c>
      <c r="P601" t="str">
        <f ca="1">IF(TRIM(SUBSTITUTE(($C601&amp;" "&amp;$D601),CHAR(160)," "))="","",IFERROR(IF(ISNUMBER(SEARCH("INC",($C601&amp;" "&amp;$D601))),"INC",IF(ISNUMBER(SEARCH("OPI",($C601&amp;" "&amp;$D601))),"OPI",IF(ISNUMBER(SEARCH("DP",($C601&amp;" "&amp;$D601))),"DP","CONC")))&amp;" "&amp;TEXT(LOOKUP(9.99E+307,--MID(SUBSTITUTE(($C601&amp;" "&amp;$D601),CHAR(160)," "),SUMPRODUCT(MIN(FIND({0,1,2,3,4,5,6,7,8,9},SUBSTITUTE(($C601&amp;" "&amp;$D601),CHAR(160)," ")&amp;"0123456789"))),ROW(INDIRECT("1:6")))),"0"),"SIN NUMERO"))</f>
        <v/>
      </c>
      <c r="Q601" t="str">
        <f ca="1">IF($P601="","",IF(LEFT(UPPER($S601),9)="VERIFICAR","VERIFICAR",IF($A601="","SIN ESTADO",IF(AND($A601="Firmada",$H601=""),"FALTA FECHA DE FIRMA",IF(N($T601)=0,IF(AND(ISNUMBER($H601),$H601&gt;=DATE(2024,1,1)),"FALTA EN FIRMADAS","OK"),IF(OR($A601="Pendiente de presentación",$A601="Observado",$A601="En análisis",$A601="En instrucción",$A601="Suspendida",$A601="IT circulando",$A601="Para resolución",$A601="TDC"),"ABIERTA PERO ESTÁ EN FIRMADAS",IF($H601&lt;&gt;INDEX(firmadas!$F:$F,$T601),"FIRMA DISTINTA EN firmadas ("&amp;IF(INDEX(firmadas!$F:$F,$T601)="","vacía",DAY(INDEX(firmadas!$F:$F,$T601))&amp;"/"&amp;MONTH(INDEX(firmadas!$F:$F,$T601))&amp;"/"&amp;YEAR(INDEX(firmadas!$F:$F,$T601)))&amp;")",IF($G601&lt;&gt;INDEX(firmadas!$E:$E,$T601),"INGRESO DISTINTO EN firmadas ("&amp;IF(INDEX(firmadas!$E:$E,$T601)="","vacía",DAY(INDEX(firmadas!$E:$E,$T601))&amp;"/"&amp;MONTH(INDEX(firmadas!$E:$E,$T601))&amp;"/"&amp;YEAR(INDEX(firmadas!$E:$E,$T601)))&amp;")","OK"))))))))</f>
        <v/>
      </c>
      <c r="T601" t="str">
        <f ca="1">IF($P601="","",IFERROR(MATCH($P601,firmadas!$N:$N,0),IFERROR(MATCH("*/"&amp;MID($P601,FIND(" ",$P601)+1,9)&amp;"*",firmadas!$B:$B,0),0)))</f>
        <v/>
      </c>
    </row>
    <row r="602" spans="14:20" ht="15" customHeight="1" x14ac:dyDescent="0.25">
      <c r="N602" s="53" t="str">
        <f t="shared" ca="1" si="9"/>
        <v/>
      </c>
      <c r="P602" t="str">
        <f ca="1">IF(TRIM(SUBSTITUTE(($C602&amp;" "&amp;$D602),CHAR(160)," "))="","",IFERROR(IF(ISNUMBER(SEARCH("INC",($C602&amp;" "&amp;$D602))),"INC",IF(ISNUMBER(SEARCH("OPI",($C602&amp;" "&amp;$D602))),"OPI",IF(ISNUMBER(SEARCH("DP",($C602&amp;" "&amp;$D602))),"DP","CONC")))&amp;" "&amp;TEXT(LOOKUP(9.99E+307,--MID(SUBSTITUTE(($C602&amp;" "&amp;$D602),CHAR(160)," "),SUMPRODUCT(MIN(FIND({0,1,2,3,4,5,6,7,8,9},SUBSTITUTE(($C602&amp;" "&amp;$D602),CHAR(160)," ")&amp;"0123456789"))),ROW(INDIRECT("1:6")))),"0"),"SIN NUMERO"))</f>
        <v/>
      </c>
      <c r="Q602" t="str">
        <f ca="1">IF($P602="","",IF(LEFT(UPPER($S602),9)="VERIFICAR","VERIFICAR",IF($A602="","SIN ESTADO",IF(AND($A602="Firmada",$H602=""),"FALTA FECHA DE FIRMA",IF(N($T602)=0,IF(AND(ISNUMBER($H602),$H602&gt;=DATE(2024,1,1)),"FALTA EN FIRMADAS","OK"),IF(OR($A602="Pendiente de presentación",$A602="Observado",$A602="En análisis",$A602="En instrucción",$A602="Suspendida",$A602="IT circulando",$A602="Para resolución",$A602="TDC"),"ABIERTA PERO ESTÁ EN FIRMADAS",IF($H602&lt;&gt;INDEX(firmadas!$F:$F,$T602),"FIRMA DISTINTA EN firmadas ("&amp;IF(INDEX(firmadas!$F:$F,$T602)="","vacía",DAY(INDEX(firmadas!$F:$F,$T602))&amp;"/"&amp;MONTH(INDEX(firmadas!$F:$F,$T602))&amp;"/"&amp;YEAR(INDEX(firmadas!$F:$F,$T602)))&amp;")",IF($G602&lt;&gt;INDEX(firmadas!$E:$E,$T602),"INGRESO DISTINTO EN firmadas ("&amp;IF(INDEX(firmadas!$E:$E,$T602)="","vacía",DAY(INDEX(firmadas!$E:$E,$T602))&amp;"/"&amp;MONTH(INDEX(firmadas!$E:$E,$T602))&amp;"/"&amp;YEAR(INDEX(firmadas!$E:$E,$T602)))&amp;")","OK"))))))))</f>
        <v/>
      </c>
      <c r="T602" t="str">
        <f ca="1">IF($P602="","",IFERROR(MATCH($P602,firmadas!$N:$N,0),IFERROR(MATCH("*/"&amp;MID($P602,FIND(" ",$P602)+1,9)&amp;"*",firmadas!$B:$B,0),0)))</f>
        <v/>
      </c>
    </row>
    <row r="603" spans="14:20" ht="15" customHeight="1" x14ac:dyDescent="0.25">
      <c r="N603" s="53" t="str">
        <f t="shared" ca="1" si="9"/>
        <v/>
      </c>
      <c r="P603" t="str">
        <f ca="1">IF(TRIM(SUBSTITUTE(($C603&amp;" "&amp;$D603),CHAR(160)," "))="","",IFERROR(IF(ISNUMBER(SEARCH("INC",($C603&amp;" "&amp;$D603))),"INC",IF(ISNUMBER(SEARCH("OPI",($C603&amp;" "&amp;$D603))),"OPI",IF(ISNUMBER(SEARCH("DP",($C603&amp;" "&amp;$D603))),"DP","CONC")))&amp;" "&amp;TEXT(LOOKUP(9.99E+307,--MID(SUBSTITUTE(($C603&amp;" "&amp;$D603),CHAR(160)," "),SUMPRODUCT(MIN(FIND({0,1,2,3,4,5,6,7,8,9},SUBSTITUTE(($C603&amp;" "&amp;$D603),CHAR(160)," ")&amp;"0123456789"))),ROW(INDIRECT("1:6")))),"0"),"SIN NUMERO"))</f>
        <v/>
      </c>
      <c r="Q603" t="str">
        <f ca="1">IF($P603="","",IF(LEFT(UPPER($S603),9)="VERIFICAR","VERIFICAR",IF($A603="","SIN ESTADO",IF(AND($A603="Firmada",$H603=""),"FALTA FECHA DE FIRMA",IF(N($T603)=0,IF(AND(ISNUMBER($H603),$H603&gt;=DATE(2024,1,1)),"FALTA EN FIRMADAS","OK"),IF(OR($A603="Pendiente de presentación",$A603="Observado",$A603="En análisis",$A603="En instrucción",$A603="Suspendida",$A603="IT circulando",$A603="Para resolución",$A603="TDC"),"ABIERTA PERO ESTÁ EN FIRMADAS",IF($H603&lt;&gt;INDEX(firmadas!$F:$F,$T603),"FIRMA DISTINTA EN firmadas ("&amp;IF(INDEX(firmadas!$F:$F,$T603)="","vacía",DAY(INDEX(firmadas!$F:$F,$T603))&amp;"/"&amp;MONTH(INDEX(firmadas!$F:$F,$T603))&amp;"/"&amp;YEAR(INDEX(firmadas!$F:$F,$T603)))&amp;")",IF($G603&lt;&gt;INDEX(firmadas!$E:$E,$T603),"INGRESO DISTINTO EN firmadas ("&amp;IF(INDEX(firmadas!$E:$E,$T603)="","vacía",DAY(INDEX(firmadas!$E:$E,$T603))&amp;"/"&amp;MONTH(INDEX(firmadas!$E:$E,$T603))&amp;"/"&amp;YEAR(INDEX(firmadas!$E:$E,$T603)))&amp;")","OK"))))))))</f>
        <v/>
      </c>
      <c r="T603" t="str">
        <f ca="1">IF($P603="","",IFERROR(MATCH($P603,firmadas!$N:$N,0),IFERROR(MATCH("*/"&amp;MID($P603,FIND(" ",$P603)+1,9)&amp;"*",firmadas!$B:$B,0),0)))</f>
        <v/>
      </c>
    </row>
    <row r="604" spans="14:20" ht="15" customHeight="1" x14ac:dyDescent="0.25">
      <c r="N604" s="53" t="str">
        <f t="shared" ca="1" si="9"/>
        <v/>
      </c>
      <c r="P604" t="str">
        <f ca="1">IF(TRIM(SUBSTITUTE(($C604&amp;" "&amp;$D604),CHAR(160)," "))="","",IFERROR(IF(ISNUMBER(SEARCH("INC",($C604&amp;" "&amp;$D604))),"INC",IF(ISNUMBER(SEARCH("OPI",($C604&amp;" "&amp;$D604))),"OPI",IF(ISNUMBER(SEARCH("DP",($C604&amp;" "&amp;$D604))),"DP","CONC")))&amp;" "&amp;TEXT(LOOKUP(9.99E+307,--MID(SUBSTITUTE(($C604&amp;" "&amp;$D604),CHAR(160)," "),SUMPRODUCT(MIN(FIND({0,1,2,3,4,5,6,7,8,9},SUBSTITUTE(($C604&amp;" "&amp;$D604),CHAR(160)," ")&amp;"0123456789"))),ROW(INDIRECT("1:6")))),"0"),"SIN NUMERO"))</f>
        <v/>
      </c>
      <c r="Q604" t="str">
        <f ca="1">IF($P604="","",IF(LEFT(UPPER($S604),9)="VERIFICAR","VERIFICAR",IF($A604="","SIN ESTADO",IF(AND($A604="Firmada",$H604=""),"FALTA FECHA DE FIRMA",IF(N($T604)=0,IF(AND(ISNUMBER($H604),$H604&gt;=DATE(2024,1,1)),"FALTA EN FIRMADAS","OK"),IF(OR($A604="Pendiente de presentación",$A604="Observado",$A604="En análisis",$A604="En instrucción",$A604="Suspendida",$A604="IT circulando",$A604="Para resolución",$A604="TDC"),"ABIERTA PERO ESTÁ EN FIRMADAS",IF($H604&lt;&gt;INDEX(firmadas!$F:$F,$T604),"FIRMA DISTINTA EN firmadas ("&amp;IF(INDEX(firmadas!$F:$F,$T604)="","vacía",DAY(INDEX(firmadas!$F:$F,$T604))&amp;"/"&amp;MONTH(INDEX(firmadas!$F:$F,$T604))&amp;"/"&amp;YEAR(INDEX(firmadas!$F:$F,$T604)))&amp;")",IF($G604&lt;&gt;INDEX(firmadas!$E:$E,$T604),"INGRESO DISTINTO EN firmadas ("&amp;IF(INDEX(firmadas!$E:$E,$T604)="","vacía",DAY(INDEX(firmadas!$E:$E,$T604))&amp;"/"&amp;MONTH(INDEX(firmadas!$E:$E,$T604))&amp;"/"&amp;YEAR(INDEX(firmadas!$E:$E,$T604)))&amp;")","OK"))))))))</f>
        <v/>
      </c>
      <c r="T604" t="str">
        <f ca="1">IF($P604="","",IFERROR(MATCH($P604,firmadas!$N:$N,0),IFERROR(MATCH("*/"&amp;MID($P604,FIND(" ",$P604)+1,9)&amp;"*",firmadas!$B:$B,0),0)))</f>
        <v/>
      </c>
    </row>
    <row r="605" spans="14:20" ht="15" customHeight="1" x14ac:dyDescent="0.25">
      <c r="N605" s="53" t="str">
        <f t="shared" ca="1" si="9"/>
        <v/>
      </c>
      <c r="P605" t="str">
        <f ca="1">IF(TRIM(SUBSTITUTE(($C605&amp;" "&amp;$D605),CHAR(160)," "))="","",IFERROR(IF(ISNUMBER(SEARCH("INC",($C605&amp;" "&amp;$D605))),"INC",IF(ISNUMBER(SEARCH("OPI",($C605&amp;" "&amp;$D605))),"OPI",IF(ISNUMBER(SEARCH("DP",($C605&amp;" "&amp;$D605))),"DP","CONC")))&amp;" "&amp;TEXT(LOOKUP(9.99E+307,--MID(SUBSTITUTE(($C605&amp;" "&amp;$D605),CHAR(160)," "),SUMPRODUCT(MIN(FIND({0,1,2,3,4,5,6,7,8,9},SUBSTITUTE(($C605&amp;" "&amp;$D605),CHAR(160)," ")&amp;"0123456789"))),ROW(INDIRECT("1:6")))),"0"),"SIN NUMERO"))</f>
        <v/>
      </c>
      <c r="Q605" t="str">
        <f ca="1">IF($P605="","",IF(LEFT(UPPER($S605),9)="VERIFICAR","VERIFICAR",IF($A605="","SIN ESTADO",IF(AND($A605="Firmada",$H605=""),"FALTA FECHA DE FIRMA",IF(N($T605)=0,IF(AND(ISNUMBER($H605),$H605&gt;=DATE(2024,1,1)),"FALTA EN FIRMADAS","OK"),IF(OR($A605="Pendiente de presentación",$A605="Observado",$A605="En análisis",$A605="En instrucción",$A605="Suspendida",$A605="IT circulando",$A605="Para resolución",$A605="TDC"),"ABIERTA PERO ESTÁ EN FIRMADAS",IF($H605&lt;&gt;INDEX(firmadas!$F:$F,$T605),"FIRMA DISTINTA EN firmadas ("&amp;IF(INDEX(firmadas!$F:$F,$T605)="","vacía",DAY(INDEX(firmadas!$F:$F,$T605))&amp;"/"&amp;MONTH(INDEX(firmadas!$F:$F,$T605))&amp;"/"&amp;YEAR(INDEX(firmadas!$F:$F,$T605)))&amp;")",IF($G605&lt;&gt;INDEX(firmadas!$E:$E,$T605),"INGRESO DISTINTO EN firmadas ("&amp;IF(INDEX(firmadas!$E:$E,$T605)="","vacía",DAY(INDEX(firmadas!$E:$E,$T605))&amp;"/"&amp;MONTH(INDEX(firmadas!$E:$E,$T605))&amp;"/"&amp;YEAR(INDEX(firmadas!$E:$E,$T605)))&amp;")","OK"))))))))</f>
        <v/>
      </c>
      <c r="T605" t="str">
        <f ca="1">IF($P605="","",IFERROR(MATCH($P605,firmadas!$N:$N,0),IFERROR(MATCH("*/"&amp;MID($P605,FIND(" ",$P605)+1,9)&amp;"*",firmadas!$B:$B,0),0)))</f>
        <v/>
      </c>
    </row>
    <row r="606" spans="14:20" ht="15" customHeight="1" x14ac:dyDescent="0.25">
      <c r="N606" s="53" t="str">
        <f t="shared" ca="1" si="9"/>
        <v/>
      </c>
      <c r="P606" t="str">
        <f ca="1">IF(TRIM(SUBSTITUTE(($C606&amp;" "&amp;$D606),CHAR(160)," "))="","",IFERROR(IF(ISNUMBER(SEARCH("INC",($C606&amp;" "&amp;$D606))),"INC",IF(ISNUMBER(SEARCH("OPI",($C606&amp;" "&amp;$D606))),"OPI",IF(ISNUMBER(SEARCH("DP",($C606&amp;" "&amp;$D606))),"DP","CONC")))&amp;" "&amp;TEXT(LOOKUP(9.99E+307,--MID(SUBSTITUTE(($C606&amp;" "&amp;$D606),CHAR(160)," "),SUMPRODUCT(MIN(FIND({0,1,2,3,4,5,6,7,8,9},SUBSTITUTE(($C606&amp;" "&amp;$D606),CHAR(160)," ")&amp;"0123456789"))),ROW(INDIRECT("1:6")))),"0"),"SIN NUMERO"))</f>
        <v/>
      </c>
      <c r="Q606" t="str">
        <f ca="1">IF($P606="","",IF(LEFT(UPPER($S606),9)="VERIFICAR","VERIFICAR",IF($A606="","SIN ESTADO",IF(AND($A606="Firmada",$H606=""),"FALTA FECHA DE FIRMA",IF(N($T606)=0,IF(AND(ISNUMBER($H606),$H606&gt;=DATE(2024,1,1)),"FALTA EN FIRMADAS","OK"),IF(OR($A606="Pendiente de presentación",$A606="Observado",$A606="En análisis",$A606="En instrucción",$A606="Suspendida",$A606="IT circulando",$A606="Para resolución",$A606="TDC"),"ABIERTA PERO ESTÁ EN FIRMADAS",IF($H606&lt;&gt;INDEX(firmadas!$F:$F,$T606),"FIRMA DISTINTA EN firmadas ("&amp;IF(INDEX(firmadas!$F:$F,$T606)="","vacía",DAY(INDEX(firmadas!$F:$F,$T606))&amp;"/"&amp;MONTH(INDEX(firmadas!$F:$F,$T606))&amp;"/"&amp;YEAR(INDEX(firmadas!$F:$F,$T606)))&amp;")",IF($G606&lt;&gt;INDEX(firmadas!$E:$E,$T606),"INGRESO DISTINTO EN firmadas ("&amp;IF(INDEX(firmadas!$E:$E,$T606)="","vacía",DAY(INDEX(firmadas!$E:$E,$T606))&amp;"/"&amp;MONTH(INDEX(firmadas!$E:$E,$T606))&amp;"/"&amp;YEAR(INDEX(firmadas!$E:$E,$T606)))&amp;")","OK"))))))))</f>
        <v/>
      </c>
      <c r="T606" t="str">
        <f ca="1">IF($P606="","",IFERROR(MATCH($P606,firmadas!$N:$N,0),IFERROR(MATCH("*/"&amp;MID($P606,FIND(" ",$P606)+1,9)&amp;"*",firmadas!$B:$B,0),0)))</f>
        <v/>
      </c>
    </row>
    <row r="607" spans="14:20" ht="15" customHeight="1" x14ac:dyDescent="0.25">
      <c r="N607" s="53" t="str">
        <f t="shared" ca="1" si="9"/>
        <v/>
      </c>
      <c r="P607" t="str">
        <f ca="1">IF(TRIM(SUBSTITUTE(($C607&amp;" "&amp;$D607),CHAR(160)," "))="","",IFERROR(IF(ISNUMBER(SEARCH("INC",($C607&amp;" "&amp;$D607))),"INC",IF(ISNUMBER(SEARCH("OPI",($C607&amp;" "&amp;$D607))),"OPI",IF(ISNUMBER(SEARCH("DP",($C607&amp;" "&amp;$D607))),"DP","CONC")))&amp;" "&amp;TEXT(LOOKUP(9.99E+307,--MID(SUBSTITUTE(($C607&amp;" "&amp;$D607),CHAR(160)," "),SUMPRODUCT(MIN(FIND({0,1,2,3,4,5,6,7,8,9},SUBSTITUTE(($C607&amp;" "&amp;$D607),CHAR(160)," ")&amp;"0123456789"))),ROW(INDIRECT("1:6")))),"0"),"SIN NUMERO"))</f>
        <v/>
      </c>
      <c r="Q607" t="str">
        <f ca="1">IF($P607="","",IF(LEFT(UPPER($S607),9)="VERIFICAR","VERIFICAR",IF($A607="","SIN ESTADO",IF(AND($A607="Firmada",$H607=""),"FALTA FECHA DE FIRMA",IF(N($T607)=0,IF(AND(ISNUMBER($H607),$H607&gt;=DATE(2024,1,1)),"FALTA EN FIRMADAS","OK"),IF(OR($A607="Pendiente de presentación",$A607="Observado",$A607="En análisis",$A607="En instrucción",$A607="Suspendida",$A607="IT circulando",$A607="Para resolución",$A607="TDC"),"ABIERTA PERO ESTÁ EN FIRMADAS",IF($H607&lt;&gt;INDEX(firmadas!$F:$F,$T607),"FIRMA DISTINTA EN firmadas ("&amp;IF(INDEX(firmadas!$F:$F,$T607)="","vacía",DAY(INDEX(firmadas!$F:$F,$T607))&amp;"/"&amp;MONTH(INDEX(firmadas!$F:$F,$T607))&amp;"/"&amp;YEAR(INDEX(firmadas!$F:$F,$T607)))&amp;")",IF($G607&lt;&gt;INDEX(firmadas!$E:$E,$T607),"INGRESO DISTINTO EN firmadas ("&amp;IF(INDEX(firmadas!$E:$E,$T607)="","vacía",DAY(INDEX(firmadas!$E:$E,$T607))&amp;"/"&amp;MONTH(INDEX(firmadas!$E:$E,$T607))&amp;"/"&amp;YEAR(INDEX(firmadas!$E:$E,$T607)))&amp;")","OK"))))))))</f>
        <v/>
      </c>
      <c r="T607" t="str">
        <f ca="1">IF($P607="","",IFERROR(MATCH($P607,firmadas!$N:$N,0),IFERROR(MATCH("*/"&amp;MID($P607,FIND(" ",$P607)+1,9)&amp;"*",firmadas!$B:$B,0),0)))</f>
        <v/>
      </c>
    </row>
    <row r="608" spans="14:20" ht="15" customHeight="1" x14ac:dyDescent="0.25">
      <c r="N608" s="53" t="str">
        <f t="shared" ca="1" si="9"/>
        <v/>
      </c>
      <c r="P608" t="str">
        <f ca="1">IF(TRIM(SUBSTITUTE(($C608&amp;" "&amp;$D608),CHAR(160)," "))="","",IFERROR(IF(ISNUMBER(SEARCH("INC",($C608&amp;" "&amp;$D608))),"INC",IF(ISNUMBER(SEARCH("OPI",($C608&amp;" "&amp;$D608))),"OPI",IF(ISNUMBER(SEARCH("DP",($C608&amp;" "&amp;$D608))),"DP","CONC")))&amp;" "&amp;TEXT(LOOKUP(9.99E+307,--MID(SUBSTITUTE(($C608&amp;" "&amp;$D608),CHAR(160)," "),SUMPRODUCT(MIN(FIND({0,1,2,3,4,5,6,7,8,9},SUBSTITUTE(($C608&amp;" "&amp;$D608),CHAR(160)," ")&amp;"0123456789"))),ROW(INDIRECT("1:6")))),"0"),"SIN NUMERO"))</f>
        <v/>
      </c>
      <c r="Q608" t="str">
        <f ca="1">IF($P608="","",IF(LEFT(UPPER($S608),9)="VERIFICAR","VERIFICAR",IF($A608="","SIN ESTADO",IF(AND($A608="Firmada",$H608=""),"FALTA FECHA DE FIRMA",IF(N($T608)=0,IF(AND(ISNUMBER($H608),$H608&gt;=DATE(2024,1,1)),"FALTA EN FIRMADAS","OK"),IF(OR($A608="Pendiente de presentación",$A608="Observado",$A608="En análisis",$A608="En instrucción",$A608="Suspendida",$A608="IT circulando",$A608="Para resolución",$A608="TDC"),"ABIERTA PERO ESTÁ EN FIRMADAS",IF($H608&lt;&gt;INDEX(firmadas!$F:$F,$T608),"FIRMA DISTINTA EN firmadas ("&amp;IF(INDEX(firmadas!$F:$F,$T608)="","vacía",DAY(INDEX(firmadas!$F:$F,$T608))&amp;"/"&amp;MONTH(INDEX(firmadas!$F:$F,$T608))&amp;"/"&amp;YEAR(INDEX(firmadas!$F:$F,$T608)))&amp;")",IF($G608&lt;&gt;INDEX(firmadas!$E:$E,$T608),"INGRESO DISTINTO EN firmadas ("&amp;IF(INDEX(firmadas!$E:$E,$T608)="","vacía",DAY(INDEX(firmadas!$E:$E,$T608))&amp;"/"&amp;MONTH(INDEX(firmadas!$E:$E,$T608))&amp;"/"&amp;YEAR(INDEX(firmadas!$E:$E,$T608)))&amp;")","OK"))))))))</f>
        <v/>
      </c>
      <c r="T608" t="str">
        <f ca="1">IF($P608="","",IFERROR(MATCH($P608,firmadas!$N:$N,0),IFERROR(MATCH("*/"&amp;MID($P608,FIND(" ",$P608)+1,9)&amp;"*",firmadas!$B:$B,0),0)))</f>
        <v/>
      </c>
    </row>
    <row r="609" spans="14:20" ht="15" customHeight="1" x14ac:dyDescent="0.25">
      <c r="N609" s="53" t="str">
        <f t="shared" ca="1" si="9"/>
        <v/>
      </c>
      <c r="P609" t="str">
        <f ca="1">IF(TRIM(SUBSTITUTE(($C609&amp;" "&amp;$D609),CHAR(160)," "))="","",IFERROR(IF(ISNUMBER(SEARCH("INC",($C609&amp;" "&amp;$D609))),"INC",IF(ISNUMBER(SEARCH("OPI",($C609&amp;" "&amp;$D609))),"OPI",IF(ISNUMBER(SEARCH("DP",($C609&amp;" "&amp;$D609))),"DP","CONC")))&amp;" "&amp;TEXT(LOOKUP(9.99E+307,--MID(SUBSTITUTE(($C609&amp;" "&amp;$D609),CHAR(160)," "),SUMPRODUCT(MIN(FIND({0,1,2,3,4,5,6,7,8,9},SUBSTITUTE(($C609&amp;" "&amp;$D609),CHAR(160)," ")&amp;"0123456789"))),ROW(INDIRECT("1:6")))),"0"),"SIN NUMERO"))</f>
        <v/>
      </c>
      <c r="Q609" t="str">
        <f ca="1">IF($P609="","",IF(LEFT(UPPER($S609),9)="VERIFICAR","VERIFICAR",IF($A609="","SIN ESTADO",IF(AND($A609="Firmada",$H609=""),"FALTA FECHA DE FIRMA",IF(N($T609)=0,IF(AND(ISNUMBER($H609),$H609&gt;=DATE(2024,1,1)),"FALTA EN FIRMADAS","OK"),IF(OR($A609="Pendiente de presentación",$A609="Observado",$A609="En análisis",$A609="En instrucción",$A609="Suspendida",$A609="IT circulando",$A609="Para resolución",$A609="TDC"),"ABIERTA PERO ESTÁ EN FIRMADAS",IF($H609&lt;&gt;INDEX(firmadas!$F:$F,$T609),"FIRMA DISTINTA EN firmadas ("&amp;IF(INDEX(firmadas!$F:$F,$T609)="","vacía",DAY(INDEX(firmadas!$F:$F,$T609))&amp;"/"&amp;MONTH(INDEX(firmadas!$F:$F,$T609))&amp;"/"&amp;YEAR(INDEX(firmadas!$F:$F,$T609)))&amp;")",IF($G609&lt;&gt;INDEX(firmadas!$E:$E,$T609),"INGRESO DISTINTO EN firmadas ("&amp;IF(INDEX(firmadas!$E:$E,$T609)="","vacía",DAY(INDEX(firmadas!$E:$E,$T609))&amp;"/"&amp;MONTH(INDEX(firmadas!$E:$E,$T609))&amp;"/"&amp;YEAR(INDEX(firmadas!$E:$E,$T609)))&amp;")","OK"))))))))</f>
        <v/>
      </c>
      <c r="T609" t="str">
        <f ca="1">IF($P609="","",IFERROR(MATCH($P609,firmadas!$N:$N,0),IFERROR(MATCH("*/"&amp;MID($P609,FIND(" ",$P609)+1,9)&amp;"*",firmadas!$B:$B,0),0)))</f>
        <v/>
      </c>
    </row>
    <row r="610" spans="14:20" ht="15" customHeight="1" x14ac:dyDescent="0.25">
      <c r="N610" s="53" t="str">
        <f t="shared" ca="1" si="9"/>
        <v/>
      </c>
      <c r="P610" t="str">
        <f ca="1">IF(TRIM(SUBSTITUTE(($C610&amp;" "&amp;$D610),CHAR(160)," "))="","",IFERROR(IF(ISNUMBER(SEARCH("INC",($C610&amp;" "&amp;$D610))),"INC",IF(ISNUMBER(SEARCH("OPI",($C610&amp;" "&amp;$D610))),"OPI",IF(ISNUMBER(SEARCH("DP",($C610&amp;" "&amp;$D610))),"DP","CONC")))&amp;" "&amp;TEXT(LOOKUP(9.99E+307,--MID(SUBSTITUTE(($C610&amp;" "&amp;$D610),CHAR(160)," "),SUMPRODUCT(MIN(FIND({0,1,2,3,4,5,6,7,8,9},SUBSTITUTE(($C610&amp;" "&amp;$D610),CHAR(160)," ")&amp;"0123456789"))),ROW(INDIRECT("1:6")))),"0"),"SIN NUMERO"))</f>
        <v/>
      </c>
      <c r="Q610" t="str">
        <f ca="1">IF($P610="","",IF(LEFT(UPPER($S610),9)="VERIFICAR","VERIFICAR",IF($A610="","SIN ESTADO",IF(AND($A610="Firmada",$H610=""),"FALTA FECHA DE FIRMA",IF(N($T610)=0,IF(AND(ISNUMBER($H610),$H610&gt;=DATE(2024,1,1)),"FALTA EN FIRMADAS","OK"),IF(OR($A610="Pendiente de presentación",$A610="Observado",$A610="En análisis",$A610="En instrucción",$A610="Suspendida",$A610="IT circulando",$A610="Para resolución",$A610="TDC"),"ABIERTA PERO ESTÁ EN FIRMADAS",IF($H610&lt;&gt;INDEX(firmadas!$F:$F,$T610),"FIRMA DISTINTA EN firmadas ("&amp;IF(INDEX(firmadas!$F:$F,$T610)="","vacía",DAY(INDEX(firmadas!$F:$F,$T610))&amp;"/"&amp;MONTH(INDEX(firmadas!$F:$F,$T610))&amp;"/"&amp;YEAR(INDEX(firmadas!$F:$F,$T610)))&amp;")",IF($G610&lt;&gt;INDEX(firmadas!$E:$E,$T610),"INGRESO DISTINTO EN firmadas ("&amp;IF(INDEX(firmadas!$E:$E,$T610)="","vacía",DAY(INDEX(firmadas!$E:$E,$T610))&amp;"/"&amp;MONTH(INDEX(firmadas!$E:$E,$T610))&amp;"/"&amp;YEAR(INDEX(firmadas!$E:$E,$T610)))&amp;")","OK"))))))))</f>
        <v/>
      </c>
      <c r="T610" t="str">
        <f ca="1">IF($P610="","",IFERROR(MATCH($P610,firmadas!$N:$N,0),IFERROR(MATCH("*/"&amp;MID($P610,FIND(" ",$P610)+1,9)&amp;"*",firmadas!$B:$B,0),0)))</f>
        <v/>
      </c>
    </row>
    <row r="611" spans="14:20" ht="15" customHeight="1" x14ac:dyDescent="0.25">
      <c r="N611" s="53" t="str">
        <f t="shared" ca="1" si="9"/>
        <v/>
      </c>
      <c r="P611" t="str">
        <f ca="1">IF(TRIM(SUBSTITUTE(($C611&amp;" "&amp;$D611),CHAR(160)," "))="","",IFERROR(IF(ISNUMBER(SEARCH("INC",($C611&amp;" "&amp;$D611))),"INC",IF(ISNUMBER(SEARCH("OPI",($C611&amp;" "&amp;$D611))),"OPI",IF(ISNUMBER(SEARCH("DP",($C611&amp;" "&amp;$D611))),"DP","CONC")))&amp;" "&amp;TEXT(LOOKUP(9.99E+307,--MID(SUBSTITUTE(($C611&amp;" "&amp;$D611),CHAR(160)," "),SUMPRODUCT(MIN(FIND({0,1,2,3,4,5,6,7,8,9},SUBSTITUTE(($C611&amp;" "&amp;$D611),CHAR(160)," ")&amp;"0123456789"))),ROW(INDIRECT("1:6")))),"0"),"SIN NUMERO"))</f>
        <v/>
      </c>
      <c r="Q611" t="str">
        <f ca="1">IF($P611="","",IF(LEFT(UPPER($S611),9)="VERIFICAR","VERIFICAR",IF($A611="","SIN ESTADO",IF(AND($A611="Firmada",$H611=""),"FALTA FECHA DE FIRMA",IF(N($T611)=0,IF(AND(ISNUMBER($H611),$H611&gt;=DATE(2024,1,1)),"FALTA EN FIRMADAS","OK"),IF(OR($A611="Pendiente de presentación",$A611="Observado",$A611="En análisis",$A611="En instrucción",$A611="Suspendida",$A611="IT circulando",$A611="Para resolución",$A611="TDC"),"ABIERTA PERO ESTÁ EN FIRMADAS",IF($H611&lt;&gt;INDEX(firmadas!$F:$F,$T611),"FIRMA DISTINTA EN firmadas ("&amp;IF(INDEX(firmadas!$F:$F,$T611)="","vacía",DAY(INDEX(firmadas!$F:$F,$T611))&amp;"/"&amp;MONTH(INDEX(firmadas!$F:$F,$T611))&amp;"/"&amp;YEAR(INDEX(firmadas!$F:$F,$T611)))&amp;")",IF($G611&lt;&gt;INDEX(firmadas!$E:$E,$T611),"INGRESO DISTINTO EN firmadas ("&amp;IF(INDEX(firmadas!$E:$E,$T611)="","vacía",DAY(INDEX(firmadas!$E:$E,$T611))&amp;"/"&amp;MONTH(INDEX(firmadas!$E:$E,$T611))&amp;"/"&amp;YEAR(INDEX(firmadas!$E:$E,$T611)))&amp;")","OK"))))))))</f>
        <v/>
      </c>
      <c r="T611" t="str">
        <f ca="1">IF($P611="","",IFERROR(MATCH($P611,firmadas!$N:$N,0),IFERROR(MATCH("*/"&amp;MID($P611,FIND(" ",$P611)+1,9)&amp;"*",firmadas!$B:$B,0),0)))</f>
        <v/>
      </c>
    </row>
    <row r="612" spans="14:20" ht="15" customHeight="1" x14ac:dyDescent="0.25">
      <c r="N612" s="53" t="str">
        <f t="shared" ca="1" si="9"/>
        <v/>
      </c>
      <c r="P612" t="str">
        <f ca="1">IF(TRIM(SUBSTITUTE(($C612&amp;" "&amp;$D612),CHAR(160)," "))="","",IFERROR(IF(ISNUMBER(SEARCH("INC",($C612&amp;" "&amp;$D612))),"INC",IF(ISNUMBER(SEARCH("OPI",($C612&amp;" "&amp;$D612))),"OPI",IF(ISNUMBER(SEARCH("DP",($C612&amp;" "&amp;$D612))),"DP","CONC")))&amp;" "&amp;TEXT(LOOKUP(9.99E+307,--MID(SUBSTITUTE(($C612&amp;" "&amp;$D612),CHAR(160)," "),SUMPRODUCT(MIN(FIND({0,1,2,3,4,5,6,7,8,9},SUBSTITUTE(($C612&amp;" "&amp;$D612),CHAR(160)," ")&amp;"0123456789"))),ROW(INDIRECT("1:6")))),"0"),"SIN NUMERO"))</f>
        <v/>
      </c>
      <c r="Q612" t="str">
        <f ca="1">IF($P612="","",IF(LEFT(UPPER($S612),9)="VERIFICAR","VERIFICAR",IF($A612="","SIN ESTADO",IF(AND($A612="Firmada",$H612=""),"FALTA FECHA DE FIRMA",IF(N($T612)=0,IF(AND(ISNUMBER($H612),$H612&gt;=DATE(2024,1,1)),"FALTA EN FIRMADAS","OK"),IF(OR($A612="Pendiente de presentación",$A612="Observado",$A612="En análisis",$A612="En instrucción",$A612="Suspendida",$A612="IT circulando",$A612="Para resolución",$A612="TDC"),"ABIERTA PERO ESTÁ EN FIRMADAS",IF($H612&lt;&gt;INDEX(firmadas!$F:$F,$T612),"FIRMA DISTINTA EN firmadas ("&amp;IF(INDEX(firmadas!$F:$F,$T612)="","vacía",DAY(INDEX(firmadas!$F:$F,$T612))&amp;"/"&amp;MONTH(INDEX(firmadas!$F:$F,$T612))&amp;"/"&amp;YEAR(INDEX(firmadas!$F:$F,$T612)))&amp;")",IF($G612&lt;&gt;INDEX(firmadas!$E:$E,$T612),"INGRESO DISTINTO EN firmadas ("&amp;IF(INDEX(firmadas!$E:$E,$T612)="","vacía",DAY(INDEX(firmadas!$E:$E,$T612))&amp;"/"&amp;MONTH(INDEX(firmadas!$E:$E,$T612))&amp;"/"&amp;YEAR(INDEX(firmadas!$E:$E,$T612)))&amp;")","OK"))))))))</f>
        <v/>
      </c>
      <c r="T612" t="str">
        <f ca="1">IF($P612="","",IFERROR(MATCH($P612,firmadas!$N:$N,0),IFERROR(MATCH("*/"&amp;MID($P612,FIND(" ",$P612)+1,9)&amp;"*",firmadas!$B:$B,0),0)))</f>
        <v/>
      </c>
    </row>
    <row r="613" spans="14:20" ht="15" customHeight="1" x14ac:dyDescent="0.25">
      <c r="N613" s="53" t="str">
        <f t="shared" ca="1" si="9"/>
        <v/>
      </c>
      <c r="P613" t="str">
        <f ca="1">IF(TRIM(SUBSTITUTE(($C613&amp;" "&amp;$D613),CHAR(160)," "))="","",IFERROR(IF(ISNUMBER(SEARCH("INC",($C613&amp;" "&amp;$D613))),"INC",IF(ISNUMBER(SEARCH("OPI",($C613&amp;" "&amp;$D613))),"OPI",IF(ISNUMBER(SEARCH("DP",($C613&amp;" "&amp;$D613))),"DP","CONC")))&amp;" "&amp;TEXT(LOOKUP(9.99E+307,--MID(SUBSTITUTE(($C613&amp;" "&amp;$D613),CHAR(160)," "),SUMPRODUCT(MIN(FIND({0,1,2,3,4,5,6,7,8,9},SUBSTITUTE(($C613&amp;" "&amp;$D613),CHAR(160)," ")&amp;"0123456789"))),ROW(INDIRECT("1:6")))),"0"),"SIN NUMERO"))</f>
        <v/>
      </c>
      <c r="Q613" t="str">
        <f ca="1">IF($P613="","",IF(LEFT(UPPER($S613),9)="VERIFICAR","VERIFICAR",IF($A613="","SIN ESTADO",IF(AND($A613="Firmada",$H613=""),"FALTA FECHA DE FIRMA",IF(N($T613)=0,IF(AND(ISNUMBER($H613),$H613&gt;=DATE(2024,1,1)),"FALTA EN FIRMADAS","OK"),IF(OR($A613="Pendiente de presentación",$A613="Observado",$A613="En análisis",$A613="En instrucción",$A613="Suspendida",$A613="IT circulando",$A613="Para resolución",$A613="TDC"),"ABIERTA PERO ESTÁ EN FIRMADAS",IF($H613&lt;&gt;INDEX(firmadas!$F:$F,$T613),"FIRMA DISTINTA EN firmadas ("&amp;IF(INDEX(firmadas!$F:$F,$T613)="","vacía",DAY(INDEX(firmadas!$F:$F,$T613))&amp;"/"&amp;MONTH(INDEX(firmadas!$F:$F,$T613))&amp;"/"&amp;YEAR(INDEX(firmadas!$F:$F,$T613)))&amp;")",IF($G613&lt;&gt;INDEX(firmadas!$E:$E,$T613),"INGRESO DISTINTO EN firmadas ("&amp;IF(INDEX(firmadas!$E:$E,$T613)="","vacía",DAY(INDEX(firmadas!$E:$E,$T613))&amp;"/"&amp;MONTH(INDEX(firmadas!$E:$E,$T613))&amp;"/"&amp;YEAR(INDEX(firmadas!$E:$E,$T613)))&amp;")","OK"))))))))</f>
        <v/>
      </c>
      <c r="T613" t="str">
        <f ca="1">IF($P613="","",IFERROR(MATCH($P613,firmadas!$N:$N,0),IFERROR(MATCH("*/"&amp;MID($P613,FIND(" ",$P613)+1,9)&amp;"*",firmadas!$B:$B,0),0)))</f>
        <v/>
      </c>
    </row>
    <row r="614" spans="14:20" ht="15" customHeight="1" x14ac:dyDescent="0.25">
      <c r="N614" s="53" t="str">
        <f t="shared" ca="1" si="9"/>
        <v/>
      </c>
      <c r="P614" t="str">
        <f ca="1">IF(TRIM(SUBSTITUTE(($C614&amp;" "&amp;$D614),CHAR(160)," "))="","",IFERROR(IF(ISNUMBER(SEARCH("INC",($C614&amp;" "&amp;$D614))),"INC",IF(ISNUMBER(SEARCH("OPI",($C614&amp;" "&amp;$D614))),"OPI",IF(ISNUMBER(SEARCH("DP",($C614&amp;" "&amp;$D614))),"DP","CONC")))&amp;" "&amp;TEXT(LOOKUP(9.99E+307,--MID(SUBSTITUTE(($C614&amp;" "&amp;$D614),CHAR(160)," "),SUMPRODUCT(MIN(FIND({0,1,2,3,4,5,6,7,8,9},SUBSTITUTE(($C614&amp;" "&amp;$D614),CHAR(160)," ")&amp;"0123456789"))),ROW(INDIRECT("1:6")))),"0"),"SIN NUMERO"))</f>
        <v/>
      </c>
      <c r="Q614" t="str">
        <f ca="1">IF($P614="","",IF(LEFT(UPPER($S614),9)="VERIFICAR","VERIFICAR",IF($A614="","SIN ESTADO",IF(AND($A614="Firmada",$H614=""),"FALTA FECHA DE FIRMA",IF(N($T614)=0,IF(AND(ISNUMBER($H614),$H614&gt;=DATE(2024,1,1)),"FALTA EN FIRMADAS","OK"),IF(OR($A614="Pendiente de presentación",$A614="Observado",$A614="En análisis",$A614="En instrucción",$A614="Suspendida",$A614="IT circulando",$A614="Para resolución",$A614="TDC"),"ABIERTA PERO ESTÁ EN FIRMADAS",IF($H614&lt;&gt;INDEX(firmadas!$F:$F,$T614),"FIRMA DISTINTA EN firmadas ("&amp;IF(INDEX(firmadas!$F:$F,$T614)="","vacía",DAY(INDEX(firmadas!$F:$F,$T614))&amp;"/"&amp;MONTH(INDEX(firmadas!$F:$F,$T614))&amp;"/"&amp;YEAR(INDEX(firmadas!$F:$F,$T614)))&amp;")",IF($G614&lt;&gt;INDEX(firmadas!$E:$E,$T614),"INGRESO DISTINTO EN firmadas ("&amp;IF(INDEX(firmadas!$E:$E,$T614)="","vacía",DAY(INDEX(firmadas!$E:$E,$T614))&amp;"/"&amp;MONTH(INDEX(firmadas!$E:$E,$T614))&amp;"/"&amp;YEAR(INDEX(firmadas!$E:$E,$T614)))&amp;")","OK"))))))))</f>
        <v/>
      </c>
      <c r="T614" t="str">
        <f ca="1">IF($P614="","",IFERROR(MATCH($P614,firmadas!$N:$N,0),IFERROR(MATCH("*/"&amp;MID($P614,FIND(" ",$P614)+1,9)&amp;"*",firmadas!$B:$B,0),0)))</f>
        <v/>
      </c>
    </row>
    <row r="615" spans="14:20" ht="15" customHeight="1" x14ac:dyDescent="0.25">
      <c r="N615" s="53" t="str">
        <f t="shared" ca="1" si="9"/>
        <v/>
      </c>
      <c r="P615" t="str">
        <f ca="1">IF(TRIM(SUBSTITUTE(($C615&amp;" "&amp;$D615),CHAR(160)," "))="","",IFERROR(IF(ISNUMBER(SEARCH("INC",($C615&amp;" "&amp;$D615))),"INC",IF(ISNUMBER(SEARCH("OPI",($C615&amp;" "&amp;$D615))),"OPI",IF(ISNUMBER(SEARCH("DP",($C615&amp;" "&amp;$D615))),"DP","CONC")))&amp;" "&amp;TEXT(LOOKUP(9.99E+307,--MID(SUBSTITUTE(($C615&amp;" "&amp;$D615),CHAR(160)," "),SUMPRODUCT(MIN(FIND({0,1,2,3,4,5,6,7,8,9},SUBSTITUTE(($C615&amp;" "&amp;$D615),CHAR(160)," ")&amp;"0123456789"))),ROW(INDIRECT("1:6")))),"0"),"SIN NUMERO"))</f>
        <v/>
      </c>
      <c r="Q615" t="str">
        <f ca="1">IF($P615="","",IF(LEFT(UPPER($S615),9)="VERIFICAR","VERIFICAR",IF($A615="","SIN ESTADO",IF(AND($A615="Firmada",$H615=""),"FALTA FECHA DE FIRMA",IF(N($T615)=0,IF(AND(ISNUMBER($H615),$H615&gt;=DATE(2024,1,1)),"FALTA EN FIRMADAS","OK"),IF(OR($A615="Pendiente de presentación",$A615="Observado",$A615="En análisis",$A615="En instrucción",$A615="Suspendida",$A615="IT circulando",$A615="Para resolución",$A615="TDC"),"ABIERTA PERO ESTÁ EN FIRMADAS",IF($H615&lt;&gt;INDEX(firmadas!$F:$F,$T615),"FIRMA DISTINTA EN firmadas ("&amp;IF(INDEX(firmadas!$F:$F,$T615)="","vacía",DAY(INDEX(firmadas!$F:$F,$T615))&amp;"/"&amp;MONTH(INDEX(firmadas!$F:$F,$T615))&amp;"/"&amp;YEAR(INDEX(firmadas!$F:$F,$T615)))&amp;")",IF($G615&lt;&gt;INDEX(firmadas!$E:$E,$T615),"INGRESO DISTINTO EN firmadas ("&amp;IF(INDEX(firmadas!$E:$E,$T615)="","vacía",DAY(INDEX(firmadas!$E:$E,$T615))&amp;"/"&amp;MONTH(INDEX(firmadas!$E:$E,$T615))&amp;"/"&amp;YEAR(INDEX(firmadas!$E:$E,$T615)))&amp;")","OK"))))))))</f>
        <v/>
      </c>
      <c r="T615" t="str">
        <f ca="1">IF($P615="","",IFERROR(MATCH($P615,firmadas!$N:$N,0),IFERROR(MATCH("*/"&amp;MID($P615,FIND(" ",$P615)+1,9)&amp;"*",firmadas!$B:$B,0),0)))</f>
        <v/>
      </c>
    </row>
    <row r="616" spans="14:20" ht="15" customHeight="1" x14ac:dyDescent="0.25">
      <c r="N616" s="53" t="str">
        <f t="shared" ca="1" si="9"/>
        <v/>
      </c>
      <c r="P616" t="str">
        <f ca="1">IF(TRIM(SUBSTITUTE(($C616&amp;" "&amp;$D616),CHAR(160)," "))="","",IFERROR(IF(ISNUMBER(SEARCH("INC",($C616&amp;" "&amp;$D616))),"INC",IF(ISNUMBER(SEARCH("OPI",($C616&amp;" "&amp;$D616))),"OPI",IF(ISNUMBER(SEARCH("DP",($C616&amp;" "&amp;$D616))),"DP","CONC")))&amp;" "&amp;TEXT(LOOKUP(9.99E+307,--MID(SUBSTITUTE(($C616&amp;" "&amp;$D616),CHAR(160)," "),SUMPRODUCT(MIN(FIND({0,1,2,3,4,5,6,7,8,9},SUBSTITUTE(($C616&amp;" "&amp;$D616),CHAR(160)," ")&amp;"0123456789"))),ROW(INDIRECT("1:6")))),"0"),"SIN NUMERO"))</f>
        <v/>
      </c>
      <c r="Q616" t="str">
        <f ca="1">IF($P616="","",IF(LEFT(UPPER($S616),9)="VERIFICAR","VERIFICAR",IF($A616="","SIN ESTADO",IF(AND($A616="Firmada",$H616=""),"FALTA FECHA DE FIRMA",IF(N($T616)=0,IF(AND(ISNUMBER($H616),$H616&gt;=DATE(2024,1,1)),"FALTA EN FIRMADAS","OK"),IF(OR($A616="Pendiente de presentación",$A616="Observado",$A616="En análisis",$A616="En instrucción",$A616="Suspendida",$A616="IT circulando",$A616="Para resolución",$A616="TDC"),"ABIERTA PERO ESTÁ EN FIRMADAS",IF($H616&lt;&gt;INDEX(firmadas!$F:$F,$T616),"FIRMA DISTINTA EN firmadas ("&amp;IF(INDEX(firmadas!$F:$F,$T616)="","vacía",DAY(INDEX(firmadas!$F:$F,$T616))&amp;"/"&amp;MONTH(INDEX(firmadas!$F:$F,$T616))&amp;"/"&amp;YEAR(INDEX(firmadas!$F:$F,$T616)))&amp;")",IF($G616&lt;&gt;INDEX(firmadas!$E:$E,$T616),"INGRESO DISTINTO EN firmadas ("&amp;IF(INDEX(firmadas!$E:$E,$T616)="","vacía",DAY(INDEX(firmadas!$E:$E,$T616))&amp;"/"&amp;MONTH(INDEX(firmadas!$E:$E,$T616))&amp;"/"&amp;YEAR(INDEX(firmadas!$E:$E,$T616)))&amp;")","OK"))))))))</f>
        <v/>
      </c>
      <c r="T616" t="str">
        <f ca="1">IF($P616="","",IFERROR(MATCH($P616,firmadas!$N:$N,0),IFERROR(MATCH("*/"&amp;MID($P616,FIND(" ",$P616)+1,9)&amp;"*",firmadas!$B:$B,0),0)))</f>
        <v/>
      </c>
    </row>
    <row r="617" spans="14:20" ht="15" customHeight="1" x14ac:dyDescent="0.25">
      <c r="N617" s="53" t="str">
        <f t="shared" ca="1" si="9"/>
        <v/>
      </c>
      <c r="P617" t="str">
        <f ca="1">IF(TRIM(SUBSTITUTE(($C617&amp;" "&amp;$D617),CHAR(160)," "))="","",IFERROR(IF(ISNUMBER(SEARCH("INC",($C617&amp;" "&amp;$D617))),"INC",IF(ISNUMBER(SEARCH("OPI",($C617&amp;" "&amp;$D617))),"OPI",IF(ISNUMBER(SEARCH("DP",($C617&amp;" "&amp;$D617))),"DP","CONC")))&amp;" "&amp;TEXT(LOOKUP(9.99E+307,--MID(SUBSTITUTE(($C617&amp;" "&amp;$D617),CHAR(160)," "),SUMPRODUCT(MIN(FIND({0,1,2,3,4,5,6,7,8,9},SUBSTITUTE(($C617&amp;" "&amp;$D617),CHAR(160)," ")&amp;"0123456789"))),ROW(INDIRECT("1:6")))),"0"),"SIN NUMERO"))</f>
        <v/>
      </c>
      <c r="Q617" t="str">
        <f ca="1">IF($P617="","",IF(LEFT(UPPER($S617),9)="VERIFICAR","VERIFICAR",IF($A617="","SIN ESTADO",IF(AND($A617="Firmada",$H617=""),"FALTA FECHA DE FIRMA",IF(N($T617)=0,IF(AND(ISNUMBER($H617),$H617&gt;=DATE(2024,1,1)),"FALTA EN FIRMADAS","OK"),IF(OR($A617="Pendiente de presentación",$A617="Observado",$A617="En análisis",$A617="En instrucción",$A617="Suspendida",$A617="IT circulando",$A617="Para resolución",$A617="TDC"),"ABIERTA PERO ESTÁ EN FIRMADAS",IF($H617&lt;&gt;INDEX(firmadas!$F:$F,$T617),"FIRMA DISTINTA EN firmadas ("&amp;IF(INDEX(firmadas!$F:$F,$T617)="","vacía",DAY(INDEX(firmadas!$F:$F,$T617))&amp;"/"&amp;MONTH(INDEX(firmadas!$F:$F,$T617))&amp;"/"&amp;YEAR(INDEX(firmadas!$F:$F,$T617)))&amp;")",IF($G617&lt;&gt;INDEX(firmadas!$E:$E,$T617),"INGRESO DISTINTO EN firmadas ("&amp;IF(INDEX(firmadas!$E:$E,$T617)="","vacía",DAY(INDEX(firmadas!$E:$E,$T617))&amp;"/"&amp;MONTH(INDEX(firmadas!$E:$E,$T617))&amp;"/"&amp;YEAR(INDEX(firmadas!$E:$E,$T617)))&amp;")","OK"))))))))</f>
        <v/>
      </c>
      <c r="T617" t="str">
        <f ca="1">IF($P617="","",IFERROR(MATCH($P617,firmadas!$N:$N,0),IFERROR(MATCH("*/"&amp;MID($P617,FIND(" ",$P617)+1,9)&amp;"*",firmadas!$B:$B,0),0)))</f>
        <v/>
      </c>
    </row>
    <row r="618" spans="14:20" ht="15" customHeight="1" x14ac:dyDescent="0.25">
      <c r="N618" s="53" t="str">
        <f t="shared" ca="1" si="9"/>
        <v/>
      </c>
      <c r="P618" t="str">
        <f ca="1">IF(TRIM(SUBSTITUTE(($C618&amp;" "&amp;$D618),CHAR(160)," "))="","",IFERROR(IF(ISNUMBER(SEARCH("INC",($C618&amp;" "&amp;$D618))),"INC",IF(ISNUMBER(SEARCH("OPI",($C618&amp;" "&amp;$D618))),"OPI",IF(ISNUMBER(SEARCH("DP",($C618&amp;" "&amp;$D618))),"DP","CONC")))&amp;" "&amp;TEXT(LOOKUP(9.99E+307,--MID(SUBSTITUTE(($C618&amp;" "&amp;$D618),CHAR(160)," "),SUMPRODUCT(MIN(FIND({0,1,2,3,4,5,6,7,8,9},SUBSTITUTE(($C618&amp;" "&amp;$D618),CHAR(160)," ")&amp;"0123456789"))),ROW(INDIRECT("1:6")))),"0"),"SIN NUMERO"))</f>
        <v/>
      </c>
      <c r="Q618" t="str">
        <f ca="1">IF($P618="","",IF(LEFT(UPPER($S618),9)="VERIFICAR","VERIFICAR",IF($A618="","SIN ESTADO",IF(AND($A618="Firmada",$H618=""),"FALTA FECHA DE FIRMA",IF(N($T618)=0,IF(AND(ISNUMBER($H618),$H618&gt;=DATE(2024,1,1)),"FALTA EN FIRMADAS","OK"),IF(OR($A618="Pendiente de presentación",$A618="Observado",$A618="En análisis",$A618="En instrucción",$A618="Suspendida",$A618="IT circulando",$A618="Para resolución",$A618="TDC"),"ABIERTA PERO ESTÁ EN FIRMADAS",IF($H618&lt;&gt;INDEX(firmadas!$F:$F,$T618),"FIRMA DISTINTA EN firmadas ("&amp;IF(INDEX(firmadas!$F:$F,$T618)="","vacía",DAY(INDEX(firmadas!$F:$F,$T618))&amp;"/"&amp;MONTH(INDEX(firmadas!$F:$F,$T618))&amp;"/"&amp;YEAR(INDEX(firmadas!$F:$F,$T618)))&amp;")",IF($G618&lt;&gt;INDEX(firmadas!$E:$E,$T618),"INGRESO DISTINTO EN firmadas ("&amp;IF(INDEX(firmadas!$E:$E,$T618)="","vacía",DAY(INDEX(firmadas!$E:$E,$T618))&amp;"/"&amp;MONTH(INDEX(firmadas!$E:$E,$T618))&amp;"/"&amp;YEAR(INDEX(firmadas!$E:$E,$T618)))&amp;")","OK"))))))))</f>
        <v/>
      </c>
      <c r="T618" t="str">
        <f ca="1">IF($P618="","",IFERROR(MATCH($P618,firmadas!$N:$N,0),IFERROR(MATCH("*/"&amp;MID($P618,FIND(" ",$P618)+1,9)&amp;"*",firmadas!$B:$B,0),0)))</f>
        <v/>
      </c>
    </row>
    <row r="619" spans="14:20" ht="15" customHeight="1" x14ac:dyDescent="0.25">
      <c r="N619" s="53" t="str">
        <f t="shared" ca="1" si="9"/>
        <v/>
      </c>
      <c r="P619" t="str">
        <f ca="1">IF(TRIM(SUBSTITUTE(($C619&amp;" "&amp;$D619),CHAR(160)," "))="","",IFERROR(IF(ISNUMBER(SEARCH("INC",($C619&amp;" "&amp;$D619))),"INC",IF(ISNUMBER(SEARCH("OPI",($C619&amp;" "&amp;$D619))),"OPI",IF(ISNUMBER(SEARCH("DP",($C619&amp;" "&amp;$D619))),"DP","CONC")))&amp;" "&amp;TEXT(LOOKUP(9.99E+307,--MID(SUBSTITUTE(($C619&amp;" "&amp;$D619),CHAR(160)," "),SUMPRODUCT(MIN(FIND({0,1,2,3,4,5,6,7,8,9},SUBSTITUTE(($C619&amp;" "&amp;$D619),CHAR(160)," ")&amp;"0123456789"))),ROW(INDIRECT("1:6")))),"0"),"SIN NUMERO"))</f>
        <v/>
      </c>
      <c r="Q619" t="str">
        <f ca="1">IF($P619="","",IF(LEFT(UPPER($S619),9)="VERIFICAR","VERIFICAR",IF($A619="","SIN ESTADO",IF(AND($A619="Firmada",$H619=""),"FALTA FECHA DE FIRMA",IF(N($T619)=0,IF(AND(ISNUMBER($H619),$H619&gt;=DATE(2024,1,1)),"FALTA EN FIRMADAS","OK"),IF(OR($A619="Pendiente de presentación",$A619="Observado",$A619="En análisis",$A619="En instrucción",$A619="Suspendida",$A619="IT circulando",$A619="Para resolución",$A619="TDC"),"ABIERTA PERO ESTÁ EN FIRMADAS",IF($H619&lt;&gt;INDEX(firmadas!$F:$F,$T619),"FIRMA DISTINTA EN firmadas ("&amp;IF(INDEX(firmadas!$F:$F,$T619)="","vacía",DAY(INDEX(firmadas!$F:$F,$T619))&amp;"/"&amp;MONTH(INDEX(firmadas!$F:$F,$T619))&amp;"/"&amp;YEAR(INDEX(firmadas!$F:$F,$T619)))&amp;")",IF($G619&lt;&gt;INDEX(firmadas!$E:$E,$T619),"INGRESO DISTINTO EN firmadas ("&amp;IF(INDEX(firmadas!$E:$E,$T619)="","vacía",DAY(INDEX(firmadas!$E:$E,$T619))&amp;"/"&amp;MONTH(INDEX(firmadas!$E:$E,$T619))&amp;"/"&amp;YEAR(INDEX(firmadas!$E:$E,$T619)))&amp;")","OK"))))))))</f>
        <v/>
      </c>
      <c r="T619" t="str">
        <f ca="1">IF($P619="","",IFERROR(MATCH($P619,firmadas!$N:$N,0),IFERROR(MATCH("*/"&amp;MID($P619,FIND(" ",$P619)+1,9)&amp;"*",firmadas!$B:$B,0),0)))</f>
        <v/>
      </c>
    </row>
    <row r="620" spans="14:20" ht="15" customHeight="1" x14ac:dyDescent="0.25">
      <c r="N620" s="53" t="str">
        <f t="shared" ca="1" si="9"/>
        <v/>
      </c>
      <c r="P620" t="str">
        <f ca="1">IF(TRIM(SUBSTITUTE(($C620&amp;" "&amp;$D620),CHAR(160)," "))="","",IFERROR(IF(ISNUMBER(SEARCH("INC",($C620&amp;" "&amp;$D620))),"INC",IF(ISNUMBER(SEARCH("OPI",($C620&amp;" "&amp;$D620))),"OPI",IF(ISNUMBER(SEARCH("DP",($C620&amp;" "&amp;$D620))),"DP","CONC")))&amp;" "&amp;TEXT(LOOKUP(9.99E+307,--MID(SUBSTITUTE(($C620&amp;" "&amp;$D620),CHAR(160)," "),SUMPRODUCT(MIN(FIND({0,1,2,3,4,5,6,7,8,9},SUBSTITUTE(($C620&amp;" "&amp;$D620),CHAR(160)," ")&amp;"0123456789"))),ROW(INDIRECT("1:6")))),"0"),"SIN NUMERO"))</f>
        <v/>
      </c>
      <c r="Q620" t="str">
        <f ca="1">IF($P620="","",IF(LEFT(UPPER($S620),9)="VERIFICAR","VERIFICAR",IF($A620="","SIN ESTADO",IF(AND($A620="Firmada",$H620=""),"FALTA FECHA DE FIRMA",IF(N($T620)=0,IF(AND(ISNUMBER($H620),$H620&gt;=DATE(2024,1,1)),"FALTA EN FIRMADAS","OK"),IF(OR($A620="Pendiente de presentación",$A620="Observado",$A620="En análisis",$A620="En instrucción",$A620="Suspendida",$A620="IT circulando",$A620="Para resolución",$A620="TDC"),"ABIERTA PERO ESTÁ EN FIRMADAS",IF($H620&lt;&gt;INDEX(firmadas!$F:$F,$T620),"FIRMA DISTINTA EN firmadas ("&amp;IF(INDEX(firmadas!$F:$F,$T620)="","vacía",DAY(INDEX(firmadas!$F:$F,$T620))&amp;"/"&amp;MONTH(INDEX(firmadas!$F:$F,$T620))&amp;"/"&amp;YEAR(INDEX(firmadas!$F:$F,$T620)))&amp;")",IF($G620&lt;&gt;INDEX(firmadas!$E:$E,$T620),"INGRESO DISTINTO EN firmadas ("&amp;IF(INDEX(firmadas!$E:$E,$T620)="","vacía",DAY(INDEX(firmadas!$E:$E,$T620))&amp;"/"&amp;MONTH(INDEX(firmadas!$E:$E,$T620))&amp;"/"&amp;YEAR(INDEX(firmadas!$E:$E,$T620)))&amp;")","OK"))))))))</f>
        <v/>
      </c>
      <c r="T620" t="str">
        <f ca="1">IF($P620="","",IFERROR(MATCH($P620,firmadas!$N:$N,0),IFERROR(MATCH("*/"&amp;MID($P620,FIND(" ",$P620)+1,9)&amp;"*",firmadas!$B:$B,0),0)))</f>
        <v/>
      </c>
    </row>
    <row r="621" spans="14:20" ht="15" customHeight="1" x14ac:dyDescent="0.25">
      <c r="N621" s="53" t="str">
        <f t="shared" ca="1" si="9"/>
        <v/>
      </c>
      <c r="P621" t="str">
        <f ca="1">IF(TRIM(SUBSTITUTE(($C621&amp;" "&amp;$D621),CHAR(160)," "))="","",IFERROR(IF(ISNUMBER(SEARCH("INC",($C621&amp;" "&amp;$D621))),"INC",IF(ISNUMBER(SEARCH("OPI",($C621&amp;" "&amp;$D621))),"OPI",IF(ISNUMBER(SEARCH("DP",($C621&amp;" "&amp;$D621))),"DP","CONC")))&amp;" "&amp;TEXT(LOOKUP(9.99E+307,--MID(SUBSTITUTE(($C621&amp;" "&amp;$D621),CHAR(160)," "),SUMPRODUCT(MIN(FIND({0,1,2,3,4,5,6,7,8,9},SUBSTITUTE(($C621&amp;" "&amp;$D621),CHAR(160)," ")&amp;"0123456789"))),ROW(INDIRECT("1:6")))),"0"),"SIN NUMERO"))</f>
        <v/>
      </c>
      <c r="Q621" t="str">
        <f ca="1">IF($P621="","",IF(LEFT(UPPER($S621),9)="VERIFICAR","VERIFICAR",IF($A621="","SIN ESTADO",IF(AND($A621="Firmada",$H621=""),"FALTA FECHA DE FIRMA",IF(N($T621)=0,IF(AND(ISNUMBER($H621),$H621&gt;=DATE(2024,1,1)),"FALTA EN FIRMADAS","OK"),IF(OR($A621="Pendiente de presentación",$A621="Observado",$A621="En análisis",$A621="En instrucción",$A621="Suspendida",$A621="IT circulando",$A621="Para resolución",$A621="TDC"),"ABIERTA PERO ESTÁ EN FIRMADAS",IF($H621&lt;&gt;INDEX(firmadas!$F:$F,$T621),"FIRMA DISTINTA EN firmadas ("&amp;IF(INDEX(firmadas!$F:$F,$T621)="","vacía",DAY(INDEX(firmadas!$F:$F,$T621))&amp;"/"&amp;MONTH(INDEX(firmadas!$F:$F,$T621))&amp;"/"&amp;YEAR(INDEX(firmadas!$F:$F,$T621)))&amp;")",IF($G621&lt;&gt;INDEX(firmadas!$E:$E,$T621),"INGRESO DISTINTO EN firmadas ("&amp;IF(INDEX(firmadas!$E:$E,$T621)="","vacía",DAY(INDEX(firmadas!$E:$E,$T621))&amp;"/"&amp;MONTH(INDEX(firmadas!$E:$E,$T621))&amp;"/"&amp;YEAR(INDEX(firmadas!$E:$E,$T621)))&amp;")","OK"))))))))</f>
        <v/>
      </c>
      <c r="T621" t="str">
        <f ca="1">IF($P621="","",IFERROR(MATCH($P621,firmadas!$N:$N,0),IFERROR(MATCH("*/"&amp;MID($P621,FIND(" ",$P621)+1,9)&amp;"*",firmadas!$B:$B,0),0)))</f>
        <v/>
      </c>
    </row>
    <row r="622" spans="14:20" ht="15" customHeight="1" x14ac:dyDescent="0.25">
      <c r="N622" s="53" t="str">
        <f t="shared" ca="1" si="9"/>
        <v/>
      </c>
      <c r="P622" t="str">
        <f ca="1">IF(TRIM(SUBSTITUTE(($C622&amp;" "&amp;$D622),CHAR(160)," "))="","",IFERROR(IF(ISNUMBER(SEARCH("INC",($C622&amp;" "&amp;$D622))),"INC",IF(ISNUMBER(SEARCH("OPI",($C622&amp;" "&amp;$D622))),"OPI",IF(ISNUMBER(SEARCH("DP",($C622&amp;" "&amp;$D622))),"DP","CONC")))&amp;" "&amp;TEXT(LOOKUP(9.99E+307,--MID(SUBSTITUTE(($C622&amp;" "&amp;$D622),CHAR(160)," "),SUMPRODUCT(MIN(FIND({0,1,2,3,4,5,6,7,8,9},SUBSTITUTE(($C622&amp;" "&amp;$D622),CHAR(160)," ")&amp;"0123456789"))),ROW(INDIRECT("1:6")))),"0"),"SIN NUMERO"))</f>
        <v/>
      </c>
      <c r="Q622" t="str">
        <f ca="1">IF($P622="","",IF(LEFT(UPPER($S622),9)="VERIFICAR","VERIFICAR",IF($A622="","SIN ESTADO",IF(AND($A622="Firmada",$H622=""),"FALTA FECHA DE FIRMA",IF(N($T622)=0,IF(AND(ISNUMBER($H622),$H622&gt;=DATE(2024,1,1)),"FALTA EN FIRMADAS","OK"),IF(OR($A622="Pendiente de presentación",$A622="Observado",$A622="En análisis",$A622="En instrucción",$A622="Suspendida",$A622="IT circulando",$A622="Para resolución",$A622="TDC"),"ABIERTA PERO ESTÁ EN FIRMADAS",IF($H622&lt;&gt;INDEX(firmadas!$F:$F,$T622),"FIRMA DISTINTA EN firmadas ("&amp;IF(INDEX(firmadas!$F:$F,$T622)="","vacía",DAY(INDEX(firmadas!$F:$F,$T622))&amp;"/"&amp;MONTH(INDEX(firmadas!$F:$F,$T622))&amp;"/"&amp;YEAR(INDEX(firmadas!$F:$F,$T622)))&amp;")",IF($G622&lt;&gt;INDEX(firmadas!$E:$E,$T622),"INGRESO DISTINTO EN firmadas ("&amp;IF(INDEX(firmadas!$E:$E,$T622)="","vacía",DAY(INDEX(firmadas!$E:$E,$T622))&amp;"/"&amp;MONTH(INDEX(firmadas!$E:$E,$T622))&amp;"/"&amp;YEAR(INDEX(firmadas!$E:$E,$T622)))&amp;")","OK"))))))))</f>
        <v/>
      </c>
      <c r="T622" t="str">
        <f ca="1">IF($P622="","",IFERROR(MATCH($P622,firmadas!$N:$N,0),IFERROR(MATCH("*/"&amp;MID($P622,FIND(" ",$P622)+1,9)&amp;"*",firmadas!$B:$B,0),0)))</f>
        <v/>
      </c>
    </row>
    <row r="623" spans="14:20" ht="15" customHeight="1" x14ac:dyDescent="0.25">
      <c r="N623" s="53" t="str">
        <f t="shared" ca="1" si="9"/>
        <v/>
      </c>
      <c r="P623" t="str">
        <f ca="1">IF(TRIM(SUBSTITUTE(($C623&amp;" "&amp;$D623),CHAR(160)," "))="","",IFERROR(IF(ISNUMBER(SEARCH("INC",($C623&amp;" "&amp;$D623))),"INC",IF(ISNUMBER(SEARCH("OPI",($C623&amp;" "&amp;$D623))),"OPI",IF(ISNUMBER(SEARCH("DP",($C623&amp;" "&amp;$D623))),"DP","CONC")))&amp;" "&amp;TEXT(LOOKUP(9.99E+307,--MID(SUBSTITUTE(($C623&amp;" "&amp;$D623),CHAR(160)," "),SUMPRODUCT(MIN(FIND({0,1,2,3,4,5,6,7,8,9},SUBSTITUTE(($C623&amp;" "&amp;$D623),CHAR(160)," ")&amp;"0123456789"))),ROW(INDIRECT("1:6")))),"0"),"SIN NUMERO"))</f>
        <v/>
      </c>
      <c r="Q623" t="str">
        <f ca="1">IF($P623="","",IF(LEFT(UPPER($S623),9)="VERIFICAR","VERIFICAR",IF($A623="","SIN ESTADO",IF(AND($A623="Firmada",$H623=""),"FALTA FECHA DE FIRMA",IF(N($T623)=0,IF(AND(ISNUMBER($H623),$H623&gt;=DATE(2024,1,1)),"FALTA EN FIRMADAS","OK"),IF(OR($A623="Pendiente de presentación",$A623="Observado",$A623="En análisis",$A623="En instrucción",$A623="Suspendida",$A623="IT circulando",$A623="Para resolución",$A623="TDC"),"ABIERTA PERO ESTÁ EN FIRMADAS",IF($H623&lt;&gt;INDEX(firmadas!$F:$F,$T623),"FIRMA DISTINTA EN firmadas ("&amp;IF(INDEX(firmadas!$F:$F,$T623)="","vacía",DAY(INDEX(firmadas!$F:$F,$T623))&amp;"/"&amp;MONTH(INDEX(firmadas!$F:$F,$T623))&amp;"/"&amp;YEAR(INDEX(firmadas!$F:$F,$T623)))&amp;")",IF($G623&lt;&gt;INDEX(firmadas!$E:$E,$T623),"INGRESO DISTINTO EN firmadas ("&amp;IF(INDEX(firmadas!$E:$E,$T623)="","vacía",DAY(INDEX(firmadas!$E:$E,$T623))&amp;"/"&amp;MONTH(INDEX(firmadas!$E:$E,$T623))&amp;"/"&amp;YEAR(INDEX(firmadas!$E:$E,$T623)))&amp;")","OK"))))))))</f>
        <v/>
      </c>
      <c r="T623" t="str">
        <f ca="1">IF($P623="","",IFERROR(MATCH($P623,firmadas!$N:$N,0),IFERROR(MATCH("*/"&amp;MID($P623,FIND(" ",$P623)+1,9)&amp;"*",firmadas!$B:$B,0),0)))</f>
        <v/>
      </c>
    </row>
    <row r="624" spans="14:20" ht="15" customHeight="1" x14ac:dyDescent="0.25">
      <c r="N624" s="53" t="str">
        <f t="shared" ca="1" si="9"/>
        <v/>
      </c>
      <c r="P624" t="str">
        <f ca="1">IF(TRIM(SUBSTITUTE(($C624&amp;" "&amp;$D624),CHAR(160)," "))="","",IFERROR(IF(ISNUMBER(SEARCH("INC",($C624&amp;" "&amp;$D624))),"INC",IF(ISNUMBER(SEARCH("OPI",($C624&amp;" "&amp;$D624))),"OPI",IF(ISNUMBER(SEARCH("DP",($C624&amp;" "&amp;$D624))),"DP","CONC")))&amp;" "&amp;TEXT(LOOKUP(9.99E+307,--MID(SUBSTITUTE(($C624&amp;" "&amp;$D624),CHAR(160)," "),SUMPRODUCT(MIN(FIND({0,1,2,3,4,5,6,7,8,9},SUBSTITUTE(($C624&amp;" "&amp;$D624),CHAR(160)," ")&amp;"0123456789"))),ROW(INDIRECT("1:6")))),"0"),"SIN NUMERO"))</f>
        <v/>
      </c>
      <c r="Q624" t="str">
        <f ca="1">IF($P624="","",IF(LEFT(UPPER($S624),9)="VERIFICAR","VERIFICAR",IF($A624="","SIN ESTADO",IF(AND($A624="Firmada",$H624=""),"FALTA FECHA DE FIRMA",IF(N($T624)=0,IF(AND(ISNUMBER($H624),$H624&gt;=DATE(2024,1,1)),"FALTA EN FIRMADAS","OK"),IF(OR($A624="Pendiente de presentación",$A624="Observado",$A624="En análisis",$A624="En instrucción",$A624="Suspendida",$A624="IT circulando",$A624="Para resolución",$A624="TDC"),"ABIERTA PERO ESTÁ EN FIRMADAS",IF($H624&lt;&gt;INDEX(firmadas!$F:$F,$T624),"FIRMA DISTINTA EN firmadas ("&amp;IF(INDEX(firmadas!$F:$F,$T624)="","vacía",DAY(INDEX(firmadas!$F:$F,$T624))&amp;"/"&amp;MONTH(INDEX(firmadas!$F:$F,$T624))&amp;"/"&amp;YEAR(INDEX(firmadas!$F:$F,$T624)))&amp;")",IF($G624&lt;&gt;INDEX(firmadas!$E:$E,$T624),"INGRESO DISTINTO EN firmadas ("&amp;IF(INDEX(firmadas!$E:$E,$T624)="","vacía",DAY(INDEX(firmadas!$E:$E,$T624))&amp;"/"&amp;MONTH(INDEX(firmadas!$E:$E,$T624))&amp;"/"&amp;YEAR(INDEX(firmadas!$E:$E,$T624)))&amp;")","OK"))))))))</f>
        <v/>
      </c>
      <c r="T624" t="str">
        <f ca="1">IF($P624="","",IFERROR(MATCH($P624,firmadas!$N:$N,0),IFERROR(MATCH("*/"&amp;MID($P624,FIND(" ",$P624)+1,9)&amp;"*",firmadas!$B:$B,0),0)))</f>
        <v/>
      </c>
    </row>
    <row r="625" spans="14:20" ht="15" customHeight="1" x14ac:dyDescent="0.25">
      <c r="N625" s="53" t="str">
        <f t="shared" ca="1" si="9"/>
        <v/>
      </c>
      <c r="P625" t="str">
        <f ca="1">IF(TRIM(SUBSTITUTE(($C625&amp;" "&amp;$D625),CHAR(160)," "))="","",IFERROR(IF(ISNUMBER(SEARCH("INC",($C625&amp;" "&amp;$D625))),"INC",IF(ISNUMBER(SEARCH("OPI",($C625&amp;" "&amp;$D625))),"OPI",IF(ISNUMBER(SEARCH("DP",($C625&amp;" "&amp;$D625))),"DP","CONC")))&amp;" "&amp;TEXT(LOOKUP(9.99E+307,--MID(SUBSTITUTE(($C625&amp;" "&amp;$D625),CHAR(160)," "),SUMPRODUCT(MIN(FIND({0,1,2,3,4,5,6,7,8,9},SUBSTITUTE(($C625&amp;" "&amp;$D625),CHAR(160)," ")&amp;"0123456789"))),ROW(INDIRECT("1:6")))),"0"),"SIN NUMERO"))</f>
        <v/>
      </c>
      <c r="Q625" t="str">
        <f ca="1">IF($P625="","",IF(LEFT(UPPER($S625),9)="VERIFICAR","VERIFICAR",IF($A625="","SIN ESTADO",IF(AND($A625="Firmada",$H625=""),"FALTA FECHA DE FIRMA",IF(N($T625)=0,IF(AND(ISNUMBER($H625),$H625&gt;=DATE(2024,1,1)),"FALTA EN FIRMADAS","OK"),IF(OR($A625="Pendiente de presentación",$A625="Observado",$A625="En análisis",$A625="En instrucción",$A625="Suspendida",$A625="IT circulando",$A625="Para resolución",$A625="TDC"),"ABIERTA PERO ESTÁ EN FIRMADAS",IF($H625&lt;&gt;INDEX(firmadas!$F:$F,$T625),"FIRMA DISTINTA EN firmadas ("&amp;IF(INDEX(firmadas!$F:$F,$T625)="","vacía",DAY(INDEX(firmadas!$F:$F,$T625))&amp;"/"&amp;MONTH(INDEX(firmadas!$F:$F,$T625))&amp;"/"&amp;YEAR(INDEX(firmadas!$F:$F,$T625)))&amp;")",IF($G625&lt;&gt;INDEX(firmadas!$E:$E,$T625),"INGRESO DISTINTO EN firmadas ("&amp;IF(INDEX(firmadas!$E:$E,$T625)="","vacía",DAY(INDEX(firmadas!$E:$E,$T625))&amp;"/"&amp;MONTH(INDEX(firmadas!$E:$E,$T625))&amp;"/"&amp;YEAR(INDEX(firmadas!$E:$E,$T625)))&amp;")","OK"))))))))</f>
        <v/>
      </c>
      <c r="T625" t="str">
        <f ca="1">IF($P625="","",IFERROR(MATCH($P625,firmadas!$N:$N,0),IFERROR(MATCH("*/"&amp;MID($P625,FIND(" ",$P625)+1,9)&amp;"*",firmadas!$B:$B,0),0)))</f>
        <v/>
      </c>
    </row>
    <row r="626" spans="14:20" ht="15" customHeight="1" x14ac:dyDescent="0.25">
      <c r="N626" s="53" t="str">
        <f t="shared" ca="1" si="9"/>
        <v/>
      </c>
      <c r="P626" t="str">
        <f ca="1">IF(TRIM(SUBSTITUTE(($C626&amp;" "&amp;$D626),CHAR(160)," "))="","",IFERROR(IF(ISNUMBER(SEARCH("INC",($C626&amp;" "&amp;$D626))),"INC",IF(ISNUMBER(SEARCH("OPI",($C626&amp;" "&amp;$D626))),"OPI",IF(ISNUMBER(SEARCH("DP",($C626&amp;" "&amp;$D626))),"DP","CONC")))&amp;" "&amp;TEXT(LOOKUP(9.99E+307,--MID(SUBSTITUTE(($C626&amp;" "&amp;$D626),CHAR(160)," "),SUMPRODUCT(MIN(FIND({0,1,2,3,4,5,6,7,8,9},SUBSTITUTE(($C626&amp;" "&amp;$D626),CHAR(160)," ")&amp;"0123456789"))),ROW(INDIRECT("1:6")))),"0"),"SIN NUMERO"))</f>
        <v/>
      </c>
      <c r="Q626" t="str">
        <f ca="1">IF($P626="","",IF(LEFT(UPPER($S626),9)="VERIFICAR","VERIFICAR",IF($A626="","SIN ESTADO",IF(AND($A626="Firmada",$H626=""),"FALTA FECHA DE FIRMA",IF(N($T626)=0,IF(AND(ISNUMBER($H626),$H626&gt;=DATE(2024,1,1)),"FALTA EN FIRMADAS","OK"),IF(OR($A626="Pendiente de presentación",$A626="Observado",$A626="En análisis",$A626="En instrucción",$A626="Suspendida",$A626="IT circulando",$A626="Para resolución",$A626="TDC"),"ABIERTA PERO ESTÁ EN FIRMADAS",IF($H626&lt;&gt;INDEX(firmadas!$F:$F,$T626),"FIRMA DISTINTA EN firmadas ("&amp;IF(INDEX(firmadas!$F:$F,$T626)="","vacía",DAY(INDEX(firmadas!$F:$F,$T626))&amp;"/"&amp;MONTH(INDEX(firmadas!$F:$F,$T626))&amp;"/"&amp;YEAR(INDEX(firmadas!$F:$F,$T626)))&amp;")",IF($G626&lt;&gt;INDEX(firmadas!$E:$E,$T626),"INGRESO DISTINTO EN firmadas ("&amp;IF(INDEX(firmadas!$E:$E,$T626)="","vacía",DAY(INDEX(firmadas!$E:$E,$T626))&amp;"/"&amp;MONTH(INDEX(firmadas!$E:$E,$T626))&amp;"/"&amp;YEAR(INDEX(firmadas!$E:$E,$T626)))&amp;")","OK"))))))))</f>
        <v/>
      </c>
      <c r="T626" t="str">
        <f ca="1">IF($P626="","",IFERROR(MATCH($P626,firmadas!$N:$N,0),IFERROR(MATCH("*/"&amp;MID($P626,FIND(" ",$P626)+1,9)&amp;"*",firmadas!$B:$B,0),0)))</f>
        <v/>
      </c>
    </row>
    <row r="627" spans="14:20" ht="15" customHeight="1" x14ac:dyDescent="0.25">
      <c r="N627" s="53" t="str">
        <f t="shared" ca="1" si="9"/>
        <v/>
      </c>
      <c r="P627" t="str">
        <f ca="1">IF(TRIM(SUBSTITUTE(($C627&amp;" "&amp;$D627),CHAR(160)," "))="","",IFERROR(IF(ISNUMBER(SEARCH("INC",($C627&amp;" "&amp;$D627))),"INC",IF(ISNUMBER(SEARCH("OPI",($C627&amp;" "&amp;$D627))),"OPI",IF(ISNUMBER(SEARCH("DP",($C627&amp;" "&amp;$D627))),"DP","CONC")))&amp;" "&amp;TEXT(LOOKUP(9.99E+307,--MID(SUBSTITUTE(($C627&amp;" "&amp;$D627),CHAR(160)," "),SUMPRODUCT(MIN(FIND({0,1,2,3,4,5,6,7,8,9},SUBSTITUTE(($C627&amp;" "&amp;$D627),CHAR(160)," ")&amp;"0123456789"))),ROW(INDIRECT("1:6")))),"0"),"SIN NUMERO"))</f>
        <v/>
      </c>
      <c r="Q627" t="str">
        <f ca="1">IF($P627="","",IF(LEFT(UPPER($S627),9)="VERIFICAR","VERIFICAR",IF($A627="","SIN ESTADO",IF(AND($A627="Firmada",$H627=""),"FALTA FECHA DE FIRMA",IF(N($T627)=0,IF(AND(ISNUMBER($H627),$H627&gt;=DATE(2024,1,1)),"FALTA EN FIRMADAS","OK"),IF(OR($A627="Pendiente de presentación",$A627="Observado",$A627="En análisis",$A627="En instrucción",$A627="Suspendida",$A627="IT circulando",$A627="Para resolución",$A627="TDC"),"ABIERTA PERO ESTÁ EN FIRMADAS",IF($H627&lt;&gt;INDEX(firmadas!$F:$F,$T627),"FIRMA DISTINTA EN firmadas ("&amp;IF(INDEX(firmadas!$F:$F,$T627)="","vacía",DAY(INDEX(firmadas!$F:$F,$T627))&amp;"/"&amp;MONTH(INDEX(firmadas!$F:$F,$T627))&amp;"/"&amp;YEAR(INDEX(firmadas!$F:$F,$T627)))&amp;")",IF($G627&lt;&gt;INDEX(firmadas!$E:$E,$T627),"INGRESO DISTINTO EN firmadas ("&amp;IF(INDEX(firmadas!$E:$E,$T627)="","vacía",DAY(INDEX(firmadas!$E:$E,$T627))&amp;"/"&amp;MONTH(INDEX(firmadas!$E:$E,$T627))&amp;"/"&amp;YEAR(INDEX(firmadas!$E:$E,$T627)))&amp;")","OK"))))))))</f>
        <v/>
      </c>
      <c r="T627" t="str">
        <f ca="1">IF($P627="","",IFERROR(MATCH($P627,firmadas!$N:$N,0),IFERROR(MATCH("*/"&amp;MID($P627,FIND(" ",$P627)+1,9)&amp;"*",firmadas!$B:$B,0),0)))</f>
        <v/>
      </c>
    </row>
    <row r="628" spans="14:20" ht="15" customHeight="1" x14ac:dyDescent="0.25">
      <c r="N628" s="53" t="str">
        <f t="shared" ca="1" si="9"/>
        <v/>
      </c>
      <c r="P628" t="str">
        <f ca="1">IF(TRIM(SUBSTITUTE(($C628&amp;" "&amp;$D628),CHAR(160)," "))="","",IFERROR(IF(ISNUMBER(SEARCH("INC",($C628&amp;" "&amp;$D628))),"INC",IF(ISNUMBER(SEARCH("OPI",($C628&amp;" "&amp;$D628))),"OPI",IF(ISNUMBER(SEARCH("DP",($C628&amp;" "&amp;$D628))),"DP","CONC")))&amp;" "&amp;TEXT(LOOKUP(9.99E+307,--MID(SUBSTITUTE(($C628&amp;" "&amp;$D628),CHAR(160)," "),SUMPRODUCT(MIN(FIND({0,1,2,3,4,5,6,7,8,9},SUBSTITUTE(($C628&amp;" "&amp;$D628),CHAR(160)," ")&amp;"0123456789"))),ROW(INDIRECT("1:6")))),"0"),"SIN NUMERO"))</f>
        <v/>
      </c>
      <c r="Q628" t="str">
        <f ca="1">IF($P628="","",IF(LEFT(UPPER($S628),9)="VERIFICAR","VERIFICAR",IF($A628="","SIN ESTADO",IF(AND($A628="Firmada",$H628=""),"FALTA FECHA DE FIRMA",IF(N($T628)=0,IF(AND(ISNUMBER($H628),$H628&gt;=DATE(2024,1,1)),"FALTA EN FIRMADAS","OK"),IF(OR($A628="Pendiente de presentación",$A628="Observado",$A628="En análisis",$A628="En instrucción",$A628="Suspendida",$A628="IT circulando",$A628="Para resolución",$A628="TDC"),"ABIERTA PERO ESTÁ EN FIRMADAS",IF($H628&lt;&gt;INDEX(firmadas!$F:$F,$T628),"FIRMA DISTINTA EN firmadas ("&amp;IF(INDEX(firmadas!$F:$F,$T628)="","vacía",DAY(INDEX(firmadas!$F:$F,$T628))&amp;"/"&amp;MONTH(INDEX(firmadas!$F:$F,$T628))&amp;"/"&amp;YEAR(INDEX(firmadas!$F:$F,$T628)))&amp;")",IF($G628&lt;&gt;INDEX(firmadas!$E:$E,$T628),"INGRESO DISTINTO EN firmadas ("&amp;IF(INDEX(firmadas!$E:$E,$T628)="","vacía",DAY(INDEX(firmadas!$E:$E,$T628))&amp;"/"&amp;MONTH(INDEX(firmadas!$E:$E,$T628))&amp;"/"&amp;YEAR(INDEX(firmadas!$E:$E,$T628)))&amp;")","OK"))))))))</f>
        <v/>
      </c>
      <c r="T628" t="str">
        <f ca="1">IF($P628="","",IFERROR(MATCH($P628,firmadas!$N:$N,0),IFERROR(MATCH("*/"&amp;MID($P628,FIND(" ",$P628)+1,9)&amp;"*",firmadas!$B:$B,0),0)))</f>
        <v/>
      </c>
    </row>
    <row r="629" spans="14:20" ht="15" customHeight="1" x14ac:dyDescent="0.25">
      <c r="N629" s="53" t="str">
        <f t="shared" ca="1" si="9"/>
        <v/>
      </c>
      <c r="P629" t="str">
        <f ca="1">IF(TRIM(SUBSTITUTE(($C629&amp;" "&amp;$D629),CHAR(160)," "))="","",IFERROR(IF(ISNUMBER(SEARCH("INC",($C629&amp;" "&amp;$D629))),"INC",IF(ISNUMBER(SEARCH("OPI",($C629&amp;" "&amp;$D629))),"OPI",IF(ISNUMBER(SEARCH("DP",($C629&amp;" "&amp;$D629))),"DP","CONC")))&amp;" "&amp;TEXT(LOOKUP(9.99E+307,--MID(SUBSTITUTE(($C629&amp;" "&amp;$D629),CHAR(160)," "),SUMPRODUCT(MIN(FIND({0,1,2,3,4,5,6,7,8,9},SUBSTITUTE(($C629&amp;" "&amp;$D629),CHAR(160)," ")&amp;"0123456789"))),ROW(INDIRECT("1:6")))),"0"),"SIN NUMERO"))</f>
        <v/>
      </c>
      <c r="Q629" t="str">
        <f ca="1">IF($P629="","",IF(LEFT(UPPER($S629),9)="VERIFICAR","VERIFICAR",IF($A629="","SIN ESTADO",IF(AND($A629="Firmada",$H629=""),"FALTA FECHA DE FIRMA",IF(N($T629)=0,IF(AND(ISNUMBER($H629),$H629&gt;=DATE(2024,1,1)),"FALTA EN FIRMADAS","OK"),IF(OR($A629="Pendiente de presentación",$A629="Observado",$A629="En análisis",$A629="En instrucción",$A629="Suspendida",$A629="IT circulando",$A629="Para resolución",$A629="TDC"),"ABIERTA PERO ESTÁ EN FIRMADAS",IF($H629&lt;&gt;INDEX(firmadas!$F:$F,$T629),"FIRMA DISTINTA EN firmadas ("&amp;IF(INDEX(firmadas!$F:$F,$T629)="","vacía",DAY(INDEX(firmadas!$F:$F,$T629))&amp;"/"&amp;MONTH(INDEX(firmadas!$F:$F,$T629))&amp;"/"&amp;YEAR(INDEX(firmadas!$F:$F,$T629)))&amp;")",IF($G629&lt;&gt;INDEX(firmadas!$E:$E,$T629),"INGRESO DISTINTO EN firmadas ("&amp;IF(INDEX(firmadas!$E:$E,$T629)="","vacía",DAY(INDEX(firmadas!$E:$E,$T629))&amp;"/"&amp;MONTH(INDEX(firmadas!$E:$E,$T629))&amp;"/"&amp;YEAR(INDEX(firmadas!$E:$E,$T629)))&amp;")","OK"))))))))</f>
        <v/>
      </c>
      <c r="T629" t="str">
        <f ca="1">IF($P629="","",IFERROR(MATCH($P629,firmadas!$N:$N,0),IFERROR(MATCH("*/"&amp;MID($P629,FIND(" ",$P629)+1,9)&amp;"*",firmadas!$B:$B,0),0)))</f>
        <v/>
      </c>
    </row>
    <row r="630" spans="14:20" ht="15" customHeight="1" x14ac:dyDescent="0.25">
      <c r="N630" s="53" t="str">
        <f t="shared" ca="1" si="9"/>
        <v/>
      </c>
      <c r="P630" t="str">
        <f ca="1">IF(TRIM(SUBSTITUTE(($C630&amp;" "&amp;$D630),CHAR(160)," "))="","",IFERROR(IF(ISNUMBER(SEARCH("INC",($C630&amp;" "&amp;$D630))),"INC",IF(ISNUMBER(SEARCH("OPI",($C630&amp;" "&amp;$D630))),"OPI",IF(ISNUMBER(SEARCH("DP",($C630&amp;" "&amp;$D630))),"DP","CONC")))&amp;" "&amp;TEXT(LOOKUP(9.99E+307,--MID(SUBSTITUTE(($C630&amp;" "&amp;$D630),CHAR(160)," "),SUMPRODUCT(MIN(FIND({0,1,2,3,4,5,6,7,8,9},SUBSTITUTE(($C630&amp;" "&amp;$D630),CHAR(160)," ")&amp;"0123456789"))),ROW(INDIRECT("1:6")))),"0"),"SIN NUMERO"))</f>
        <v/>
      </c>
      <c r="Q630" t="str">
        <f ca="1">IF($P630="","",IF(LEFT(UPPER($S630),9)="VERIFICAR","VERIFICAR",IF($A630="","SIN ESTADO",IF(AND($A630="Firmada",$H630=""),"FALTA FECHA DE FIRMA",IF(N($T630)=0,IF(AND(ISNUMBER($H630),$H630&gt;=DATE(2024,1,1)),"FALTA EN FIRMADAS","OK"),IF(OR($A630="Pendiente de presentación",$A630="Observado",$A630="En análisis",$A630="En instrucción",$A630="Suspendida",$A630="IT circulando",$A630="Para resolución",$A630="TDC"),"ABIERTA PERO ESTÁ EN FIRMADAS",IF($H630&lt;&gt;INDEX(firmadas!$F:$F,$T630),"FIRMA DISTINTA EN firmadas ("&amp;IF(INDEX(firmadas!$F:$F,$T630)="","vacía",DAY(INDEX(firmadas!$F:$F,$T630))&amp;"/"&amp;MONTH(INDEX(firmadas!$F:$F,$T630))&amp;"/"&amp;YEAR(INDEX(firmadas!$F:$F,$T630)))&amp;")",IF($G630&lt;&gt;INDEX(firmadas!$E:$E,$T630),"INGRESO DISTINTO EN firmadas ("&amp;IF(INDEX(firmadas!$E:$E,$T630)="","vacía",DAY(INDEX(firmadas!$E:$E,$T630))&amp;"/"&amp;MONTH(INDEX(firmadas!$E:$E,$T630))&amp;"/"&amp;YEAR(INDEX(firmadas!$E:$E,$T630)))&amp;")","OK"))))))))</f>
        <v/>
      </c>
      <c r="T630" t="str">
        <f ca="1">IF($P630="","",IFERROR(MATCH($P630,firmadas!$N:$N,0),IFERROR(MATCH("*/"&amp;MID($P630,FIND(" ",$P630)+1,9)&amp;"*",firmadas!$B:$B,0),0)))</f>
        <v/>
      </c>
    </row>
    <row r="631" spans="14:20" ht="15" customHeight="1" x14ac:dyDescent="0.25">
      <c r="N631" s="53" t="str">
        <f t="shared" ca="1" si="9"/>
        <v/>
      </c>
      <c r="P631" t="str">
        <f ca="1">IF(TRIM(SUBSTITUTE(($C631&amp;" "&amp;$D631),CHAR(160)," "))="","",IFERROR(IF(ISNUMBER(SEARCH("INC",($C631&amp;" "&amp;$D631))),"INC",IF(ISNUMBER(SEARCH("OPI",($C631&amp;" "&amp;$D631))),"OPI",IF(ISNUMBER(SEARCH("DP",($C631&amp;" "&amp;$D631))),"DP","CONC")))&amp;" "&amp;TEXT(LOOKUP(9.99E+307,--MID(SUBSTITUTE(($C631&amp;" "&amp;$D631),CHAR(160)," "),SUMPRODUCT(MIN(FIND({0,1,2,3,4,5,6,7,8,9},SUBSTITUTE(($C631&amp;" "&amp;$D631),CHAR(160)," ")&amp;"0123456789"))),ROW(INDIRECT("1:6")))),"0"),"SIN NUMERO"))</f>
        <v/>
      </c>
      <c r="Q631" t="str">
        <f ca="1">IF($P631="","",IF(LEFT(UPPER($S631),9)="VERIFICAR","VERIFICAR",IF($A631="","SIN ESTADO",IF(AND($A631="Firmada",$H631=""),"FALTA FECHA DE FIRMA",IF(N($T631)=0,IF(AND(ISNUMBER($H631),$H631&gt;=DATE(2024,1,1)),"FALTA EN FIRMADAS","OK"),IF(OR($A631="Pendiente de presentación",$A631="Observado",$A631="En análisis",$A631="En instrucción",$A631="Suspendida",$A631="IT circulando",$A631="Para resolución",$A631="TDC"),"ABIERTA PERO ESTÁ EN FIRMADAS",IF($H631&lt;&gt;INDEX(firmadas!$F:$F,$T631),"FIRMA DISTINTA EN firmadas ("&amp;IF(INDEX(firmadas!$F:$F,$T631)="","vacía",DAY(INDEX(firmadas!$F:$F,$T631))&amp;"/"&amp;MONTH(INDEX(firmadas!$F:$F,$T631))&amp;"/"&amp;YEAR(INDEX(firmadas!$F:$F,$T631)))&amp;")",IF($G631&lt;&gt;INDEX(firmadas!$E:$E,$T631),"INGRESO DISTINTO EN firmadas ("&amp;IF(INDEX(firmadas!$E:$E,$T631)="","vacía",DAY(INDEX(firmadas!$E:$E,$T631))&amp;"/"&amp;MONTH(INDEX(firmadas!$E:$E,$T631))&amp;"/"&amp;YEAR(INDEX(firmadas!$E:$E,$T631)))&amp;")","OK"))))))))</f>
        <v/>
      </c>
      <c r="T631" t="str">
        <f ca="1">IF($P631="","",IFERROR(MATCH($P631,firmadas!$N:$N,0),IFERROR(MATCH("*/"&amp;MID($P631,FIND(" ",$P631)+1,9)&amp;"*",firmadas!$B:$B,0),0)))</f>
        <v/>
      </c>
    </row>
    <row r="632" spans="14:20" ht="15" customHeight="1" x14ac:dyDescent="0.25">
      <c r="N632" s="53" t="str">
        <f t="shared" ca="1" si="9"/>
        <v/>
      </c>
      <c r="P632" t="str">
        <f ca="1">IF(TRIM(SUBSTITUTE(($C632&amp;" "&amp;$D632),CHAR(160)," "))="","",IFERROR(IF(ISNUMBER(SEARCH("INC",($C632&amp;" "&amp;$D632))),"INC",IF(ISNUMBER(SEARCH("OPI",($C632&amp;" "&amp;$D632))),"OPI",IF(ISNUMBER(SEARCH("DP",($C632&amp;" "&amp;$D632))),"DP","CONC")))&amp;" "&amp;TEXT(LOOKUP(9.99E+307,--MID(SUBSTITUTE(($C632&amp;" "&amp;$D632),CHAR(160)," "),SUMPRODUCT(MIN(FIND({0,1,2,3,4,5,6,7,8,9},SUBSTITUTE(($C632&amp;" "&amp;$D632),CHAR(160)," ")&amp;"0123456789"))),ROW(INDIRECT("1:6")))),"0"),"SIN NUMERO"))</f>
        <v/>
      </c>
      <c r="Q632" t="str">
        <f ca="1">IF($P632="","",IF(LEFT(UPPER($S632),9)="VERIFICAR","VERIFICAR",IF($A632="","SIN ESTADO",IF(AND($A632="Firmada",$H632=""),"FALTA FECHA DE FIRMA",IF(N($T632)=0,IF(AND(ISNUMBER($H632),$H632&gt;=DATE(2024,1,1)),"FALTA EN FIRMADAS","OK"),IF(OR($A632="Pendiente de presentación",$A632="Observado",$A632="En análisis",$A632="En instrucción",$A632="Suspendida",$A632="IT circulando",$A632="Para resolución",$A632="TDC"),"ABIERTA PERO ESTÁ EN FIRMADAS",IF($H632&lt;&gt;INDEX(firmadas!$F:$F,$T632),"FIRMA DISTINTA EN firmadas ("&amp;IF(INDEX(firmadas!$F:$F,$T632)="","vacía",DAY(INDEX(firmadas!$F:$F,$T632))&amp;"/"&amp;MONTH(INDEX(firmadas!$F:$F,$T632))&amp;"/"&amp;YEAR(INDEX(firmadas!$F:$F,$T632)))&amp;")",IF($G632&lt;&gt;INDEX(firmadas!$E:$E,$T632),"INGRESO DISTINTO EN firmadas ("&amp;IF(INDEX(firmadas!$E:$E,$T632)="","vacía",DAY(INDEX(firmadas!$E:$E,$T632))&amp;"/"&amp;MONTH(INDEX(firmadas!$E:$E,$T632))&amp;"/"&amp;YEAR(INDEX(firmadas!$E:$E,$T632)))&amp;")","OK"))))))))</f>
        <v/>
      </c>
      <c r="T632" t="str">
        <f ca="1">IF($P632="","",IFERROR(MATCH($P632,firmadas!$N:$N,0),IFERROR(MATCH("*/"&amp;MID($P632,FIND(" ",$P632)+1,9)&amp;"*",firmadas!$B:$B,0),0)))</f>
        <v/>
      </c>
    </row>
    <row r="633" spans="14:20" ht="15" customHeight="1" x14ac:dyDescent="0.25">
      <c r="N633" s="53" t="str">
        <f t="shared" ca="1" si="9"/>
        <v/>
      </c>
      <c r="P633" t="str">
        <f ca="1">IF(TRIM(SUBSTITUTE(($C633&amp;" "&amp;$D633),CHAR(160)," "))="","",IFERROR(IF(ISNUMBER(SEARCH("INC",($C633&amp;" "&amp;$D633))),"INC",IF(ISNUMBER(SEARCH("OPI",($C633&amp;" "&amp;$D633))),"OPI",IF(ISNUMBER(SEARCH("DP",($C633&amp;" "&amp;$D633))),"DP","CONC")))&amp;" "&amp;TEXT(LOOKUP(9.99E+307,--MID(SUBSTITUTE(($C633&amp;" "&amp;$D633),CHAR(160)," "),SUMPRODUCT(MIN(FIND({0,1,2,3,4,5,6,7,8,9},SUBSTITUTE(($C633&amp;" "&amp;$D633),CHAR(160)," ")&amp;"0123456789"))),ROW(INDIRECT("1:6")))),"0"),"SIN NUMERO"))</f>
        <v/>
      </c>
      <c r="Q633" t="str">
        <f ca="1">IF($P633="","",IF(LEFT(UPPER($S633),9)="VERIFICAR","VERIFICAR",IF($A633="","SIN ESTADO",IF(AND($A633="Firmada",$H633=""),"FALTA FECHA DE FIRMA",IF(N($T633)=0,IF(AND(ISNUMBER($H633),$H633&gt;=DATE(2024,1,1)),"FALTA EN FIRMADAS","OK"),IF(OR($A633="Pendiente de presentación",$A633="Observado",$A633="En análisis",$A633="En instrucción",$A633="Suspendida",$A633="IT circulando",$A633="Para resolución",$A633="TDC"),"ABIERTA PERO ESTÁ EN FIRMADAS",IF($H633&lt;&gt;INDEX(firmadas!$F:$F,$T633),"FIRMA DISTINTA EN firmadas ("&amp;IF(INDEX(firmadas!$F:$F,$T633)="","vacía",DAY(INDEX(firmadas!$F:$F,$T633))&amp;"/"&amp;MONTH(INDEX(firmadas!$F:$F,$T633))&amp;"/"&amp;YEAR(INDEX(firmadas!$F:$F,$T633)))&amp;")",IF($G633&lt;&gt;INDEX(firmadas!$E:$E,$T633),"INGRESO DISTINTO EN firmadas ("&amp;IF(INDEX(firmadas!$E:$E,$T633)="","vacía",DAY(INDEX(firmadas!$E:$E,$T633))&amp;"/"&amp;MONTH(INDEX(firmadas!$E:$E,$T633))&amp;"/"&amp;YEAR(INDEX(firmadas!$E:$E,$T633)))&amp;")","OK"))))))))</f>
        <v/>
      </c>
      <c r="T633" t="str">
        <f ca="1">IF($P633="","",IFERROR(MATCH($P633,firmadas!$N:$N,0),IFERROR(MATCH("*/"&amp;MID($P633,FIND(" ",$P633)+1,9)&amp;"*",firmadas!$B:$B,0),0)))</f>
        <v/>
      </c>
    </row>
    <row r="634" spans="14:20" ht="15" customHeight="1" x14ac:dyDescent="0.25">
      <c r="N634" s="53" t="str">
        <f t="shared" ca="1" si="9"/>
        <v/>
      </c>
      <c r="P634" t="str">
        <f ca="1">IF(TRIM(SUBSTITUTE(($C634&amp;" "&amp;$D634),CHAR(160)," "))="","",IFERROR(IF(ISNUMBER(SEARCH("INC",($C634&amp;" "&amp;$D634))),"INC",IF(ISNUMBER(SEARCH("OPI",($C634&amp;" "&amp;$D634))),"OPI",IF(ISNUMBER(SEARCH("DP",($C634&amp;" "&amp;$D634))),"DP","CONC")))&amp;" "&amp;TEXT(LOOKUP(9.99E+307,--MID(SUBSTITUTE(($C634&amp;" "&amp;$D634),CHAR(160)," "),SUMPRODUCT(MIN(FIND({0,1,2,3,4,5,6,7,8,9},SUBSTITUTE(($C634&amp;" "&amp;$D634),CHAR(160)," ")&amp;"0123456789"))),ROW(INDIRECT("1:6")))),"0"),"SIN NUMERO"))</f>
        <v/>
      </c>
      <c r="Q634" t="str">
        <f ca="1">IF($P634="","",IF(LEFT(UPPER($S634),9)="VERIFICAR","VERIFICAR",IF($A634="","SIN ESTADO",IF(AND($A634="Firmada",$H634=""),"FALTA FECHA DE FIRMA",IF(N($T634)=0,IF(AND(ISNUMBER($H634),$H634&gt;=DATE(2024,1,1)),"FALTA EN FIRMADAS","OK"),IF(OR($A634="Pendiente de presentación",$A634="Observado",$A634="En análisis",$A634="En instrucción",$A634="Suspendida",$A634="IT circulando",$A634="Para resolución",$A634="TDC"),"ABIERTA PERO ESTÁ EN FIRMADAS",IF($H634&lt;&gt;INDEX(firmadas!$F:$F,$T634),"FIRMA DISTINTA EN firmadas ("&amp;IF(INDEX(firmadas!$F:$F,$T634)="","vacía",DAY(INDEX(firmadas!$F:$F,$T634))&amp;"/"&amp;MONTH(INDEX(firmadas!$F:$F,$T634))&amp;"/"&amp;YEAR(INDEX(firmadas!$F:$F,$T634)))&amp;")",IF($G634&lt;&gt;INDEX(firmadas!$E:$E,$T634),"INGRESO DISTINTO EN firmadas ("&amp;IF(INDEX(firmadas!$E:$E,$T634)="","vacía",DAY(INDEX(firmadas!$E:$E,$T634))&amp;"/"&amp;MONTH(INDEX(firmadas!$E:$E,$T634))&amp;"/"&amp;YEAR(INDEX(firmadas!$E:$E,$T634)))&amp;")","OK"))))))))</f>
        <v/>
      </c>
      <c r="T634" t="str">
        <f ca="1">IF($P634="","",IFERROR(MATCH($P634,firmadas!$N:$N,0),IFERROR(MATCH("*/"&amp;MID($P634,FIND(" ",$P634)+1,9)&amp;"*",firmadas!$B:$B,0),0)))</f>
        <v/>
      </c>
    </row>
    <row r="635" spans="14:20" ht="15" customHeight="1" x14ac:dyDescent="0.25">
      <c r="N635" s="53" t="str">
        <f t="shared" ca="1" si="9"/>
        <v/>
      </c>
      <c r="P635" t="str">
        <f ca="1">IF(TRIM(SUBSTITUTE(($C635&amp;" "&amp;$D635),CHAR(160)," "))="","",IFERROR(IF(ISNUMBER(SEARCH("INC",($C635&amp;" "&amp;$D635))),"INC",IF(ISNUMBER(SEARCH("OPI",($C635&amp;" "&amp;$D635))),"OPI",IF(ISNUMBER(SEARCH("DP",($C635&amp;" "&amp;$D635))),"DP","CONC")))&amp;" "&amp;TEXT(LOOKUP(9.99E+307,--MID(SUBSTITUTE(($C635&amp;" "&amp;$D635),CHAR(160)," "),SUMPRODUCT(MIN(FIND({0,1,2,3,4,5,6,7,8,9},SUBSTITUTE(($C635&amp;" "&amp;$D635),CHAR(160)," ")&amp;"0123456789"))),ROW(INDIRECT("1:6")))),"0"),"SIN NUMERO"))</f>
        <v/>
      </c>
      <c r="Q635" t="str">
        <f ca="1">IF($P635="","",IF(LEFT(UPPER($S635),9)="VERIFICAR","VERIFICAR",IF($A635="","SIN ESTADO",IF(AND($A635="Firmada",$H635=""),"FALTA FECHA DE FIRMA",IF(N($T635)=0,IF(AND(ISNUMBER($H635),$H635&gt;=DATE(2024,1,1)),"FALTA EN FIRMADAS","OK"),IF(OR($A635="Pendiente de presentación",$A635="Observado",$A635="En análisis",$A635="En instrucción",$A635="Suspendida",$A635="IT circulando",$A635="Para resolución",$A635="TDC"),"ABIERTA PERO ESTÁ EN FIRMADAS",IF($H635&lt;&gt;INDEX(firmadas!$F:$F,$T635),"FIRMA DISTINTA EN firmadas ("&amp;IF(INDEX(firmadas!$F:$F,$T635)="","vacía",DAY(INDEX(firmadas!$F:$F,$T635))&amp;"/"&amp;MONTH(INDEX(firmadas!$F:$F,$T635))&amp;"/"&amp;YEAR(INDEX(firmadas!$F:$F,$T635)))&amp;")",IF($G635&lt;&gt;INDEX(firmadas!$E:$E,$T635),"INGRESO DISTINTO EN firmadas ("&amp;IF(INDEX(firmadas!$E:$E,$T635)="","vacía",DAY(INDEX(firmadas!$E:$E,$T635))&amp;"/"&amp;MONTH(INDEX(firmadas!$E:$E,$T635))&amp;"/"&amp;YEAR(INDEX(firmadas!$E:$E,$T635)))&amp;")","OK"))))))))</f>
        <v/>
      </c>
      <c r="T635" t="str">
        <f ca="1">IF($P635="","",IFERROR(MATCH($P635,firmadas!$N:$N,0),IFERROR(MATCH("*/"&amp;MID($P635,FIND(" ",$P635)+1,9)&amp;"*",firmadas!$B:$B,0),0)))</f>
        <v/>
      </c>
    </row>
    <row r="636" spans="14:20" ht="15" customHeight="1" x14ac:dyDescent="0.25">
      <c r="N636" s="53" t="str">
        <f t="shared" ca="1" si="9"/>
        <v/>
      </c>
      <c r="P636" t="str">
        <f ca="1">IF(TRIM(SUBSTITUTE(($C636&amp;" "&amp;$D636),CHAR(160)," "))="","",IFERROR(IF(ISNUMBER(SEARCH("INC",($C636&amp;" "&amp;$D636))),"INC",IF(ISNUMBER(SEARCH("OPI",($C636&amp;" "&amp;$D636))),"OPI",IF(ISNUMBER(SEARCH("DP",($C636&amp;" "&amp;$D636))),"DP","CONC")))&amp;" "&amp;TEXT(LOOKUP(9.99E+307,--MID(SUBSTITUTE(($C636&amp;" "&amp;$D636),CHAR(160)," "),SUMPRODUCT(MIN(FIND({0,1,2,3,4,5,6,7,8,9},SUBSTITUTE(($C636&amp;" "&amp;$D636),CHAR(160)," ")&amp;"0123456789"))),ROW(INDIRECT("1:6")))),"0"),"SIN NUMERO"))</f>
        <v/>
      </c>
      <c r="Q636" t="str">
        <f ca="1">IF($P636="","",IF(LEFT(UPPER($S636),9)="VERIFICAR","VERIFICAR",IF($A636="","SIN ESTADO",IF(AND($A636="Firmada",$H636=""),"FALTA FECHA DE FIRMA",IF(N($T636)=0,IF(AND(ISNUMBER($H636),$H636&gt;=DATE(2024,1,1)),"FALTA EN FIRMADAS","OK"),IF(OR($A636="Pendiente de presentación",$A636="Observado",$A636="En análisis",$A636="En instrucción",$A636="Suspendida",$A636="IT circulando",$A636="Para resolución",$A636="TDC"),"ABIERTA PERO ESTÁ EN FIRMADAS",IF($H636&lt;&gt;INDEX(firmadas!$F:$F,$T636),"FIRMA DISTINTA EN firmadas ("&amp;IF(INDEX(firmadas!$F:$F,$T636)="","vacía",DAY(INDEX(firmadas!$F:$F,$T636))&amp;"/"&amp;MONTH(INDEX(firmadas!$F:$F,$T636))&amp;"/"&amp;YEAR(INDEX(firmadas!$F:$F,$T636)))&amp;")",IF($G636&lt;&gt;INDEX(firmadas!$E:$E,$T636),"INGRESO DISTINTO EN firmadas ("&amp;IF(INDEX(firmadas!$E:$E,$T636)="","vacía",DAY(INDEX(firmadas!$E:$E,$T636))&amp;"/"&amp;MONTH(INDEX(firmadas!$E:$E,$T636))&amp;"/"&amp;YEAR(INDEX(firmadas!$E:$E,$T636)))&amp;")","OK"))))))))</f>
        <v/>
      </c>
      <c r="T636" t="str">
        <f ca="1">IF($P636="","",IFERROR(MATCH($P636,firmadas!$N:$N,0),IFERROR(MATCH("*/"&amp;MID($P636,FIND(" ",$P636)+1,9)&amp;"*",firmadas!$B:$B,0),0)))</f>
        <v/>
      </c>
    </row>
    <row r="637" spans="14:20" ht="15" customHeight="1" x14ac:dyDescent="0.25">
      <c r="N637" s="53" t="str">
        <f t="shared" ca="1" si="9"/>
        <v/>
      </c>
      <c r="P637" t="str">
        <f ca="1">IF(TRIM(SUBSTITUTE(($C637&amp;" "&amp;$D637),CHAR(160)," "))="","",IFERROR(IF(ISNUMBER(SEARCH("INC",($C637&amp;" "&amp;$D637))),"INC",IF(ISNUMBER(SEARCH("OPI",($C637&amp;" "&amp;$D637))),"OPI",IF(ISNUMBER(SEARCH("DP",($C637&amp;" "&amp;$D637))),"DP","CONC")))&amp;" "&amp;TEXT(LOOKUP(9.99E+307,--MID(SUBSTITUTE(($C637&amp;" "&amp;$D637),CHAR(160)," "),SUMPRODUCT(MIN(FIND({0,1,2,3,4,5,6,7,8,9},SUBSTITUTE(($C637&amp;" "&amp;$D637),CHAR(160)," ")&amp;"0123456789"))),ROW(INDIRECT("1:6")))),"0"),"SIN NUMERO"))</f>
        <v/>
      </c>
      <c r="Q637" t="str">
        <f ca="1">IF($P637="","",IF(LEFT(UPPER($S637),9)="VERIFICAR","VERIFICAR",IF($A637="","SIN ESTADO",IF(AND($A637="Firmada",$H637=""),"FALTA FECHA DE FIRMA",IF(N($T637)=0,IF(AND(ISNUMBER($H637),$H637&gt;=DATE(2024,1,1)),"FALTA EN FIRMADAS","OK"),IF(OR($A637="Pendiente de presentación",$A637="Observado",$A637="En análisis",$A637="En instrucción",$A637="Suspendida",$A637="IT circulando",$A637="Para resolución",$A637="TDC"),"ABIERTA PERO ESTÁ EN FIRMADAS",IF($H637&lt;&gt;INDEX(firmadas!$F:$F,$T637),"FIRMA DISTINTA EN firmadas ("&amp;IF(INDEX(firmadas!$F:$F,$T637)="","vacía",DAY(INDEX(firmadas!$F:$F,$T637))&amp;"/"&amp;MONTH(INDEX(firmadas!$F:$F,$T637))&amp;"/"&amp;YEAR(INDEX(firmadas!$F:$F,$T637)))&amp;")",IF($G637&lt;&gt;INDEX(firmadas!$E:$E,$T637),"INGRESO DISTINTO EN firmadas ("&amp;IF(INDEX(firmadas!$E:$E,$T637)="","vacía",DAY(INDEX(firmadas!$E:$E,$T637))&amp;"/"&amp;MONTH(INDEX(firmadas!$E:$E,$T637))&amp;"/"&amp;YEAR(INDEX(firmadas!$E:$E,$T637)))&amp;")","OK"))))))))</f>
        <v/>
      </c>
      <c r="T637" t="str">
        <f ca="1">IF($P637="","",IFERROR(MATCH($P637,firmadas!$N:$N,0),IFERROR(MATCH("*/"&amp;MID($P637,FIND(" ",$P637)+1,9)&amp;"*",firmadas!$B:$B,0),0)))</f>
        <v/>
      </c>
    </row>
    <row r="638" spans="14:20" ht="15" customHeight="1" x14ac:dyDescent="0.25">
      <c r="N638" s="53" t="str">
        <f t="shared" ca="1" si="9"/>
        <v/>
      </c>
      <c r="P638" t="str">
        <f ca="1">IF(TRIM(SUBSTITUTE(($C638&amp;" "&amp;$D638),CHAR(160)," "))="","",IFERROR(IF(ISNUMBER(SEARCH("INC",($C638&amp;" "&amp;$D638))),"INC",IF(ISNUMBER(SEARCH("OPI",($C638&amp;" "&amp;$D638))),"OPI",IF(ISNUMBER(SEARCH("DP",($C638&amp;" "&amp;$D638))),"DP","CONC")))&amp;" "&amp;TEXT(LOOKUP(9.99E+307,--MID(SUBSTITUTE(($C638&amp;" "&amp;$D638),CHAR(160)," "),SUMPRODUCT(MIN(FIND({0,1,2,3,4,5,6,7,8,9},SUBSTITUTE(($C638&amp;" "&amp;$D638),CHAR(160)," ")&amp;"0123456789"))),ROW(INDIRECT("1:6")))),"0"),"SIN NUMERO"))</f>
        <v/>
      </c>
      <c r="Q638" t="str">
        <f ca="1">IF($P638="","",IF(LEFT(UPPER($S638),9)="VERIFICAR","VERIFICAR",IF($A638="","SIN ESTADO",IF(AND($A638="Firmada",$H638=""),"FALTA FECHA DE FIRMA",IF(N($T638)=0,IF(AND(ISNUMBER($H638),$H638&gt;=DATE(2024,1,1)),"FALTA EN FIRMADAS","OK"),IF(OR($A638="Pendiente de presentación",$A638="Observado",$A638="En análisis",$A638="En instrucción",$A638="Suspendida",$A638="IT circulando",$A638="Para resolución",$A638="TDC"),"ABIERTA PERO ESTÁ EN FIRMADAS",IF($H638&lt;&gt;INDEX(firmadas!$F:$F,$T638),"FIRMA DISTINTA EN firmadas ("&amp;IF(INDEX(firmadas!$F:$F,$T638)="","vacía",DAY(INDEX(firmadas!$F:$F,$T638))&amp;"/"&amp;MONTH(INDEX(firmadas!$F:$F,$T638))&amp;"/"&amp;YEAR(INDEX(firmadas!$F:$F,$T638)))&amp;")",IF($G638&lt;&gt;INDEX(firmadas!$E:$E,$T638),"INGRESO DISTINTO EN firmadas ("&amp;IF(INDEX(firmadas!$E:$E,$T638)="","vacía",DAY(INDEX(firmadas!$E:$E,$T638))&amp;"/"&amp;MONTH(INDEX(firmadas!$E:$E,$T638))&amp;"/"&amp;YEAR(INDEX(firmadas!$E:$E,$T638)))&amp;")","OK"))))))))</f>
        <v/>
      </c>
      <c r="T638" t="str">
        <f ca="1">IF($P638="","",IFERROR(MATCH($P638,firmadas!$N:$N,0),IFERROR(MATCH("*/"&amp;MID($P638,FIND(" ",$P638)+1,9)&amp;"*",firmadas!$B:$B,0),0)))</f>
        <v/>
      </c>
    </row>
    <row r="639" spans="14:20" ht="15" customHeight="1" x14ac:dyDescent="0.25">
      <c r="N639" s="53" t="str">
        <f t="shared" ca="1" si="9"/>
        <v/>
      </c>
      <c r="P639" t="str">
        <f ca="1">IF(TRIM(SUBSTITUTE(($C639&amp;" "&amp;$D639),CHAR(160)," "))="","",IFERROR(IF(ISNUMBER(SEARCH("INC",($C639&amp;" "&amp;$D639))),"INC",IF(ISNUMBER(SEARCH("OPI",($C639&amp;" "&amp;$D639))),"OPI",IF(ISNUMBER(SEARCH("DP",($C639&amp;" "&amp;$D639))),"DP","CONC")))&amp;" "&amp;TEXT(LOOKUP(9.99E+307,--MID(SUBSTITUTE(($C639&amp;" "&amp;$D639),CHAR(160)," "),SUMPRODUCT(MIN(FIND({0,1,2,3,4,5,6,7,8,9},SUBSTITUTE(($C639&amp;" "&amp;$D639),CHAR(160)," ")&amp;"0123456789"))),ROW(INDIRECT("1:6")))),"0"),"SIN NUMERO"))</f>
        <v/>
      </c>
      <c r="Q639" t="str">
        <f ca="1">IF($P639="","",IF(LEFT(UPPER($S639),9)="VERIFICAR","VERIFICAR",IF($A639="","SIN ESTADO",IF(AND($A639="Firmada",$H639=""),"FALTA FECHA DE FIRMA",IF(N($T639)=0,IF(AND(ISNUMBER($H639),$H639&gt;=DATE(2024,1,1)),"FALTA EN FIRMADAS","OK"),IF(OR($A639="Pendiente de presentación",$A639="Observado",$A639="En análisis",$A639="En instrucción",$A639="Suspendida",$A639="IT circulando",$A639="Para resolución",$A639="TDC"),"ABIERTA PERO ESTÁ EN FIRMADAS",IF($H639&lt;&gt;INDEX(firmadas!$F:$F,$T639),"FIRMA DISTINTA EN firmadas ("&amp;IF(INDEX(firmadas!$F:$F,$T639)="","vacía",DAY(INDEX(firmadas!$F:$F,$T639))&amp;"/"&amp;MONTH(INDEX(firmadas!$F:$F,$T639))&amp;"/"&amp;YEAR(INDEX(firmadas!$F:$F,$T639)))&amp;")",IF($G639&lt;&gt;INDEX(firmadas!$E:$E,$T639),"INGRESO DISTINTO EN firmadas ("&amp;IF(INDEX(firmadas!$E:$E,$T639)="","vacía",DAY(INDEX(firmadas!$E:$E,$T639))&amp;"/"&amp;MONTH(INDEX(firmadas!$E:$E,$T639))&amp;"/"&amp;YEAR(INDEX(firmadas!$E:$E,$T639)))&amp;")","OK"))))))))</f>
        <v/>
      </c>
      <c r="T639" t="str">
        <f ca="1">IF($P639="","",IFERROR(MATCH($P639,firmadas!$N:$N,0),IFERROR(MATCH("*/"&amp;MID($P639,FIND(" ",$P639)+1,9)&amp;"*",firmadas!$B:$B,0),0)))</f>
        <v/>
      </c>
    </row>
    <row r="640" spans="14:20" ht="15" customHeight="1" x14ac:dyDescent="0.25">
      <c r="N640" s="53" t="str">
        <f t="shared" ca="1" si="9"/>
        <v/>
      </c>
      <c r="P640" t="str">
        <f ca="1">IF(TRIM(SUBSTITUTE(($C640&amp;" "&amp;$D640),CHAR(160)," "))="","",IFERROR(IF(ISNUMBER(SEARCH("INC",($C640&amp;" "&amp;$D640))),"INC",IF(ISNUMBER(SEARCH("OPI",($C640&amp;" "&amp;$D640))),"OPI",IF(ISNUMBER(SEARCH("DP",($C640&amp;" "&amp;$D640))),"DP","CONC")))&amp;" "&amp;TEXT(LOOKUP(9.99E+307,--MID(SUBSTITUTE(($C640&amp;" "&amp;$D640),CHAR(160)," "),SUMPRODUCT(MIN(FIND({0,1,2,3,4,5,6,7,8,9},SUBSTITUTE(($C640&amp;" "&amp;$D640),CHAR(160)," ")&amp;"0123456789"))),ROW(INDIRECT("1:6")))),"0"),"SIN NUMERO"))</f>
        <v/>
      </c>
      <c r="Q640" t="str">
        <f ca="1">IF($P640="","",IF(LEFT(UPPER($S640),9)="VERIFICAR","VERIFICAR",IF($A640="","SIN ESTADO",IF(AND($A640="Firmada",$H640=""),"FALTA FECHA DE FIRMA",IF(N($T640)=0,IF(AND(ISNUMBER($H640),$H640&gt;=DATE(2024,1,1)),"FALTA EN FIRMADAS","OK"),IF(OR($A640="Pendiente de presentación",$A640="Observado",$A640="En análisis",$A640="En instrucción",$A640="Suspendida",$A640="IT circulando",$A640="Para resolución",$A640="TDC"),"ABIERTA PERO ESTÁ EN FIRMADAS",IF($H640&lt;&gt;INDEX(firmadas!$F:$F,$T640),"FIRMA DISTINTA EN firmadas ("&amp;IF(INDEX(firmadas!$F:$F,$T640)="","vacía",DAY(INDEX(firmadas!$F:$F,$T640))&amp;"/"&amp;MONTH(INDEX(firmadas!$F:$F,$T640))&amp;"/"&amp;YEAR(INDEX(firmadas!$F:$F,$T640)))&amp;")",IF($G640&lt;&gt;INDEX(firmadas!$E:$E,$T640),"INGRESO DISTINTO EN firmadas ("&amp;IF(INDEX(firmadas!$E:$E,$T640)="","vacía",DAY(INDEX(firmadas!$E:$E,$T640))&amp;"/"&amp;MONTH(INDEX(firmadas!$E:$E,$T640))&amp;"/"&amp;YEAR(INDEX(firmadas!$E:$E,$T640)))&amp;")","OK"))))))))</f>
        <v/>
      </c>
      <c r="T640" t="str">
        <f ca="1">IF($P640="","",IFERROR(MATCH($P640,firmadas!$N:$N,0),IFERROR(MATCH("*/"&amp;MID($P640,FIND(" ",$P640)+1,9)&amp;"*",firmadas!$B:$B,0),0)))</f>
        <v/>
      </c>
    </row>
    <row r="641" spans="14:20" ht="15" customHeight="1" x14ac:dyDescent="0.25">
      <c r="N641" s="53" t="str">
        <f t="shared" ca="1" si="9"/>
        <v/>
      </c>
      <c r="P641" t="str">
        <f ca="1">IF(TRIM(SUBSTITUTE(($C641&amp;" "&amp;$D641),CHAR(160)," "))="","",IFERROR(IF(ISNUMBER(SEARCH("INC",($C641&amp;" "&amp;$D641))),"INC",IF(ISNUMBER(SEARCH("OPI",($C641&amp;" "&amp;$D641))),"OPI",IF(ISNUMBER(SEARCH("DP",($C641&amp;" "&amp;$D641))),"DP","CONC")))&amp;" "&amp;TEXT(LOOKUP(9.99E+307,--MID(SUBSTITUTE(($C641&amp;" "&amp;$D641),CHAR(160)," "),SUMPRODUCT(MIN(FIND({0,1,2,3,4,5,6,7,8,9},SUBSTITUTE(($C641&amp;" "&amp;$D641),CHAR(160)," ")&amp;"0123456789"))),ROW(INDIRECT("1:6")))),"0"),"SIN NUMERO"))</f>
        <v/>
      </c>
      <c r="Q641" t="str">
        <f ca="1">IF($P641="","",IF(LEFT(UPPER($S641),9)="VERIFICAR","VERIFICAR",IF($A641="","SIN ESTADO",IF(AND($A641="Firmada",$H641=""),"FALTA FECHA DE FIRMA",IF(N($T641)=0,IF(AND(ISNUMBER($H641),$H641&gt;=DATE(2024,1,1)),"FALTA EN FIRMADAS","OK"),IF(OR($A641="Pendiente de presentación",$A641="Observado",$A641="En análisis",$A641="En instrucción",$A641="Suspendida",$A641="IT circulando",$A641="Para resolución",$A641="TDC"),"ABIERTA PERO ESTÁ EN FIRMADAS",IF($H641&lt;&gt;INDEX(firmadas!$F:$F,$T641),"FIRMA DISTINTA EN firmadas ("&amp;IF(INDEX(firmadas!$F:$F,$T641)="","vacía",DAY(INDEX(firmadas!$F:$F,$T641))&amp;"/"&amp;MONTH(INDEX(firmadas!$F:$F,$T641))&amp;"/"&amp;YEAR(INDEX(firmadas!$F:$F,$T641)))&amp;")",IF($G641&lt;&gt;INDEX(firmadas!$E:$E,$T641),"INGRESO DISTINTO EN firmadas ("&amp;IF(INDEX(firmadas!$E:$E,$T641)="","vacía",DAY(INDEX(firmadas!$E:$E,$T641))&amp;"/"&amp;MONTH(INDEX(firmadas!$E:$E,$T641))&amp;"/"&amp;YEAR(INDEX(firmadas!$E:$E,$T641)))&amp;")","OK"))))))))</f>
        <v/>
      </c>
      <c r="T641" t="str">
        <f ca="1">IF($P641="","",IFERROR(MATCH($P641,firmadas!$N:$N,0),IFERROR(MATCH("*/"&amp;MID($P641,FIND(" ",$P641)+1,9)&amp;"*",firmadas!$B:$B,0),0)))</f>
        <v/>
      </c>
    </row>
    <row r="642" spans="14:20" ht="15" customHeight="1" x14ac:dyDescent="0.25">
      <c r="N642" s="53" t="str">
        <f t="shared" ref="N642:N705" ca="1" si="10">IF($G642="","",(IF($H642="",TODAY(),$H642)-$G642)/30)</f>
        <v/>
      </c>
      <c r="P642" t="str">
        <f ca="1">IF(TRIM(SUBSTITUTE(($C642&amp;" "&amp;$D642),CHAR(160)," "))="","",IFERROR(IF(ISNUMBER(SEARCH("INC",($C642&amp;" "&amp;$D642))),"INC",IF(ISNUMBER(SEARCH("OPI",($C642&amp;" "&amp;$D642))),"OPI",IF(ISNUMBER(SEARCH("DP",($C642&amp;" "&amp;$D642))),"DP","CONC")))&amp;" "&amp;TEXT(LOOKUP(9.99E+307,--MID(SUBSTITUTE(($C642&amp;" "&amp;$D642),CHAR(160)," "),SUMPRODUCT(MIN(FIND({0,1,2,3,4,5,6,7,8,9},SUBSTITUTE(($C642&amp;" "&amp;$D642),CHAR(160)," ")&amp;"0123456789"))),ROW(INDIRECT("1:6")))),"0"),"SIN NUMERO"))</f>
        <v/>
      </c>
      <c r="Q642" t="str">
        <f ca="1">IF($P642="","",IF(LEFT(UPPER($S642),9)="VERIFICAR","VERIFICAR",IF($A642="","SIN ESTADO",IF(AND($A642="Firmada",$H642=""),"FALTA FECHA DE FIRMA",IF(N($T642)=0,IF(AND(ISNUMBER($H642),$H642&gt;=DATE(2024,1,1)),"FALTA EN FIRMADAS","OK"),IF(OR($A642="Pendiente de presentación",$A642="Observado",$A642="En análisis",$A642="En instrucción",$A642="Suspendida",$A642="IT circulando",$A642="Para resolución",$A642="TDC"),"ABIERTA PERO ESTÁ EN FIRMADAS",IF($H642&lt;&gt;INDEX(firmadas!$F:$F,$T642),"FIRMA DISTINTA EN firmadas ("&amp;IF(INDEX(firmadas!$F:$F,$T642)="","vacía",DAY(INDEX(firmadas!$F:$F,$T642))&amp;"/"&amp;MONTH(INDEX(firmadas!$F:$F,$T642))&amp;"/"&amp;YEAR(INDEX(firmadas!$F:$F,$T642)))&amp;")",IF($G642&lt;&gt;INDEX(firmadas!$E:$E,$T642),"INGRESO DISTINTO EN firmadas ("&amp;IF(INDEX(firmadas!$E:$E,$T642)="","vacía",DAY(INDEX(firmadas!$E:$E,$T642))&amp;"/"&amp;MONTH(INDEX(firmadas!$E:$E,$T642))&amp;"/"&amp;YEAR(INDEX(firmadas!$E:$E,$T642)))&amp;")","OK"))))))))</f>
        <v/>
      </c>
      <c r="T642" t="str">
        <f ca="1">IF($P642="","",IFERROR(MATCH($P642,firmadas!$N:$N,0),IFERROR(MATCH("*/"&amp;MID($P642,FIND(" ",$P642)+1,9)&amp;"*",firmadas!$B:$B,0),0)))</f>
        <v/>
      </c>
    </row>
    <row r="643" spans="14:20" ht="15" customHeight="1" x14ac:dyDescent="0.25">
      <c r="N643" s="53" t="str">
        <f t="shared" ca="1" si="10"/>
        <v/>
      </c>
      <c r="P643" t="str">
        <f ca="1">IF(TRIM(SUBSTITUTE(($C643&amp;" "&amp;$D643),CHAR(160)," "))="","",IFERROR(IF(ISNUMBER(SEARCH("INC",($C643&amp;" "&amp;$D643))),"INC",IF(ISNUMBER(SEARCH("OPI",($C643&amp;" "&amp;$D643))),"OPI",IF(ISNUMBER(SEARCH("DP",($C643&amp;" "&amp;$D643))),"DP","CONC")))&amp;" "&amp;TEXT(LOOKUP(9.99E+307,--MID(SUBSTITUTE(($C643&amp;" "&amp;$D643),CHAR(160)," "),SUMPRODUCT(MIN(FIND({0,1,2,3,4,5,6,7,8,9},SUBSTITUTE(($C643&amp;" "&amp;$D643),CHAR(160)," ")&amp;"0123456789"))),ROW(INDIRECT("1:6")))),"0"),"SIN NUMERO"))</f>
        <v/>
      </c>
      <c r="Q643" t="str">
        <f ca="1">IF($P643="","",IF(LEFT(UPPER($S643),9)="VERIFICAR","VERIFICAR",IF($A643="","SIN ESTADO",IF(AND($A643="Firmada",$H643=""),"FALTA FECHA DE FIRMA",IF(N($T643)=0,IF(AND(ISNUMBER($H643),$H643&gt;=DATE(2024,1,1)),"FALTA EN FIRMADAS","OK"),IF(OR($A643="Pendiente de presentación",$A643="Observado",$A643="En análisis",$A643="En instrucción",$A643="Suspendida",$A643="IT circulando",$A643="Para resolución",$A643="TDC"),"ABIERTA PERO ESTÁ EN FIRMADAS",IF($H643&lt;&gt;INDEX(firmadas!$F:$F,$T643),"FIRMA DISTINTA EN firmadas ("&amp;IF(INDEX(firmadas!$F:$F,$T643)="","vacía",DAY(INDEX(firmadas!$F:$F,$T643))&amp;"/"&amp;MONTH(INDEX(firmadas!$F:$F,$T643))&amp;"/"&amp;YEAR(INDEX(firmadas!$F:$F,$T643)))&amp;")",IF($G643&lt;&gt;INDEX(firmadas!$E:$E,$T643),"INGRESO DISTINTO EN firmadas ("&amp;IF(INDEX(firmadas!$E:$E,$T643)="","vacía",DAY(INDEX(firmadas!$E:$E,$T643))&amp;"/"&amp;MONTH(INDEX(firmadas!$E:$E,$T643))&amp;"/"&amp;YEAR(INDEX(firmadas!$E:$E,$T643)))&amp;")","OK"))))))))</f>
        <v/>
      </c>
      <c r="T643" t="str">
        <f ca="1">IF($P643="","",IFERROR(MATCH($P643,firmadas!$N:$N,0),IFERROR(MATCH("*/"&amp;MID($P643,FIND(" ",$P643)+1,9)&amp;"*",firmadas!$B:$B,0),0)))</f>
        <v/>
      </c>
    </row>
    <row r="644" spans="14:20" ht="15" customHeight="1" x14ac:dyDescent="0.25">
      <c r="N644" s="53" t="str">
        <f t="shared" ca="1" si="10"/>
        <v/>
      </c>
      <c r="P644" t="str">
        <f ca="1">IF(TRIM(SUBSTITUTE(($C644&amp;" "&amp;$D644),CHAR(160)," "))="","",IFERROR(IF(ISNUMBER(SEARCH("INC",($C644&amp;" "&amp;$D644))),"INC",IF(ISNUMBER(SEARCH("OPI",($C644&amp;" "&amp;$D644))),"OPI",IF(ISNUMBER(SEARCH("DP",($C644&amp;" "&amp;$D644))),"DP","CONC")))&amp;" "&amp;TEXT(LOOKUP(9.99E+307,--MID(SUBSTITUTE(($C644&amp;" "&amp;$D644),CHAR(160)," "),SUMPRODUCT(MIN(FIND({0,1,2,3,4,5,6,7,8,9},SUBSTITUTE(($C644&amp;" "&amp;$D644),CHAR(160)," ")&amp;"0123456789"))),ROW(INDIRECT("1:6")))),"0"),"SIN NUMERO"))</f>
        <v/>
      </c>
      <c r="Q644" t="str">
        <f ca="1">IF($P644="","",IF(LEFT(UPPER($S644),9)="VERIFICAR","VERIFICAR",IF($A644="","SIN ESTADO",IF(AND($A644="Firmada",$H644=""),"FALTA FECHA DE FIRMA",IF(N($T644)=0,IF(AND(ISNUMBER($H644),$H644&gt;=DATE(2024,1,1)),"FALTA EN FIRMADAS","OK"),IF(OR($A644="Pendiente de presentación",$A644="Observado",$A644="En análisis",$A644="En instrucción",$A644="Suspendida",$A644="IT circulando",$A644="Para resolución",$A644="TDC"),"ABIERTA PERO ESTÁ EN FIRMADAS",IF($H644&lt;&gt;INDEX(firmadas!$F:$F,$T644),"FIRMA DISTINTA EN firmadas ("&amp;IF(INDEX(firmadas!$F:$F,$T644)="","vacía",DAY(INDEX(firmadas!$F:$F,$T644))&amp;"/"&amp;MONTH(INDEX(firmadas!$F:$F,$T644))&amp;"/"&amp;YEAR(INDEX(firmadas!$F:$F,$T644)))&amp;")",IF($G644&lt;&gt;INDEX(firmadas!$E:$E,$T644),"INGRESO DISTINTO EN firmadas ("&amp;IF(INDEX(firmadas!$E:$E,$T644)="","vacía",DAY(INDEX(firmadas!$E:$E,$T644))&amp;"/"&amp;MONTH(INDEX(firmadas!$E:$E,$T644))&amp;"/"&amp;YEAR(INDEX(firmadas!$E:$E,$T644)))&amp;")","OK"))))))))</f>
        <v/>
      </c>
      <c r="T644" t="str">
        <f ca="1">IF($P644="","",IFERROR(MATCH($P644,firmadas!$N:$N,0),IFERROR(MATCH("*/"&amp;MID($P644,FIND(" ",$P644)+1,9)&amp;"*",firmadas!$B:$B,0),0)))</f>
        <v/>
      </c>
    </row>
    <row r="645" spans="14:20" ht="15" customHeight="1" x14ac:dyDescent="0.25">
      <c r="N645" s="53" t="str">
        <f t="shared" ca="1" si="10"/>
        <v/>
      </c>
      <c r="P645" t="str">
        <f ca="1">IF(TRIM(SUBSTITUTE(($C645&amp;" "&amp;$D645),CHAR(160)," "))="","",IFERROR(IF(ISNUMBER(SEARCH("INC",($C645&amp;" "&amp;$D645))),"INC",IF(ISNUMBER(SEARCH("OPI",($C645&amp;" "&amp;$D645))),"OPI",IF(ISNUMBER(SEARCH("DP",($C645&amp;" "&amp;$D645))),"DP","CONC")))&amp;" "&amp;TEXT(LOOKUP(9.99E+307,--MID(SUBSTITUTE(($C645&amp;" "&amp;$D645),CHAR(160)," "),SUMPRODUCT(MIN(FIND({0,1,2,3,4,5,6,7,8,9},SUBSTITUTE(($C645&amp;" "&amp;$D645),CHAR(160)," ")&amp;"0123456789"))),ROW(INDIRECT("1:6")))),"0"),"SIN NUMERO"))</f>
        <v/>
      </c>
      <c r="Q645" t="str">
        <f ca="1">IF($P645="","",IF(LEFT(UPPER($S645),9)="VERIFICAR","VERIFICAR",IF($A645="","SIN ESTADO",IF(AND($A645="Firmada",$H645=""),"FALTA FECHA DE FIRMA",IF(N($T645)=0,IF(AND(ISNUMBER($H645),$H645&gt;=DATE(2024,1,1)),"FALTA EN FIRMADAS","OK"),IF(OR($A645="Pendiente de presentación",$A645="Observado",$A645="En análisis",$A645="En instrucción",$A645="Suspendida",$A645="IT circulando",$A645="Para resolución",$A645="TDC"),"ABIERTA PERO ESTÁ EN FIRMADAS",IF($H645&lt;&gt;INDEX(firmadas!$F:$F,$T645),"FIRMA DISTINTA EN firmadas ("&amp;IF(INDEX(firmadas!$F:$F,$T645)="","vacía",DAY(INDEX(firmadas!$F:$F,$T645))&amp;"/"&amp;MONTH(INDEX(firmadas!$F:$F,$T645))&amp;"/"&amp;YEAR(INDEX(firmadas!$F:$F,$T645)))&amp;")",IF($G645&lt;&gt;INDEX(firmadas!$E:$E,$T645),"INGRESO DISTINTO EN firmadas ("&amp;IF(INDEX(firmadas!$E:$E,$T645)="","vacía",DAY(INDEX(firmadas!$E:$E,$T645))&amp;"/"&amp;MONTH(INDEX(firmadas!$E:$E,$T645))&amp;"/"&amp;YEAR(INDEX(firmadas!$E:$E,$T645)))&amp;")","OK"))))))))</f>
        <v/>
      </c>
      <c r="T645" t="str">
        <f ca="1">IF($P645="","",IFERROR(MATCH($P645,firmadas!$N:$N,0),IFERROR(MATCH("*/"&amp;MID($P645,FIND(" ",$P645)+1,9)&amp;"*",firmadas!$B:$B,0),0)))</f>
        <v/>
      </c>
    </row>
    <row r="646" spans="14:20" ht="15" customHeight="1" x14ac:dyDescent="0.25">
      <c r="N646" s="53" t="str">
        <f t="shared" ca="1" si="10"/>
        <v/>
      </c>
      <c r="P646" t="str">
        <f ca="1">IF(TRIM(SUBSTITUTE(($C646&amp;" "&amp;$D646),CHAR(160)," "))="","",IFERROR(IF(ISNUMBER(SEARCH("INC",($C646&amp;" "&amp;$D646))),"INC",IF(ISNUMBER(SEARCH("OPI",($C646&amp;" "&amp;$D646))),"OPI",IF(ISNUMBER(SEARCH("DP",($C646&amp;" "&amp;$D646))),"DP","CONC")))&amp;" "&amp;TEXT(LOOKUP(9.99E+307,--MID(SUBSTITUTE(($C646&amp;" "&amp;$D646),CHAR(160)," "),SUMPRODUCT(MIN(FIND({0,1,2,3,4,5,6,7,8,9},SUBSTITUTE(($C646&amp;" "&amp;$D646),CHAR(160)," ")&amp;"0123456789"))),ROW(INDIRECT("1:6")))),"0"),"SIN NUMERO"))</f>
        <v/>
      </c>
      <c r="Q646" t="str">
        <f ca="1">IF($P646="","",IF(LEFT(UPPER($S646),9)="VERIFICAR","VERIFICAR",IF($A646="","SIN ESTADO",IF(AND($A646="Firmada",$H646=""),"FALTA FECHA DE FIRMA",IF(N($T646)=0,IF(AND(ISNUMBER($H646),$H646&gt;=DATE(2024,1,1)),"FALTA EN FIRMADAS","OK"),IF(OR($A646="Pendiente de presentación",$A646="Observado",$A646="En análisis",$A646="En instrucción",$A646="Suspendida",$A646="IT circulando",$A646="Para resolución",$A646="TDC"),"ABIERTA PERO ESTÁ EN FIRMADAS",IF($H646&lt;&gt;INDEX(firmadas!$F:$F,$T646),"FIRMA DISTINTA EN firmadas ("&amp;IF(INDEX(firmadas!$F:$F,$T646)="","vacía",DAY(INDEX(firmadas!$F:$F,$T646))&amp;"/"&amp;MONTH(INDEX(firmadas!$F:$F,$T646))&amp;"/"&amp;YEAR(INDEX(firmadas!$F:$F,$T646)))&amp;")",IF($G646&lt;&gt;INDEX(firmadas!$E:$E,$T646),"INGRESO DISTINTO EN firmadas ("&amp;IF(INDEX(firmadas!$E:$E,$T646)="","vacía",DAY(INDEX(firmadas!$E:$E,$T646))&amp;"/"&amp;MONTH(INDEX(firmadas!$E:$E,$T646))&amp;"/"&amp;YEAR(INDEX(firmadas!$E:$E,$T646)))&amp;")","OK"))))))))</f>
        <v/>
      </c>
      <c r="T646" t="str">
        <f ca="1">IF($P646="","",IFERROR(MATCH($P646,firmadas!$N:$N,0),IFERROR(MATCH("*/"&amp;MID($P646,FIND(" ",$P646)+1,9)&amp;"*",firmadas!$B:$B,0),0)))</f>
        <v/>
      </c>
    </row>
    <row r="647" spans="14:20" ht="15" customHeight="1" x14ac:dyDescent="0.25">
      <c r="N647" s="53" t="str">
        <f t="shared" ca="1" si="10"/>
        <v/>
      </c>
      <c r="P647" t="str">
        <f ca="1">IF(TRIM(SUBSTITUTE(($C647&amp;" "&amp;$D647),CHAR(160)," "))="","",IFERROR(IF(ISNUMBER(SEARCH("INC",($C647&amp;" "&amp;$D647))),"INC",IF(ISNUMBER(SEARCH("OPI",($C647&amp;" "&amp;$D647))),"OPI",IF(ISNUMBER(SEARCH("DP",($C647&amp;" "&amp;$D647))),"DP","CONC")))&amp;" "&amp;TEXT(LOOKUP(9.99E+307,--MID(SUBSTITUTE(($C647&amp;" "&amp;$D647),CHAR(160)," "),SUMPRODUCT(MIN(FIND({0,1,2,3,4,5,6,7,8,9},SUBSTITUTE(($C647&amp;" "&amp;$D647),CHAR(160)," ")&amp;"0123456789"))),ROW(INDIRECT("1:6")))),"0"),"SIN NUMERO"))</f>
        <v/>
      </c>
      <c r="Q647" t="str">
        <f ca="1">IF($P647="","",IF(LEFT(UPPER($S647),9)="VERIFICAR","VERIFICAR",IF($A647="","SIN ESTADO",IF(AND($A647="Firmada",$H647=""),"FALTA FECHA DE FIRMA",IF(N($T647)=0,IF(AND(ISNUMBER($H647),$H647&gt;=DATE(2024,1,1)),"FALTA EN FIRMADAS","OK"),IF(OR($A647="Pendiente de presentación",$A647="Observado",$A647="En análisis",$A647="En instrucción",$A647="Suspendida",$A647="IT circulando",$A647="Para resolución",$A647="TDC"),"ABIERTA PERO ESTÁ EN FIRMADAS",IF($H647&lt;&gt;INDEX(firmadas!$F:$F,$T647),"FIRMA DISTINTA EN firmadas ("&amp;IF(INDEX(firmadas!$F:$F,$T647)="","vacía",DAY(INDEX(firmadas!$F:$F,$T647))&amp;"/"&amp;MONTH(INDEX(firmadas!$F:$F,$T647))&amp;"/"&amp;YEAR(INDEX(firmadas!$F:$F,$T647)))&amp;")",IF($G647&lt;&gt;INDEX(firmadas!$E:$E,$T647),"INGRESO DISTINTO EN firmadas ("&amp;IF(INDEX(firmadas!$E:$E,$T647)="","vacía",DAY(INDEX(firmadas!$E:$E,$T647))&amp;"/"&amp;MONTH(INDEX(firmadas!$E:$E,$T647))&amp;"/"&amp;YEAR(INDEX(firmadas!$E:$E,$T647)))&amp;")","OK"))))))))</f>
        <v/>
      </c>
      <c r="T647" t="str">
        <f ca="1">IF($P647="","",IFERROR(MATCH($P647,firmadas!$N:$N,0),IFERROR(MATCH("*/"&amp;MID($P647,FIND(" ",$P647)+1,9)&amp;"*",firmadas!$B:$B,0),0)))</f>
        <v/>
      </c>
    </row>
    <row r="648" spans="14:20" ht="15" customHeight="1" x14ac:dyDescent="0.25">
      <c r="N648" s="53" t="str">
        <f t="shared" ca="1" si="10"/>
        <v/>
      </c>
      <c r="P648" t="str">
        <f ca="1">IF(TRIM(SUBSTITUTE(($C648&amp;" "&amp;$D648),CHAR(160)," "))="","",IFERROR(IF(ISNUMBER(SEARCH("INC",($C648&amp;" "&amp;$D648))),"INC",IF(ISNUMBER(SEARCH("OPI",($C648&amp;" "&amp;$D648))),"OPI",IF(ISNUMBER(SEARCH("DP",($C648&amp;" "&amp;$D648))),"DP","CONC")))&amp;" "&amp;TEXT(LOOKUP(9.99E+307,--MID(SUBSTITUTE(($C648&amp;" "&amp;$D648),CHAR(160)," "),SUMPRODUCT(MIN(FIND({0,1,2,3,4,5,6,7,8,9},SUBSTITUTE(($C648&amp;" "&amp;$D648),CHAR(160)," ")&amp;"0123456789"))),ROW(INDIRECT("1:6")))),"0"),"SIN NUMERO"))</f>
        <v/>
      </c>
      <c r="Q648" t="str">
        <f ca="1">IF($P648="","",IF(LEFT(UPPER($S648),9)="VERIFICAR","VERIFICAR",IF($A648="","SIN ESTADO",IF(AND($A648="Firmada",$H648=""),"FALTA FECHA DE FIRMA",IF(N($T648)=0,IF(AND(ISNUMBER($H648),$H648&gt;=DATE(2024,1,1)),"FALTA EN FIRMADAS","OK"),IF(OR($A648="Pendiente de presentación",$A648="Observado",$A648="En análisis",$A648="En instrucción",$A648="Suspendida",$A648="IT circulando",$A648="Para resolución",$A648="TDC"),"ABIERTA PERO ESTÁ EN FIRMADAS",IF($H648&lt;&gt;INDEX(firmadas!$F:$F,$T648),"FIRMA DISTINTA EN firmadas ("&amp;IF(INDEX(firmadas!$F:$F,$T648)="","vacía",DAY(INDEX(firmadas!$F:$F,$T648))&amp;"/"&amp;MONTH(INDEX(firmadas!$F:$F,$T648))&amp;"/"&amp;YEAR(INDEX(firmadas!$F:$F,$T648)))&amp;")",IF($G648&lt;&gt;INDEX(firmadas!$E:$E,$T648),"INGRESO DISTINTO EN firmadas ("&amp;IF(INDEX(firmadas!$E:$E,$T648)="","vacía",DAY(INDEX(firmadas!$E:$E,$T648))&amp;"/"&amp;MONTH(INDEX(firmadas!$E:$E,$T648))&amp;"/"&amp;YEAR(INDEX(firmadas!$E:$E,$T648)))&amp;")","OK"))))))))</f>
        <v/>
      </c>
      <c r="T648" t="str">
        <f ca="1">IF($P648="","",IFERROR(MATCH($P648,firmadas!$N:$N,0),IFERROR(MATCH("*/"&amp;MID($P648,FIND(" ",$P648)+1,9)&amp;"*",firmadas!$B:$B,0),0)))</f>
        <v/>
      </c>
    </row>
    <row r="649" spans="14:20" ht="15" customHeight="1" x14ac:dyDescent="0.25">
      <c r="N649" s="53" t="str">
        <f t="shared" ca="1" si="10"/>
        <v/>
      </c>
      <c r="P649" t="str">
        <f ca="1">IF(TRIM(SUBSTITUTE(($C649&amp;" "&amp;$D649),CHAR(160)," "))="","",IFERROR(IF(ISNUMBER(SEARCH("INC",($C649&amp;" "&amp;$D649))),"INC",IF(ISNUMBER(SEARCH("OPI",($C649&amp;" "&amp;$D649))),"OPI",IF(ISNUMBER(SEARCH("DP",($C649&amp;" "&amp;$D649))),"DP","CONC")))&amp;" "&amp;TEXT(LOOKUP(9.99E+307,--MID(SUBSTITUTE(($C649&amp;" "&amp;$D649),CHAR(160)," "),SUMPRODUCT(MIN(FIND({0,1,2,3,4,5,6,7,8,9},SUBSTITUTE(($C649&amp;" "&amp;$D649),CHAR(160)," ")&amp;"0123456789"))),ROW(INDIRECT("1:6")))),"0"),"SIN NUMERO"))</f>
        <v/>
      </c>
      <c r="Q649" t="str">
        <f ca="1">IF($P649="","",IF(LEFT(UPPER($S649),9)="VERIFICAR","VERIFICAR",IF($A649="","SIN ESTADO",IF(AND($A649="Firmada",$H649=""),"FALTA FECHA DE FIRMA",IF(N($T649)=0,IF(AND(ISNUMBER($H649),$H649&gt;=DATE(2024,1,1)),"FALTA EN FIRMADAS","OK"),IF(OR($A649="Pendiente de presentación",$A649="Observado",$A649="En análisis",$A649="En instrucción",$A649="Suspendida",$A649="IT circulando",$A649="Para resolución",$A649="TDC"),"ABIERTA PERO ESTÁ EN FIRMADAS",IF($H649&lt;&gt;INDEX(firmadas!$F:$F,$T649),"FIRMA DISTINTA EN firmadas ("&amp;IF(INDEX(firmadas!$F:$F,$T649)="","vacía",DAY(INDEX(firmadas!$F:$F,$T649))&amp;"/"&amp;MONTH(INDEX(firmadas!$F:$F,$T649))&amp;"/"&amp;YEAR(INDEX(firmadas!$F:$F,$T649)))&amp;")",IF($G649&lt;&gt;INDEX(firmadas!$E:$E,$T649),"INGRESO DISTINTO EN firmadas ("&amp;IF(INDEX(firmadas!$E:$E,$T649)="","vacía",DAY(INDEX(firmadas!$E:$E,$T649))&amp;"/"&amp;MONTH(INDEX(firmadas!$E:$E,$T649))&amp;"/"&amp;YEAR(INDEX(firmadas!$E:$E,$T649)))&amp;")","OK"))))))))</f>
        <v/>
      </c>
      <c r="T649" t="str">
        <f ca="1">IF($P649="","",IFERROR(MATCH($P649,firmadas!$N:$N,0),IFERROR(MATCH("*/"&amp;MID($P649,FIND(" ",$P649)+1,9)&amp;"*",firmadas!$B:$B,0),0)))</f>
        <v/>
      </c>
    </row>
    <row r="650" spans="14:20" ht="15" customHeight="1" x14ac:dyDescent="0.25">
      <c r="N650" s="53" t="str">
        <f t="shared" ca="1" si="10"/>
        <v/>
      </c>
      <c r="P650" t="str">
        <f ca="1">IF(TRIM(SUBSTITUTE(($C650&amp;" "&amp;$D650),CHAR(160)," "))="","",IFERROR(IF(ISNUMBER(SEARCH("INC",($C650&amp;" "&amp;$D650))),"INC",IF(ISNUMBER(SEARCH("OPI",($C650&amp;" "&amp;$D650))),"OPI",IF(ISNUMBER(SEARCH("DP",($C650&amp;" "&amp;$D650))),"DP","CONC")))&amp;" "&amp;TEXT(LOOKUP(9.99E+307,--MID(SUBSTITUTE(($C650&amp;" "&amp;$D650),CHAR(160)," "),SUMPRODUCT(MIN(FIND({0,1,2,3,4,5,6,7,8,9},SUBSTITUTE(($C650&amp;" "&amp;$D650),CHAR(160)," ")&amp;"0123456789"))),ROW(INDIRECT("1:6")))),"0"),"SIN NUMERO"))</f>
        <v/>
      </c>
      <c r="Q650" t="str">
        <f ca="1">IF($P650="","",IF(LEFT(UPPER($S650),9)="VERIFICAR","VERIFICAR",IF($A650="","SIN ESTADO",IF(AND($A650="Firmada",$H650=""),"FALTA FECHA DE FIRMA",IF(N($T650)=0,IF(AND(ISNUMBER($H650),$H650&gt;=DATE(2024,1,1)),"FALTA EN FIRMADAS","OK"),IF(OR($A650="Pendiente de presentación",$A650="Observado",$A650="En análisis",$A650="En instrucción",$A650="Suspendida",$A650="IT circulando",$A650="Para resolución",$A650="TDC"),"ABIERTA PERO ESTÁ EN FIRMADAS",IF($H650&lt;&gt;INDEX(firmadas!$F:$F,$T650),"FIRMA DISTINTA EN firmadas ("&amp;IF(INDEX(firmadas!$F:$F,$T650)="","vacía",DAY(INDEX(firmadas!$F:$F,$T650))&amp;"/"&amp;MONTH(INDEX(firmadas!$F:$F,$T650))&amp;"/"&amp;YEAR(INDEX(firmadas!$F:$F,$T650)))&amp;")",IF($G650&lt;&gt;INDEX(firmadas!$E:$E,$T650),"INGRESO DISTINTO EN firmadas ("&amp;IF(INDEX(firmadas!$E:$E,$T650)="","vacía",DAY(INDEX(firmadas!$E:$E,$T650))&amp;"/"&amp;MONTH(INDEX(firmadas!$E:$E,$T650))&amp;"/"&amp;YEAR(INDEX(firmadas!$E:$E,$T650)))&amp;")","OK"))))))))</f>
        <v/>
      </c>
      <c r="T650" t="str">
        <f ca="1">IF($P650="","",IFERROR(MATCH($P650,firmadas!$N:$N,0),IFERROR(MATCH("*/"&amp;MID($P650,FIND(" ",$P650)+1,9)&amp;"*",firmadas!$B:$B,0),0)))</f>
        <v/>
      </c>
    </row>
    <row r="651" spans="14:20" ht="15" customHeight="1" x14ac:dyDescent="0.25">
      <c r="N651" s="53" t="str">
        <f t="shared" ca="1" si="10"/>
        <v/>
      </c>
      <c r="P651" t="str">
        <f ca="1">IF(TRIM(SUBSTITUTE(($C651&amp;" "&amp;$D651),CHAR(160)," "))="","",IFERROR(IF(ISNUMBER(SEARCH("INC",($C651&amp;" "&amp;$D651))),"INC",IF(ISNUMBER(SEARCH("OPI",($C651&amp;" "&amp;$D651))),"OPI",IF(ISNUMBER(SEARCH("DP",($C651&amp;" "&amp;$D651))),"DP","CONC")))&amp;" "&amp;TEXT(LOOKUP(9.99E+307,--MID(SUBSTITUTE(($C651&amp;" "&amp;$D651),CHAR(160)," "),SUMPRODUCT(MIN(FIND({0,1,2,3,4,5,6,7,8,9},SUBSTITUTE(($C651&amp;" "&amp;$D651),CHAR(160)," ")&amp;"0123456789"))),ROW(INDIRECT("1:6")))),"0"),"SIN NUMERO"))</f>
        <v/>
      </c>
      <c r="Q651" t="str">
        <f ca="1">IF($P651="","",IF(LEFT(UPPER($S651),9)="VERIFICAR","VERIFICAR",IF($A651="","SIN ESTADO",IF(AND($A651="Firmada",$H651=""),"FALTA FECHA DE FIRMA",IF(N($T651)=0,IF(AND(ISNUMBER($H651),$H651&gt;=DATE(2024,1,1)),"FALTA EN FIRMADAS","OK"),IF(OR($A651="Pendiente de presentación",$A651="Observado",$A651="En análisis",$A651="En instrucción",$A651="Suspendida",$A651="IT circulando",$A651="Para resolución",$A651="TDC"),"ABIERTA PERO ESTÁ EN FIRMADAS",IF($H651&lt;&gt;INDEX(firmadas!$F:$F,$T651),"FIRMA DISTINTA EN firmadas ("&amp;IF(INDEX(firmadas!$F:$F,$T651)="","vacía",DAY(INDEX(firmadas!$F:$F,$T651))&amp;"/"&amp;MONTH(INDEX(firmadas!$F:$F,$T651))&amp;"/"&amp;YEAR(INDEX(firmadas!$F:$F,$T651)))&amp;")",IF($G651&lt;&gt;INDEX(firmadas!$E:$E,$T651),"INGRESO DISTINTO EN firmadas ("&amp;IF(INDEX(firmadas!$E:$E,$T651)="","vacía",DAY(INDEX(firmadas!$E:$E,$T651))&amp;"/"&amp;MONTH(INDEX(firmadas!$E:$E,$T651))&amp;"/"&amp;YEAR(INDEX(firmadas!$E:$E,$T651)))&amp;")","OK"))))))))</f>
        <v/>
      </c>
      <c r="T651" t="str">
        <f ca="1">IF($P651="","",IFERROR(MATCH($P651,firmadas!$N:$N,0),IFERROR(MATCH("*/"&amp;MID($P651,FIND(" ",$P651)+1,9)&amp;"*",firmadas!$B:$B,0),0)))</f>
        <v/>
      </c>
    </row>
    <row r="652" spans="14:20" ht="15" customHeight="1" x14ac:dyDescent="0.25">
      <c r="N652" s="53" t="str">
        <f t="shared" ca="1" si="10"/>
        <v/>
      </c>
      <c r="P652" t="str">
        <f ca="1">IF(TRIM(SUBSTITUTE(($C652&amp;" "&amp;$D652),CHAR(160)," "))="","",IFERROR(IF(ISNUMBER(SEARCH("INC",($C652&amp;" "&amp;$D652))),"INC",IF(ISNUMBER(SEARCH("OPI",($C652&amp;" "&amp;$D652))),"OPI",IF(ISNUMBER(SEARCH("DP",($C652&amp;" "&amp;$D652))),"DP","CONC")))&amp;" "&amp;TEXT(LOOKUP(9.99E+307,--MID(SUBSTITUTE(($C652&amp;" "&amp;$D652),CHAR(160)," "),SUMPRODUCT(MIN(FIND({0,1,2,3,4,5,6,7,8,9},SUBSTITUTE(($C652&amp;" "&amp;$D652),CHAR(160)," ")&amp;"0123456789"))),ROW(INDIRECT("1:6")))),"0"),"SIN NUMERO"))</f>
        <v/>
      </c>
      <c r="Q652" t="str">
        <f ca="1">IF($P652="","",IF(LEFT(UPPER($S652),9)="VERIFICAR","VERIFICAR",IF($A652="","SIN ESTADO",IF(AND($A652="Firmada",$H652=""),"FALTA FECHA DE FIRMA",IF(N($T652)=0,IF(AND(ISNUMBER($H652),$H652&gt;=DATE(2024,1,1)),"FALTA EN FIRMADAS","OK"),IF(OR($A652="Pendiente de presentación",$A652="Observado",$A652="En análisis",$A652="En instrucción",$A652="Suspendida",$A652="IT circulando",$A652="Para resolución",$A652="TDC"),"ABIERTA PERO ESTÁ EN FIRMADAS",IF($H652&lt;&gt;INDEX(firmadas!$F:$F,$T652),"FIRMA DISTINTA EN firmadas ("&amp;IF(INDEX(firmadas!$F:$F,$T652)="","vacía",DAY(INDEX(firmadas!$F:$F,$T652))&amp;"/"&amp;MONTH(INDEX(firmadas!$F:$F,$T652))&amp;"/"&amp;YEAR(INDEX(firmadas!$F:$F,$T652)))&amp;")",IF($G652&lt;&gt;INDEX(firmadas!$E:$E,$T652),"INGRESO DISTINTO EN firmadas ("&amp;IF(INDEX(firmadas!$E:$E,$T652)="","vacía",DAY(INDEX(firmadas!$E:$E,$T652))&amp;"/"&amp;MONTH(INDEX(firmadas!$E:$E,$T652))&amp;"/"&amp;YEAR(INDEX(firmadas!$E:$E,$T652)))&amp;")","OK"))))))))</f>
        <v/>
      </c>
      <c r="T652" t="str">
        <f ca="1">IF($P652="","",IFERROR(MATCH($P652,firmadas!$N:$N,0),IFERROR(MATCH("*/"&amp;MID($P652,FIND(" ",$P652)+1,9)&amp;"*",firmadas!$B:$B,0),0)))</f>
        <v/>
      </c>
    </row>
    <row r="653" spans="14:20" ht="15" customHeight="1" x14ac:dyDescent="0.25">
      <c r="N653" s="53" t="str">
        <f t="shared" ca="1" si="10"/>
        <v/>
      </c>
      <c r="P653" t="str">
        <f ca="1">IF(TRIM(SUBSTITUTE(($C653&amp;" "&amp;$D653),CHAR(160)," "))="","",IFERROR(IF(ISNUMBER(SEARCH("INC",($C653&amp;" "&amp;$D653))),"INC",IF(ISNUMBER(SEARCH("OPI",($C653&amp;" "&amp;$D653))),"OPI",IF(ISNUMBER(SEARCH("DP",($C653&amp;" "&amp;$D653))),"DP","CONC")))&amp;" "&amp;TEXT(LOOKUP(9.99E+307,--MID(SUBSTITUTE(($C653&amp;" "&amp;$D653),CHAR(160)," "),SUMPRODUCT(MIN(FIND({0,1,2,3,4,5,6,7,8,9},SUBSTITUTE(($C653&amp;" "&amp;$D653),CHAR(160)," ")&amp;"0123456789"))),ROW(INDIRECT("1:6")))),"0"),"SIN NUMERO"))</f>
        <v/>
      </c>
      <c r="Q653" t="str">
        <f ca="1">IF($P653="","",IF(LEFT(UPPER($S653),9)="VERIFICAR","VERIFICAR",IF($A653="","SIN ESTADO",IF(AND($A653="Firmada",$H653=""),"FALTA FECHA DE FIRMA",IF(N($T653)=0,IF(AND(ISNUMBER($H653),$H653&gt;=DATE(2024,1,1)),"FALTA EN FIRMADAS","OK"),IF(OR($A653="Pendiente de presentación",$A653="Observado",$A653="En análisis",$A653="En instrucción",$A653="Suspendida",$A653="IT circulando",$A653="Para resolución",$A653="TDC"),"ABIERTA PERO ESTÁ EN FIRMADAS",IF($H653&lt;&gt;INDEX(firmadas!$F:$F,$T653),"FIRMA DISTINTA EN firmadas ("&amp;IF(INDEX(firmadas!$F:$F,$T653)="","vacía",DAY(INDEX(firmadas!$F:$F,$T653))&amp;"/"&amp;MONTH(INDEX(firmadas!$F:$F,$T653))&amp;"/"&amp;YEAR(INDEX(firmadas!$F:$F,$T653)))&amp;")",IF($G653&lt;&gt;INDEX(firmadas!$E:$E,$T653),"INGRESO DISTINTO EN firmadas ("&amp;IF(INDEX(firmadas!$E:$E,$T653)="","vacía",DAY(INDEX(firmadas!$E:$E,$T653))&amp;"/"&amp;MONTH(INDEX(firmadas!$E:$E,$T653))&amp;"/"&amp;YEAR(INDEX(firmadas!$E:$E,$T653)))&amp;")","OK"))))))))</f>
        <v/>
      </c>
      <c r="T653" t="str">
        <f ca="1">IF($P653="","",IFERROR(MATCH($P653,firmadas!$N:$N,0),IFERROR(MATCH("*/"&amp;MID($P653,FIND(" ",$P653)+1,9)&amp;"*",firmadas!$B:$B,0),0)))</f>
        <v/>
      </c>
    </row>
    <row r="654" spans="14:20" ht="15" customHeight="1" x14ac:dyDescent="0.25">
      <c r="N654" s="53" t="str">
        <f t="shared" ca="1" si="10"/>
        <v/>
      </c>
      <c r="P654" t="str">
        <f ca="1">IF(TRIM(SUBSTITUTE(($C654&amp;" "&amp;$D654),CHAR(160)," "))="","",IFERROR(IF(ISNUMBER(SEARCH("INC",($C654&amp;" "&amp;$D654))),"INC",IF(ISNUMBER(SEARCH("OPI",($C654&amp;" "&amp;$D654))),"OPI",IF(ISNUMBER(SEARCH("DP",($C654&amp;" "&amp;$D654))),"DP","CONC")))&amp;" "&amp;TEXT(LOOKUP(9.99E+307,--MID(SUBSTITUTE(($C654&amp;" "&amp;$D654),CHAR(160)," "),SUMPRODUCT(MIN(FIND({0,1,2,3,4,5,6,7,8,9},SUBSTITUTE(($C654&amp;" "&amp;$D654),CHAR(160)," ")&amp;"0123456789"))),ROW(INDIRECT("1:6")))),"0"),"SIN NUMERO"))</f>
        <v/>
      </c>
      <c r="Q654" t="str">
        <f ca="1">IF($P654="","",IF(LEFT(UPPER($S654),9)="VERIFICAR","VERIFICAR",IF($A654="","SIN ESTADO",IF(AND($A654="Firmada",$H654=""),"FALTA FECHA DE FIRMA",IF(N($T654)=0,IF(AND(ISNUMBER($H654),$H654&gt;=DATE(2024,1,1)),"FALTA EN FIRMADAS","OK"),IF(OR($A654="Pendiente de presentación",$A654="Observado",$A654="En análisis",$A654="En instrucción",$A654="Suspendida",$A654="IT circulando",$A654="Para resolución",$A654="TDC"),"ABIERTA PERO ESTÁ EN FIRMADAS",IF($H654&lt;&gt;INDEX(firmadas!$F:$F,$T654),"FIRMA DISTINTA EN firmadas ("&amp;IF(INDEX(firmadas!$F:$F,$T654)="","vacía",DAY(INDEX(firmadas!$F:$F,$T654))&amp;"/"&amp;MONTH(INDEX(firmadas!$F:$F,$T654))&amp;"/"&amp;YEAR(INDEX(firmadas!$F:$F,$T654)))&amp;")",IF($G654&lt;&gt;INDEX(firmadas!$E:$E,$T654),"INGRESO DISTINTO EN firmadas ("&amp;IF(INDEX(firmadas!$E:$E,$T654)="","vacía",DAY(INDEX(firmadas!$E:$E,$T654))&amp;"/"&amp;MONTH(INDEX(firmadas!$E:$E,$T654))&amp;"/"&amp;YEAR(INDEX(firmadas!$E:$E,$T654)))&amp;")","OK"))))))))</f>
        <v/>
      </c>
      <c r="T654" t="str">
        <f ca="1">IF($P654="","",IFERROR(MATCH($P654,firmadas!$N:$N,0),IFERROR(MATCH("*/"&amp;MID($P654,FIND(" ",$P654)+1,9)&amp;"*",firmadas!$B:$B,0),0)))</f>
        <v/>
      </c>
    </row>
    <row r="655" spans="14:20" ht="15" customHeight="1" x14ac:dyDescent="0.25">
      <c r="N655" s="53" t="str">
        <f t="shared" ca="1" si="10"/>
        <v/>
      </c>
      <c r="P655" t="str">
        <f ca="1">IF(TRIM(SUBSTITUTE(($C655&amp;" "&amp;$D655),CHAR(160)," "))="","",IFERROR(IF(ISNUMBER(SEARCH("INC",($C655&amp;" "&amp;$D655))),"INC",IF(ISNUMBER(SEARCH("OPI",($C655&amp;" "&amp;$D655))),"OPI",IF(ISNUMBER(SEARCH("DP",($C655&amp;" "&amp;$D655))),"DP","CONC")))&amp;" "&amp;TEXT(LOOKUP(9.99E+307,--MID(SUBSTITUTE(($C655&amp;" "&amp;$D655),CHAR(160)," "),SUMPRODUCT(MIN(FIND({0,1,2,3,4,5,6,7,8,9},SUBSTITUTE(($C655&amp;" "&amp;$D655),CHAR(160)," ")&amp;"0123456789"))),ROW(INDIRECT("1:6")))),"0"),"SIN NUMERO"))</f>
        <v/>
      </c>
      <c r="Q655" t="str">
        <f ca="1">IF($P655="","",IF(LEFT(UPPER($S655),9)="VERIFICAR","VERIFICAR",IF($A655="","SIN ESTADO",IF(AND($A655="Firmada",$H655=""),"FALTA FECHA DE FIRMA",IF(N($T655)=0,IF(AND(ISNUMBER($H655),$H655&gt;=DATE(2024,1,1)),"FALTA EN FIRMADAS","OK"),IF(OR($A655="Pendiente de presentación",$A655="Observado",$A655="En análisis",$A655="En instrucción",$A655="Suspendida",$A655="IT circulando",$A655="Para resolución",$A655="TDC"),"ABIERTA PERO ESTÁ EN FIRMADAS",IF($H655&lt;&gt;INDEX(firmadas!$F:$F,$T655),"FIRMA DISTINTA EN firmadas ("&amp;IF(INDEX(firmadas!$F:$F,$T655)="","vacía",DAY(INDEX(firmadas!$F:$F,$T655))&amp;"/"&amp;MONTH(INDEX(firmadas!$F:$F,$T655))&amp;"/"&amp;YEAR(INDEX(firmadas!$F:$F,$T655)))&amp;")",IF($G655&lt;&gt;INDEX(firmadas!$E:$E,$T655),"INGRESO DISTINTO EN firmadas ("&amp;IF(INDEX(firmadas!$E:$E,$T655)="","vacía",DAY(INDEX(firmadas!$E:$E,$T655))&amp;"/"&amp;MONTH(INDEX(firmadas!$E:$E,$T655))&amp;"/"&amp;YEAR(INDEX(firmadas!$E:$E,$T655)))&amp;")","OK"))))))))</f>
        <v/>
      </c>
      <c r="T655" t="str">
        <f ca="1">IF($P655="","",IFERROR(MATCH($P655,firmadas!$N:$N,0),IFERROR(MATCH("*/"&amp;MID($P655,FIND(" ",$P655)+1,9)&amp;"*",firmadas!$B:$B,0),0)))</f>
        <v/>
      </c>
    </row>
    <row r="656" spans="14:20" ht="15" customHeight="1" x14ac:dyDescent="0.25">
      <c r="N656" s="53" t="str">
        <f t="shared" ca="1" si="10"/>
        <v/>
      </c>
      <c r="P656" t="str">
        <f ca="1">IF(TRIM(SUBSTITUTE(($C656&amp;" "&amp;$D656),CHAR(160)," "))="","",IFERROR(IF(ISNUMBER(SEARCH("INC",($C656&amp;" "&amp;$D656))),"INC",IF(ISNUMBER(SEARCH("OPI",($C656&amp;" "&amp;$D656))),"OPI",IF(ISNUMBER(SEARCH("DP",($C656&amp;" "&amp;$D656))),"DP","CONC")))&amp;" "&amp;TEXT(LOOKUP(9.99E+307,--MID(SUBSTITUTE(($C656&amp;" "&amp;$D656),CHAR(160)," "),SUMPRODUCT(MIN(FIND({0,1,2,3,4,5,6,7,8,9},SUBSTITUTE(($C656&amp;" "&amp;$D656),CHAR(160)," ")&amp;"0123456789"))),ROW(INDIRECT("1:6")))),"0"),"SIN NUMERO"))</f>
        <v/>
      </c>
      <c r="Q656" t="str">
        <f ca="1">IF($P656="","",IF(LEFT(UPPER($S656),9)="VERIFICAR","VERIFICAR",IF($A656="","SIN ESTADO",IF(AND($A656="Firmada",$H656=""),"FALTA FECHA DE FIRMA",IF(N($T656)=0,IF(AND(ISNUMBER($H656),$H656&gt;=DATE(2024,1,1)),"FALTA EN FIRMADAS","OK"),IF(OR($A656="Pendiente de presentación",$A656="Observado",$A656="En análisis",$A656="En instrucción",$A656="Suspendida",$A656="IT circulando",$A656="Para resolución",$A656="TDC"),"ABIERTA PERO ESTÁ EN FIRMADAS",IF($H656&lt;&gt;INDEX(firmadas!$F:$F,$T656),"FIRMA DISTINTA EN firmadas ("&amp;IF(INDEX(firmadas!$F:$F,$T656)="","vacía",DAY(INDEX(firmadas!$F:$F,$T656))&amp;"/"&amp;MONTH(INDEX(firmadas!$F:$F,$T656))&amp;"/"&amp;YEAR(INDEX(firmadas!$F:$F,$T656)))&amp;")",IF($G656&lt;&gt;INDEX(firmadas!$E:$E,$T656),"INGRESO DISTINTO EN firmadas ("&amp;IF(INDEX(firmadas!$E:$E,$T656)="","vacía",DAY(INDEX(firmadas!$E:$E,$T656))&amp;"/"&amp;MONTH(INDEX(firmadas!$E:$E,$T656))&amp;"/"&amp;YEAR(INDEX(firmadas!$E:$E,$T656)))&amp;")","OK"))))))))</f>
        <v/>
      </c>
      <c r="T656" t="str">
        <f ca="1">IF($P656="","",IFERROR(MATCH($P656,firmadas!$N:$N,0),IFERROR(MATCH("*/"&amp;MID($P656,FIND(" ",$P656)+1,9)&amp;"*",firmadas!$B:$B,0),0)))</f>
        <v/>
      </c>
    </row>
    <row r="657" spans="14:20" ht="15" customHeight="1" x14ac:dyDescent="0.25">
      <c r="N657" s="53" t="str">
        <f t="shared" ca="1" si="10"/>
        <v/>
      </c>
      <c r="P657" t="str">
        <f ca="1">IF(TRIM(SUBSTITUTE(($C657&amp;" "&amp;$D657),CHAR(160)," "))="","",IFERROR(IF(ISNUMBER(SEARCH("INC",($C657&amp;" "&amp;$D657))),"INC",IF(ISNUMBER(SEARCH("OPI",($C657&amp;" "&amp;$D657))),"OPI",IF(ISNUMBER(SEARCH("DP",($C657&amp;" "&amp;$D657))),"DP","CONC")))&amp;" "&amp;TEXT(LOOKUP(9.99E+307,--MID(SUBSTITUTE(($C657&amp;" "&amp;$D657),CHAR(160)," "),SUMPRODUCT(MIN(FIND({0,1,2,3,4,5,6,7,8,9},SUBSTITUTE(($C657&amp;" "&amp;$D657),CHAR(160)," ")&amp;"0123456789"))),ROW(INDIRECT("1:6")))),"0"),"SIN NUMERO"))</f>
        <v/>
      </c>
      <c r="Q657" t="str">
        <f ca="1">IF($P657="","",IF(LEFT(UPPER($S657),9)="VERIFICAR","VERIFICAR",IF($A657="","SIN ESTADO",IF(AND($A657="Firmada",$H657=""),"FALTA FECHA DE FIRMA",IF(N($T657)=0,IF(AND(ISNUMBER($H657),$H657&gt;=DATE(2024,1,1)),"FALTA EN FIRMADAS","OK"),IF(OR($A657="Pendiente de presentación",$A657="Observado",$A657="En análisis",$A657="En instrucción",$A657="Suspendida",$A657="IT circulando",$A657="Para resolución",$A657="TDC"),"ABIERTA PERO ESTÁ EN FIRMADAS",IF($H657&lt;&gt;INDEX(firmadas!$F:$F,$T657),"FIRMA DISTINTA EN firmadas ("&amp;IF(INDEX(firmadas!$F:$F,$T657)="","vacía",DAY(INDEX(firmadas!$F:$F,$T657))&amp;"/"&amp;MONTH(INDEX(firmadas!$F:$F,$T657))&amp;"/"&amp;YEAR(INDEX(firmadas!$F:$F,$T657)))&amp;")",IF($G657&lt;&gt;INDEX(firmadas!$E:$E,$T657),"INGRESO DISTINTO EN firmadas ("&amp;IF(INDEX(firmadas!$E:$E,$T657)="","vacía",DAY(INDEX(firmadas!$E:$E,$T657))&amp;"/"&amp;MONTH(INDEX(firmadas!$E:$E,$T657))&amp;"/"&amp;YEAR(INDEX(firmadas!$E:$E,$T657)))&amp;")","OK"))))))))</f>
        <v/>
      </c>
      <c r="T657" t="str">
        <f ca="1">IF($P657="","",IFERROR(MATCH($P657,firmadas!$N:$N,0),IFERROR(MATCH("*/"&amp;MID($P657,FIND(" ",$P657)+1,9)&amp;"*",firmadas!$B:$B,0),0)))</f>
        <v/>
      </c>
    </row>
    <row r="658" spans="14:20" ht="15" customHeight="1" x14ac:dyDescent="0.25">
      <c r="N658" s="53" t="str">
        <f t="shared" ca="1" si="10"/>
        <v/>
      </c>
      <c r="P658" t="str">
        <f ca="1">IF(TRIM(SUBSTITUTE(($C658&amp;" "&amp;$D658),CHAR(160)," "))="","",IFERROR(IF(ISNUMBER(SEARCH("INC",($C658&amp;" "&amp;$D658))),"INC",IF(ISNUMBER(SEARCH("OPI",($C658&amp;" "&amp;$D658))),"OPI",IF(ISNUMBER(SEARCH("DP",($C658&amp;" "&amp;$D658))),"DP","CONC")))&amp;" "&amp;TEXT(LOOKUP(9.99E+307,--MID(SUBSTITUTE(($C658&amp;" "&amp;$D658),CHAR(160)," "),SUMPRODUCT(MIN(FIND({0,1,2,3,4,5,6,7,8,9},SUBSTITUTE(($C658&amp;" "&amp;$D658),CHAR(160)," ")&amp;"0123456789"))),ROW(INDIRECT("1:6")))),"0"),"SIN NUMERO"))</f>
        <v/>
      </c>
      <c r="Q658" t="str">
        <f ca="1">IF($P658="","",IF(LEFT(UPPER($S658),9)="VERIFICAR","VERIFICAR",IF($A658="","SIN ESTADO",IF(AND($A658="Firmada",$H658=""),"FALTA FECHA DE FIRMA",IF(N($T658)=0,IF(AND(ISNUMBER($H658),$H658&gt;=DATE(2024,1,1)),"FALTA EN FIRMADAS","OK"),IF(OR($A658="Pendiente de presentación",$A658="Observado",$A658="En análisis",$A658="En instrucción",$A658="Suspendida",$A658="IT circulando",$A658="Para resolución",$A658="TDC"),"ABIERTA PERO ESTÁ EN FIRMADAS",IF($H658&lt;&gt;INDEX(firmadas!$F:$F,$T658),"FIRMA DISTINTA EN firmadas ("&amp;IF(INDEX(firmadas!$F:$F,$T658)="","vacía",DAY(INDEX(firmadas!$F:$F,$T658))&amp;"/"&amp;MONTH(INDEX(firmadas!$F:$F,$T658))&amp;"/"&amp;YEAR(INDEX(firmadas!$F:$F,$T658)))&amp;")",IF($G658&lt;&gt;INDEX(firmadas!$E:$E,$T658),"INGRESO DISTINTO EN firmadas ("&amp;IF(INDEX(firmadas!$E:$E,$T658)="","vacía",DAY(INDEX(firmadas!$E:$E,$T658))&amp;"/"&amp;MONTH(INDEX(firmadas!$E:$E,$T658))&amp;"/"&amp;YEAR(INDEX(firmadas!$E:$E,$T658)))&amp;")","OK"))))))))</f>
        <v/>
      </c>
      <c r="T658" t="str">
        <f ca="1">IF($P658="","",IFERROR(MATCH($P658,firmadas!$N:$N,0),IFERROR(MATCH("*/"&amp;MID($P658,FIND(" ",$P658)+1,9)&amp;"*",firmadas!$B:$B,0),0)))</f>
        <v/>
      </c>
    </row>
    <row r="659" spans="14:20" ht="15" customHeight="1" x14ac:dyDescent="0.25">
      <c r="N659" s="53" t="str">
        <f t="shared" ca="1" si="10"/>
        <v/>
      </c>
      <c r="P659" t="str">
        <f ca="1">IF(TRIM(SUBSTITUTE(($C659&amp;" "&amp;$D659),CHAR(160)," "))="","",IFERROR(IF(ISNUMBER(SEARCH("INC",($C659&amp;" "&amp;$D659))),"INC",IF(ISNUMBER(SEARCH("OPI",($C659&amp;" "&amp;$D659))),"OPI",IF(ISNUMBER(SEARCH("DP",($C659&amp;" "&amp;$D659))),"DP","CONC")))&amp;" "&amp;TEXT(LOOKUP(9.99E+307,--MID(SUBSTITUTE(($C659&amp;" "&amp;$D659),CHAR(160)," "),SUMPRODUCT(MIN(FIND({0,1,2,3,4,5,6,7,8,9},SUBSTITUTE(($C659&amp;" "&amp;$D659),CHAR(160)," ")&amp;"0123456789"))),ROW(INDIRECT("1:6")))),"0"),"SIN NUMERO"))</f>
        <v/>
      </c>
      <c r="Q659" t="str">
        <f ca="1">IF($P659="","",IF(LEFT(UPPER($S659),9)="VERIFICAR","VERIFICAR",IF($A659="","SIN ESTADO",IF(AND($A659="Firmada",$H659=""),"FALTA FECHA DE FIRMA",IF(N($T659)=0,IF(AND(ISNUMBER($H659),$H659&gt;=DATE(2024,1,1)),"FALTA EN FIRMADAS","OK"),IF(OR($A659="Pendiente de presentación",$A659="Observado",$A659="En análisis",$A659="En instrucción",$A659="Suspendida",$A659="IT circulando",$A659="Para resolución",$A659="TDC"),"ABIERTA PERO ESTÁ EN FIRMADAS",IF($H659&lt;&gt;INDEX(firmadas!$F:$F,$T659),"FIRMA DISTINTA EN firmadas ("&amp;IF(INDEX(firmadas!$F:$F,$T659)="","vacía",DAY(INDEX(firmadas!$F:$F,$T659))&amp;"/"&amp;MONTH(INDEX(firmadas!$F:$F,$T659))&amp;"/"&amp;YEAR(INDEX(firmadas!$F:$F,$T659)))&amp;")",IF($G659&lt;&gt;INDEX(firmadas!$E:$E,$T659),"INGRESO DISTINTO EN firmadas ("&amp;IF(INDEX(firmadas!$E:$E,$T659)="","vacía",DAY(INDEX(firmadas!$E:$E,$T659))&amp;"/"&amp;MONTH(INDEX(firmadas!$E:$E,$T659))&amp;"/"&amp;YEAR(INDEX(firmadas!$E:$E,$T659)))&amp;")","OK"))))))))</f>
        <v/>
      </c>
      <c r="T659" t="str">
        <f ca="1">IF($P659="","",IFERROR(MATCH($P659,firmadas!$N:$N,0),IFERROR(MATCH("*/"&amp;MID($P659,FIND(" ",$P659)+1,9)&amp;"*",firmadas!$B:$B,0),0)))</f>
        <v/>
      </c>
    </row>
    <row r="660" spans="14:20" ht="15" customHeight="1" x14ac:dyDescent="0.25">
      <c r="N660" s="53" t="str">
        <f t="shared" ca="1" si="10"/>
        <v/>
      </c>
      <c r="P660" t="str">
        <f ca="1">IF(TRIM(SUBSTITUTE(($C660&amp;" "&amp;$D660),CHAR(160)," "))="","",IFERROR(IF(ISNUMBER(SEARCH("INC",($C660&amp;" "&amp;$D660))),"INC",IF(ISNUMBER(SEARCH("OPI",($C660&amp;" "&amp;$D660))),"OPI",IF(ISNUMBER(SEARCH("DP",($C660&amp;" "&amp;$D660))),"DP","CONC")))&amp;" "&amp;TEXT(LOOKUP(9.99E+307,--MID(SUBSTITUTE(($C660&amp;" "&amp;$D660),CHAR(160)," "),SUMPRODUCT(MIN(FIND({0,1,2,3,4,5,6,7,8,9},SUBSTITUTE(($C660&amp;" "&amp;$D660),CHAR(160)," ")&amp;"0123456789"))),ROW(INDIRECT("1:6")))),"0"),"SIN NUMERO"))</f>
        <v/>
      </c>
      <c r="Q660" t="str">
        <f ca="1">IF($P660="","",IF(LEFT(UPPER($S660),9)="VERIFICAR","VERIFICAR",IF($A660="","SIN ESTADO",IF(AND($A660="Firmada",$H660=""),"FALTA FECHA DE FIRMA",IF(N($T660)=0,IF(AND(ISNUMBER($H660),$H660&gt;=DATE(2024,1,1)),"FALTA EN FIRMADAS","OK"),IF(OR($A660="Pendiente de presentación",$A660="Observado",$A660="En análisis",$A660="En instrucción",$A660="Suspendida",$A660="IT circulando",$A660="Para resolución",$A660="TDC"),"ABIERTA PERO ESTÁ EN FIRMADAS",IF($H660&lt;&gt;INDEX(firmadas!$F:$F,$T660),"FIRMA DISTINTA EN firmadas ("&amp;IF(INDEX(firmadas!$F:$F,$T660)="","vacía",DAY(INDEX(firmadas!$F:$F,$T660))&amp;"/"&amp;MONTH(INDEX(firmadas!$F:$F,$T660))&amp;"/"&amp;YEAR(INDEX(firmadas!$F:$F,$T660)))&amp;")",IF($G660&lt;&gt;INDEX(firmadas!$E:$E,$T660),"INGRESO DISTINTO EN firmadas ("&amp;IF(INDEX(firmadas!$E:$E,$T660)="","vacía",DAY(INDEX(firmadas!$E:$E,$T660))&amp;"/"&amp;MONTH(INDEX(firmadas!$E:$E,$T660))&amp;"/"&amp;YEAR(INDEX(firmadas!$E:$E,$T660)))&amp;")","OK"))))))))</f>
        <v/>
      </c>
      <c r="T660" t="str">
        <f ca="1">IF($P660="","",IFERROR(MATCH($P660,firmadas!$N:$N,0),IFERROR(MATCH("*/"&amp;MID($P660,FIND(" ",$P660)+1,9)&amp;"*",firmadas!$B:$B,0),0)))</f>
        <v/>
      </c>
    </row>
    <row r="661" spans="14:20" ht="15" customHeight="1" x14ac:dyDescent="0.25">
      <c r="N661" s="53" t="str">
        <f t="shared" ca="1" si="10"/>
        <v/>
      </c>
      <c r="P661" t="str">
        <f ca="1">IF(TRIM(SUBSTITUTE(($C661&amp;" "&amp;$D661),CHAR(160)," "))="","",IFERROR(IF(ISNUMBER(SEARCH("INC",($C661&amp;" "&amp;$D661))),"INC",IF(ISNUMBER(SEARCH("OPI",($C661&amp;" "&amp;$D661))),"OPI",IF(ISNUMBER(SEARCH("DP",($C661&amp;" "&amp;$D661))),"DP","CONC")))&amp;" "&amp;TEXT(LOOKUP(9.99E+307,--MID(SUBSTITUTE(($C661&amp;" "&amp;$D661),CHAR(160)," "),SUMPRODUCT(MIN(FIND({0,1,2,3,4,5,6,7,8,9},SUBSTITUTE(($C661&amp;" "&amp;$D661),CHAR(160)," ")&amp;"0123456789"))),ROW(INDIRECT("1:6")))),"0"),"SIN NUMERO"))</f>
        <v/>
      </c>
      <c r="Q661" t="str">
        <f ca="1">IF($P661="","",IF(LEFT(UPPER($S661),9)="VERIFICAR","VERIFICAR",IF($A661="","SIN ESTADO",IF(AND($A661="Firmada",$H661=""),"FALTA FECHA DE FIRMA",IF(N($T661)=0,IF(AND(ISNUMBER($H661),$H661&gt;=DATE(2024,1,1)),"FALTA EN FIRMADAS","OK"),IF(OR($A661="Pendiente de presentación",$A661="Observado",$A661="En análisis",$A661="En instrucción",$A661="Suspendida",$A661="IT circulando",$A661="Para resolución",$A661="TDC"),"ABIERTA PERO ESTÁ EN FIRMADAS",IF($H661&lt;&gt;INDEX(firmadas!$F:$F,$T661),"FIRMA DISTINTA EN firmadas ("&amp;IF(INDEX(firmadas!$F:$F,$T661)="","vacía",DAY(INDEX(firmadas!$F:$F,$T661))&amp;"/"&amp;MONTH(INDEX(firmadas!$F:$F,$T661))&amp;"/"&amp;YEAR(INDEX(firmadas!$F:$F,$T661)))&amp;")",IF($G661&lt;&gt;INDEX(firmadas!$E:$E,$T661),"INGRESO DISTINTO EN firmadas ("&amp;IF(INDEX(firmadas!$E:$E,$T661)="","vacía",DAY(INDEX(firmadas!$E:$E,$T661))&amp;"/"&amp;MONTH(INDEX(firmadas!$E:$E,$T661))&amp;"/"&amp;YEAR(INDEX(firmadas!$E:$E,$T661)))&amp;")","OK"))))))))</f>
        <v/>
      </c>
      <c r="T661" t="str">
        <f ca="1">IF($P661="","",IFERROR(MATCH($P661,firmadas!$N:$N,0),IFERROR(MATCH("*/"&amp;MID($P661,FIND(" ",$P661)+1,9)&amp;"*",firmadas!$B:$B,0),0)))</f>
        <v/>
      </c>
    </row>
    <row r="662" spans="14:20" ht="15" customHeight="1" x14ac:dyDescent="0.25">
      <c r="N662" s="53" t="str">
        <f t="shared" ca="1" si="10"/>
        <v/>
      </c>
      <c r="P662" t="str">
        <f ca="1">IF(TRIM(SUBSTITUTE(($C662&amp;" "&amp;$D662),CHAR(160)," "))="","",IFERROR(IF(ISNUMBER(SEARCH("INC",($C662&amp;" "&amp;$D662))),"INC",IF(ISNUMBER(SEARCH("OPI",($C662&amp;" "&amp;$D662))),"OPI",IF(ISNUMBER(SEARCH("DP",($C662&amp;" "&amp;$D662))),"DP","CONC")))&amp;" "&amp;TEXT(LOOKUP(9.99E+307,--MID(SUBSTITUTE(($C662&amp;" "&amp;$D662),CHAR(160)," "),SUMPRODUCT(MIN(FIND({0,1,2,3,4,5,6,7,8,9},SUBSTITUTE(($C662&amp;" "&amp;$D662),CHAR(160)," ")&amp;"0123456789"))),ROW(INDIRECT("1:6")))),"0"),"SIN NUMERO"))</f>
        <v/>
      </c>
      <c r="Q662" t="str">
        <f ca="1">IF($P662="","",IF(LEFT(UPPER($S662),9)="VERIFICAR","VERIFICAR",IF($A662="","SIN ESTADO",IF(AND($A662="Firmada",$H662=""),"FALTA FECHA DE FIRMA",IF(N($T662)=0,IF(AND(ISNUMBER($H662),$H662&gt;=DATE(2024,1,1)),"FALTA EN FIRMADAS","OK"),IF(OR($A662="Pendiente de presentación",$A662="Observado",$A662="En análisis",$A662="En instrucción",$A662="Suspendida",$A662="IT circulando",$A662="Para resolución",$A662="TDC"),"ABIERTA PERO ESTÁ EN FIRMADAS",IF($H662&lt;&gt;INDEX(firmadas!$F:$F,$T662),"FIRMA DISTINTA EN firmadas ("&amp;IF(INDEX(firmadas!$F:$F,$T662)="","vacía",DAY(INDEX(firmadas!$F:$F,$T662))&amp;"/"&amp;MONTH(INDEX(firmadas!$F:$F,$T662))&amp;"/"&amp;YEAR(INDEX(firmadas!$F:$F,$T662)))&amp;")",IF($G662&lt;&gt;INDEX(firmadas!$E:$E,$T662),"INGRESO DISTINTO EN firmadas ("&amp;IF(INDEX(firmadas!$E:$E,$T662)="","vacía",DAY(INDEX(firmadas!$E:$E,$T662))&amp;"/"&amp;MONTH(INDEX(firmadas!$E:$E,$T662))&amp;"/"&amp;YEAR(INDEX(firmadas!$E:$E,$T662)))&amp;")","OK"))))))))</f>
        <v/>
      </c>
      <c r="T662" t="str">
        <f ca="1">IF($P662="","",IFERROR(MATCH($P662,firmadas!$N:$N,0),IFERROR(MATCH("*/"&amp;MID($P662,FIND(" ",$P662)+1,9)&amp;"*",firmadas!$B:$B,0),0)))</f>
        <v/>
      </c>
    </row>
    <row r="663" spans="14:20" ht="15" customHeight="1" x14ac:dyDescent="0.25">
      <c r="N663" s="53" t="str">
        <f t="shared" ca="1" si="10"/>
        <v/>
      </c>
      <c r="P663" t="str">
        <f ca="1">IF(TRIM(SUBSTITUTE(($C663&amp;" "&amp;$D663),CHAR(160)," "))="","",IFERROR(IF(ISNUMBER(SEARCH("INC",($C663&amp;" "&amp;$D663))),"INC",IF(ISNUMBER(SEARCH("OPI",($C663&amp;" "&amp;$D663))),"OPI",IF(ISNUMBER(SEARCH("DP",($C663&amp;" "&amp;$D663))),"DP","CONC")))&amp;" "&amp;TEXT(LOOKUP(9.99E+307,--MID(SUBSTITUTE(($C663&amp;" "&amp;$D663),CHAR(160)," "),SUMPRODUCT(MIN(FIND({0,1,2,3,4,5,6,7,8,9},SUBSTITUTE(($C663&amp;" "&amp;$D663),CHAR(160)," ")&amp;"0123456789"))),ROW(INDIRECT("1:6")))),"0"),"SIN NUMERO"))</f>
        <v/>
      </c>
      <c r="Q663" t="str">
        <f ca="1">IF($P663="","",IF(LEFT(UPPER($S663),9)="VERIFICAR","VERIFICAR",IF($A663="","SIN ESTADO",IF(AND($A663="Firmada",$H663=""),"FALTA FECHA DE FIRMA",IF(N($T663)=0,IF(AND(ISNUMBER($H663),$H663&gt;=DATE(2024,1,1)),"FALTA EN FIRMADAS","OK"),IF(OR($A663="Pendiente de presentación",$A663="Observado",$A663="En análisis",$A663="En instrucción",$A663="Suspendida",$A663="IT circulando",$A663="Para resolución",$A663="TDC"),"ABIERTA PERO ESTÁ EN FIRMADAS",IF($H663&lt;&gt;INDEX(firmadas!$F:$F,$T663),"FIRMA DISTINTA EN firmadas ("&amp;IF(INDEX(firmadas!$F:$F,$T663)="","vacía",DAY(INDEX(firmadas!$F:$F,$T663))&amp;"/"&amp;MONTH(INDEX(firmadas!$F:$F,$T663))&amp;"/"&amp;YEAR(INDEX(firmadas!$F:$F,$T663)))&amp;")",IF($G663&lt;&gt;INDEX(firmadas!$E:$E,$T663),"INGRESO DISTINTO EN firmadas ("&amp;IF(INDEX(firmadas!$E:$E,$T663)="","vacía",DAY(INDEX(firmadas!$E:$E,$T663))&amp;"/"&amp;MONTH(INDEX(firmadas!$E:$E,$T663))&amp;"/"&amp;YEAR(INDEX(firmadas!$E:$E,$T663)))&amp;")","OK"))))))))</f>
        <v/>
      </c>
      <c r="T663" t="str">
        <f ca="1">IF($P663="","",IFERROR(MATCH($P663,firmadas!$N:$N,0),IFERROR(MATCH("*/"&amp;MID($P663,FIND(" ",$P663)+1,9)&amp;"*",firmadas!$B:$B,0),0)))</f>
        <v/>
      </c>
    </row>
    <row r="664" spans="14:20" ht="15" customHeight="1" x14ac:dyDescent="0.25">
      <c r="N664" s="53" t="str">
        <f t="shared" ca="1" si="10"/>
        <v/>
      </c>
      <c r="P664" t="str">
        <f ca="1">IF(TRIM(SUBSTITUTE(($C664&amp;" "&amp;$D664),CHAR(160)," "))="","",IFERROR(IF(ISNUMBER(SEARCH("INC",($C664&amp;" "&amp;$D664))),"INC",IF(ISNUMBER(SEARCH("OPI",($C664&amp;" "&amp;$D664))),"OPI",IF(ISNUMBER(SEARCH("DP",($C664&amp;" "&amp;$D664))),"DP","CONC")))&amp;" "&amp;TEXT(LOOKUP(9.99E+307,--MID(SUBSTITUTE(($C664&amp;" "&amp;$D664),CHAR(160)," "),SUMPRODUCT(MIN(FIND({0,1,2,3,4,5,6,7,8,9},SUBSTITUTE(($C664&amp;" "&amp;$D664),CHAR(160)," ")&amp;"0123456789"))),ROW(INDIRECT("1:6")))),"0"),"SIN NUMERO"))</f>
        <v/>
      </c>
      <c r="Q664" t="str">
        <f ca="1">IF($P664="","",IF(LEFT(UPPER($S664),9)="VERIFICAR","VERIFICAR",IF($A664="","SIN ESTADO",IF(AND($A664="Firmada",$H664=""),"FALTA FECHA DE FIRMA",IF(N($T664)=0,IF(AND(ISNUMBER($H664),$H664&gt;=DATE(2024,1,1)),"FALTA EN FIRMADAS","OK"),IF(OR($A664="Pendiente de presentación",$A664="Observado",$A664="En análisis",$A664="En instrucción",$A664="Suspendida",$A664="IT circulando",$A664="Para resolución",$A664="TDC"),"ABIERTA PERO ESTÁ EN FIRMADAS",IF($H664&lt;&gt;INDEX(firmadas!$F:$F,$T664),"FIRMA DISTINTA EN firmadas ("&amp;IF(INDEX(firmadas!$F:$F,$T664)="","vacía",DAY(INDEX(firmadas!$F:$F,$T664))&amp;"/"&amp;MONTH(INDEX(firmadas!$F:$F,$T664))&amp;"/"&amp;YEAR(INDEX(firmadas!$F:$F,$T664)))&amp;")",IF($G664&lt;&gt;INDEX(firmadas!$E:$E,$T664),"INGRESO DISTINTO EN firmadas ("&amp;IF(INDEX(firmadas!$E:$E,$T664)="","vacía",DAY(INDEX(firmadas!$E:$E,$T664))&amp;"/"&amp;MONTH(INDEX(firmadas!$E:$E,$T664))&amp;"/"&amp;YEAR(INDEX(firmadas!$E:$E,$T664)))&amp;")","OK"))))))))</f>
        <v/>
      </c>
      <c r="T664" t="str">
        <f ca="1">IF($P664="","",IFERROR(MATCH($P664,firmadas!$N:$N,0),IFERROR(MATCH("*/"&amp;MID($P664,FIND(" ",$P664)+1,9)&amp;"*",firmadas!$B:$B,0),0)))</f>
        <v/>
      </c>
    </row>
    <row r="665" spans="14:20" ht="15" customHeight="1" x14ac:dyDescent="0.25">
      <c r="N665" s="53" t="str">
        <f t="shared" ca="1" si="10"/>
        <v/>
      </c>
      <c r="P665" t="str">
        <f ca="1">IF(TRIM(SUBSTITUTE(($C665&amp;" "&amp;$D665),CHAR(160)," "))="","",IFERROR(IF(ISNUMBER(SEARCH("INC",($C665&amp;" "&amp;$D665))),"INC",IF(ISNUMBER(SEARCH("OPI",($C665&amp;" "&amp;$D665))),"OPI",IF(ISNUMBER(SEARCH("DP",($C665&amp;" "&amp;$D665))),"DP","CONC")))&amp;" "&amp;TEXT(LOOKUP(9.99E+307,--MID(SUBSTITUTE(($C665&amp;" "&amp;$D665),CHAR(160)," "),SUMPRODUCT(MIN(FIND({0,1,2,3,4,5,6,7,8,9},SUBSTITUTE(($C665&amp;" "&amp;$D665),CHAR(160)," ")&amp;"0123456789"))),ROW(INDIRECT("1:6")))),"0"),"SIN NUMERO"))</f>
        <v/>
      </c>
      <c r="Q665" t="str">
        <f ca="1">IF($P665="","",IF(LEFT(UPPER($S665),9)="VERIFICAR","VERIFICAR",IF($A665="","SIN ESTADO",IF(AND($A665="Firmada",$H665=""),"FALTA FECHA DE FIRMA",IF(N($T665)=0,IF(AND(ISNUMBER($H665),$H665&gt;=DATE(2024,1,1)),"FALTA EN FIRMADAS","OK"),IF(OR($A665="Pendiente de presentación",$A665="Observado",$A665="En análisis",$A665="En instrucción",$A665="Suspendida",$A665="IT circulando",$A665="Para resolución",$A665="TDC"),"ABIERTA PERO ESTÁ EN FIRMADAS",IF($H665&lt;&gt;INDEX(firmadas!$F:$F,$T665),"FIRMA DISTINTA EN firmadas ("&amp;IF(INDEX(firmadas!$F:$F,$T665)="","vacía",DAY(INDEX(firmadas!$F:$F,$T665))&amp;"/"&amp;MONTH(INDEX(firmadas!$F:$F,$T665))&amp;"/"&amp;YEAR(INDEX(firmadas!$F:$F,$T665)))&amp;")",IF($G665&lt;&gt;INDEX(firmadas!$E:$E,$T665),"INGRESO DISTINTO EN firmadas ("&amp;IF(INDEX(firmadas!$E:$E,$T665)="","vacía",DAY(INDEX(firmadas!$E:$E,$T665))&amp;"/"&amp;MONTH(INDEX(firmadas!$E:$E,$T665))&amp;"/"&amp;YEAR(INDEX(firmadas!$E:$E,$T665)))&amp;")","OK"))))))))</f>
        <v/>
      </c>
      <c r="T665" t="str">
        <f ca="1">IF($P665="","",IFERROR(MATCH($P665,firmadas!$N:$N,0),IFERROR(MATCH("*/"&amp;MID($P665,FIND(" ",$P665)+1,9)&amp;"*",firmadas!$B:$B,0),0)))</f>
        <v/>
      </c>
    </row>
    <row r="666" spans="14:20" ht="15" customHeight="1" x14ac:dyDescent="0.25">
      <c r="N666" s="53" t="str">
        <f t="shared" ca="1" si="10"/>
        <v/>
      </c>
      <c r="P666" t="str">
        <f ca="1">IF(TRIM(SUBSTITUTE(($C666&amp;" "&amp;$D666),CHAR(160)," "))="","",IFERROR(IF(ISNUMBER(SEARCH("INC",($C666&amp;" "&amp;$D666))),"INC",IF(ISNUMBER(SEARCH("OPI",($C666&amp;" "&amp;$D666))),"OPI",IF(ISNUMBER(SEARCH("DP",($C666&amp;" "&amp;$D666))),"DP","CONC")))&amp;" "&amp;TEXT(LOOKUP(9.99E+307,--MID(SUBSTITUTE(($C666&amp;" "&amp;$D666),CHAR(160)," "),SUMPRODUCT(MIN(FIND({0,1,2,3,4,5,6,7,8,9},SUBSTITUTE(($C666&amp;" "&amp;$D666),CHAR(160)," ")&amp;"0123456789"))),ROW(INDIRECT("1:6")))),"0"),"SIN NUMERO"))</f>
        <v/>
      </c>
      <c r="Q666" t="str">
        <f ca="1">IF($P666="","",IF(LEFT(UPPER($S666),9)="VERIFICAR","VERIFICAR",IF($A666="","SIN ESTADO",IF(AND($A666="Firmada",$H666=""),"FALTA FECHA DE FIRMA",IF(N($T666)=0,IF(AND(ISNUMBER($H666),$H666&gt;=DATE(2024,1,1)),"FALTA EN FIRMADAS","OK"),IF(OR($A666="Pendiente de presentación",$A666="Observado",$A666="En análisis",$A666="En instrucción",$A666="Suspendida",$A666="IT circulando",$A666="Para resolución",$A666="TDC"),"ABIERTA PERO ESTÁ EN FIRMADAS",IF($H666&lt;&gt;INDEX(firmadas!$F:$F,$T666),"FIRMA DISTINTA EN firmadas ("&amp;IF(INDEX(firmadas!$F:$F,$T666)="","vacía",DAY(INDEX(firmadas!$F:$F,$T666))&amp;"/"&amp;MONTH(INDEX(firmadas!$F:$F,$T666))&amp;"/"&amp;YEAR(INDEX(firmadas!$F:$F,$T666)))&amp;")",IF($G666&lt;&gt;INDEX(firmadas!$E:$E,$T666),"INGRESO DISTINTO EN firmadas ("&amp;IF(INDEX(firmadas!$E:$E,$T666)="","vacía",DAY(INDEX(firmadas!$E:$E,$T666))&amp;"/"&amp;MONTH(INDEX(firmadas!$E:$E,$T666))&amp;"/"&amp;YEAR(INDEX(firmadas!$E:$E,$T666)))&amp;")","OK"))))))))</f>
        <v/>
      </c>
      <c r="T666" t="str">
        <f ca="1">IF($P666="","",IFERROR(MATCH($P666,firmadas!$N:$N,0),IFERROR(MATCH("*/"&amp;MID($P666,FIND(" ",$P666)+1,9)&amp;"*",firmadas!$B:$B,0),0)))</f>
        <v/>
      </c>
    </row>
    <row r="667" spans="14:20" ht="15" customHeight="1" x14ac:dyDescent="0.25">
      <c r="N667" s="53" t="str">
        <f t="shared" ca="1" si="10"/>
        <v/>
      </c>
      <c r="P667" t="str">
        <f ca="1">IF(TRIM(SUBSTITUTE(($C667&amp;" "&amp;$D667),CHAR(160)," "))="","",IFERROR(IF(ISNUMBER(SEARCH("INC",($C667&amp;" "&amp;$D667))),"INC",IF(ISNUMBER(SEARCH("OPI",($C667&amp;" "&amp;$D667))),"OPI",IF(ISNUMBER(SEARCH("DP",($C667&amp;" "&amp;$D667))),"DP","CONC")))&amp;" "&amp;TEXT(LOOKUP(9.99E+307,--MID(SUBSTITUTE(($C667&amp;" "&amp;$D667),CHAR(160)," "),SUMPRODUCT(MIN(FIND({0,1,2,3,4,5,6,7,8,9},SUBSTITUTE(($C667&amp;" "&amp;$D667),CHAR(160)," ")&amp;"0123456789"))),ROW(INDIRECT("1:6")))),"0"),"SIN NUMERO"))</f>
        <v/>
      </c>
      <c r="Q667" t="str">
        <f ca="1">IF($P667="","",IF(LEFT(UPPER($S667),9)="VERIFICAR","VERIFICAR",IF($A667="","SIN ESTADO",IF(AND($A667="Firmada",$H667=""),"FALTA FECHA DE FIRMA",IF(N($T667)=0,IF(AND(ISNUMBER($H667),$H667&gt;=DATE(2024,1,1)),"FALTA EN FIRMADAS","OK"),IF(OR($A667="Pendiente de presentación",$A667="Observado",$A667="En análisis",$A667="En instrucción",$A667="Suspendida",$A667="IT circulando",$A667="Para resolución",$A667="TDC"),"ABIERTA PERO ESTÁ EN FIRMADAS",IF($H667&lt;&gt;INDEX(firmadas!$F:$F,$T667),"FIRMA DISTINTA EN firmadas ("&amp;IF(INDEX(firmadas!$F:$F,$T667)="","vacía",DAY(INDEX(firmadas!$F:$F,$T667))&amp;"/"&amp;MONTH(INDEX(firmadas!$F:$F,$T667))&amp;"/"&amp;YEAR(INDEX(firmadas!$F:$F,$T667)))&amp;")",IF($G667&lt;&gt;INDEX(firmadas!$E:$E,$T667),"INGRESO DISTINTO EN firmadas ("&amp;IF(INDEX(firmadas!$E:$E,$T667)="","vacía",DAY(INDEX(firmadas!$E:$E,$T667))&amp;"/"&amp;MONTH(INDEX(firmadas!$E:$E,$T667))&amp;"/"&amp;YEAR(INDEX(firmadas!$E:$E,$T667)))&amp;")","OK"))))))))</f>
        <v/>
      </c>
      <c r="T667" t="str">
        <f ca="1">IF($P667="","",IFERROR(MATCH($P667,firmadas!$N:$N,0),IFERROR(MATCH("*/"&amp;MID($P667,FIND(" ",$P667)+1,9)&amp;"*",firmadas!$B:$B,0),0)))</f>
        <v/>
      </c>
    </row>
    <row r="668" spans="14:20" ht="15" customHeight="1" x14ac:dyDescent="0.25">
      <c r="N668" s="53" t="str">
        <f t="shared" ca="1" si="10"/>
        <v/>
      </c>
      <c r="P668" t="str">
        <f ca="1">IF(TRIM(SUBSTITUTE(($C668&amp;" "&amp;$D668),CHAR(160)," "))="","",IFERROR(IF(ISNUMBER(SEARCH("INC",($C668&amp;" "&amp;$D668))),"INC",IF(ISNUMBER(SEARCH("OPI",($C668&amp;" "&amp;$D668))),"OPI",IF(ISNUMBER(SEARCH("DP",($C668&amp;" "&amp;$D668))),"DP","CONC")))&amp;" "&amp;TEXT(LOOKUP(9.99E+307,--MID(SUBSTITUTE(($C668&amp;" "&amp;$D668),CHAR(160)," "),SUMPRODUCT(MIN(FIND({0,1,2,3,4,5,6,7,8,9},SUBSTITUTE(($C668&amp;" "&amp;$D668),CHAR(160)," ")&amp;"0123456789"))),ROW(INDIRECT("1:6")))),"0"),"SIN NUMERO"))</f>
        <v/>
      </c>
      <c r="Q668" t="str">
        <f ca="1">IF($P668="","",IF(LEFT(UPPER($S668),9)="VERIFICAR","VERIFICAR",IF($A668="","SIN ESTADO",IF(AND($A668="Firmada",$H668=""),"FALTA FECHA DE FIRMA",IF(N($T668)=0,IF(AND(ISNUMBER($H668),$H668&gt;=DATE(2024,1,1)),"FALTA EN FIRMADAS","OK"),IF(OR($A668="Pendiente de presentación",$A668="Observado",$A668="En análisis",$A668="En instrucción",$A668="Suspendida",$A668="IT circulando",$A668="Para resolución",$A668="TDC"),"ABIERTA PERO ESTÁ EN FIRMADAS",IF($H668&lt;&gt;INDEX(firmadas!$F:$F,$T668),"FIRMA DISTINTA EN firmadas ("&amp;IF(INDEX(firmadas!$F:$F,$T668)="","vacía",DAY(INDEX(firmadas!$F:$F,$T668))&amp;"/"&amp;MONTH(INDEX(firmadas!$F:$F,$T668))&amp;"/"&amp;YEAR(INDEX(firmadas!$F:$F,$T668)))&amp;")",IF($G668&lt;&gt;INDEX(firmadas!$E:$E,$T668),"INGRESO DISTINTO EN firmadas ("&amp;IF(INDEX(firmadas!$E:$E,$T668)="","vacía",DAY(INDEX(firmadas!$E:$E,$T668))&amp;"/"&amp;MONTH(INDEX(firmadas!$E:$E,$T668))&amp;"/"&amp;YEAR(INDEX(firmadas!$E:$E,$T668)))&amp;")","OK"))))))))</f>
        <v/>
      </c>
      <c r="T668" t="str">
        <f ca="1">IF($P668="","",IFERROR(MATCH($P668,firmadas!$N:$N,0),IFERROR(MATCH("*/"&amp;MID($P668,FIND(" ",$P668)+1,9)&amp;"*",firmadas!$B:$B,0),0)))</f>
        <v/>
      </c>
    </row>
    <row r="669" spans="14:20" ht="15" customHeight="1" x14ac:dyDescent="0.25">
      <c r="N669" s="53" t="str">
        <f t="shared" ca="1" si="10"/>
        <v/>
      </c>
      <c r="P669" t="str">
        <f ca="1">IF(TRIM(SUBSTITUTE(($C669&amp;" "&amp;$D669),CHAR(160)," "))="","",IFERROR(IF(ISNUMBER(SEARCH("INC",($C669&amp;" "&amp;$D669))),"INC",IF(ISNUMBER(SEARCH("OPI",($C669&amp;" "&amp;$D669))),"OPI",IF(ISNUMBER(SEARCH("DP",($C669&amp;" "&amp;$D669))),"DP","CONC")))&amp;" "&amp;TEXT(LOOKUP(9.99E+307,--MID(SUBSTITUTE(($C669&amp;" "&amp;$D669),CHAR(160)," "),SUMPRODUCT(MIN(FIND({0,1,2,3,4,5,6,7,8,9},SUBSTITUTE(($C669&amp;" "&amp;$D669),CHAR(160)," ")&amp;"0123456789"))),ROW(INDIRECT("1:6")))),"0"),"SIN NUMERO"))</f>
        <v/>
      </c>
      <c r="Q669" t="str">
        <f ca="1">IF($P669="","",IF(LEFT(UPPER($S669),9)="VERIFICAR","VERIFICAR",IF($A669="","SIN ESTADO",IF(AND($A669="Firmada",$H669=""),"FALTA FECHA DE FIRMA",IF(N($T669)=0,IF(AND(ISNUMBER($H669),$H669&gt;=DATE(2024,1,1)),"FALTA EN FIRMADAS","OK"),IF(OR($A669="Pendiente de presentación",$A669="Observado",$A669="En análisis",$A669="En instrucción",$A669="Suspendida",$A669="IT circulando",$A669="Para resolución",$A669="TDC"),"ABIERTA PERO ESTÁ EN FIRMADAS",IF($H669&lt;&gt;INDEX(firmadas!$F:$F,$T669),"FIRMA DISTINTA EN firmadas ("&amp;IF(INDEX(firmadas!$F:$F,$T669)="","vacía",DAY(INDEX(firmadas!$F:$F,$T669))&amp;"/"&amp;MONTH(INDEX(firmadas!$F:$F,$T669))&amp;"/"&amp;YEAR(INDEX(firmadas!$F:$F,$T669)))&amp;")",IF($G669&lt;&gt;INDEX(firmadas!$E:$E,$T669),"INGRESO DISTINTO EN firmadas ("&amp;IF(INDEX(firmadas!$E:$E,$T669)="","vacía",DAY(INDEX(firmadas!$E:$E,$T669))&amp;"/"&amp;MONTH(INDEX(firmadas!$E:$E,$T669))&amp;"/"&amp;YEAR(INDEX(firmadas!$E:$E,$T669)))&amp;")","OK"))))))))</f>
        <v/>
      </c>
      <c r="T669" t="str">
        <f ca="1">IF($P669="","",IFERROR(MATCH($P669,firmadas!$N:$N,0),IFERROR(MATCH("*/"&amp;MID($P669,FIND(" ",$P669)+1,9)&amp;"*",firmadas!$B:$B,0),0)))</f>
        <v/>
      </c>
    </row>
    <row r="670" spans="14:20" ht="15" customHeight="1" x14ac:dyDescent="0.25">
      <c r="N670" s="53" t="str">
        <f t="shared" ca="1" si="10"/>
        <v/>
      </c>
      <c r="P670" t="str">
        <f ca="1">IF(TRIM(SUBSTITUTE(($C670&amp;" "&amp;$D670),CHAR(160)," "))="","",IFERROR(IF(ISNUMBER(SEARCH("INC",($C670&amp;" "&amp;$D670))),"INC",IF(ISNUMBER(SEARCH("OPI",($C670&amp;" "&amp;$D670))),"OPI",IF(ISNUMBER(SEARCH("DP",($C670&amp;" "&amp;$D670))),"DP","CONC")))&amp;" "&amp;TEXT(LOOKUP(9.99E+307,--MID(SUBSTITUTE(($C670&amp;" "&amp;$D670),CHAR(160)," "),SUMPRODUCT(MIN(FIND({0,1,2,3,4,5,6,7,8,9},SUBSTITUTE(($C670&amp;" "&amp;$D670),CHAR(160)," ")&amp;"0123456789"))),ROW(INDIRECT("1:6")))),"0"),"SIN NUMERO"))</f>
        <v/>
      </c>
      <c r="Q670" t="str">
        <f ca="1">IF($P670="","",IF(LEFT(UPPER($S670),9)="VERIFICAR","VERIFICAR",IF($A670="","SIN ESTADO",IF(AND($A670="Firmada",$H670=""),"FALTA FECHA DE FIRMA",IF(N($T670)=0,IF(AND(ISNUMBER($H670),$H670&gt;=DATE(2024,1,1)),"FALTA EN FIRMADAS","OK"),IF(OR($A670="Pendiente de presentación",$A670="Observado",$A670="En análisis",$A670="En instrucción",$A670="Suspendida",$A670="IT circulando",$A670="Para resolución",$A670="TDC"),"ABIERTA PERO ESTÁ EN FIRMADAS",IF($H670&lt;&gt;INDEX(firmadas!$F:$F,$T670),"FIRMA DISTINTA EN firmadas ("&amp;IF(INDEX(firmadas!$F:$F,$T670)="","vacía",DAY(INDEX(firmadas!$F:$F,$T670))&amp;"/"&amp;MONTH(INDEX(firmadas!$F:$F,$T670))&amp;"/"&amp;YEAR(INDEX(firmadas!$F:$F,$T670)))&amp;")",IF($G670&lt;&gt;INDEX(firmadas!$E:$E,$T670),"INGRESO DISTINTO EN firmadas ("&amp;IF(INDEX(firmadas!$E:$E,$T670)="","vacía",DAY(INDEX(firmadas!$E:$E,$T670))&amp;"/"&amp;MONTH(INDEX(firmadas!$E:$E,$T670))&amp;"/"&amp;YEAR(INDEX(firmadas!$E:$E,$T670)))&amp;")","OK"))))))))</f>
        <v/>
      </c>
      <c r="T670" t="str">
        <f ca="1">IF($P670="","",IFERROR(MATCH($P670,firmadas!$N:$N,0),IFERROR(MATCH("*/"&amp;MID($P670,FIND(" ",$P670)+1,9)&amp;"*",firmadas!$B:$B,0),0)))</f>
        <v/>
      </c>
    </row>
    <row r="671" spans="14:20" ht="15" customHeight="1" x14ac:dyDescent="0.25">
      <c r="N671" s="53" t="str">
        <f t="shared" ca="1" si="10"/>
        <v/>
      </c>
      <c r="P671" t="str">
        <f ca="1">IF(TRIM(SUBSTITUTE(($C671&amp;" "&amp;$D671),CHAR(160)," "))="","",IFERROR(IF(ISNUMBER(SEARCH("INC",($C671&amp;" "&amp;$D671))),"INC",IF(ISNUMBER(SEARCH("OPI",($C671&amp;" "&amp;$D671))),"OPI",IF(ISNUMBER(SEARCH("DP",($C671&amp;" "&amp;$D671))),"DP","CONC")))&amp;" "&amp;TEXT(LOOKUP(9.99E+307,--MID(SUBSTITUTE(($C671&amp;" "&amp;$D671),CHAR(160)," "),SUMPRODUCT(MIN(FIND({0,1,2,3,4,5,6,7,8,9},SUBSTITUTE(($C671&amp;" "&amp;$D671),CHAR(160)," ")&amp;"0123456789"))),ROW(INDIRECT("1:6")))),"0"),"SIN NUMERO"))</f>
        <v/>
      </c>
      <c r="Q671" t="str">
        <f ca="1">IF($P671="","",IF(LEFT(UPPER($S671),9)="VERIFICAR","VERIFICAR",IF($A671="","SIN ESTADO",IF(AND($A671="Firmada",$H671=""),"FALTA FECHA DE FIRMA",IF(N($T671)=0,IF(AND(ISNUMBER($H671),$H671&gt;=DATE(2024,1,1)),"FALTA EN FIRMADAS","OK"),IF(OR($A671="Pendiente de presentación",$A671="Observado",$A671="En análisis",$A671="En instrucción",$A671="Suspendida",$A671="IT circulando",$A671="Para resolución",$A671="TDC"),"ABIERTA PERO ESTÁ EN FIRMADAS",IF($H671&lt;&gt;INDEX(firmadas!$F:$F,$T671),"FIRMA DISTINTA EN firmadas ("&amp;IF(INDEX(firmadas!$F:$F,$T671)="","vacía",DAY(INDEX(firmadas!$F:$F,$T671))&amp;"/"&amp;MONTH(INDEX(firmadas!$F:$F,$T671))&amp;"/"&amp;YEAR(INDEX(firmadas!$F:$F,$T671)))&amp;")",IF($G671&lt;&gt;INDEX(firmadas!$E:$E,$T671),"INGRESO DISTINTO EN firmadas ("&amp;IF(INDEX(firmadas!$E:$E,$T671)="","vacía",DAY(INDEX(firmadas!$E:$E,$T671))&amp;"/"&amp;MONTH(INDEX(firmadas!$E:$E,$T671))&amp;"/"&amp;YEAR(INDEX(firmadas!$E:$E,$T671)))&amp;")","OK"))))))))</f>
        <v/>
      </c>
      <c r="T671" t="str">
        <f ca="1">IF($P671="","",IFERROR(MATCH($P671,firmadas!$N:$N,0),IFERROR(MATCH("*/"&amp;MID($P671,FIND(" ",$P671)+1,9)&amp;"*",firmadas!$B:$B,0),0)))</f>
        <v/>
      </c>
    </row>
    <row r="672" spans="14:20" ht="15" customHeight="1" x14ac:dyDescent="0.25">
      <c r="N672" s="53" t="str">
        <f t="shared" ca="1" si="10"/>
        <v/>
      </c>
      <c r="P672" t="str">
        <f ca="1">IF(TRIM(SUBSTITUTE(($C672&amp;" "&amp;$D672),CHAR(160)," "))="","",IFERROR(IF(ISNUMBER(SEARCH("INC",($C672&amp;" "&amp;$D672))),"INC",IF(ISNUMBER(SEARCH("OPI",($C672&amp;" "&amp;$D672))),"OPI",IF(ISNUMBER(SEARCH("DP",($C672&amp;" "&amp;$D672))),"DP","CONC")))&amp;" "&amp;TEXT(LOOKUP(9.99E+307,--MID(SUBSTITUTE(($C672&amp;" "&amp;$D672),CHAR(160)," "),SUMPRODUCT(MIN(FIND({0,1,2,3,4,5,6,7,8,9},SUBSTITUTE(($C672&amp;" "&amp;$D672),CHAR(160)," ")&amp;"0123456789"))),ROW(INDIRECT("1:6")))),"0"),"SIN NUMERO"))</f>
        <v/>
      </c>
      <c r="Q672" t="str">
        <f ca="1">IF($P672="","",IF(LEFT(UPPER($S672),9)="VERIFICAR","VERIFICAR",IF($A672="","SIN ESTADO",IF(AND($A672="Firmada",$H672=""),"FALTA FECHA DE FIRMA",IF(N($T672)=0,IF(AND(ISNUMBER($H672),$H672&gt;=DATE(2024,1,1)),"FALTA EN FIRMADAS","OK"),IF(OR($A672="Pendiente de presentación",$A672="Observado",$A672="En análisis",$A672="En instrucción",$A672="Suspendida",$A672="IT circulando",$A672="Para resolución",$A672="TDC"),"ABIERTA PERO ESTÁ EN FIRMADAS",IF($H672&lt;&gt;INDEX(firmadas!$F:$F,$T672),"FIRMA DISTINTA EN firmadas ("&amp;IF(INDEX(firmadas!$F:$F,$T672)="","vacía",DAY(INDEX(firmadas!$F:$F,$T672))&amp;"/"&amp;MONTH(INDEX(firmadas!$F:$F,$T672))&amp;"/"&amp;YEAR(INDEX(firmadas!$F:$F,$T672)))&amp;")",IF($G672&lt;&gt;INDEX(firmadas!$E:$E,$T672),"INGRESO DISTINTO EN firmadas ("&amp;IF(INDEX(firmadas!$E:$E,$T672)="","vacía",DAY(INDEX(firmadas!$E:$E,$T672))&amp;"/"&amp;MONTH(INDEX(firmadas!$E:$E,$T672))&amp;"/"&amp;YEAR(INDEX(firmadas!$E:$E,$T672)))&amp;")","OK"))))))))</f>
        <v/>
      </c>
      <c r="T672" t="str">
        <f ca="1">IF($P672="","",IFERROR(MATCH($P672,firmadas!$N:$N,0),IFERROR(MATCH("*/"&amp;MID($P672,FIND(" ",$P672)+1,9)&amp;"*",firmadas!$B:$B,0),0)))</f>
        <v/>
      </c>
    </row>
    <row r="673" spans="14:20" ht="15" customHeight="1" x14ac:dyDescent="0.25">
      <c r="N673" s="53" t="str">
        <f t="shared" ca="1" si="10"/>
        <v/>
      </c>
      <c r="P673" t="str">
        <f ca="1">IF(TRIM(SUBSTITUTE(($C673&amp;" "&amp;$D673),CHAR(160)," "))="","",IFERROR(IF(ISNUMBER(SEARCH("INC",($C673&amp;" "&amp;$D673))),"INC",IF(ISNUMBER(SEARCH("OPI",($C673&amp;" "&amp;$D673))),"OPI",IF(ISNUMBER(SEARCH("DP",($C673&amp;" "&amp;$D673))),"DP","CONC")))&amp;" "&amp;TEXT(LOOKUP(9.99E+307,--MID(SUBSTITUTE(($C673&amp;" "&amp;$D673),CHAR(160)," "),SUMPRODUCT(MIN(FIND({0,1,2,3,4,5,6,7,8,9},SUBSTITUTE(($C673&amp;" "&amp;$D673),CHAR(160)," ")&amp;"0123456789"))),ROW(INDIRECT("1:6")))),"0"),"SIN NUMERO"))</f>
        <v/>
      </c>
      <c r="Q673" t="str">
        <f ca="1">IF($P673="","",IF(LEFT(UPPER($S673),9)="VERIFICAR","VERIFICAR",IF($A673="","SIN ESTADO",IF(AND($A673="Firmada",$H673=""),"FALTA FECHA DE FIRMA",IF(N($T673)=0,IF(AND(ISNUMBER($H673),$H673&gt;=DATE(2024,1,1)),"FALTA EN FIRMADAS","OK"),IF(OR($A673="Pendiente de presentación",$A673="Observado",$A673="En análisis",$A673="En instrucción",$A673="Suspendida",$A673="IT circulando",$A673="Para resolución",$A673="TDC"),"ABIERTA PERO ESTÁ EN FIRMADAS",IF($H673&lt;&gt;INDEX(firmadas!$F:$F,$T673),"FIRMA DISTINTA EN firmadas ("&amp;IF(INDEX(firmadas!$F:$F,$T673)="","vacía",DAY(INDEX(firmadas!$F:$F,$T673))&amp;"/"&amp;MONTH(INDEX(firmadas!$F:$F,$T673))&amp;"/"&amp;YEAR(INDEX(firmadas!$F:$F,$T673)))&amp;")",IF($G673&lt;&gt;INDEX(firmadas!$E:$E,$T673),"INGRESO DISTINTO EN firmadas ("&amp;IF(INDEX(firmadas!$E:$E,$T673)="","vacía",DAY(INDEX(firmadas!$E:$E,$T673))&amp;"/"&amp;MONTH(INDEX(firmadas!$E:$E,$T673))&amp;"/"&amp;YEAR(INDEX(firmadas!$E:$E,$T673)))&amp;")","OK"))))))))</f>
        <v/>
      </c>
      <c r="T673" t="str">
        <f ca="1">IF($P673="","",IFERROR(MATCH($P673,firmadas!$N:$N,0),IFERROR(MATCH("*/"&amp;MID($P673,FIND(" ",$P673)+1,9)&amp;"*",firmadas!$B:$B,0),0)))</f>
        <v/>
      </c>
    </row>
    <row r="674" spans="14:20" ht="15" customHeight="1" x14ac:dyDescent="0.25">
      <c r="N674" s="53" t="str">
        <f t="shared" ca="1" si="10"/>
        <v/>
      </c>
      <c r="P674" t="str">
        <f ca="1">IF(TRIM(SUBSTITUTE(($C674&amp;" "&amp;$D674),CHAR(160)," "))="","",IFERROR(IF(ISNUMBER(SEARCH("INC",($C674&amp;" "&amp;$D674))),"INC",IF(ISNUMBER(SEARCH("OPI",($C674&amp;" "&amp;$D674))),"OPI",IF(ISNUMBER(SEARCH("DP",($C674&amp;" "&amp;$D674))),"DP","CONC")))&amp;" "&amp;TEXT(LOOKUP(9.99E+307,--MID(SUBSTITUTE(($C674&amp;" "&amp;$D674),CHAR(160)," "),SUMPRODUCT(MIN(FIND({0,1,2,3,4,5,6,7,8,9},SUBSTITUTE(($C674&amp;" "&amp;$D674),CHAR(160)," ")&amp;"0123456789"))),ROW(INDIRECT("1:6")))),"0"),"SIN NUMERO"))</f>
        <v/>
      </c>
      <c r="Q674" t="str">
        <f ca="1">IF($P674="","",IF(LEFT(UPPER($S674),9)="VERIFICAR","VERIFICAR",IF($A674="","SIN ESTADO",IF(AND($A674="Firmada",$H674=""),"FALTA FECHA DE FIRMA",IF(N($T674)=0,IF(AND(ISNUMBER($H674),$H674&gt;=DATE(2024,1,1)),"FALTA EN FIRMADAS","OK"),IF(OR($A674="Pendiente de presentación",$A674="Observado",$A674="En análisis",$A674="En instrucción",$A674="Suspendida",$A674="IT circulando",$A674="Para resolución",$A674="TDC"),"ABIERTA PERO ESTÁ EN FIRMADAS",IF($H674&lt;&gt;INDEX(firmadas!$F:$F,$T674),"FIRMA DISTINTA EN firmadas ("&amp;IF(INDEX(firmadas!$F:$F,$T674)="","vacía",DAY(INDEX(firmadas!$F:$F,$T674))&amp;"/"&amp;MONTH(INDEX(firmadas!$F:$F,$T674))&amp;"/"&amp;YEAR(INDEX(firmadas!$F:$F,$T674)))&amp;")",IF($G674&lt;&gt;INDEX(firmadas!$E:$E,$T674),"INGRESO DISTINTO EN firmadas ("&amp;IF(INDEX(firmadas!$E:$E,$T674)="","vacía",DAY(INDEX(firmadas!$E:$E,$T674))&amp;"/"&amp;MONTH(INDEX(firmadas!$E:$E,$T674))&amp;"/"&amp;YEAR(INDEX(firmadas!$E:$E,$T674)))&amp;")","OK"))))))))</f>
        <v/>
      </c>
      <c r="T674" t="str">
        <f ca="1">IF($P674="","",IFERROR(MATCH($P674,firmadas!$N:$N,0),IFERROR(MATCH("*/"&amp;MID($P674,FIND(" ",$P674)+1,9)&amp;"*",firmadas!$B:$B,0),0)))</f>
        <v/>
      </c>
    </row>
    <row r="675" spans="14:20" ht="15" customHeight="1" x14ac:dyDescent="0.25">
      <c r="N675" s="53" t="str">
        <f t="shared" ca="1" si="10"/>
        <v/>
      </c>
      <c r="P675" t="str">
        <f ca="1">IF(TRIM(SUBSTITUTE(($C675&amp;" "&amp;$D675),CHAR(160)," "))="","",IFERROR(IF(ISNUMBER(SEARCH("INC",($C675&amp;" "&amp;$D675))),"INC",IF(ISNUMBER(SEARCH("OPI",($C675&amp;" "&amp;$D675))),"OPI",IF(ISNUMBER(SEARCH("DP",($C675&amp;" "&amp;$D675))),"DP","CONC")))&amp;" "&amp;TEXT(LOOKUP(9.99E+307,--MID(SUBSTITUTE(($C675&amp;" "&amp;$D675),CHAR(160)," "),SUMPRODUCT(MIN(FIND({0,1,2,3,4,5,6,7,8,9},SUBSTITUTE(($C675&amp;" "&amp;$D675),CHAR(160)," ")&amp;"0123456789"))),ROW(INDIRECT("1:6")))),"0"),"SIN NUMERO"))</f>
        <v/>
      </c>
      <c r="Q675" t="str">
        <f ca="1">IF($P675="","",IF(LEFT(UPPER($S675),9)="VERIFICAR","VERIFICAR",IF($A675="","SIN ESTADO",IF(AND($A675="Firmada",$H675=""),"FALTA FECHA DE FIRMA",IF(N($T675)=0,IF(AND(ISNUMBER($H675),$H675&gt;=DATE(2024,1,1)),"FALTA EN FIRMADAS","OK"),IF(OR($A675="Pendiente de presentación",$A675="Observado",$A675="En análisis",$A675="En instrucción",$A675="Suspendida",$A675="IT circulando",$A675="Para resolución",$A675="TDC"),"ABIERTA PERO ESTÁ EN FIRMADAS",IF($H675&lt;&gt;INDEX(firmadas!$F:$F,$T675),"FIRMA DISTINTA EN firmadas ("&amp;IF(INDEX(firmadas!$F:$F,$T675)="","vacía",DAY(INDEX(firmadas!$F:$F,$T675))&amp;"/"&amp;MONTH(INDEX(firmadas!$F:$F,$T675))&amp;"/"&amp;YEAR(INDEX(firmadas!$F:$F,$T675)))&amp;")",IF($G675&lt;&gt;INDEX(firmadas!$E:$E,$T675),"INGRESO DISTINTO EN firmadas ("&amp;IF(INDEX(firmadas!$E:$E,$T675)="","vacía",DAY(INDEX(firmadas!$E:$E,$T675))&amp;"/"&amp;MONTH(INDEX(firmadas!$E:$E,$T675))&amp;"/"&amp;YEAR(INDEX(firmadas!$E:$E,$T675)))&amp;")","OK"))))))))</f>
        <v/>
      </c>
      <c r="T675" t="str">
        <f ca="1">IF($P675="","",IFERROR(MATCH($P675,firmadas!$N:$N,0),IFERROR(MATCH("*/"&amp;MID($P675,FIND(" ",$P675)+1,9)&amp;"*",firmadas!$B:$B,0),0)))</f>
        <v/>
      </c>
    </row>
    <row r="676" spans="14:20" ht="15" customHeight="1" x14ac:dyDescent="0.25">
      <c r="N676" s="53" t="str">
        <f t="shared" ca="1" si="10"/>
        <v/>
      </c>
      <c r="P676" t="str">
        <f ca="1">IF(TRIM(SUBSTITUTE(($C676&amp;" "&amp;$D676),CHAR(160)," "))="","",IFERROR(IF(ISNUMBER(SEARCH("INC",($C676&amp;" "&amp;$D676))),"INC",IF(ISNUMBER(SEARCH("OPI",($C676&amp;" "&amp;$D676))),"OPI",IF(ISNUMBER(SEARCH("DP",($C676&amp;" "&amp;$D676))),"DP","CONC")))&amp;" "&amp;TEXT(LOOKUP(9.99E+307,--MID(SUBSTITUTE(($C676&amp;" "&amp;$D676),CHAR(160)," "),SUMPRODUCT(MIN(FIND({0,1,2,3,4,5,6,7,8,9},SUBSTITUTE(($C676&amp;" "&amp;$D676),CHAR(160)," ")&amp;"0123456789"))),ROW(INDIRECT("1:6")))),"0"),"SIN NUMERO"))</f>
        <v/>
      </c>
      <c r="Q676" t="str">
        <f ca="1">IF($P676="","",IF(LEFT(UPPER($S676),9)="VERIFICAR","VERIFICAR",IF($A676="","SIN ESTADO",IF(AND($A676="Firmada",$H676=""),"FALTA FECHA DE FIRMA",IF(N($T676)=0,IF(AND(ISNUMBER($H676),$H676&gt;=DATE(2024,1,1)),"FALTA EN FIRMADAS","OK"),IF(OR($A676="Pendiente de presentación",$A676="Observado",$A676="En análisis",$A676="En instrucción",$A676="Suspendida",$A676="IT circulando",$A676="Para resolución",$A676="TDC"),"ABIERTA PERO ESTÁ EN FIRMADAS",IF($H676&lt;&gt;INDEX(firmadas!$F:$F,$T676),"FIRMA DISTINTA EN firmadas ("&amp;IF(INDEX(firmadas!$F:$F,$T676)="","vacía",DAY(INDEX(firmadas!$F:$F,$T676))&amp;"/"&amp;MONTH(INDEX(firmadas!$F:$F,$T676))&amp;"/"&amp;YEAR(INDEX(firmadas!$F:$F,$T676)))&amp;")",IF($G676&lt;&gt;INDEX(firmadas!$E:$E,$T676),"INGRESO DISTINTO EN firmadas ("&amp;IF(INDEX(firmadas!$E:$E,$T676)="","vacía",DAY(INDEX(firmadas!$E:$E,$T676))&amp;"/"&amp;MONTH(INDEX(firmadas!$E:$E,$T676))&amp;"/"&amp;YEAR(INDEX(firmadas!$E:$E,$T676)))&amp;")","OK"))))))))</f>
        <v/>
      </c>
      <c r="T676" t="str">
        <f ca="1">IF($P676="","",IFERROR(MATCH($P676,firmadas!$N:$N,0),IFERROR(MATCH("*/"&amp;MID($P676,FIND(" ",$P676)+1,9)&amp;"*",firmadas!$B:$B,0),0)))</f>
        <v/>
      </c>
    </row>
    <row r="677" spans="14:20" ht="15" customHeight="1" x14ac:dyDescent="0.25">
      <c r="N677" s="53" t="str">
        <f t="shared" ca="1" si="10"/>
        <v/>
      </c>
      <c r="P677" t="str">
        <f ca="1">IF(TRIM(SUBSTITUTE(($C677&amp;" "&amp;$D677),CHAR(160)," "))="","",IFERROR(IF(ISNUMBER(SEARCH("INC",($C677&amp;" "&amp;$D677))),"INC",IF(ISNUMBER(SEARCH("OPI",($C677&amp;" "&amp;$D677))),"OPI",IF(ISNUMBER(SEARCH("DP",($C677&amp;" "&amp;$D677))),"DP","CONC")))&amp;" "&amp;TEXT(LOOKUP(9.99E+307,--MID(SUBSTITUTE(($C677&amp;" "&amp;$D677),CHAR(160)," "),SUMPRODUCT(MIN(FIND({0,1,2,3,4,5,6,7,8,9},SUBSTITUTE(($C677&amp;" "&amp;$D677),CHAR(160)," ")&amp;"0123456789"))),ROW(INDIRECT("1:6")))),"0"),"SIN NUMERO"))</f>
        <v/>
      </c>
      <c r="Q677" t="str">
        <f ca="1">IF($P677="","",IF(LEFT(UPPER($S677),9)="VERIFICAR","VERIFICAR",IF($A677="","SIN ESTADO",IF(AND($A677="Firmada",$H677=""),"FALTA FECHA DE FIRMA",IF(N($T677)=0,IF(AND(ISNUMBER($H677),$H677&gt;=DATE(2024,1,1)),"FALTA EN FIRMADAS","OK"),IF(OR($A677="Pendiente de presentación",$A677="Observado",$A677="En análisis",$A677="En instrucción",$A677="Suspendida",$A677="IT circulando",$A677="Para resolución",$A677="TDC"),"ABIERTA PERO ESTÁ EN FIRMADAS",IF($H677&lt;&gt;INDEX(firmadas!$F:$F,$T677),"FIRMA DISTINTA EN firmadas ("&amp;IF(INDEX(firmadas!$F:$F,$T677)="","vacía",DAY(INDEX(firmadas!$F:$F,$T677))&amp;"/"&amp;MONTH(INDEX(firmadas!$F:$F,$T677))&amp;"/"&amp;YEAR(INDEX(firmadas!$F:$F,$T677)))&amp;")",IF($G677&lt;&gt;INDEX(firmadas!$E:$E,$T677),"INGRESO DISTINTO EN firmadas ("&amp;IF(INDEX(firmadas!$E:$E,$T677)="","vacía",DAY(INDEX(firmadas!$E:$E,$T677))&amp;"/"&amp;MONTH(INDEX(firmadas!$E:$E,$T677))&amp;"/"&amp;YEAR(INDEX(firmadas!$E:$E,$T677)))&amp;")","OK"))))))))</f>
        <v/>
      </c>
      <c r="T677" t="str">
        <f ca="1">IF($P677="","",IFERROR(MATCH($P677,firmadas!$N:$N,0),IFERROR(MATCH("*/"&amp;MID($P677,FIND(" ",$P677)+1,9)&amp;"*",firmadas!$B:$B,0),0)))</f>
        <v/>
      </c>
    </row>
    <row r="678" spans="14:20" ht="15" customHeight="1" x14ac:dyDescent="0.25">
      <c r="N678" s="53" t="str">
        <f t="shared" ca="1" si="10"/>
        <v/>
      </c>
      <c r="P678" t="str">
        <f ca="1">IF(TRIM(SUBSTITUTE(($C678&amp;" "&amp;$D678),CHAR(160)," "))="","",IFERROR(IF(ISNUMBER(SEARCH("INC",($C678&amp;" "&amp;$D678))),"INC",IF(ISNUMBER(SEARCH("OPI",($C678&amp;" "&amp;$D678))),"OPI",IF(ISNUMBER(SEARCH("DP",($C678&amp;" "&amp;$D678))),"DP","CONC")))&amp;" "&amp;TEXT(LOOKUP(9.99E+307,--MID(SUBSTITUTE(($C678&amp;" "&amp;$D678),CHAR(160)," "),SUMPRODUCT(MIN(FIND({0,1,2,3,4,5,6,7,8,9},SUBSTITUTE(($C678&amp;" "&amp;$D678),CHAR(160)," ")&amp;"0123456789"))),ROW(INDIRECT("1:6")))),"0"),"SIN NUMERO"))</f>
        <v/>
      </c>
      <c r="Q678" t="str">
        <f ca="1">IF($P678="","",IF(LEFT(UPPER($S678),9)="VERIFICAR","VERIFICAR",IF($A678="","SIN ESTADO",IF(AND($A678="Firmada",$H678=""),"FALTA FECHA DE FIRMA",IF(N($T678)=0,IF(AND(ISNUMBER($H678),$H678&gt;=DATE(2024,1,1)),"FALTA EN FIRMADAS","OK"),IF(OR($A678="Pendiente de presentación",$A678="Observado",$A678="En análisis",$A678="En instrucción",$A678="Suspendida",$A678="IT circulando",$A678="Para resolución",$A678="TDC"),"ABIERTA PERO ESTÁ EN FIRMADAS",IF($H678&lt;&gt;INDEX(firmadas!$F:$F,$T678),"FIRMA DISTINTA EN firmadas ("&amp;IF(INDEX(firmadas!$F:$F,$T678)="","vacía",DAY(INDEX(firmadas!$F:$F,$T678))&amp;"/"&amp;MONTH(INDEX(firmadas!$F:$F,$T678))&amp;"/"&amp;YEAR(INDEX(firmadas!$F:$F,$T678)))&amp;")",IF($G678&lt;&gt;INDEX(firmadas!$E:$E,$T678),"INGRESO DISTINTO EN firmadas ("&amp;IF(INDEX(firmadas!$E:$E,$T678)="","vacía",DAY(INDEX(firmadas!$E:$E,$T678))&amp;"/"&amp;MONTH(INDEX(firmadas!$E:$E,$T678))&amp;"/"&amp;YEAR(INDEX(firmadas!$E:$E,$T678)))&amp;")","OK"))))))))</f>
        <v/>
      </c>
      <c r="T678" t="str">
        <f ca="1">IF($P678="","",IFERROR(MATCH($P678,firmadas!$N:$N,0),IFERROR(MATCH("*/"&amp;MID($P678,FIND(" ",$P678)+1,9)&amp;"*",firmadas!$B:$B,0),0)))</f>
        <v/>
      </c>
    </row>
    <row r="679" spans="14:20" ht="15" customHeight="1" x14ac:dyDescent="0.25">
      <c r="N679" s="53" t="str">
        <f t="shared" ca="1" si="10"/>
        <v/>
      </c>
      <c r="P679" t="str">
        <f ca="1">IF(TRIM(SUBSTITUTE(($C679&amp;" "&amp;$D679),CHAR(160)," "))="","",IFERROR(IF(ISNUMBER(SEARCH("INC",($C679&amp;" "&amp;$D679))),"INC",IF(ISNUMBER(SEARCH("OPI",($C679&amp;" "&amp;$D679))),"OPI",IF(ISNUMBER(SEARCH("DP",($C679&amp;" "&amp;$D679))),"DP","CONC")))&amp;" "&amp;TEXT(LOOKUP(9.99E+307,--MID(SUBSTITUTE(($C679&amp;" "&amp;$D679),CHAR(160)," "),SUMPRODUCT(MIN(FIND({0,1,2,3,4,5,6,7,8,9},SUBSTITUTE(($C679&amp;" "&amp;$D679),CHAR(160)," ")&amp;"0123456789"))),ROW(INDIRECT("1:6")))),"0"),"SIN NUMERO"))</f>
        <v/>
      </c>
      <c r="Q679" t="str">
        <f ca="1">IF($P679="","",IF(LEFT(UPPER($S679),9)="VERIFICAR","VERIFICAR",IF($A679="","SIN ESTADO",IF(AND($A679="Firmada",$H679=""),"FALTA FECHA DE FIRMA",IF(N($T679)=0,IF(AND(ISNUMBER($H679),$H679&gt;=DATE(2024,1,1)),"FALTA EN FIRMADAS","OK"),IF(OR($A679="Pendiente de presentación",$A679="Observado",$A679="En análisis",$A679="En instrucción",$A679="Suspendida",$A679="IT circulando",$A679="Para resolución",$A679="TDC"),"ABIERTA PERO ESTÁ EN FIRMADAS",IF($H679&lt;&gt;INDEX(firmadas!$F:$F,$T679),"FIRMA DISTINTA EN firmadas ("&amp;IF(INDEX(firmadas!$F:$F,$T679)="","vacía",DAY(INDEX(firmadas!$F:$F,$T679))&amp;"/"&amp;MONTH(INDEX(firmadas!$F:$F,$T679))&amp;"/"&amp;YEAR(INDEX(firmadas!$F:$F,$T679)))&amp;")",IF($G679&lt;&gt;INDEX(firmadas!$E:$E,$T679),"INGRESO DISTINTO EN firmadas ("&amp;IF(INDEX(firmadas!$E:$E,$T679)="","vacía",DAY(INDEX(firmadas!$E:$E,$T679))&amp;"/"&amp;MONTH(INDEX(firmadas!$E:$E,$T679))&amp;"/"&amp;YEAR(INDEX(firmadas!$E:$E,$T679)))&amp;")","OK"))))))))</f>
        <v/>
      </c>
      <c r="T679" t="str">
        <f ca="1">IF($P679="","",IFERROR(MATCH($P679,firmadas!$N:$N,0),IFERROR(MATCH("*/"&amp;MID($P679,FIND(" ",$P679)+1,9)&amp;"*",firmadas!$B:$B,0),0)))</f>
        <v/>
      </c>
    </row>
    <row r="680" spans="14:20" ht="15" customHeight="1" x14ac:dyDescent="0.25">
      <c r="N680" s="53" t="str">
        <f t="shared" ca="1" si="10"/>
        <v/>
      </c>
      <c r="P680" t="str">
        <f ca="1">IF(TRIM(SUBSTITUTE(($C680&amp;" "&amp;$D680),CHAR(160)," "))="","",IFERROR(IF(ISNUMBER(SEARCH("INC",($C680&amp;" "&amp;$D680))),"INC",IF(ISNUMBER(SEARCH("OPI",($C680&amp;" "&amp;$D680))),"OPI",IF(ISNUMBER(SEARCH("DP",($C680&amp;" "&amp;$D680))),"DP","CONC")))&amp;" "&amp;TEXT(LOOKUP(9.99E+307,--MID(SUBSTITUTE(($C680&amp;" "&amp;$D680),CHAR(160)," "),SUMPRODUCT(MIN(FIND({0,1,2,3,4,5,6,7,8,9},SUBSTITUTE(($C680&amp;" "&amp;$D680),CHAR(160)," ")&amp;"0123456789"))),ROW(INDIRECT("1:6")))),"0"),"SIN NUMERO"))</f>
        <v/>
      </c>
      <c r="Q680" t="str">
        <f ca="1">IF($P680="","",IF(LEFT(UPPER($S680),9)="VERIFICAR","VERIFICAR",IF($A680="","SIN ESTADO",IF(AND($A680="Firmada",$H680=""),"FALTA FECHA DE FIRMA",IF(N($T680)=0,IF(AND(ISNUMBER($H680),$H680&gt;=DATE(2024,1,1)),"FALTA EN FIRMADAS","OK"),IF(OR($A680="Pendiente de presentación",$A680="Observado",$A680="En análisis",$A680="En instrucción",$A680="Suspendida",$A680="IT circulando",$A680="Para resolución",$A680="TDC"),"ABIERTA PERO ESTÁ EN FIRMADAS",IF($H680&lt;&gt;INDEX(firmadas!$F:$F,$T680),"FIRMA DISTINTA EN firmadas ("&amp;IF(INDEX(firmadas!$F:$F,$T680)="","vacía",DAY(INDEX(firmadas!$F:$F,$T680))&amp;"/"&amp;MONTH(INDEX(firmadas!$F:$F,$T680))&amp;"/"&amp;YEAR(INDEX(firmadas!$F:$F,$T680)))&amp;")",IF($G680&lt;&gt;INDEX(firmadas!$E:$E,$T680),"INGRESO DISTINTO EN firmadas ("&amp;IF(INDEX(firmadas!$E:$E,$T680)="","vacía",DAY(INDEX(firmadas!$E:$E,$T680))&amp;"/"&amp;MONTH(INDEX(firmadas!$E:$E,$T680))&amp;"/"&amp;YEAR(INDEX(firmadas!$E:$E,$T680)))&amp;")","OK"))))))))</f>
        <v/>
      </c>
      <c r="T680" t="str">
        <f ca="1">IF($P680="","",IFERROR(MATCH($P680,firmadas!$N:$N,0),IFERROR(MATCH("*/"&amp;MID($P680,FIND(" ",$P680)+1,9)&amp;"*",firmadas!$B:$B,0),0)))</f>
        <v/>
      </c>
    </row>
    <row r="681" spans="14:20" ht="15" customHeight="1" x14ac:dyDescent="0.25">
      <c r="N681" s="53" t="str">
        <f t="shared" ca="1" si="10"/>
        <v/>
      </c>
      <c r="P681" t="str">
        <f ca="1">IF(TRIM(SUBSTITUTE(($C681&amp;" "&amp;$D681),CHAR(160)," "))="","",IFERROR(IF(ISNUMBER(SEARCH("INC",($C681&amp;" "&amp;$D681))),"INC",IF(ISNUMBER(SEARCH("OPI",($C681&amp;" "&amp;$D681))),"OPI",IF(ISNUMBER(SEARCH("DP",($C681&amp;" "&amp;$D681))),"DP","CONC")))&amp;" "&amp;TEXT(LOOKUP(9.99E+307,--MID(SUBSTITUTE(($C681&amp;" "&amp;$D681),CHAR(160)," "),SUMPRODUCT(MIN(FIND({0,1,2,3,4,5,6,7,8,9},SUBSTITUTE(($C681&amp;" "&amp;$D681),CHAR(160)," ")&amp;"0123456789"))),ROW(INDIRECT("1:6")))),"0"),"SIN NUMERO"))</f>
        <v/>
      </c>
      <c r="Q681" t="str">
        <f ca="1">IF($P681="","",IF(LEFT(UPPER($S681),9)="VERIFICAR","VERIFICAR",IF($A681="","SIN ESTADO",IF(AND($A681="Firmada",$H681=""),"FALTA FECHA DE FIRMA",IF(N($T681)=0,IF(AND(ISNUMBER($H681),$H681&gt;=DATE(2024,1,1)),"FALTA EN FIRMADAS","OK"),IF(OR($A681="Pendiente de presentación",$A681="Observado",$A681="En análisis",$A681="En instrucción",$A681="Suspendida",$A681="IT circulando",$A681="Para resolución",$A681="TDC"),"ABIERTA PERO ESTÁ EN FIRMADAS",IF($H681&lt;&gt;INDEX(firmadas!$F:$F,$T681),"FIRMA DISTINTA EN firmadas ("&amp;IF(INDEX(firmadas!$F:$F,$T681)="","vacía",DAY(INDEX(firmadas!$F:$F,$T681))&amp;"/"&amp;MONTH(INDEX(firmadas!$F:$F,$T681))&amp;"/"&amp;YEAR(INDEX(firmadas!$F:$F,$T681)))&amp;")",IF($G681&lt;&gt;INDEX(firmadas!$E:$E,$T681),"INGRESO DISTINTO EN firmadas ("&amp;IF(INDEX(firmadas!$E:$E,$T681)="","vacía",DAY(INDEX(firmadas!$E:$E,$T681))&amp;"/"&amp;MONTH(INDEX(firmadas!$E:$E,$T681))&amp;"/"&amp;YEAR(INDEX(firmadas!$E:$E,$T681)))&amp;")","OK"))))))))</f>
        <v/>
      </c>
      <c r="T681" t="str">
        <f ca="1">IF($P681="","",IFERROR(MATCH($P681,firmadas!$N:$N,0),IFERROR(MATCH("*/"&amp;MID($P681,FIND(" ",$P681)+1,9)&amp;"*",firmadas!$B:$B,0),0)))</f>
        <v/>
      </c>
    </row>
    <row r="682" spans="14:20" ht="15" customHeight="1" x14ac:dyDescent="0.25">
      <c r="N682" s="53" t="str">
        <f t="shared" ca="1" si="10"/>
        <v/>
      </c>
      <c r="P682" t="str">
        <f ca="1">IF(TRIM(SUBSTITUTE(($C682&amp;" "&amp;$D682),CHAR(160)," "))="","",IFERROR(IF(ISNUMBER(SEARCH("INC",($C682&amp;" "&amp;$D682))),"INC",IF(ISNUMBER(SEARCH("OPI",($C682&amp;" "&amp;$D682))),"OPI",IF(ISNUMBER(SEARCH("DP",($C682&amp;" "&amp;$D682))),"DP","CONC")))&amp;" "&amp;TEXT(LOOKUP(9.99E+307,--MID(SUBSTITUTE(($C682&amp;" "&amp;$D682),CHAR(160)," "),SUMPRODUCT(MIN(FIND({0,1,2,3,4,5,6,7,8,9},SUBSTITUTE(($C682&amp;" "&amp;$D682),CHAR(160)," ")&amp;"0123456789"))),ROW(INDIRECT("1:6")))),"0"),"SIN NUMERO"))</f>
        <v/>
      </c>
      <c r="Q682" t="str">
        <f ca="1">IF($P682="","",IF(LEFT(UPPER($S682),9)="VERIFICAR","VERIFICAR",IF($A682="","SIN ESTADO",IF(AND($A682="Firmada",$H682=""),"FALTA FECHA DE FIRMA",IF(N($T682)=0,IF(AND(ISNUMBER($H682),$H682&gt;=DATE(2024,1,1)),"FALTA EN FIRMADAS","OK"),IF(OR($A682="Pendiente de presentación",$A682="Observado",$A682="En análisis",$A682="En instrucción",$A682="Suspendida",$A682="IT circulando",$A682="Para resolución",$A682="TDC"),"ABIERTA PERO ESTÁ EN FIRMADAS",IF($H682&lt;&gt;INDEX(firmadas!$F:$F,$T682),"FIRMA DISTINTA EN firmadas ("&amp;IF(INDEX(firmadas!$F:$F,$T682)="","vacía",DAY(INDEX(firmadas!$F:$F,$T682))&amp;"/"&amp;MONTH(INDEX(firmadas!$F:$F,$T682))&amp;"/"&amp;YEAR(INDEX(firmadas!$F:$F,$T682)))&amp;")",IF($G682&lt;&gt;INDEX(firmadas!$E:$E,$T682),"INGRESO DISTINTO EN firmadas ("&amp;IF(INDEX(firmadas!$E:$E,$T682)="","vacía",DAY(INDEX(firmadas!$E:$E,$T682))&amp;"/"&amp;MONTH(INDEX(firmadas!$E:$E,$T682))&amp;"/"&amp;YEAR(INDEX(firmadas!$E:$E,$T682)))&amp;")","OK"))))))))</f>
        <v/>
      </c>
      <c r="T682" t="str">
        <f ca="1">IF($P682="","",IFERROR(MATCH($P682,firmadas!$N:$N,0),IFERROR(MATCH("*/"&amp;MID($P682,FIND(" ",$P682)+1,9)&amp;"*",firmadas!$B:$B,0),0)))</f>
        <v/>
      </c>
    </row>
    <row r="683" spans="14:20" ht="15" customHeight="1" x14ac:dyDescent="0.25">
      <c r="N683" s="53" t="str">
        <f t="shared" ca="1" si="10"/>
        <v/>
      </c>
      <c r="P683" t="str">
        <f ca="1">IF(TRIM(SUBSTITUTE(($C683&amp;" "&amp;$D683),CHAR(160)," "))="","",IFERROR(IF(ISNUMBER(SEARCH("INC",($C683&amp;" "&amp;$D683))),"INC",IF(ISNUMBER(SEARCH("OPI",($C683&amp;" "&amp;$D683))),"OPI",IF(ISNUMBER(SEARCH("DP",($C683&amp;" "&amp;$D683))),"DP","CONC")))&amp;" "&amp;TEXT(LOOKUP(9.99E+307,--MID(SUBSTITUTE(($C683&amp;" "&amp;$D683),CHAR(160)," "),SUMPRODUCT(MIN(FIND({0,1,2,3,4,5,6,7,8,9},SUBSTITUTE(($C683&amp;" "&amp;$D683),CHAR(160)," ")&amp;"0123456789"))),ROW(INDIRECT("1:6")))),"0"),"SIN NUMERO"))</f>
        <v/>
      </c>
      <c r="Q683" t="str">
        <f ca="1">IF($P683="","",IF(LEFT(UPPER($S683),9)="VERIFICAR","VERIFICAR",IF($A683="","SIN ESTADO",IF(AND($A683="Firmada",$H683=""),"FALTA FECHA DE FIRMA",IF(N($T683)=0,IF(AND(ISNUMBER($H683),$H683&gt;=DATE(2024,1,1)),"FALTA EN FIRMADAS","OK"),IF(OR($A683="Pendiente de presentación",$A683="Observado",$A683="En análisis",$A683="En instrucción",$A683="Suspendida",$A683="IT circulando",$A683="Para resolución",$A683="TDC"),"ABIERTA PERO ESTÁ EN FIRMADAS",IF($H683&lt;&gt;INDEX(firmadas!$F:$F,$T683),"FIRMA DISTINTA EN firmadas ("&amp;IF(INDEX(firmadas!$F:$F,$T683)="","vacía",DAY(INDEX(firmadas!$F:$F,$T683))&amp;"/"&amp;MONTH(INDEX(firmadas!$F:$F,$T683))&amp;"/"&amp;YEAR(INDEX(firmadas!$F:$F,$T683)))&amp;")",IF($G683&lt;&gt;INDEX(firmadas!$E:$E,$T683),"INGRESO DISTINTO EN firmadas ("&amp;IF(INDEX(firmadas!$E:$E,$T683)="","vacía",DAY(INDEX(firmadas!$E:$E,$T683))&amp;"/"&amp;MONTH(INDEX(firmadas!$E:$E,$T683))&amp;"/"&amp;YEAR(INDEX(firmadas!$E:$E,$T683)))&amp;")","OK"))))))))</f>
        <v/>
      </c>
      <c r="T683" t="str">
        <f ca="1">IF($P683="","",IFERROR(MATCH($P683,firmadas!$N:$N,0),IFERROR(MATCH("*/"&amp;MID($P683,FIND(" ",$P683)+1,9)&amp;"*",firmadas!$B:$B,0),0)))</f>
        <v/>
      </c>
    </row>
    <row r="684" spans="14:20" ht="15" customHeight="1" x14ac:dyDescent="0.25">
      <c r="N684" s="53" t="str">
        <f t="shared" ca="1" si="10"/>
        <v/>
      </c>
      <c r="P684" t="str">
        <f ca="1">IF(TRIM(SUBSTITUTE(($C684&amp;" "&amp;$D684),CHAR(160)," "))="","",IFERROR(IF(ISNUMBER(SEARCH("INC",($C684&amp;" "&amp;$D684))),"INC",IF(ISNUMBER(SEARCH("OPI",($C684&amp;" "&amp;$D684))),"OPI",IF(ISNUMBER(SEARCH("DP",($C684&amp;" "&amp;$D684))),"DP","CONC")))&amp;" "&amp;TEXT(LOOKUP(9.99E+307,--MID(SUBSTITUTE(($C684&amp;" "&amp;$D684),CHAR(160)," "),SUMPRODUCT(MIN(FIND({0,1,2,3,4,5,6,7,8,9},SUBSTITUTE(($C684&amp;" "&amp;$D684),CHAR(160)," ")&amp;"0123456789"))),ROW(INDIRECT("1:6")))),"0"),"SIN NUMERO"))</f>
        <v/>
      </c>
      <c r="Q684" t="str">
        <f ca="1">IF($P684="","",IF(LEFT(UPPER($S684),9)="VERIFICAR","VERIFICAR",IF($A684="","SIN ESTADO",IF(AND($A684="Firmada",$H684=""),"FALTA FECHA DE FIRMA",IF(N($T684)=0,IF(AND(ISNUMBER($H684),$H684&gt;=DATE(2024,1,1)),"FALTA EN FIRMADAS","OK"),IF(OR($A684="Pendiente de presentación",$A684="Observado",$A684="En análisis",$A684="En instrucción",$A684="Suspendida",$A684="IT circulando",$A684="Para resolución",$A684="TDC"),"ABIERTA PERO ESTÁ EN FIRMADAS",IF($H684&lt;&gt;INDEX(firmadas!$F:$F,$T684),"FIRMA DISTINTA EN firmadas ("&amp;IF(INDEX(firmadas!$F:$F,$T684)="","vacía",DAY(INDEX(firmadas!$F:$F,$T684))&amp;"/"&amp;MONTH(INDEX(firmadas!$F:$F,$T684))&amp;"/"&amp;YEAR(INDEX(firmadas!$F:$F,$T684)))&amp;")",IF($G684&lt;&gt;INDEX(firmadas!$E:$E,$T684),"INGRESO DISTINTO EN firmadas ("&amp;IF(INDEX(firmadas!$E:$E,$T684)="","vacía",DAY(INDEX(firmadas!$E:$E,$T684))&amp;"/"&amp;MONTH(INDEX(firmadas!$E:$E,$T684))&amp;"/"&amp;YEAR(INDEX(firmadas!$E:$E,$T684)))&amp;")","OK"))))))))</f>
        <v/>
      </c>
      <c r="T684" t="str">
        <f ca="1">IF($P684="","",IFERROR(MATCH($P684,firmadas!$N:$N,0),IFERROR(MATCH("*/"&amp;MID($P684,FIND(" ",$P684)+1,9)&amp;"*",firmadas!$B:$B,0),0)))</f>
        <v/>
      </c>
    </row>
    <row r="685" spans="14:20" ht="15" customHeight="1" x14ac:dyDescent="0.25">
      <c r="N685" s="53" t="str">
        <f t="shared" ca="1" si="10"/>
        <v/>
      </c>
      <c r="P685" t="str">
        <f ca="1">IF(TRIM(SUBSTITUTE(($C685&amp;" "&amp;$D685),CHAR(160)," "))="","",IFERROR(IF(ISNUMBER(SEARCH("INC",($C685&amp;" "&amp;$D685))),"INC",IF(ISNUMBER(SEARCH("OPI",($C685&amp;" "&amp;$D685))),"OPI",IF(ISNUMBER(SEARCH("DP",($C685&amp;" "&amp;$D685))),"DP","CONC")))&amp;" "&amp;TEXT(LOOKUP(9.99E+307,--MID(SUBSTITUTE(($C685&amp;" "&amp;$D685),CHAR(160)," "),SUMPRODUCT(MIN(FIND({0,1,2,3,4,5,6,7,8,9},SUBSTITUTE(($C685&amp;" "&amp;$D685),CHAR(160)," ")&amp;"0123456789"))),ROW(INDIRECT("1:6")))),"0"),"SIN NUMERO"))</f>
        <v/>
      </c>
      <c r="Q685" t="str">
        <f ca="1">IF($P685="","",IF(LEFT(UPPER($S685),9)="VERIFICAR","VERIFICAR",IF($A685="","SIN ESTADO",IF(AND($A685="Firmada",$H685=""),"FALTA FECHA DE FIRMA",IF(N($T685)=0,IF(AND(ISNUMBER($H685),$H685&gt;=DATE(2024,1,1)),"FALTA EN FIRMADAS","OK"),IF(OR($A685="Pendiente de presentación",$A685="Observado",$A685="En análisis",$A685="En instrucción",$A685="Suspendida",$A685="IT circulando",$A685="Para resolución",$A685="TDC"),"ABIERTA PERO ESTÁ EN FIRMADAS",IF($H685&lt;&gt;INDEX(firmadas!$F:$F,$T685),"FIRMA DISTINTA EN firmadas ("&amp;IF(INDEX(firmadas!$F:$F,$T685)="","vacía",DAY(INDEX(firmadas!$F:$F,$T685))&amp;"/"&amp;MONTH(INDEX(firmadas!$F:$F,$T685))&amp;"/"&amp;YEAR(INDEX(firmadas!$F:$F,$T685)))&amp;")",IF($G685&lt;&gt;INDEX(firmadas!$E:$E,$T685),"INGRESO DISTINTO EN firmadas ("&amp;IF(INDEX(firmadas!$E:$E,$T685)="","vacía",DAY(INDEX(firmadas!$E:$E,$T685))&amp;"/"&amp;MONTH(INDEX(firmadas!$E:$E,$T685))&amp;"/"&amp;YEAR(INDEX(firmadas!$E:$E,$T685)))&amp;")","OK"))))))))</f>
        <v/>
      </c>
      <c r="T685" t="str">
        <f ca="1">IF($P685="","",IFERROR(MATCH($P685,firmadas!$N:$N,0),IFERROR(MATCH("*/"&amp;MID($P685,FIND(" ",$P685)+1,9)&amp;"*",firmadas!$B:$B,0),0)))</f>
        <v/>
      </c>
    </row>
    <row r="686" spans="14:20" ht="15" customHeight="1" x14ac:dyDescent="0.25">
      <c r="N686" s="53" t="str">
        <f t="shared" ca="1" si="10"/>
        <v/>
      </c>
      <c r="P686" t="str">
        <f ca="1">IF(TRIM(SUBSTITUTE(($C686&amp;" "&amp;$D686),CHAR(160)," "))="","",IFERROR(IF(ISNUMBER(SEARCH("INC",($C686&amp;" "&amp;$D686))),"INC",IF(ISNUMBER(SEARCH("OPI",($C686&amp;" "&amp;$D686))),"OPI",IF(ISNUMBER(SEARCH("DP",($C686&amp;" "&amp;$D686))),"DP","CONC")))&amp;" "&amp;TEXT(LOOKUP(9.99E+307,--MID(SUBSTITUTE(($C686&amp;" "&amp;$D686),CHAR(160)," "),SUMPRODUCT(MIN(FIND({0,1,2,3,4,5,6,7,8,9},SUBSTITUTE(($C686&amp;" "&amp;$D686),CHAR(160)," ")&amp;"0123456789"))),ROW(INDIRECT("1:6")))),"0"),"SIN NUMERO"))</f>
        <v/>
      </c>
      <c r="Q686" t="str">
        <f ca="1">IF($P686="","",IF(LEFT(UPPER($S686),9)="VERIFICAR","VERIFICAR",IF($A686="","SIN ESTADO",IF(AND($A686="Firmada",$H686=""),"FALTA FECHA DE FIRMA",IF(N($T686)=0,IF(AND(ISNUMBER($H686),$H686&gt;=DATE(2024,1,1)),"FALTA EN FIRMADAS","OK"),IF(OR($A686="Pendiente de presentación",$A686="Observado",$A686="En análisis",$A686="En instrucción",$A686="Suspendida",$A686="IT circulando",$A686="Para resolución",$A686="TDC"),"ABIERTA PERO ESTÁ EN FIRMADAS",IF($H686&lt;&gt;INDEX(firmadas!$F:$F,$T686),"FIRMA DISTINTA EN firmadas ("&amp;IF(INDEX(firmadas!$F:$F,$T686)="","vacía",DAY(INDEX(firmadas!$F:$F,$T686))&amp;"/"&amp;MONTH(INDEX(firmadas!$F:$F,$T686))&amp;"/"&amp;YEAR(INDEX(firmadas!$F:$F,$T686)))&amp;")",IF($G686&lt;&gt;INDEX(firmadas!$E:$E,$T686),"INGRESO DISTINTO EN firmadas ("&amp;IF(INDEX(firmadas!$E:$E,$T686)="","vacía",DAY(INDEX(firmadas!$E:$E,$T686))&amp;"/"&amp;MONTH(INDEX(firmadas!$E:$E,$T686))&amp;"/"&amp;YEAR(INDEX(firmadas!$E:$E,$T686)))&amp;")","OK"))))))))</f>
        <v/>
      </c>
      <c r="T686" t="str">
        <f ca="1">IF($P686="","",IFERROR(MATCH($P686,firmadas!$N:$N,0),IFERROR(MATCH("*/"&amp;MID($P686,FIND(" ",$P686)+1,9)&amp;"*",firmadas!$B:$B,0),0)))</f>
        <v/>
      </c>
    </row>
    <row r="687" spans="14:20" ht="15" customHeight="1" x14ac:dyDescent="0.25">
      <c r="N687" s="53" t="str">
        <f t="shared" ca="1" si="10"/>
        <v/>
      </c>
      <c r="P687" t="str">
        <f ca="1">IF(TRIM(SUBSTITUTE(($C687&amp;" "&amp;$D687),CHAR(160)," "))="","",IFERROR(IF(ISNUMBER(SEARCH("INC",($C687&amp;" "&amp;$D687))),"INC",IF(ISNUMBER(SEARCH("OPI",($C687&amp;" "&amp;$D687))),"OPI",IF(ISNUMBER(SEARCH("DP",($C687&amp;" "&amp;$D687))),"DP","CONC")))&amp;" "&amp;TEXT(LOOKUP(9.99E+307,--MID(SUBSTITUTE(($C687&amp;" "&amp;$D687),CHAR(160)," "),SUMPRODUCT(MIN(FIND({0,1,2,3,4,5,6,7,8,9},SUBSTITUTE(($C687&amp;" "&amp;$D687),CHAR(160)," ")&amp;"0123456789"))),ROW(INDIRECT("1:6")))),"0"),"SIN NUMERO"))</f>
        <v/>
      </c>
      <c r="Q687" t="str">
        <f ca="1">IF($P687="","",IF(LEFT(UPPER($S687),9)="VERIFICAR","VERIFICAR",IF($A687="","SIN ESTADO",IF(AND($A687="Firmada",$H687=""),"FALTA FECHA DE FIRMA",IF(N($T687)=0,IF(AND(ISNUMBER($H687),$H687&gt;=DATE(2024,1,1)),"FALTA EN FIRMADAS","OK"),IF(OR($A687="Pendiente de presentación",$A687="Observado",$A687="En análisis",$A687="En instrucción",$A687="Suspendida",$A687="IT circulando",$A687="Para resolución",$A687="TDC"),"ABIERTA PERO ESTÁ EN FIRMADAS",IF($H687&lt;&gt;INDEX(firmadas!$F:$F,$T687),"FIRMA DISTINTA EN firmadas ("&amp;IF(INDEX(firmadas!$F:$F,$T687)="","vacía",DAY(INDEX(firmadas!$F:$F,$T687))&amp;"/"&amp;MONTH(INDEX(firmadas!$F:$F,$T687))&amp;"/"&amp;YEAR(INDEX(firmadas!$F:$F,$T687)))&amp;")",IF($G687&lt;&gt;INDEX(firmadas!$E:$E,$T687),"INGRESO DISTINTO EN firmadas ("&amp;IF(INDEX(firmadas!$E:$E,$T687)="","vacía",DAY(INDEX(firmadas!$E:$E,$T687))&amp;"/"&amp;MONTH(INDEX(firmadas!$E:$E,$T687))&amp;"/"&amp;YEAR(INDEX(firmadas!$E:$E,$T687)))&amp;")","OK"))))))))</f>
        <v/>
      </c>
      <c r="T687" t="str">
        <f ca="1">IF($P687="","",IFERROR(MATCH($P687,firmadas!$N:$N,0),IFERROR(MATCH("*/"&amp;MID($P687,FIND(" ",$P687)+1,9)&amp;"*",firmadas!$B:$B,0),0)))</f>
        <v/>
      </c>
    </row>
    <row r="688" spans="14:20" ht="15" customHeight="1" x14ac:dyDescent="0.25">
      <c r="N688" s="53" t="str">
        <f t="shared" ca="1" si="10"/>
        <v/>
      </c>
      <c r="P688" t="str">
        <f ca="1">IF(TRIM(SUBSTITUTE(($C688&amp;" "&amp;$D688),CHAR(160)," "))="","",IFERROR(IF(ISNUMBER(SEARCH("INC",($C688&amp;" "&amp;$D688))),"INC",IF(ISNUMBER(SEARCH("OPI",($C688&amp;" "&amp;$D688))),"OPI",IF(ISNUMBER(SEARCH("DP",($C688&amp;" "&amp;$D688))),"DP","CONC")))&amp;" "&amp;TEXT(LOOKUP(9.99E+307,--MID(SUBSTITUTE(($C688&amp;" "&amp;$D688),CHAR(160)," "),SUMPRODUCT(MIN(FIND({0,1,2,3,4,5,6,7,8,9},SUBSTITUTE(($C688&amp;" "&amp;$D688),CHAR(160)," ")&amp;"0123456789"))),ROW(INDIRECT("1:6")))),"0"),"SIN NUMERO"))</f>
        <v/>
      </c>
      <c r="Q688" t="str">
        <f ca="1">IF($P688="","",IF(LEFT(UPPER($S688),9)="VERIFICAR","VERIFICAR",IF($A688="","SIN ESTADO",IF(AND($A688="Firmada",$H688=""),"FALTA FECHA DE FIRMA",IF(N($T688)=0,IF(AND(ISNUMBER($H688),$H688&gt;=DATE(2024,1,1)),"FALTA EN FIRMADAS","OK"),IF(OR($A688="Pendiente de presentación",$A688="Observado",$A688="En análisis",$A688="En instrucción",$A688="Suspendida",$A688="IT circulando",$A688="Para resolución",$A688="TDC"),"ABIERTA PERO ESTÁ EN FIRMADAS",IF($H688&lt;&gt;INDEX(firmadas!$F:$F,$T688),"FIRMA DISTINTA EN firmadas ("&amp;IF(INDEX(firmadas!$F:$F,$T688)="","vacía",DAY(INDEX(firmadas!$F:$F,$T688))&amp;"/"&amp;MONTH(INDEX(firmadas!$F:$F,$T688))&amp;"/"&amp;YEAR(INDEX(firmadas!$F:$F,$T688)))&amp;")",IF($G688&lt;&gt;INDEX(firmadas!$E:$E,$T688),"INGRESO DISTINTO EN firmadas ("&amp;IF(INDEX(firmadas!$E:$E,$T688)="","vacía",DAY(INDEX(firmadas!$E:$E,$T688))&amp;"/"&amp;MONTH(INDEX(firmadas!$E:$E,$T688))&amp;"/"&amp;YEAR(INDEX(firmadas!$E:$E,$T688)))&amp;")","OK"))))))))</f>
        <v/>
      </c>
      <c r="T688" t="str">
        <f ca="1">IF($P688="","",IFERROR(MATCH($P688,firmadas!$N:$N,0),IFERROR(MATCH("*/"&amp;MID($P688,FIND(" ",$P688)+1,9)&amp;"*",firmadas!$B:$B,0),0)))</f>
        <v/>
      </c>
    </row>
    <row r="689" spans="14:20" ht="15" customHeight="1" x14ac:dyDescent="0.25">
      <c r="N689" s="53" t="str">
        <f t="shared" ca="1" si="10"/>
        <v/>
      </c>
      <c r="P689" t="str">
        <f ca="1">IF(TRIM(SUBSTITUTE(($C689&amp;" "&amp;$D689),CHAR(160)," "))="","",IFERROR(IF(ISNUMBER(SEARCH("INC",($C689&amp;" "&amp;$D689))),"INC",IF(ISNUMBER(SEARCH("OPI",($C689&amp;" "&amp;$D689))),"OPI",IF(ISNUMBER(SEARCH("DP",($C689&amp;" "&amp;$D689))),"DP","CONC")))&amp;" "&amp;TEXT(LOOKUP(9.99E+307,--MID(SUBSTITUTE(($C689&amp;" "&amp;$D689),CHAR(160)," "),SUMPRODUCT(MIN(FIND({0,1,2,3,4,5,6,7,8,9},SUBSTITUTE(($C689&amp;" "&amp;$D689),CHAR(160)," ")&amp;"0123456789"))),ROW(INDIRECT("1:6")))),"0"),"SIN NUMERO"))</f>
        <v/>
      </c>
      <c r="Q689" t="str">
        <f ca="1">IF($P689="","",IF(LEFT(UPPER($S689),9)="VERIFICAR","VERIFICAR",IF($A689="","SIN ESTADO",IF(AND($A689="Firmada",$H689=""),"FALTA FECHA DE FIRMA",IF(N($T689)=0,IF(AND(ISNUMBER($H689),$H689&gt;=DATE(2024,1,1)),"FALTA EN FIRMADAS","OK"),IF(OR($A689="Pendiente de presentación",$A689="Observado",$A689="En análisis",$A689="En instrucción",$A689="Suspendida",$A689="IT circulando",$A689="Para resolución",$A689="TDC"),"ABIERTA PERO ESTÁ EN FIRMADAS",IF($H689&lt;&gt;INDEX(firmadas!$F:$F,$T689),"FIRMA DISTINTA EN firmadas ("&amp;IF(INDEX(firmadas!$F:$F,$T689)="","vacía",DAY(INDEX(firmadas!$F:$F,$T689))&amp;"/"&amp;MONTH(INDEX(firmadas!$F:$F,$T689))&amp;"/"&amp;YEAR(INDEX(firmadas!$F:$F,$T689)))&amp;")",IF($G689&lt;&gt;INDEX(firmadas!$E:$E,$T689),"INGRESO DISTINTO EN firmadas ("&amp;IF(INDEX(firmadas!$E:$E,$T689)="","vacía",DAY(INDEX(firmadas!$E:$E,$T689))&amp;"/"&amp;MONTH(INDEX(firmadas!$E:$E,$T689))&amp;"/"&amp;YEAR(INDEX(firmadas!$E:$E,$T689)))&amp;")","OK"))))))))</f>
        <v/>
      </c>
      <c r="T689" t="str">
        <f ca="1">IF($P689="","",IFERROR(MATCH($P689,firmadas!$N:$N,0),IFERROR(MATCH("*/"&amp;MID($P689,FIND(" ",$P689)+1,9)&amp;"*",firmadas!$B:$B,0),0)))</f>
        <v/>
      </c>
    </row>
    <row r="690" spans="14:20" ht="15" customHeight="1" x14ac:dyDescent="0.25">
      <c r="N690" s="53" t="str">
        <f t="shared" ca="1" si="10"/>
        <v/>
      </c>
      <c r="P690" t="str">
        <f ca="1">IF(TRIM(SUBSTITUTE(($C690&amp;" "&amp;$D690),CHAR(160)," "))="","",IFERROR(IF(ISNUMBER(SEARCH("INC",($C690&amp;" "&amp;$D690))),"INC",IF(ISNUMBER(SEARCH("OPI",($C690&amp;" "&amp;$D690))),"OPI",IF(ISNUMBER(SEARCH("DP",($C690&amp;" "&amp;$D690))),"DP","CONC")))&amp;" "&amp;TEXT(LOOKUP(9.99E+307,--MID(SUBSTITUTE(($C690&amp;" "&amp;$D690),CHAR(160)," "),SUMPRODUCT(MIN(FIND({0,1,2,3,4,5,6,7,8,9},SUBSTITUTE(($C690&amp;" "&amp;$D690),CHAR(160)," ")&amp;"0123456789"))),ROW(INDIRECT("1:6")))),"0"),"SIN NUMERO"))</f>
        <v/>
      </c>
      <c r="Q690" t="str">
        <f ca="1">IF($P690="","",IF(LEFT(UPPER($S690),9)="VERIFICAR","VERIFICAR",IF($A690="","SIN ESTADO",IF(AND($A690="Firmada",$H690=""),"FALTA FECHA DE FIRMA",IF(N($T690)=0,IF(AND(ISNUMBER($H690),$H690&gt;=DATE(2024,1,1)),"FALTA EN FIRMADAS","OK"),IF(OR($A690="Pendiente de presentación",$A690="Observado",$A690="En análisis",$A690="En instrucción",$A690="Suspendida",$A690="IT circulando",$A690="Para resolución",$A690="TDC"),"ABIERTA PERO ESTÁ EN FIRMADAS",IF($H690&lt;&gt;INDEX(firmadas!$F:$F,$T690),"FIRMA DISTINTA EN firmadas ("&amp;IF(INDEX(firmadas!$F:$F,$T690)="","vacía",DAY(INDEX(firmadas!$F:$F,$T690))&amp;"/"&amp;MONTH(INDEX(firmadas!$F:$F,$T690))&amp;"/"&amp;YEAR(INDEX(firmadas!$F:$F,$T690)))&amp;")",IF($G690&lt;&gt;INDEX(firmadas!$E:$E,$T690),"INGRESO DISTINTO EN firmadas ("&amp;IF(INDEX(firmadas!$E:$E,$T690)="","vacía",DAY(INDEX(firmadas!$E:$E,$T690))&amp;"/"&amp;MONTH(INDEX(firmadas!$E:$E,$T690))&amp;"/"&amp;YEAR(INDEX(firmadas!$E:$E,$T690)))&amp;")","OK"))))))))</f>
        <v/>
      </c>
      <c r="T690" t="str">
        <f ca="1">IF($P690="","",IFERROR(MATCH($P690,firmadas!$N:$N,0),IFERROR(MATCH("*/"&amp;MID($P690,FIND(" ",$P690)+1,9)&amp;"*",firmadas!$B:$B,0),0)))</f>
        <v/>
      </c>
    </row>
    <row r="691" spans="14:20" ht="15" customHeight="1" x14ac:dyDescent="0.25">
      <c r="N691" s="53" t="str">
        <f t="shared" ca="1" si="10"/>
        <v/>
      </c>
      <c r="P691" t="str">
        <f ca="1">IF(TRIM(SUBSTITUTE(($C691&amp;" "&amp;$D691),CHAR(160)," "))="","",IFERROR(IF(ISNUMBER(SEARCH("INC",($C691&amp;" "&amp;$D691))),"INC",IF(ISNUMBER(SEARCH("OPI",($C691&amp;" "&amp;$D691))),"OPI",IF(ISNUMBER(SEARCH("DP",($C691&amp;" "&amp;$D691))),"DP","CONC")))&amp;" "&amp;TEXT(LOOKUP(9.99E+307,--MID(SUBSTITUTE(($C691&amp;" "&amp;$D691),CHAR(160)," "),SUMPRODUCT(MIN(FIND({0,1,2,3,4,5,6,7,8,9},SUBSTITUTE(($C691&amp;" "&amp;$D691),CHAR(160)," ")&amp;"0123456789"))),ROW(INDIRECT("1:6")))),"0"),"SIN NUMERO"))</f>
        <v/>
      </c>
      <c r="Q691" t="str">
        <f ca="1">IF($P691="","",IF(LEFT(UPPER($S691),9)="VERIFICAR","VERIFICAR",IF($A691="","SIN ESTADO",IF(AND($A691="Firmada",$H691=""),"FALTA FECHA DE FIRMA",IF(N($T691)=0,IF(AND(ISNUMBER($H691),$H691&gt;=DATE(2024,1,1)),"FALTA EN FIRMADAS","OK"),IF(OR($A691="Pendiente de presentación",$A691="Observado",$A691="En análisis",$A691="En instrucción",$A691="Suspendida",$A691="IT circulando",$A691="Para resolución",$A691="TDC"),"ABIERTA PERO ESTÁ EN FIRMADAS",IF($H691&lt;&gt;INDEX(firmadas!$F:$F,$T691),"FIRMA DISTINTA EN firmadas ("&amp;IF(INDEX(firmadas!$F:$F,$T691)="","vacía",DAY(INDEX(firmadas!$F:$F,$T691))&amp;"/"&amp;MONTH(INDEX(firmadas!$F:$F,$T691))&amp;"/"&amp;YEAR(INDEX(firmadas!$F:$F,$T691)))&amp;")",IF($G691&lt;&gt;INDEX(firmadas!$E:$E,$T691),"INGRESO DISTINTO EN firmadas ("&amp;IF(INDEX(firmadas!$E:$E,$T691)="","vacía",DAY(INDEX(firmadas!$E:$E,$T691))&amp;"/"&amp;MONTH(INDEX(firmadas!$E:$E,$T691))&amp;"/"&amp;YEAR(INDEX(firmadas!$E:$E,$T691)))&amp;")","OK"))))))))</f>
        <v/>
      </c>
      <c r="T691" t="str">
        <f ca="1">IF($P691="","",IFERROR(MATCH($P691,firmadas!$N:$N,0),IFERROR(MATCH("*/"&amp;MID($P691,FIND(" ",$P691)+1,9)&amp;"*",firmadas!$B:$B,0),0)))</f>
        <v/>
      </c>
    </row>
    <row r="692" spans="14:20" ht="15" customHeight="1" x14ac:dyDescent="0.25">
      <c r="N692" s="53" t="str">
        <f t="shared" ca="1" si="10"/>
        <v/>
      </c>
      <c r="P692" t="str">
        <f ca="1">IF(TRIM(SUBSTITUTE(($C692&amp;" "&amp;$D692),CHAR(160)," "))="","",IFERROR(IF(ISNUMBER(SEARCH("INC",($C692&amp;" "&amp;$D692))),"INC",IF(ISNUMBER(SEARCH("OPI",($C692&amp;" "&amp;$D692))),"OPI",IF(ISNUMBER(SEARCH("DP",($C692&amp;" "&amp;$D692))),"DP","CONC")))&amp;" "&amp;TEXT(LOOKUP(9.99E+307,--MID(SUBSTITUTE(($C692&amp;" "&amp;$D692),CHAR(160)," "),SUMPRODUCT(MIN(FIND({0,1,2,3,4,5,6,7,8,9},SUBSTITUTE(($C692&amp;" "&amp;$D692),CHAR(160)," ")&amp;"0123456789"))),ROW(INDIRECT("1:6")))),"0"),"SIN NUMERO"))</f>
        <v/>
      </c>
      <c r="Q692" t="str">
        <f ca="1">IF($P692="","",IF(LEFT(UPPER($S692),9)="VERIFICAR","VERIFICAR",IF($A692="","SIN ESTADO",IF(AND($A692="Firmada",$H692=""),"FALTA FECHA DE FIRMA",IF(N($T692)=0,IF(AND(ISNUMBER($H692),$H692&gt;=DATE(2024,1,1)),"FALTA EN FIRMADAS","OK"),IF(OR($A692="Pendiente de presentación",$A692="Observado",$A692="En análisis",$A692="En instrucción",$A692="Suspendida",$A692="IT circulando",$A692="Para resolución",$A692="TDC"),"ABIERTA PERO ESTÁ EN FIRMADAS",IF($H692&lt;&gt;INDEX(firmadas!$F:$F,$T692),"FIRMA DISTINTA EN firmadas ("&amp;IF(INDEX(firmadas!$F:$F,$T692)="","vacía",DAY(INDEX(firmadas!$F:$F,$T692))&amp;"/"&amp;MONTH(INDEX(firmadas!$F:$F,$T692))&amp;"/"&amp;YEAR(INDEX(firmadas!$F:$F,$T692)))&amp;")",IF($G692&lt;&gt;INDEX(firmadas!$E:$E,$T692),"INGRESO DISTINTO EN firmadas ("&amp;IF(INDEX(firmadas!$E:$E,$T692)="","vacía",DAY(INDEX(firmadas!$E:$E,$T692))&amp;"/"&amp;MONTH(INDEX(firmadas!$E:$E,$T692))&amp;"/"&amp;YEAR(INDEX(firmadas!$E:$E,$T692)))&amp;")","OK"))))))))</f>
        <v/>
      </c>
      <c r="T692" t="str">
        <f ca="1">IF($P692="","",IFERROR(MATCH($P692,firmadas!$N:$N,0),IFERROR(MATCH("*/"&amp;MID($P692,FIND(" ",$P692)+1,9)&amp;"*",firmadas!$B:$B,0),0)))</f>
        <v/>
      </c>
    </row>
    <row r="693" spans="14:20" ht="15" customHeight="1" x14ac:dyDescent="0.25">
      <c r="N693" s="53" t="str">
        <f t="shared" ca="1" si="10"/>
        <v/>
      </c>
      <c r="P693" t="str">
        <f ca="1">IF(TRIM(SUBSTITUTE(($C693&amp;" "&amp;$D693),CHAR(160)," "))="","",IFERROR(IF(ISNUMBER(SEARCH("INC",($C693&amp;" "&amp;$D693))),"INC",IF(ISNUMBER(SEARCH("OPI",($C693&amp;" "&amp;$D693))),"OPI",IF(ISNUMBER(SEARCH("DP",($C693&amp;" "&amp;$D693))),"DP","CONC")))&amp;" "&amp;TEXT(LOOKUP(9.99E+307,--MID(SUBSTITUTE(($C693&amp;" "&amp;$D693),CHAR(160)," "),SUMPRODUCT(MIN(FIND({0,1,2,3,4,5,6,7,8,9},SUBSTITUTE(($C693&amp;" "&amp;$D693),CHAR(160)," ")&amp;"0123456789"))),ROW(INDIRECT("1:6")))),"0"),"SIN NUMERO"))</f>
        <v/>
      </c>
      <c r="Q693" t="str">
        <f ca="1">IF($P693="","",IF(LEFT(UPPER($S693),9)="VERIFICAR","VERIFICAR",IF($A693="","SIN ESTADO",IF(AND($A693="Firmada",$H693=""),"FALTA FECHA DE FIRMA",IF(N($T693)=0,IF(AND(ISNUMBER($H693),$H693&gt;=DATE(2024,1,1)),"FALTA EN FIRMADAS","OK"),IF(OR($A693="Pendiente de presentación",$A693="Observado",$A693="En análisis",$A693="En instrucción",$A693="Suspendida",$A693="IT circulando",$A693="Para resolución",$A693="TDC"),"ABIERTA PERO ESTÁ EN FIRMADAS",IF($H693&lt;&gt;INDEX(firmadas!$F:$F,$T693),"FIRMA DISTINTA EN firmadas ("&amp;IF(INDEX(firmadas!$F:$F,$T693)="","vacía",DAY(INDEX(firmadas!$F:$F,$T693))&amp;"/"&amp;MONTH(INDEX(firmadas!$F:$F,$T693))&amp;"/"&amp;YEAR(INDEX(firmadas!$F:$F,$T693)))&amp;")",IF($G693&lt;&gt;INDEX(firmadas!$E:$E,$T693),"INGRESO DISTINTO EN firmadas ("&amp;IF(INDEX(firmadas!$E:$E,$T693)="","vacía",DAY(INDEX(firmadas!$E:$E,$T693))&amp;"/"&amp;MONTH(INDEX(firmadas!$E:$E,$T693))&amp;"/"&amp;YEAR(INDEX(firmadas!$E:$E,$T693)))&amp;")","OK"))))))))</f>
        <v/>
      </c>
      <c r="T693" t="str">
        <f ca="1">IF($P693="","",IFERROR(MATCH($P693,firmadas!$N:$N,0),IFERROR(MATCH("*/"&amp;MID($P693,FIND(" ",$P693)+1,9)&amp;"*",firmadas!$B:$B,0),0)))</f>
        <v/>
      </c>
    </row>
    <row r="694" spans="14:20" ht="15" customHeight="1" x14ac:dyDescent="0.25">
      <c r="N694" s="53" t="str">
        <f t="shared" ca="1" si="10"/>
        <v/>
      </c>
      <c r="P694" t="str">
        <f ca="1">IF(TRIM(SUBSTITUTE(($C694&amp;" "&amp;$D694),CHAR(160)," "))="","",IFERROR(IF(ISNUMBER(SEARCH("INC",($C694&amp;" "&amp;$D694))),"INC",IF(ISNUMBER(SEARCH("OPI",($C694&amp;" "&amp;$D694))),"OPI",IF(ISNUMBER(SEARCH("DP",($C694&amp;" "&amp;$D694))),"DP","CONC")))&amp;" "&amp;TEXT(LOOKUP(9.99E+307,--MID(SUBSTITUTE(($C694&amp;" "&amp;$D694),CHAR(160)," "),SUMPRODUCT(MIN(FIND({0,1,2,3,4,5,6,7,8,9},SUBSTITUTE(($C694&amp;" "&amp;$D694),CHAR(160)," ")&amp;"0123456789"))),ROW(INDIRECT("1:6")))),"0"),"SIN NUMERO"))</f>
        <v/>
      </c>
      <c r="Q694" t="str">
        <f ca="1">IF($P694="","",IF(LEFT(UPPER($S694),9)="VERIFICAR","VERIFICAR",IF($A694="","SIN ESTADO",IF(AND($A694="Firmada",$H694=""),"FALTA FECHA DE FIRMA",IF(N($T694)=0,IF(AND(ISNUMBER($H694),$H694&gt;=DATE(2024,1,1)),"FALTA EN FIRMADAS","OK"),IF(OR($A694="Pendiente de presentación",$A694="Observado",$A694="En análisis",$A694="En instrucción",$A694="Suspendida",$A694="IT circulando",$A694="Para resolución",$A694="TDC"),"ABIERTA PERO ESTÁ EN FIRMADAS",IF($H694&lt;&gt;INDEX(firmadas!$F:$F,$T694),"FIRMA DISTINTA EN firmadas ("&amp;IF(INDEX(firmadas!$F:$F,$T694)="","vacía",DAY(INDEX(firmadas!$F:$F,$T694))&amp;"/"&amp;MONTH(INDEX(firmadas!$F:$F,$T694))&amp;"/"&amp;YEAR(INDEX(firmadas!$F:$F,$T694)))&amp;")",IF($G694&lt;&gt;INDEX(firmadas!$E:$E,$T694),"INGRESO DISTINTO EN firmadas ("&amp;IF(INDEX(firmadas!$E:$E,$T694)="","vacía",DAY(INDEX(firmadas!$E:$E,$T694))&amp;"/"&amp;MONTH(INDEX(firmadas!$E:$E,$T694))&amp;"/"&amp;YEAR(INDEX(firmadas!$E:$E,$T694)))&amp;")","OK"))))))))</f>
        <v/>
      </c>
      <c r="T694" t="str">
        <f ca="1">IF($P694="","",IFERROR(MATCH($P694,firmadas!$N:$N,0),IFERROR(MATCH("*/"&amp;MID($P694,FIND(" ",$P694)+1,9)&amp;"*",firmadas!$B:$B,0),0)))</f>
        <v/>
      </c>
    </row>
    <row r="695" spans="14:20" ht="15" customHeight="1" x14ac:dyDescent="0.25">
      <c r="N695" s="53" t="str">
        <f t="shared" ca="1" si="10"/>
        <v/>
      </c>
      <c r="P695" t="str">
        <f ca="1">IF(TRIM(SUBSTITUTE(($C695&amp;" "&amp;$D695),CHAR(160)," "))="","",IFERROR(IF(ISNUMBER(SEARCH("INC",($C695&amp;" "&amp;$D695))),"INC",IF(ISNUMBER(SEARCH("OPI",($C695&amp;" "&amp;$D695))),"OPI",IF(ISNUMBER(SEARCH("DP",($C695&amp;" "&amp;$D695))),"DP","CONC")))&amp;" "&amp;TEXT(LOOKUP(9.99E+307,--MID(SUBSTITUTE(($C695&amp;" "&amp;$D695),CHAR(160)," "),SUMPRODUCT(MIN(FIND({0,1,2,3,4,5,6,7,8,9},SUBSTITUTE(($C695&amp;" "&amp;$D695),CHAR(160)," ")&amp;"0123456789"))),ROW(INDIRECT("1:6")))),"0"),"SIN NUMERO"))</f>
        <v/>
      </c>
      <c r="Q695" t="str">
        <f ca="1">IF($P695="","",IF(LEFT(UPPER($S695),9)="VERIFICAR","VERIFICAR",IF($A695="","SIN ESTADO",IF(AND($A695="Firmada",$H695=""),"FALTA FECHA DE FIRMA",IF(N($T695)=0,IF(AND(ISNUMBER($H695),$H695&gt;=DATE(2024,1,1)),"FALTA EN FIRMADAS","OK"),IF(OR($A695="Pendiente de presentación",$A695="Observado",$A695="En análisis",$A695="En instrucción",$A695="Suspendida",$A695="IT circulando",$A695="Para resolución",$A695="TDC"),"ABIERTA PERO ESTÁ EN FIRMADAS",IF($H695&lt;&gt;INDEX(firmadas!$F:$F,$T695),"FIRMA DISTINTA EN firmadas ("&amp;IF(INDEX(firmadas!$F:$F,$T695)="","vacía",DAY(INDEX(firmadas!$F:$F,$T695))&amp;"/"&amp;MONTH(INDEX(firmadas!$F:$F,$T695))&amp;"/"&amp;YEAR(INDEX(firmadas!$F:$F,$T695)))&amp;")",IF($G695&lt;&gt;INDEX(firmadas!$E:$E,$T695),"INGRESO DISTINTO EN firmadas ("&amp;IF(INDEX(firmadas!$E:$E,$T695)="","vacía",DAY(INDEX(firmadas!$E:$E,$T695))&amp;"/"&amp;MONTH(INDEX(firmadas!$E:$E,$T695))&amp;"/"&amp;YEAR(INDEX(firmadas!$E:$E,$T695)))&amp;")","OK"))))))))</f>
        <v/>
      </c>
      <c r="T695" t="str">
        <f ca="1">IF($P695="","",IFERROR(MATCH($P695,firmadas!$N:$N,0),IFERROR(MATCH("*/"&amp;MID($P695,FIND(" ",$P695)+1,9)&amp;"*",firmadas!$B:$B,0),0)))</f>
        <v/>
      </c>
    </row>
    <row r="696" spans="14:20" ht="15" customHeight="1" x14ac:dyDescent="0.25">
      <c r="N696" s="53" t="str">
        <f t="shared" ca="1" si="10"/>
        <v/>
      </c>
      <c r="P696" t="str">
        <f ca="1">IF(TRIM(SUBSTITUTE(($C696&amp;" "&amp;$D696),CHAR(160)," "))="","",IFERROR(IF(ISNUMBER(SEARCH("INC",($C696&amp;" "&amp;$D696))),"INC",IF(ISNUMBER(SEARCH("OPI",($C696&amp;" "&amp;$D696))),"OPI",IF(ISNUMBER(SEARCH("DP",($C696&amp;" "&amp;$D696))),"DP","CONC")))&amp;" "&amp;TEXT(LOOKUP(9.99E+307,--MID(SUBSTITUTE(($C696&amp;" "&amp;$D696),CHAR(160)," "),SUMPRODUCT(MIN(FIND({0,1,2,3,4,5,6,7,8,9},SUBSTITUTE(($C696&amp;" "&amp;$D696),CHAR(160)," ")&amp;"0123456789"))),ROW(INDIRECT("1:6")))),"0"),"SIN NUMERO"))</f>
        <v/>
      </c>
      <c r="Q696" t="str">
        <f ca="1">IF($P696="","",IF(LEFT(UPPER($S696),9)="VERIFICAR","VERIFICAR",IF($A696="","SIN ESTADO",IF(AND($A696="Firmada",$H696=""),"FALTA FECHA DE FIRMA",IF(N($T696)=0,IF(AND(ISNUMBER($H696),$H696&gt;=DATE(2024,1,1)),"FALTA EN FIRMADAS","OK"),IF(OR($A696="Pendiente de presentación",$A696="Observado",$A696="En análisis",$A696="En instrucción",$A696="Suspendida",$A696="IT circulando",$A696="Para resolución",$A696="TDC"),"ABIERTA PERO ESTÁ EN FIRMADAS",IF($H696&lt;&gt;INDEX(firmadas!$F:$F,$T696),"FIRMA DISTINTA EN firmadas ("&amp;IF(INDEX(firmadas!$F:$F,$T696)="","vacía",DAY(INDEX(firmadas!$F:$F,$T696))&amp;"/"&amp;MONTH(INDEX(firmadas!$F:$F,$T696))&amp;"/"&amp;YEAR(INDEX(firmadas!$F:$F,$T696)))&amp;")",IF($G696&lt;&gt;INDEX(firmadas!$E:$E,$T696),"INGRESO DISTINTO EN firmadas ("&amp;IF(INDEX(firmadas!$E:$E,$T696)="","vacía",DAY(INDEX(firmadas!$E:$E,$T696))&amp;"/"&amp;MONTH(INDEX(firmadas!$E:$E,$T696))&amp;"/"&amp;YEAR(INDEX(firmadas!$E:$E,$T696)))&amp;")","OK"))))))))</f>
        <v/>
      </c>
      <c r="T696" t="str">
        <f ca="1">IF($P696="","",IFERROR(MATCH($P696,firmadas!$N:$N,0),IFERROR(MATCH("*/"&amp;MID($P696,FIND(" ",$P696)+1,9)&amp;"*",firmadas!$B:$B,0),0)))</f>
        <v/>
      </c>
    </row>
    <row r="697" spans="14:20" ht="15" customHeight="1" x14ac:dyDescent="0.25">
      <c r="N697" s="53" t="str">
        <f t="shared" ca="1" si="10"/>
        <v/>
      </c>
      <c r="P697" t="str">
        <f ca="1">IF(TRIM(SUBSTITUTE(($C697&amp;" "&amp;$D697),CHAR(160)," "))="","",IFERROR(IF(ISNUMBER(SEARCH("INC",($C697&amp;" "&amp;$D697))),"INC",IF(ISNUMBER(SEARCH("OPI",($C697&amp;" "&amp;$D697))),"OPI",IF(ISNUMBER(SEARCH("DP",($C697&amp;" "&amp;$D697))),"DP","CONC")))&amp;" "&amp;TEXT(LOOKUP(9.99E+307,--MID(SUBSTITUTE(($C697&amp;" "&amp;$D697),CHAR(160)," "),SUMPRODUCT(MIN(FIND({0,1,2,3,4,5,6,7,8,9},SUBSTITUTE(($C697&amp;" "&amp;$D697),CHAR(160)," ")&amp;"0123456789"))),ROW(INDIRECT("1:6")))),"0"),"SIN NUMERO"))</f>
        <v/>
      </c>
      <c r="Q697" t="str">
        <f ca="1">IF($P697="","",IF(LEFT(UPPER($S697),9)="VERIFICAR","VERIFICAR",IF($A697="","SIN ESTADO",IF(AND($A697="Firmada",$H697=""),"FALTA FECHA DE FIRMA",IF(N($T697)=0,IF(AND(ISNUMBER($H697),$H697&gt;=DATE(2024,1,1)),"FALTA EN FIRMADAS","OK"),IF(OR($A697="Pendiente de presentación",$A697="Observado",$A697="En análisis",$A697="En instrucción",$A697="Suspendida",$A697="IT circulando",$A697="Para resolución",$A697="TDC"),"ABIERTA PERO ESTÁ EN FIRMADAS",IF($H697&lt;&gt;INDEX(firmadas!$F:$F,$T697),"FIRMA DISTINTA EN firmadas ("&amp;IF(INDEX(firmadas!$F:$F,$T697)="","vacía",DAY(INDEX(firmadas!$F:$F,$T697))&amp;"/"&amp;MONTH(INDEX(firmadas!$F:$F,$T697))&amp;"/"&amp;YEAR(INDEX(firmadas!$F:$F,$T697)))&amp;")",IF($G697&lt;&gt;INDEX(firmadas!$E:$E,$T697),"INGRESO DISTINTO EN firmadas ("&amp;IF(INDEX(firmadas!$E:$E,$T697)="","vacía",DAY(INDEX(firmadas!$E:$E,$T697))&amp;"/"&amp;MONTH(INDEX(firmadas!$E:$E,$T697))&amp;"/"&amp;YEAR(INDEX(firmadas!$E:$E,$T697)))&amp;")","OK"))))))))</f>
        <v/>
      </c>
      <c r="T697" t="str">
        <f ca="1">IF($P697="","",IFERROR(MATCH($P697,firmadas!$N:$N,0),IFERROR(MATCH("*/"&amp;MID($P697,FIND(" ",$P697)+1,9)&amp;"*",firmadas!$B:$B,0),0)))</f>
        <v/>
      </c>
    </row>
    <row r="698" spans="14:20" ht="15" customHeight="1" x14ac:dyDescent="0.25">
      <c r="N698" s="53" t="str">
        <f t="shared" ca="1" si="10"/>
        <v/>
      </c>
      <c r="P698" t="str">
        <f ca="1">IF(TRIM(SUBSTITUTE(($C698&amp;" "&amp;$D698),CHAR(160)," "))="","",IFERROR(IF(ISNUMBER(SEARCH("INC",($C698&amp;" "&amp;$D698))),"INC",IF(ISNUMBER(SEARCH("OPI",($C698&amp;" "&amp;$D698))),"OPI",IF(ISNUMBER(SEARCH("DP",($C698&amp;" "&amp;$D698))),"DP","CONC")))&amp;" "&amp;TEXT(LOOKUP(9.99E+307,--MID(SUBSTITUTE(($C698&amp;" "&amp;$D698),CHAR(160)," "),SUMPRODUCT(MIN(FIND({0,1,2,3,4,5,6,7,8,9},SUBSTITUTE(($C698&amp;" "&amp;$D698),CHAR(160)," ")&amp;"0123456789"))),ROW(INDIRECT("1:6")))),"0"),"SIN NUMERO"))</f>
        <v/>
      </c>
      <c r="Q698" t="str">
        <f ca="1">IF($P698="","",IF(LEFT(UPPER($S698),9)="VERIFICAR","VERIFICAR",IF($A698="","SIN ESTADO",IF(AND($A698="Firmada",$H698=""),"FALTA FECHA DE FIRMA",IF(N($T698)=0,IF(AND(ISNUMBER($H698),$H698&gt;=DATE(2024,1,1)),"FALTA EN FIRMADAS","OK"),IF(OR($A698="Pendiente de presentación",$A698="Observado",$A698="En análisis",$A698="En instrucción",$A698="Suspendida",$A698="IT circulando",$A698="Para resolución",$A698="TDC"),"ABIERTA PERO ESTÁ EN FIRMADAS",IF($H698&lt;&gt;INDEX(firmadas!$F:$F,$T698),"FIRMA DISTINTA EN firmadas ("&amp;IF(INDEX(firmadas!$F:$F,$T698)="","vacía",DAY(INDEX(firmadas!$F:$F,$T698))&amp;"/"&amp;MONTH(INDEX(firmadas!$F:$F,$T698))&amp;"/"&amp;YEAR(INDEX(firmadas!$F:$F,$T698)))&amp;")",IF($G698&lt;&gt;INDEX(firmadas!$E:$E,$T698),"INGRESO DISTINTO EN firmadas ("&amp;IF(INDEX(firmadas!$E:$E,$T698)="","vacía",DAY(INDEX(firmadas!$E:$E,$T698))&amp;"/"&amp;MONTH(INDEX(firmadas!$E:$E,$T698))&amp;"/"&amp;YEAR(INDEX(firmadas!$E:$E,$T698)))&amp;")","OK"))))))))</f>
        <v/>
      </c>
      <c r="T698" t="str">
        <f ca="1">IF($P698="","",IFERROR(MATCH($P698,firmadas!$N:$N,0),IFERROR(MATCH("*/"&amp;MID($P698,FIND(" ",$P698)+1,9)&amp;"*",firmadas!$B:$B,0),0)))</f>
        <v/>
      </c>
    </row>
    <row r="699" spans="14:20" ht="15" customHeight="1" x14ac:dyDescent="0.25">
      <c r="N699" s="53" t="str">
        <f t="shared" ca="1" si="10"/>
        <v/>
      </c>
      <c r="P699" t="str">
        <f ca="1">IF(TRIM(SUBSTITUTE(($C699&amp;" "&amp;$D699),CHAR(160)," "))="","",IFERROR(IF(ISNUMBER(SEARCH("INC",($C699&amp;" "&amp;$D699))),"INC",IF(ISNUMBER(SEARCH("OPI",($C699&amp;" "&amp;$D699))),"OPI",IF(ISNUMBER(SEARCH("DP",($C699&amp;" "&amp;$D699))),"DP","CONC")))&amp;" "&amp;TEXT(LOOKUP(9.99E+307,--MID(SUBSTITUTE(($C699&amp;" "&amp;$D699),CHAR(160)," "),SUMPRODUCT(MIN(FIND({0,1,2,3,4,5,6,7,8,9},SUBSTITUTE(($C699&amp;" "&amp;$D699),CHAR(160)," ")&amp;"0123456789"))),ROW(INDIRECT("1:6")))),"0"),"SIN NUMERO"))</f>
        <v/>
      </c>
      <c r="Q699" t="str">
        <f ca="1">IF($P699="","",IF(LEFT(UPPER($S699),9)="VERIFICAR","VERIFICAR",IF($A699="","SIN ESTADO",IF(AND($A699="Firmada",$H699=""),"FALTA FECHA DE FIRMA",IF(N($T699)=0,IF(AND(ISNUMBER($H699),$H699&gt;=DATE(2024,1,1)),"FALTA EN FIRMADAS","OK"),IF(OR($A699="Pendiente de presentación",$A699="Observado",$A699="En análisis",$A699="En instrucción",$A699="Suspendida",$A699="IT circulando",$A699="Para resolución",$A699="TDC"),"ABIERTA PERO ESTÁ EN FIRMADAS",IF($H699&lt;&gt;INDEX(firmadas!$F:$F,$T699),"FIRMA DISTINTA EN firmadas ("&amp;IF(INDEX(firmadas!$F:$F,$T699)="","vacía",DAY(INDEX(firmadas!$F:$F,$T699))&amp;"/"&amp;MONTH(INDEX(firmadas!$F:$F,$T699))&amp;"/"&amp;YEAR(INDEX(firmadas!$F:$F,$T699)))&amp;")",IF($G699&lt;&gt;INDEX(firmadas!$E:$E,$T699),"INGRESO DISTINTO EN firmadas ("&amp;IF(INDEX(firmadas!$E:$E,$T699)="","vacía",DAY(INDEX(firmadas!$E:$E,$T699))&amp;"/"&amp;MONTH(INDEX(firmadas!$E:$E,$T699))&amp;"/"&amp;YEAR(INDEX(firmadas!$E:$E,$T699)))&amp;")","OK"))))))))</f>
        <v/>
      </c>
      <c r="T699" t="str">
        <f ca="1">IF($P699="","",IFERROR(MATCH($P699,firmadas!$N:$N,0),IFERROR(MATCH("*/"&amp;MID($P699,FIND(" ",$P699)+1,9)&amp;"*",firmadas!$B:$B,0),0)))</f>
        <v/>
      </c>
    </row>
    <row r="700" spans="14:20" ht="15" customHeight="1" x14ac:dyDescent="0.25">
      <c r="N700" s="53" t="str">
        <f t="shared" ca="1" si="10"/>
        <v/>
      </c>
      <c r="P700" t="str">
        <f ca="1">IF(TRIM(SUBSTITUTE(($C700&amp;" "&amp;$D700),CHAR(160)," "))="","",IFERROR(IF(ISNUMBER(SEARCH("INC",($C700&amp;" "&amp;$D700))),"INC",IF(ISNUMBER(SEARCH("OPI",($C700&amp;" "&amp;$D700))),"OPI",IF(ISNUMBER(SEARCH("DP",($C700&amp;" "&amp;$D700))),"DP","CONC")))&amp;" "&amp;TEXT(LOOKUP(9.99E+307,--MID(SUBSTITUTE(($C700&amp;" "&amp;$D700),CHAR(160)," "),SUMPRODUCT(MIN(FIND({0,1,2,3,4,5,6,7,8,9},SUBSTITUTE(($C700&amp;" "&amp;$D700),CHAR(160)," ")&amp;"0123456789"))),ROW(INDIRECT("1:6")))),"0"),"SIN NUMERO"))</f>
        <v/>
      </c>
      <c r="Q700" t="str">
        <f ca="1">IF($P700="","",IF(LEFT(UPPER($S700),9)="VERIFICAR","VERIFICAR",IF($A700="","SIN ESTADO",IF(AND($A700="Firmada",$H700=""),"FALTA FECHA DE FIRMA",IF(N($T700)=0,IF(AND(ISNUMBER($H700),$H700&gt;=DATE(2024,1,1)),"FALTA EN FIRMADAS","OK"),IF(OR($A700="Pendiente de presentación",$A700="Observado",$A700="En análisis",$A700="En instrucción",$A700="Suspendida",$A700="IT circulando",$A700="Para resolución",$A700="TDC"),"ABIERTA PERO ESTÁ EN FIRMADAS",IF($H700&lt;&gt;INDEX(firmadas!$F:$F,$T700),"FIRMA DISTINTA EN firmadas ("&amp;IF(INDEX(firmadas!$F:$F,$T700)="","vacía",DAY(INDEX(firmadas!$F:$F,$T700))&amp;"/"&amp;MONTH(INDEX(firmadas!$F:$F,$T700))&amp;"/"&amp;YEAR(INDEX(firmadas!$F:$F,$T700)))&amp;")",IF($G700&lt;&gt;INDEX(firmadas!$E:$E,$T700),"INGRESO DISTINTO EN firmadas ("&amp;IF(INDEX(firmadas!$E:$E,$T700)="","vacía",DAY(INDEX(firmadas!$E:$E,$T700))&amp;"/"&amp;MONTH(INDEX(firmadas!$E:$E,$T700))&amp;"/"&amp;YEAR(INDEX(firmadas!$E:$E,$T700)))&amp;")","OK"))))))))</f>
        <v/>
      </c>
      <c r="T700" t="str">
        <f ca="1">IF($P700="","",IFERROR(MATCH($P700,firmadas!$N:$N,0),IFERROR(MATCH("*/"&amp;MID($P700,FIND(" ",$P700)+1,9)&amp;"*",firmadas!$B:$B,0),0)))</f>
        <v/>
      </c>
    </row>
    <row r="701" spans="14:20" ht="15" customHeight="1" x14ac:dyDescent="0.25">
      <c r="N701" s="53" t="str">
        <f t="shared" ca="1" si="10"/>
        <v/>
      </c>
      <c r="P701" t="str">
        <f ca="1">IF(TRIM(SUBSTITUTE(($C701&amp;" "&amp;$D701),CHAR(160)," "))="","",IFERROR(IF(ISNUMBER(SEARCH("INC",($C701&amp;" "&amp;$D701))),"INC",IF(ISNUMBER(SEARCH("OPI",($C701&amp;" "&amp;$D701))),"OPI",IF(ISNUMBER(SEARCH("DP",($C701&amp;" "&amp;$D701))),"DP","CONC")))&amp;" "&amp;TEXT(LOOKUP(9.99E+307,--MID(SUBSTITUTE(($C701&amp;" "&amp;$D701),CHAR(160)," "),SUMPRODUCT(MIN(FIND({0,1,2,3,4,5,6,7,8,9},SUBSTITUTE(($C701&amp;" "&amp;$D701),CHAR(160)," ")&amp;"0123456789"))),ROW(INDIRECT("1:6")))),"0"),"SIN NUMERO"))</f>
        <v/>
      </c>
      <c r="Q701" t="str">
        <f ca="1">IF($P701="","",IF(LEFT(UPPER($S701),9)="VERIFICAR","VERIFICAR",IF($A701="","SIN ESTADO",IF(AND($A701="Firmada",$H701=""),"FALTA FECHA DE FIRMA",IF(N($T701)=0,IF(AND(ISNUMBER($H701),$H701&gt;=DATE(2024,1,1)),"FALTA EN FIRMADAS","OK"),IF(OR($A701="Pendiente de presentación",$A701="Observado",$A701="En análisis",$A701="En instrucción",$A701="Suspendida",$A701="IT circulando",$A701="Para resolución",$A701="TDC"),"ABIERTA PERO ESTÁ EN FIRMADAS",IF($H701&lt;&gt;INDEX(firmadas!$F:$F,$T701),"FIRMA DISTINTA EN firmadas ("&amp;IF(INDEX(firmadas!$F:$F,$T701)="","vacía",DAY(INDEX(firmadas!$F:$F,$T701))&amp;"/"&amp;MONTH(INDEX(firmadas!$F:$F,$T701))&amp;"/"&amp;YEAR(INDEX(firmadas!$F:$F,$T701)))&amp;")",IF($G701&lt;&gt;INDEX(firmadas!$E:$E,$T701),"INGRESO DISTINTO EN firmadas ("&amp;IF(INDEX(firmadas!$E:$E,$T701)="","vacía",DAY(INDEX(firmadas!$E:$E,$T701))&amp;"/"&amp;MONTH(INDEX(firmadas!$E:$E,$T701))&amp;"/"&amp;YEAR(INDEX(firmadas!$E:$E,$T701)))&amp;")","OK"))))))))</f>
        <v/>
      </c>
      <c r="T701" t="str">
        <f ca="1">IF($P701="","",IFERROR(MATCH($P701,firmadas!$N:$N,0),IFERROR(MATCH("*/"&amp;MID($P701,FIND(" ",$P701)+1,9)&amp;"*",firmadas!$B:$B,0),0)))</f>
        <v/>
      </c>
    </row>
    <row r="702" spans="14:20" ht="15" customHeight="1" x14ac:dyDescent="0.25">
      <c r="N702" s="53" t="str">
        <f t="shared" ca="1" si="10"/>
        <v/>
      </c>
      <c r="P702" t="str">
        <f ca="1">IF(TRIM(SUBSTITUTE(($C702&amp;" "&amp;$D702),CHAR(160)," "))="","",IFERROR(IF(ISNUMBER(SEARCH("INC",($C702&amp;" "&amp;$D702))),"INC",IF(ISNUMBER(SEARCH("OPI",($C702&amp;" "&amp;$D702))),"OPI",IF(ISNUMBER(SEARCH("DP",($C702&amp;" "&amp;$D702))),"DP","CONC")))&amp;" "&amp;TEXT(LOOKUP(9.99E+307,--MID(SUBSTITUTE(($C702&amp;" "&amp;$D702),CHAR(160)," "),SUMPRODUCT(MIN(FIND({0,1,2,3,4,5,6,7,8,9},SUBSTITUTE(($C702&amp;" "&amp;$D702),CHAR(160)," ")&amp;"0123456789"))),ROW(INDIRECT("1:6")))),"0"),"SIN NUMERO"))</f>
        <v/>
      </c>
      <c r="Q702" t="str">
        <f ca="1">IF($P702="","",IF(LEFT(UPPER($S702),9)="VERIFICAR","VERIFICAR",IF($A702="","SIN ESTADO",IF(AND($A702="Firmada",$H702=""),"FALTA FECHA DE FIRMA",IF(N($T702)=0,IF(AND(ISNUMBER($H702),$H702&gt;=DATE(2024,1,1)),"FALTA EN FIRMADAS","OK"),IF(OR($A702="Pendiente de presentación",$A702="Observado",$A702="En análisis",$A702="En instrucción",$A702="Suspendida",$A702="IT circulando",$A702="Para resolución",$A702="TDC"),"ABIERTA PERO ESTÁ EN FIRMADAS",IF($H702&lt;&gt;INDEX(firmadas!$F:$F,$T702),"FIRMA DISTINTA EN firmadas ("&amp;IF(INDEX(firmadas!$F:$F,$T702)="","vacía",DAY(INDEX(firmadas!$F:$F,$T702))&amp;"/"&amp;MONTH(INDEX(firmadas!$F:$F,$T702))&amp;"/"&amp;YEAR(INDEX(firmadas!$F:$F,$T702)))&amp;")",IF($G702&lt;&gt;INDEX(firmadas!$E:$E,$T702),"INGRESO DISTINTO EN firmadas ("&amp;IF(INDEX(firmadas!$E:$E,$T702)="","vacía",DAY(INDEX(firmadas!$E:$E,$T702))&amp;"/"&amp;MONTH(INDEX(firmadas!$E:$E,$T702))&amp;"/"&amp;YEAR(INDEX(firmadas!$E:$E,$T702)))&amp;")","OK"))))))))</f>
        <v/>
      </c>
      <c r="T702" t="str">
        <f ca="1">IF($P702="","",IFERROR(MATCH($P702,firmadas!$N:$N,0),IFERROR(MATCH("*/"&amp;MID($P702,FIND(" ",$P702)+1,9)&amp;"*",firmadas!$B:$B,0),0)))</f>
        <v/>
      </c>
    </row>
    <row r="703" spans="14:20" ht="15" customHeight="1" x14ac:dyDescent="0.25">
      <c r="N703" s="53" t="str">
        <f t="shared" ca="1" si="10"/>
        <v/>
      </c>
      <c r="P703" t="str">
        <f ca="1">IF(TRIM(SUBSTITUTE(($C703&amp;" "&amp;$D703),CHAR(160)," "))="","",IFERROR(IF(ISNUMBER(SEARCH("INC",($C703&amp;" "&amp;$D703))),"INC",IF(ISNUMBER(SEARCH("OPI",($C703&amp;" "&amp;$D703))),"OPI",IF(ISNUMBER(SEARCH("DP",($C703&amp;" "&amp;$D703))),"DP","CONC")))&amp;" "&amp;TEXT(LOOKUP(9.99E+307,--MID(SUBSTITUTE(($C703&amp;" "&amp;$D703),CHAR(160)," "),SUMPRODUCT(MIN(FIND({0,1,2,3,4,5,6,7,8,9},SUBSTITUTE(($C703&amp;" "&amp;$D703),CHAR(160)," ")&amp;"0123456789"))),ROW(INDIRECT("1:6")))),"0"),"SIN NUMERO"))</f>
        <v/>
      </c>
      <c r="Q703" t="str">
        <f ca="1">IF($P703="","",IF(LEFT(UPPER($S703),9)="VERIFICAR","VERIFICAR",IF($A703="","SIN ESTADO",IF(AND($A703="Firmada",$H703=""),"FALTA FECHA DE FIRMA",IF(N($T703)=0,IF(AND(ISNUMBER($H703),$H703&gt;=DATE(2024,1,1)),"FALTA EN FIRMADAS","OK"),IF(OR($A703="Pendiente de presentación",$A703="Observado",$A703="En análisis",$A703="En instrucción",$A703="Suspendida",$A703="IT circulando",$A703="Para resolución",$A703="TDC"),"ABIERTA PERO ESTÁ EN FIRMADAS",IF($H703&lt;&gt;INDEX(firmadas!$F:$F,$T703),"FIRMA DISTINTA EN firmadas ("&amp;IF(INDEX(firmadas!$F:$F,$T703)="","vacía",DAY(INDEX(firmadas!$F:$F,$T703))&amp;"/"&amp;MONTH(INDEX(firmadas!$F:$F,$T703))&amp;"/"&amp;YEAR(INDEX(firmadas!$F:$F,$T703)))&amp;")",IF($G703&lt;&gt;INDEX(firmadas!$E:$E,$T703),"INGRESO DISTINTO EN firmadas ("&amp;IF(INDEX(firmadas!$E:$E,$T703)="","vacía",DAY(INDEX(firmadas!$E:$E,$T703))&amp;"/"&amp;MONTH(INDEX(firmadas!$E:$E,$T703))&amp;"/"&amp;YEAR(INDEX(firmadas!$E:$E,$T703)))&amp;")","OK"))))))))</f>
        <v/>
      </c>
      <c r="T703" t="str">
        <f ca="1">IF($P703="","",IFERROR(MATCH($P703,firmadas!$N:$N,0),IFERROR(MATCH("*/"&amp;MID($P703,FIND(" ",$P703)+1,9)&amp;"*",firmadas!$B:$B,0),0)))</f>
        <v/>
      </c>
    </row>
    <row r="704" spans="14:20" ht="15" customHeight="1" x14ac:dyDescent="0.25">
      <c r="N704" s="53" t="str">
        <f t="shared" ca="1" si="10"/>
        <v/>
      </c>
      <c r="P704" t="str">
        <f ca="1">IF(TRIM(SUBSTITUTE(($C704&amp;" "&amp;$D704),CHAR(160)," "))="","",IFERROR(IF(ISNUMBER(SEARCH("INC",($C704&amp;" "&amp;$D704))),"INC",IF(ISNUMBER(SEARCH("OPI",($C704&amp;" "&amp;$D704))),"OPI",IF(ISNUMBER(SEARCH("DP",($C704&amp;" "&amp;$D704))),"DP","CONC")))&amp;" "&amp;TEXT(LOOKUP(9.99E+307,--MID(SUBSTITUTE(($C704&amp;" "&amp;$D704),CHAR(160)," "),SUMPRODUCT(MIN(FIND({0,1,2,3,4,5,6,7,8,9},SUBSTITUTE(($C704&amp;" "&amp;$D704),CHAR(160)," ")&amp;"0123456789"))),ROW(INDIRECT("1:6")))),"0"),"SIN NUMERO"))</f>
        <v/>
      </c>
      <c r="Q704" t="str">
        <f ca="1">IF($P704="","",IF(LEFT(UPPER($S704),9)="VERIFICAR","VERIFICAR",IF($A704="","SIN ESTADO",IF(AND($A704="Firmada",$H704=""),"FALTA FECHA DE FIRMA",IF(N($T704)=0,IF(AND(ISNUMBER($H704),$H704&gt;=DATE(2024,1,1)),"FALTA EN FIRMADAS","OK"),IF(OR($A704="Pendiente de presentación",$A704="Observado",$A704="En análisis",$A704="En instrucción",$A704="Suspendida",$A704="IT circulando",$A704="Para resolución",$A704="TDC"),"ABIERTA PERO ESTÁ EN FIRMADAS",IF($H704&lt;&gt;INDEX(firmadas!$F:$F,$T704),"FIRMA DISTINTA EN firmadas ("&amp;IF(INDEX(firmadas!$F:$F,$T704)="","vacía",DAY(INDEX(firmadas!$F:$F,$T704))&amp;"/"&amp;MONTH(INDEX(firmadas!$F:$F,$T704))&amp;"/"&amp;YEAR(INDEX(firmadas!$F:$F,$T704)))&amp;")",IF($G704&lt;&gt;INDEX(firmadas!$E:$E,$T704),"INGRESO DISTINTO EN firmadas ("&amp;IF(INDEX(firmadas!$E:$E,$T704)="","vacía",DAY(INDEX(firmadas!$E:$E,$T704))&amp;"/"&amp;MONTH(INDEX(firmadas!$E:$E,$T704))&amp;"/"&amp;YEAR(INDEX(firmadas!$E:$E,$T704)))&amp;")","OK"))))))))</f>
        <v/>
      </c>
      <c r="T704" t="str">
        <f ca="1">IF($P704="","",IFERROR(MATCH($P704,firmadas!$N:$N,0),IFERROR(MATCH("*/"&amp;MID($P704,FIND(" ",$P704)+1,9)&amp;"*",firmadas!$B:$B,0),0)))</f>
        <v/>
      </c>
    </row>
    <row r="705" spans="14:20" ht="15" customHeight="1" x14ac:dyDescent="0.25">
      <c r="N705" s="53" t="str">
        <f t="shared" ca="1" si="10"/>
        <v/>
      </c>
      <c r="P705" t="str">
        <f ca="1">IF(TRIM(SUBSTITUTE(($C705&amp;" "&amp;$D705),CHAR(160)," "))="","",IFERROR(IF(ISNUMBER(SEARCH("INC",($C705&amp;" "&amp;$D705))),"INC",IF(ISNUMBER(SEARCH("OPI",($C705&amp;" "&amp;$D705))),"OPI",IF(ISNUMBER(SEARCH("DP",($C705&amp;" "&amp;$D705))),"DP","CONC")))&amp;" "&amp;TEXT(LOOKUP(9.99E+307,--MID(SUBSTITUTE(($C705&amp;" "&amp;$D705),CHAR(160)," "),SUMPRODUCT(MIN(FIND({0,1,2,3,4,5,6,7,8,9},SUBSTITUTE(($C705&amp;" "&amp;$D705),CHAR(160)," ")&amp;"0123456789"))),ROW(INDIRECT("1:6")))),"0"),"SIN NUMERO"))</f>
        <v/>
      </c>
      <c r="Q705" t="str">
        <f ca="1">IF($P705="","",IF(LEFT(UPPER($S705),9)="VERIFICAR","VERIFICAR",IF($A705="","SIN ESTADO",IF(AND($A705="Firmada",$H705=""),"FALTA FECHA DE FIRMA",IF(N($T705)=0,IF(AND(ISNUMBER($H705),$H705&gt;=DATE(2024,1,1)),"FALTA EN FIRMADAS","OK"),IF(OR($A705="Pendiente de presentación",$A705="Observado",$A705="En análisis",$A705="En instrucción",$A705="Suspendida",$A705="IT circulando",$A705="Para resolución",$A705="TDC"),"ABIERTA PERO ESTÁ EN FIRMADAS",IF($H705&lt;&gt;INDEX(firmadas!$F:$F,$T705),"FIRMA DISTINTA EN firmadas ("&amp;IF(INDEX(firmadas!$F:$F,$T705)="","vacía",DAY(INDEX(firmadas!$F:$F,$T705))&amp;"/"&amp;MONTH(INDEX(firmadas!$F:$F,$T705))&amp;"/"&amp;YEAR(INDEX(firmadas!$F:$F,$T705)))&amp;")",IF($G705&lt;&gt;INDEX(firmadas!$E:$E,$T705),"INGRESO DISTINTO EN firmadas ("&amp;IF(INDEX(firmadas!$E:$E,$T705)="","vacía",DAY(INDEX(firmadas!$E:$E,$T705))&amp;"/"&amp;MONTH(INDEX(firmadas!$E:$E,$T705))&amp;"/"&amp;YEAR(INDEX(firmadas!$E:$E,$T705)))&amp;")","OK"))))))))</f>
        <v/>
      </c>
      <c r="T705" t="str">
        <f ca="1">IF($P705="","",IFERROR(MATCH($P705,firmadas!$N:$N,0),IFERROR(MATCH("*/"&amp;MID($P705,FIND(" ",$P705)+1,9)&amp;"*",firmadas!$B:$B,0),0)))</f>
        <v/>
      </c>
    </row>
    <row r="706" spans="14:20" ht="15" customHeight="1" x14ac:dyDescent="0.25">
      <c r="N706" s="53" t="str">
        <f t="shared" ref="N706:N769" ca="1" si="11">IF($G706="","",(IF($H706="",TODAY(),$H706)-$G706)/30)</f>
        <v/>
      </c>
      <c r="P706" t="str">
        <f ca="1">IF(TRIM(SUBSTITUTE(($C706&amp;" "&amp;$D706),CHAR(160)," "))="","",IFERROR(IF(ISNUMBER(SEARCH("INC",($C706&amp;" "&amp;$D706))),"INC",IF(ISNUMBER(SEARCH("OPI",($C706&amp;" "&amp;$D706))),"OPI",IF(ISNUMBER(SEARCH("DP",($C706&amp;" "&amp;$D706))),"DP","CONC")))&amp;" "&amp;TEXT(LOOKUP(9.99E+307,--MID(SUBSTITUTE(($C706&amp;" "&amp;$D706),CHAR(160)," "),SUMPRODUCT(MIN(FIND({0,1,2,3,4,5,6,7,8,9},SUBSTITUTE(($C706&amp;" "&amp;$D706),CHAR(160)," ")&amp;"0123456789"))),ROW(INDIRECT("1:6")))),"0"),"SIN NUMERO"))</f>
        <v/>
      </c>
      <c r="Q706" t="str">
        <f ca="1">IF($P706="","",IF(LEFT(UPPER($S706),9)="VERIFICAR","VERIFICAR",IF($A706="","SIN ESTADO",IF(AND($A706="Firmada",$H706=""),"FALTA FECHA DE FIRMA",IF(N($T706)=0,IF(AND(ISNUMBER($H706),$H706&gt;=DATE(2024,1,1)),"FALTA EN FIRMADAS","OK"),IF(OR($A706="Pendiente de presentación",$A706="Observado",$A706="En análisis",$A706="En instrucción",$A706="Suspendida",$A706="IT circulando",$A706="Para resolución",$A706="TDC"),"ABIERTA PERO ESTÁ EN FIRMADAS",IF($H706&lt;&gt;INDEX(firmadas!$F:$F,$T706),"FIRMA DISTINTA EN firmadas ("&amp;IF(INDEX(firmadas!$F:$F,$T706)="","vacía",DAY(INDEX(firmadas!$F:$F,$T706))&amp;"/"&amp;MONTH(INDEX(firmadas!$F:$F,$T706))&amp;"/"&amp;YEAR(INDEX(firmadas!$F:$F,$T706)))&amp;")",IF($G706&lt;&gt;INDEX(firmadas!$E:$E,$T706),"INGRESO DISTINTO EN firmadas ("&amp;IF(INDEX(firmadas!$E:$E,$T706)="","vacía",DAY(INDEX(firmadas!$E:$E,$T706))&amp;"/"&amp;MONTH(INDEX(firmadas!$E:$E,$T706))&amp;"/"&amp;YEAR(INDEX(firmadas!$E:$E,$T706)))&amp;")","OK"))))))))</f>
        <v/>
      </c>
      <c r="T706" t="str">
        <f ca="1">IF($P706="","",IFERROR(MATCH($P706,firmadas!$N:$N,0),IFERROR(MATCH("*/"&amp;MID($P706,FIND(" ",$P706)+1,9)&amp;"*",firmadas!$B:$B,0),0)))</f>
        <v/>
      </c>
    </row>
    <row r="707" spans="14:20" ht="15" customHeight="1" x14ac:dyDescent="0.25">
      <c r="N707" s="53" t="str">
        <f t="shared" ca="1" si="11"/>
        <v/>
      </c>
      <c r="P707" t="str">
        <f ca="1">IF(TRIM(SUBSTITUTE(($C707&amp;" "&amp;$D707),CHAR(160)," "))="","",IFERROR(IF(ISNUMBER(SEARCH("INC",($C707&amp;" "&amp;$D707))),"INC",IF(ISNUMBER(SEARCH("OPI",($C707&amp;" "&amp;$D707))),"OPI",IF(ISNUMBER(SEARCH("DP",($C707&amp;" "&amp;$D707))),"DP","CONC")))&amp;" "&amp;TEXT(LOOKUP(9.99E+307,--MID(SUBSTITUTE(($C707&amp;" "&amp;$D707),CHAR(160)," "),SUMPRODUCT(MIN(FIND({0,1,2,3,4,5,6,7,8,9},SUBSTITUTE(($C707&amp;" "&amp;$D707),CHAR(160)," ")&amp;"0123456789"))),ROW(INDIRECT("1:6")))),"0"),"SIN NUMERO"))</f>
        <v/>
      </c>
      <c r="Q707" t="str">
        <f ca="1">IF($P707="","",IF(LEFT(UPPER($S707),9)="VERIFICAR","VERIFICAR",IF($A707="","SIN ESTADO",IF(AND($A707="Firmada",$H707=""),"FALTA FECHA DE FIRMA",IF(N($T707)=0,IF(AND(ISNUMBER($H707),$H707&gt;=DATE(2024,1,1)),"FALTA EN FIRMADAS","OK"),IF(OR($A707="Pendiente de presentación",$A707="Observado",$A707="En análisis",$A707="En instrucción",$A707="Suspendida",$A707="IT circulando",$A707="Para resolución",$A707="TDC"),"ABIERTA PERO ESTÁ EN FIRMADAS",IF($H707&lt;&gt;INDEX(firmadas!$F:$F,$T707),"FIRMA DISTINTA EN firmadas ("&amp;IF(INDEX(firmadas!$F:$F,$T707)="","vacía",DAY(INDEX(firmadas!$F:$F,$T707))&amp;"/"&amp;MONTH(INDEX(firmadas!$F:$F,$T707))&amp;"/"&amp;YEAR(INDEX(firmadas!$F:$F,$T707)))&amp;")",IF($G707&lt;&gt;INDEX(firmadas!$E:$E,$T707),"INGRESO DISTINTO EN firmadas ("&amp;IF(INDEX(firmadas!$E:$E,$T707)="","vacía",DAY(INDEX(firmadas!$E:$E,$T707))&amp;"/"&amp;MONTH(INDEX(firmadas!$E:$E,$T707))&amp;"/"&amp;YEAR(INDEX(firmadas!$E:$E,$T707)))&amp;")","OK"))))))))</f>
        <v/>
      </c>
      <c r="T707" t="str">
        <f ca="1">IF($P707="","",IFERROR(MATCH($P707,firmadas!$N:$N,0),IFERROR(MATCH("*/"&amp;MID($P707,FIND(" ",$P707)+1,9)&amp;"*",firmadas!$B:$B,0),0)))</f>
        <v/>
      </c>
    </row>
    <row r="708" spans="14:20" ht="15" customHeight="1" x14ac:dyDescent="0.25">
      <c r="N708" s="53" t="str">
        <f t="shared" ca="1" si="11"/>
        <v/>
      </c>
      <c r="P708" t="str">
        <f ca="1">IF(TRIM(SUBSTITUTE(($C708&amp;" "&amp;$D708),CHAR(160)," "))="","",IFERROR(IF(ISNUMBER(SEARCH("INC",($C708&amp;" "&amp;$D708))),"INC",IF(ISNUMBER(SEARCH("OPI",($C708&amp;" "&amp;$D708))),"OPI",IF(ISNUMBER(SEARCH("DP",($C708&amp;" "&amp;$D708))),"DP","CONC")))&amp;" "&amp;TEXT(LOOKUP(9.99E+307,--MID(SUBSTITUTE(($C708&amp;" "&amp;$D708),CHAR(160)," "),SUMPRODUCT(MIN(FIND({0,1,2,3,4,5,6,7,8,9},SUBSTITUTE(($C708&amp;" "&amp;$D708),CHAR(160)," ")&amp;"0123456789"))),ROW(INDIRECT("1:6")))),"0"),"SIN NUMERO"))</f>
        <v/>
      </c>
      <c r="Q708" t="str">
        <f ca="1">IF($P708="","",IF(LEFT(UPPER($S708),9)="VERIFICAR","VERIFICAR",IF($A708="","SIN ESTADO",IF(AND($A708="Firmada",$H708=""),"FALTA FECHA DE FIRMA",IF(N($T708)=0,IF(AND(ISNUMBER($H708),$H708&gt;=DATE(2024,1,1)),"FALTA EN FIRMADAS","OK"),IF(OR($A708="Pendiente de presentación",$A708="Observado",$A708="En análisis",$A708="En instrucción",$A708="Suspendida",$A708="IT circulando",$A708="Para resolución",$A708="TDC"),"ABIERTA PERO ESTÁ EN FIRMADAS",IF($H708&lt;&gt;INDEX(firmadas!$F:$F,$T708),"FIRMA DISTINTA EN firmadas ("&amp;IF(INDEX(firmadas!$F:$F,$T708)="","vacía",DAY(INDEX(firmadas!$F:$F,$T708))&amp;"/"&amp;MONTH(INDEX(firmadas!$F:$F,$T708))&amp;"/"&amp;YEAR(INDEX(firmadas!$F:$F,$T708)))&amp;")",IF($G708&lt;&gt;INDEX(firmadas!$E:$E,$T708),"INGRESO DISTINTO EN firmadas ("&amp;IF(INDEX(firmadas!$E:$E,$T708)="","vacía",DAY(INDEX(firmadas!$E:$E,$T708))&amp;"/"&amp;MONTH(INDEX(firmadas!$E:$E,$T708))&amp;"/"&amp;YEAR(INDEX(firmadas!$E:$E,$T708)))&amp;")","OK"))))))))</f>
        <v/>
      </c>
      <c r="T708" t="str">
        <f ca="1">IF($P708="","",IFERROR(MATCH($P708,firmadas!$N:$N,0),IFERROR(MATCH("*/"&amp;MID($P708,FIND(" ",$P708)+1,9)&amp;"*",firmadas!$B:$B,0),0)))</f>
        <v/>
      </c>
    </row>
    <row r="709" spans="14:20" ht="15" customHeight="1" x14ac:dyDescent="0.25">
      <c r="N709" s="53" t="str">
        <f t="shared" ca="1" si="11"/>
        <v/>
      </c>
      <c r="P709" t="str">
        <f ca="1">IF(TRIM(SUBSTITUTE(($C709&amp;" "&amp;$D709),CHAR(160)," "))="","",IFERROR(IF(ISNUMBER(SEARCH("INC",($C709&amp;" "&amp;$D709))),"INC",IF(ISNUMBER(SEARCH("OPI",($C709&amp;" "&amp;$D709))),"OPI",IF(ISNUMBER(SEARCH("DP",($C709&amp;" "&amp;$D709))),"DP","CONC")))&amp;" "&amp;TEXT(LOOKUP(9.99E+307,--MID(SUBSTITUTE(($C709&amp;" "&amp;$D709),CHAR(160)," "),SUMPRODUCT(MIN(FIND({0,1,2,3,4,5,6,7,8,9},SUBSTITUTE(($C709&amp;" "&amp;$D709),CHAR(160)," ")&amp;"0123456789"))),ROW(INDIRECT("1:6")))),"0"),"SIN NUMERO"))</f>
        <v/>
      </c>
      <c r="Q709" t="str">
        <f ca="1">IF($P709="","",IF(LEFT(UPPER($S709),9)="VERIFICAR","VERIFICAR",IF($A709="","SIN ESTADO",IF(AND($A709="Firmada",$H709=""),"FALTA FECHA DE FIRMA",IF(N($T709)=0,IF(AND(ISNUMBER($H709),$H709&gt;=DATE(2024,1,1)),"FALTA EN FIRMADAS","OK"),IF(OR($A709="Pendiente de presentación",$A709="Observado",$A709="En análisis",$A709="En instrucción",$A709="Suspendida",$A709="IT circulando",$A709="Para resolución",$A709="TDC"),"ABIERTA PERO ESTÁ EN FIRMADAS",IF($H709&lt;&gt;INDEX(firmadas!$F:$F,$T709),"FIRMA DISTINTA EN firmadas ("&amp;IF(INDEX(firmadas!$F:$F,$T709)="","vacía",DAY(INDEX(firmadas!$F:$F,$T709))&amp;"/"&amp;MONTH(INDEX(firmadas!$F:$F,$T709))&amp;"/"&amp;YEAR(INDEX(firmadas!$F:$F,$T709)))&amp;")",IF($G709&lt;&gt;INDEX(firmadas!$E:$E,$T709),"INGRESO DISTINTO EN firmadas ("&amp;IF(INDEX(firmadas!$E:$E,$T709)="","vacía",DAY(INDEX(firmadas!$E:$E,$T709))&amp;"/"&amp;MONTH(INDEX(firmadas!$E:$E,$T709))&amp;"/"&amp;YEAR(INDEX(firmadas!$E:$E,$T709)))&amp;")","OK"))))))))</f>
        <v/>
      </c>
      <c r="T709" t="str">
        <f ca="1">IF($P709="","",IFERROR(MATCH($P709,firmadas!$N:$N,0),IFERROR(MATCH("*/"&amp;MID($P709,FIND(" ",$P709)+1,9)&amp;"*",firmadas!$B:$B,0),0)))</f>
        <v/>
      </c>
    </row>
    <row r="710" spans="14:20" ht="15" customHeight="1" x14ac:dyDescent="0.25">
      <c r="N710" s="53" t="str">
        <f t="shared" ca="1" si="11"/>
        <v/>
      </c>
      <c r="P710" t="str">
        <f ca="1">IF(TRIM(SUBSTITUTE(($C710&amp;" "&amp;$D710),CHAR(160)," "))="","",IFERROR(IF(ISNUMBER(SEARCH("INC",($C710&amp;" "&amp;$D710))),"INC",IF(ISNUMBER(SEARCH("OPI",($C710&amp;" "&amp;$D710))),"OPI",IF(ISNUMBER(SEARCH("DP",($C710&amp;" "&amp;$D710))),"DP","CONC")))&amp;" "&amp;TEXT(LOOKUP(9.99E+307,--MID(SUBSTITUTE(($C710&amp;" "&amp;$D710),CHAR(160)," "),SUMPRODUCT(MIN(FIND({0,1,2,3,4,5,6,7,8,9},SUBSTITUTE(($C710&amp;" "&amp;$D710),CHAR(160)," ")&amp;"0123456789"))),ROW(INDIRECT("1:6")))),"0"),"SIN NUMERO"))</f>
        <v/>
      </c>
      <c r="Q710" t="str">
        <f ca="1">IF($P710="","",IF(LEFT(UPPER($S710),9)="VERIFICAR","VERIFICAR",IF($A710="","SIN ESTADO",IF(AND($A710="Firmada",$H710=""),"FALTA FECHA DE FIRMA",IF(N($T710)=0,IF(AND(ISNUMBER($H710),$H710&gt;=DATE(2024,1,1)),"FALTA EN FIRMADAS","OK"),IF(OR($A710="Pendiente de presentación",$A710="Observado",$A710="En análisis",$A710="En instrucción",$A710="Suspendida",$A710="IT circulando",$A710="Para resolución",$A710="TDC"),"ABIERTA PERO ESTÁ EN FIRMADAS",IF($H710&lt;&gt;INDEX(firmadas!$F:$F,$T710),"FIRMA DISTINTA EN firmadas ("&amp;IF(INDEX(firmadas!$F:$F,$T710)="","vacía",DAY(INDEX(firmadas!$F:$F,$T710))&amp;"/"&amp;MONTH(INDEX(firmadas!$F:$F,$T710))&amp;"/"&amp;YEAR(INDEX(firmadas!$F:$F,$T710)))&amp;")",IF($G710&lt;&gt;INDEX(firmadas!$E:$E,$T710),"INGRESO DISTINTO EN firmadas ("&amp;IF(INDEX(firmadas!$E:$E,$T710)="","vacía",DAY(INDEX(firmadas!$E:$E,$T710))&amp;"/"&amp;MONTH(INDEX(firmadas!$E:$E,$T710))&amp;"/"&amp;YEAR(INDEX(firmadas!$E:$E,$T710)))&amp;")","OK"))))))))</f>
        <v/>
      </c>
      <c r="T710" t="str">
        <f ca="1">IF($P710="","",IFERROR(MATCH($P710,firmadas!$N:$N,0),IFERROR(MATCH("*/"&amp;MID($P710,FIND(" ",$P710)+1,9)&amp;"*",firmadas!$B:$B,0),0)))</f>
        <v/>
      </c>
    </row>
    <row r="711" spans="14:20" ht="15" customHeight="1" x14ac:dyDescent="0.25">
      <c r="N711" s="53" t="str">
        <f t="shared" ca="1" si="11"/>
        <v/>
      </c>
      <c r="P711" t="str">
        <f ca="1">IF(TRIM(SUBSTITUTE(($C711&amp;" "&amp;$D711),CHAR(160)," "))="","",IFERROR(IF(ISNUMBER(SEARCH("INC",($C711&amp;" "&amp;$D711))),"INC",IF(ISNUMBER(SEARCH("OPI",($C711&amp;" "&amp;$D711))),"OPI",IF(ISNUMBER(SEARCH("DP",($C711&amp;" "&amp;$D711))),"DP","CONC")))&amp;" "&amp;TEXT(LOOKUP(9.99E+307,--MID(SUBSTITUTE(($C711&amp;" "&amp;$D711),CHAR(160)," "),SUMPRODUCT(MIN(FIND({0,1,2,3,4,5,6,7,8,9},SUBSTITUTE(($C711&amp;" "&amp;$D711),CHAR(160)," ")&amp;"0123456789"))),ROW(INDIRECT("1:6")))),"0"),"SIN NUMERO"))</f>
        <v/>
      </c>
      <c r="Q711" t="str">
        <f ca="1">IF($P711="","",IF(LEFT(UPPER($S711),9)="VERIFICAR","VERIFICAR",IF($A711="","SIN ESTADO",IF(AND($A711="Firmada",$H711=""),"FALTA FECHA DE FIRMA",IF(N($T711)=0,IF(AND(ISNUMBER($H711),$H711&gt;=DATE(2024,1,1)),"FALTA EN FIRMADAS","OK"),IF(OR($A711="Pendiente de presentación",$A711="Observado",$A711="En análisis",$A711="En instrucción",$A711="Suspendida",$A711="IT circulando",$A711="Para resolución",$A711="TDC"),"ABIERTA PERO ESTÁ EN FIRMADAS",IF($H711&lt;&gt;INDEX(firmadas!$F:$F,$T711),"FIRMA DISTINTA EN firmadas ("&amp;IF(INDEX(firmadas!$F:$F,$T711)="","vacía",DAY(INDEX(firmadas!$F:$F,$T711))&amp;"/"&amp;MONTH(INDEX(firmadas!$F:$F,$T711))&amp;"/"&amp;YEAR(INDEX(firmadas!$F:$F,$T711)))&amp;")",IF($G711&lt;&gt;INDEX(firmadas!$E:$E,$T711),"INGRESO DISTINTO EN firmadas ("&amp;IF(INDEX(firmadas!$E:$E,$T711)="","vacía",DAY(INDEX(firmadas!$E:$E,$T711))&amp;"/"&amp;MONTH(INDEX(firmadas!$E:$E,$T711))&amp;"/"&amp;YEAR(INDEX(firmadas!$E:$E,$T711)))&amp;")","OK"))))))))</f>
        <v/>
      </c>
      <c r="T711" t="str">
        <f ca="1">IF($P711="","",IFERROR(MATCH($P711,firmadas!$N:$N,0),IFERROR(MATCH("*/"&amp;MID($P711,FIND(" ",$P711)+1,9)&amp;"*",firmadas!$B:$B,0),0)))</f>
        <v/>
      </c>
    </row>
    <row r="712" spans="14:20" ht="15" customHeight="1" x14ac:dyDescent="0.25">
      <c r="N712" s="53" t="str">
        <f t="shared" ca="1" si="11"/>
        <v/>
      </c>
      <c r="P712" t="str">
        <f ca="1">IF(TRIM(SUBSTITUTE(($C712&amp;" "&amp;$D712),CHAR(160)," "))="","",IFERROR(IF(ISNUMBER(SEARCH("INC",($C712&amp;" "&amp;$D712))),"INC",IF(ISNUMBER(SEARCH("OPI",($C712&amp;" "&amp;$D712))),"OPI",IF(ISNUMBER(SEARCH("DP",($C712&amp;" "&amp;$D712))),"DP","CONC")))&amp;" "&amp;TEXT(LOOKUP(9.99E+307,--MID(SUBSTITUTE(($C712&amp;" "&amp;$D712),CHAR(160)," "),SUMPRODUCT(MIN(FIND({0,1,2,3,4,5,6,7,8,9},SUBSTITUTE(($C712&amp;" "&amp;$D712),CHAR(160)," ")&amp;"0123456789"))),ROW(INDIRECT("1:6")))),"0"),"SIN NUMERO"))</f>
        <v/>
      </c>
      <c r="Q712" t="str">
        <f ca="1">IF($P712="","",IF(LEFT(UPPER($S712),9)="VERIFICAR","VERIFICAR",IF($A712="","SIN ESTADO",IF(AND($A712="Firmada",$H712=""),"FALTA FECHA DE FIRMA",IF(N($T712)=0,IF(AND(ISNUMBER($H712),$H712&gt;=DATE(2024,1,1)),"FALTA EN FIRMADAS","OK"),IF(OR($A712="Pendiente de presentación",$A712="Observado",$A712="En análisis",$A712="En instrucción",$A712="Suspendida",$A712="IT circulando",$A712="Para resolución",$A712="TDC"),"ABIERTA PERO ESTÁ EN FIRMADAS",IF($H712&lt;&gt;INDEX(firmadas!$F:$F,$T712),"FIRMA DISTINTA EN firmadas ("&amp;IF(INDEX(firmadas!$F:$F,$T712)="","vacía",DAY(INDEX(firmadas!$F:$F,$T712))&amp;"/"&amp;MONTH(INDEX(firmadas!$F:$F,$T712))&amp;"/"&amp;YEAR(INDEX(firmadas!$F:$F,$T712)))&amp;")",IF($G712&lt;&gt;INDEX(firmadas!$E:$E,$T712),"INGRESO DISTINTO EN firmadas ("&amp;IF(INDEX(firmadas!$E:$E,$T712)="","vacía",DAY(INDEX(firmadas!$E:$E,$T712))&amp;"/"&amp;MONTH(INDEX(firmadas!$E:$E,$T712))&amp;"/"&amp;YEAR(INDEX(firmadas!$E:$E,$T712)))&amp;")","OK"))))))))</f>
        <v/>
      </c>
      <c r="T712" t="str">
        <f ca="1">IF($P712="","",IFERROR(MATCH($P712,firmadas!$N:$N,0),IFERROR(MATCH("*/"&amp;MID($P712,FIND(" ",$P712)+1,9)&amp;"*",firmadas!$B:$B,0),0)))</f>
        <v/>
      </c>
    </row>
    <row r="713" spans="14:20" ht="15" customHeight="1" x14ac:dyDescent="0.25">
      <c r="N713" s="53" t="str">
        <f t="shared" ca="1" si="11"/>
        <v/>
      </c>
      <c r="P713" t="str">
        <f ca="1">IF(TRIM(SUBSTITUTE(($C713&amp;" "&amp;$D713),CHAR(160)," "))="","",IFERROR(IF(ISNUMBER(SEARCH("INC",($C713&amp;" "&amp;$D713))),"INC",IF(ISNUMBER(SEARCH("OPI",($C713&amp;" "&amp;$D713))),"OPI",IF(ISNUMBER(SEARCH("DP",($C713&amp;" "&amp;$D713))),"DP","CONC")))&amp;" "&amp;TEXT(LOOKUP(9.99E+307,--MID(SUBSTITUTE(($C713&amp;" "&amp;$D713),CHAR(160)," "),SUMPRODUCT(MIN(FIND({0,1,2,3,4,5,6,7,8,9},SUBSTITUTE(($C713&amp;" "&amp;$D713),CHAR(160)," ")&amp;"0123456789"))),ROW(INDIRECT("1:6")))),"0"),"SIN NUMERO"))</f>
        <v/>
      </c>
      <c r="Q713" t="str">
        <f ca="1">IF($P713="","",IF(LEFT(UPPER($S713),9)="VERIFICAR","VERIFICAR",IF($A713="","SIN ESTADO",IF(AND($A713="Firmada",$H713=""),"FALTA FECHA DE FIRMA",IF(N($T713)=0,IF(AND(ISNUMBER($H713),$H713&gt;=DATE(2024,1,1)),"FALTA EN FIRMADAS","OK"),IF(OR($A713="Pendiente de presentación",$A713="Observado",$A713="En análisis",$A713="En instrucción",$A713="Suspendida",$A713="IT circulando",$A713="Para resolución",$A713="TDC"),"ABIERTA PERO ESTÁ EN FIRMADAS",IF($H713&lt;&gt;INDEX(firmadas!$F:$F,$T713),"FIRMA DISTINTA EN firmadas ("&amp;IF(INDEX(firmadas!$F:$F,$T713)="","vacía",DAY(INDEX(firmadas!$F:$F,$T713))&amp;"/"&amp;MONTH(INDEX(firmadas!$F:$F,$T713))&amp;"/"&amp;YEAR(INDEX(firmadas!$F:$F,$T713)))&amp;")",IF($G713&lt;&gt;INDEX(firmadas!$E:$E,$T713),"INGRESO DISTINTO EN firmadas ("&amp;IF(INDEX(firmadas!$E:$E,$T713)="","vacía",DAY(INDEX(firmadas!$E:$E,$T713))&amp;"/"&amp;MONTH(INDEX(firmadas!$E:$E,$T713))&amp;"/"&amp;YEAR(INDEX(firmadas!$E:$E,$T713)))&amp;")","OK"))))))))</f>
        <v/>
      </c>
      <c r="T713" t="str">
        <f ca="1">IF($P713="","",IFERROR(MATCH($P713,firmadas!$N:$N,0),IFERROR(MATCH("*/"&amp;MID($P713,FIND(" ",$P713)+1,9)&amp;"*",firmadas!$B:$B,0),0)))</f>
        <v/>
      </c>
    </row>
    <row r="714" spans="14:20" ht="15" customHeight="1" x14ac:dyDescent="0.25">
      <c r="N714" s="53" t="str">
        <f t="shared" ca="1" si="11"/>
        <v/>
      </c>
      <c r="P714" t="str">
        <f ca="1">IF(TRIM(SUBSTITUTE(($C714&amp;" "&amp;$D714),CHAR(160)," "))="","",IFERROR(IF(ISNUMBER(SEARCH("INC",($C714&amp;" "&amp;$D714))),"INC",IF(ISNUMBER(SEARCH("OPI",($C714&amp;" "&amp;$D714))),"OPI",IF(ISNUMBER(SEARCH("DP",($C714&amp;" "&amp;$D714))),"DP","CONC")))&amp;" "&amp;TEXT(LOOKUP(9.99E+307,--MID(SUBSTITUTE(($C714&amp;" "&amp;$D714),CHAR(160)," "),SUMPRODUCT(MIN(FIND({0,1,2,3,4,5,6,7,8,9},SUBSTITUTE(($C714&amp;" "&amp;$D714),CHAR(160)," ")&amp;"0123456789"))),ROW(INDIRECT("1:6")))),"0"),"SIN NUMERO"))</f>
        <v/>
      </c>
      <c r="Q714" t="str">
        <f ca="1">IF($P714="","",IF(LEFT(UPPER($S714),9)="VERIFICAR","VERIFICAR",IF($A714="","SIN ESTADO",IF(AND($A714="Firmada",$H714=""),"FALTA FECHA DE FIRMA",IF(N($T714)=0,IF(AND(ISNUMBER($H714),$H714&gt;=DATE(2024,1,1)),"FALTA EN FIRMADAS","OK"),IF(OR($A714="Pendiente de presentación",$A714="Observado",$A714="En análisis",$A714="En instrucción",$A714="Suspendida",$A714="IT circulando",$A714="Para resolución",$A714="TDC"),"ABIERTA PERO ESTÁ EN FIRMADAS",IF($H714&lt;&gt;INDEX(firmadas!$F:$F,$T714),"FIRMA DISTINTA EN firmadas ("&amp;IF(INDEX(firmadas!$F:$F,$T714)="","vacía",DAY(INDEX(firmadas!$F:$F,$T714))&amp;"/"&amp;MONTH(INDEX(firmadas!$F:$F,$T714))&amp;"/"&amp;YEAR(INDEX(firmadas!$F:$F,$T714)))&amp;")",IF($G714&lt;&gt;INDEX(firmadas!$E:$E,$T714),"INGRESO DISTINTO EN firmadas ("&amp;IF(INDEX(firmadas!$E:$E,$T714)="","vacía",DAY(INDEX(firmadas!$E:$E,$T714))&amp;"/"&amp;MONTH(INDEX(firmadas!$E:$E,$T714))&amp;"/"&amp;YEAR(INDEX(firmadas!$E:$E,$T714)))&amp;")","OK"))))))))</f>
        <v/>
      </c>
      <c r="T714" t="str">
        <f ca="1">IF($P714="","",IFERROR(MATCH($P714,firmadas!$N:$N,0),IFERROR(MATCH("*/"&amp;MID($P714,FIND(" ",$P714)+1,9)&amp;"*",firmadas!$B:$B,0),0)))</f>
        <v/>
      </c>
    </row>
    <row r="715" spans="14:20" ht="15" customHeight="1" x14ac:dyDescent="0.25">
      <c r="N715" s="53" t="str">
        <f t="shared" ca="1" si="11"/>
        <v/>
      </c>
      <c r="P715" t="str">
        <f ca="1">IF(TRIM(SUBSTITUTE(($C715&amp;" "&amp;$D715),CHAR(160)," "))="","",IFERROR(IF(ISNUMBER(SEARCH("INC",($C715&amp;" "&amp;$D715))),"INC",IF(ISNUMBER(SEARCH("OPI",($C715&amp;" "&amp;$D715))),"OPI",IF(ISNUMBER(SEARCH("DP",($C715&amp;" "&amp;$D715))),"DP","CONC")))&amp;" "&amp;TEXT(LOOKUP(9.99E+307,--MID(SUBSTITUTE(($C715&amp;" "&amp;$D715),CHAR(160)," "),SUMPRODUCT(MIN(FIND({0,1,2,3,4,5,6,7,8,9},SUBSTITUTE(($C715&amp;" "&amp;$D715),CHAR(160)," ")&amp;"0123456789"))),ROW(INDIRECT("1:6")))),"0"),"SIN NUMERO"))</f>
        <v/>
      </c>
      <c r="Q715" t="str">
        <f ca="1">IF($P715="","",IF(LEFT(UPPER($S715),9)="VERIFICAR","VERIFICAR",IF($A715="","SIN ESTADO",IF(AND($A715="Firmada",$H715=""),"FALTA FECHA DE FIRMA",IF(N($T715)=0,IF(AND(ISNUMBER($H715),$H715&gt;=DATE(2024,1,1)),"FALTA EN FIRMADAS","OK"),IF(OR($A715="Pendiente de presentación",$A715="Observado",$A715="En análisis",$A715="En instrucción",$A715="Suspendida",$A715="IT circulando",$A715="Para resolución",$A715="TDC"),"ABIERTA PERO ESTÁ EN FIRMADAS",IF($H715&lt;&gt;INDEX(firmadas!$F:$F,$T715),"FIRMA DISTINTA EN firmadas ("&amp;IF(INDEX(firmadas!$F:$F,$T715)="","vacía",DAY(INDEX(firmadas!$F:$F,$T715))&amp;"/"&amp;MONTH(INDEX(firmadas!$F:$F,$T715))&amp;"/"&amp;YEAR(INDEX(firmadas!$F:$F,$T715)))&amp;")",IF($G715&lt;&gt;INDEX(firmadas!$E:$E,$T715),"INGRESO DISTINTO EN firmadas ("&amp;IF(INDEX(firmadas!$E:$E,$T715)="","vacía",DAY(INDEX(firmadas!$E:$E,$T715))&amp;"/"&amp;MONTH(INDEX(firmadas!$E:$E,$T715))&amp;"/"&amp;YEAR(INDEX(firmadas!$E:$E,$T715)))&amp;")","OK"))))))))</f>
        <v/>
      </c>
      <c r="T715" t="str">
        <f ca="1">IF($P715="","",IFERROR(MATCH($P715,firmadas!$N:$N,0),IFERROR(MATCH("*/"&amp;MID($P715,FIND(" ",$P715)+1,9)&amp;"*",firmadas!$B:$B,0),0)))</f>
        <v/>
      </c>
    </row>
    <row r="716" spans="14:20" ht="15" customHeight="1" x14ac:dyDescent="0.25">
      <c r="N716" s="53" t="str">
        <f t="shared" ca="1" si="11"/>
        <v/>
      </c>
      <c r="P716" t="str">
        <f ca="1">IF(TRIM(SUBSTITUTE(($C716&amp;" "&amp;$D716),CHAR(160)," "))="","",IFERROR(IF(ISNUMBER(SEARCH("INC",($C716&amp;" "&amp;$D716))),"INC",IF(ISNUMBER(SEARCH("OPI",($C716&amp;" "&amp;$D716))),"OPI",IF(ISNUMBER(SEARCH("DP",($C716&amp;" "&amp;$D716))),"DP","CONC")))&amp;" "&amp;TEXT(LOOKUP(9.99E+307,--MID(SUBSTITUTE(($C716&amp;" "&amp;$D716),CHAR(160)," "),SUMPRODUCT(MIN(FIND({0,1,2,3,4,5,6,7,8,9},SUBSTITUTE(($C716&amp;" "&amp;$D716),CHAR(160)," ")&amp;"0123456789"))),ROW(INDIRECT("1:6")))),"0"),"SIN NUMERO"))</f>
        <v/>
      </c>
      <c r="Q716" t="str">
        <f ca="1">IF($P716="","",IF(LEFT(UPPER($S716),9)="VERIFICAR","VERIFICAR",IF($A716="","SIN ESTADO",IF(AND($A716="Firmada",$H716=""),"FALTA FECHA DE FIRMA",IF(N($T716)=0,IF(AND(ISNUMBER($H716),$H716&gt;=DATE(2024,1,1)),"FALTA EN FIRMADAS","OK"),IF(OR($A716="Pendiente de presentación",$A716="Observado",$A716="En análisis",$A716="En instrucción",$A716="Suspendida",$A716="IT circulando",$A716="Para resolución",$A716="TDC"),"ABIERTA PERO ESTÁ EN FIRMADAS",IF($H716&lt;&gt;INDEX(firmadas!$F:$F,$T716),"FIRMA DISTINTA EN firmadas ("&amp;IF(INDEX(firmadas!$F:$F,$T716)="","vacía",DAY(INDEX(firmadas!$F:$F,$T716))&amp;"/"&amp;MONTH(INDEX(firmadas!$F:$F,$T716))&amp;"/"&amp;YEAR(INDEX(firmadas!$F:$F,$T716)))&amp;")",IF($G716&lt;&gt;INDEX(firmadas!$E:$E,$T716),"INGRESO DISTINTO EN firmadas ("&amp;IF(INDEX(firmadas!$E:$E,$T716)="","vacía",DAY(INDEX(firmadas!$E:$E,$T716))&amp;"/"&amp;MONTH(INDEX(firmadas!$E:$E,$T716))&amp;"/"&amp;YEAR(INDEX(firmadas!$E:$E,$T716)))&amp;")","OK"))))))))</f>
        <v/>
      </c>
      <c r="T716" t="str">
        <f ca="1">IF($P716="","",IFERROR(MATCH($P716,firmadas!$N:$N,0),IFERROR(MATCH("*/"&amp;MID($P716,FIND(" ",$P716)+1,9)&amp;"*",firmadas!$B:$B,0),0)))</f>
        <v/>
      </c>
    </row>
    <row r="717" spans="14:20" ht="15" customHeight="1" x14ac:dyDescent="0.25">
      <c r="N717" s="53" t="str">
        <f t="shared" ca="1" si="11"/>
        <v/>
      </c>
      <c r="P717" t="str">
        <f ca="1">IF(TRIM(SUBSTITUTE(($C717&amp;" "&amp;$D717),CHAR(160)," "))="","",IFERROR(IF(ISNUMBER(SEARCH("INC",($C717&amp;" "&amp;$D717))),"INC",IF(ISNUMBER(SEARCH("OPI",($C717&amp;" "&amp;$D717))),"OPI",IF(ISNUMBER(SEARCH("DP",($C717&amp;" "&amp;$D717))),"DP","CONC")))&amp;" "&amp;TEXT(LOOKUP(9.99E+307,--MID(SUBSTITUTE(($C717&amp;" "&amp;$D717),CHAR(160)," "),SUMPRODUCT(MIN(FIND({0,1,2,3,4,5,6,7,8,9},SUBSTITUTE(($C717&amp;" "&amp;$D717),CHAR(160)," ")&amp;"0123456789"))),ROW(INDIRECT("1:6")))),"0"),"SIN NUMERO"))</f>
        <v/>
      </c>
      <c r="Q717" t="str">
        <f ca="1">IF($P717="","",IF(LEFT(UPPER($S717),9)="VERIFICAR","VERIFICAR",IF($A717="","SIN ESTADO",IF(AND($A717="Firmada",$H717=""),"FALTA FECHA DE FIRMA",IF(N($T717)=0,IF(AND(ISNUMBER($H717),$H717&gt;=DATE(2024,1,1)),"FALTA EN FIRMADAS","OK"),IF(OR($A717="Pendiente de presentación",$A717="Observado",$A717="En análisis",$A717="En instrucción",$A717="Suspendida",$A717="IT circulando",$A717="Para resolución",$A717="TDC"),"ABIERTA PERO ESTÁ EN FIRMADAS",IF($H717&lt;&gt;INDEX(firmadas!$F:$F,$T717),"FIRMA DISTINTA EN firmadas ("&amp;IF(INDEX(firmadas!$F:$F,$T717)="","vacía",DAY(INDEX(firmadas!$F:$F,$T717))&amp;"/"&amp;MONTH(INDEX(firmadas!$F:$F,$T717))&amp;"/"&amp;YEAR(INDEX(firmadas!$F:$F,$T717)))&amp;")",IF($G717&lt;&gt;INDEX(firmadas!$E:$E,$T717),"INGRESO DISTINTO EN firmadas ("&amp;IF(INDEX(firmadas!$E:$E,$T717)="","vacía",DAY(INDEX(firmadas!$E:$E,$T717))&amp;"/"&amp;MONTH(INDEX(firmadas!$E:$E,$T717))&amp;"/"&amp;YEAR(INDEX(firmadas!$E:$E,$T717)))&amp;")","OK"))))))))</f>
        <v/>
      </c>
      <c r="T717" t="str">
        <f ca="1">IF($P717="","",IFERROR(MATCH($P717,firmadas!$N:$N,0),IFERROR(MATCH("*/"&amp;MID($P717,FIND(" ",$P717)+1,9)&amp;"*",firmadas!$B:$B,0),0)))</f>
        <v/>
      </c>
    </row>
    <row r="718" spans="14:20" ht="15" customHeight="1" x14ac:dyDescent="0.25">
      <c r="N718" s="53" t="str">
        <f t="shared" ca="1" si="11"/>
        <v/>
      </c>
      <c r="P718" t="str">
        <f ca="1">IF(TRIM(SUBSTITUTE(($C718&amp;" "&amp;$D718),CHAR(160)," "))="","",IFERROR(IF(ISNUMBER(SEARCH("INC",($C718&amp;" "&amp;$D718))),"INC",IF(ISNUMBER(SEARCH("OPI",($C718&amp;" "&amp;$D718))),"OPI",IF(ISNUMBER(SEARCH("DP",($C718&amp;" "&amp;$D718))),"DP","CONC")))&amp;" "&amp;TEXT(LOOKUP(9.99E+307,--MID(SUBSTITUTE(($C718&amp;" "&amp;$D718),CHAR(160)," "),SUMPRODUCT(MIN(FIND({0,1,2,3,4,5,6,7,8,9},SUBSTITUTE(($C718&amp;" "&amp;$D718),CHAR(160)," ")&amp;"0123456789"))),ROW(INDIRECT("1:6")))),"0"),"SIN NUMERO"))</f>
        <v/>
      </c>
      <c r="Q718" t="str">
        <f ca="1">IF($P718="","",IF(LEFT(UPPER($S718),9)="VERIFICAR","VERIFICAR",IF($A718="","SIN ESTADO",IF(AND($A718="Firmada",$H718=""),"FALTA FECHA DE FIRMA",IF(N($T718)=0,IF(AND(ISNUMBER($H718),$H718&gt;=DATE(2024,1,1)),"FALTA EN FIRMADAS","OK"),IF(OR($A718="Pendiente de presentación",$A718="Observado",$A718="En análisis",$A718="En instrucción",$A718="Suspendida",$A718="IT circulando",$A718="Para resolución",$A718="TDC"),"ABIERTA PERO ESTÁ EN FIRMADAS",IF($H718&lt;&gt;INDEX(firmadas!$F:$F,$T718),"FIRMA DISTINTA EN firmadas ("&amp;IF(INDEX(firmadas!$F:$F,$T718)="","vacía",DAY(INDEX(firmadas!$F:$F,$T718))&amp;"/"&amp;MONTH(INDEX(firmadas!$F:$F,$T718))&amp;"/"&amp;YEAR(INDEX(firmadas!$F:$F,$T718)))&amp;")",IF($G718&lt;&gt;INDEX(firmadas!$E:$E,$T718),"INGRESO DISTINTO EN firmadas ("&amp;IF(INDEX(firmadas!$E:$E,$T718)="","vacía",DAY(INDEX(firmadas!$E:$E,$T718))&amp;"/"&amp;MONTH(INDEX(firmadas!$E:$E,$T718))&amp;"/"&amp;YEAR(INDEX(firmadas!$E:$E,$T718)))&amp;")","OK"))))))))</f>
        <v/>
      </c>
      <c r="T718" t="str">
        <f ca="1">IF($P718="","",IFERROR(MATCH($P718,firmadas!$N:$N,0),IFERROR(MATCH("*/"&amp;MID($P718,FIND(" ",$P718)+1,9)&amp;"*",firmadas!$B:$B,0),0)))</f>
        <v/>
      </c>
    </row>
    <row r="719" spans="14:20" ht="15" customHeight="1" x14ac:dyDescent="0.25">
      <c r="N719" s="53" t="str">
        <f t="shared" ca="1" si="11"/>
        <v/>
      </c>
      <c r="P719" t="str">
        <f ca="1">IF(TRIM(SUBSTITUTE(($C719&amp;" "&amp;$D719),CHAR(160)," "))="","",IFERROR(IF(ISNUMBER(SEARCH("INC",($C719&amp;" "&amp;$D719))),"INC",IF(ISNUMBER(SEARCH("OPI",($C719&amp;" "&amp;$D719))),"OPI",IF(ISNUMBER(SEARCH("DP",($C719&amp;" "&amp;$D719))),"DP","CONC")))&amp;" "&amp;TEXT(LOOKUP(9.99E+307,--MID(SUBSTITUTE(($C719&amp;" "&amp;$D719),CHAR(160)," "),SUMPRODUCT(MIN(FIND({0,1,2,3,4,5,6,7,8,9},SUBSTITUTE(($C719&amp;" "&amp;$D719),CHAR(160)," ")&amp;"0123456789"))),ROW(INDIRECT("1:6")))),"0"),"SIN NUMERO"))</f>
        <v/>
      </c>
      <c r="Q719" t="str">
        <f ca="1">IF($P719="","",IF(LEFT(UPPER($S719),9)="VERIFICAR","VERIFICAR",IF($A719="","SIN ESTADO",IF(AND($A719="Firmada",$H719=""),"FALTA FECHA DE FIRMA",IF(N($T719)=0,IF(AND(ISNUMBER($H719),$H719&gt;=DATE(2024,1,1)),"FALTA EN FIRMADAS","OK"),IF(OR($A719="Pendiente de presentación",$A719="Observado",$A719="En análisis",$A719="En instrucción",$A719="Suspendida",$A719="IT circulando",$A719="Para resolución",$A719="TDC"),"ABIERTA PERO ESTÁ EN FIRMADAS",IF($H719&lt;&gt;INDEX(firmadas!$F:$F,$T719),"FIRMA DISTINTA EN firmadas ("&amp;IF(INDEX(firmadas!$F:$F,$T719)="","vacía",DAY(INDEX(firmadas!$F:$F,$T719))&amp;"/"&amp;MONTH(INDEX(firmadas!$F:$F,$T719))&amp;"/"&amp;YEAR(INDEX(firmadas!$F:$F,$T719)))&amp;")",IF($G719&lt;&gt;INDEX(firmadas!$E:$E,$T719),"INGRESO DISTINTO EN firmadas ("&amp;IF(INDEX(firmadas!$E:$E,$T719)="","vacía",DAY(INDEX(firmadas!$E:$E,$T719))&amp;"/"&amp;MONTH(INDEX(firmadas!$E:$E,$T719))&amp;"/"&amp;YEAR(INDEX(firmadas!$E:$E,$T719)))&amp;")","OK"))))))))</f>
        <v/>
      </c>
      <c r="T719" t="str">
        <f ca="1">IF($P719="","",IFERROR(MATCH($P719,firmadas!$N:$N,0),IFERROR(MATCH("*/"&amp;MID($P719,FIND(" ",$P719)+1,9)&amp;"*",firmadas!$B:$B,0),0)))</f>
        <v/>
      </c>
    </row>
    <row r="720" spans="14:20" ht="15" customHeight="1" x14ac:dyDescent="0.25">
      <c r="N720" s="53" t="str">
        <f t="shared" ca="1" si="11"/>
        <v/>
      </c>
      <c r="P720" t="str">
        <f ca="1">IF(TRIM(SUBSTITUTE(($C720&amp;" "&amp;$D720),CHAR(160)," "))="","",IFERROR(IF(ISNUMBER(SEARCH("INC",($C720&amp;" "&amp;$D720))),"INC",IF(ISNUMBER(SEARCH("OPI",($C720&amp;" "&amp;$D720))),"OPI",IF(ISNUMBER(SEARCH("DP",($C720&amp;" "&amp;$D720))),"DP","CONC")))&amp;" "&amp;TEXT(LOOKUP(9.99E+307,--MID(SUBSTITUTE(($C720&amp;" "&amp;$D720),CHAR(160)," "),SUMPRODUCT(MIN(FIND({0,1,2,3,4,5,6,7,8,9},SUBSTITUTE(($C720&amp;" "&amp;$D720),CHAR(160)," ")&amp;"0123456789"))),ROW(INDIRECT("1:6")))),"0"),"SIN NUMERO"))</f>
        <v/>
      </c>
      <c r="Q720" t="str">
        <f ca="1">IF($P720="","",IF(LEFT(UPPER($S720),9)="VERIFICAR","VERIFICAR",IF($A720="","SIN ESTADO",IF(AND($A720="Firmada",$H720=""),"FALTA FECHA DE FIRMA",IF(N($T720)=0,IF(AND(ISNUMBER($H720),$H720&gt;=DATE(2024,1,1)),"FALTA EN FIRMADAS","OK"),IF(OR($A720="Pendiente de presentación",$A720="Observado",$A720="En análisis",$A720="En instrucción",$A720="Suspendida",$A720="IT circulando",$A720="Para resolución",$A720="TDC"),"ABIERTA PERO ESTÁ EN FIRMADAS",IF($H720&lt;&gt;INDEX(firmadas!$F:$F,$T720),"FIRMA DISTINTA EN firmadas ("&amp;IF(INDEX(firmadas!$F:$F,$T720)="","vacía",DAY(INDEX(firmadas!$F:$F,$T720))&amp;"/"&amp;MONTH(INDEX(firmadas!$F:$F,$T720))&amp;"/"&amp;YEAR(INDEX(firmadas!$F:$F,$T720)))&amp;")",IF($G720&lt;&gt;INDEX(firmadas!$E:$E,$T720),"INGRESO DISTINTO EN firmadas ("&amp;IF(INDEX(firmadas!$E:$E,$T720)="","vacía",DAY(INDEX(firmadas!$E:$E,$T720))&amp;"/"&amp;MONTH(INDEX(firmadas!$E:$E,$T720))&amp;"/"&amp;YEAR(INDEX(firmadas!$E:$E,$T720)))&amp;")","OK"))))))))</f>
        <v/>
      </c>
      <c r="T720" t="str">
        <f ca="1">IF($P720="","",IFERROR(MATCH($P720,firmadas!$N:$N,0),IFERROR(MATCH("*/"&amp;MID($P720,FIND(" ",$P720)+1,9)&amp;"*",firmadas!$B:$B,0),0)))</f>
        <v/>
      </c>
    </row>
    <row r="721" spans="14:20" ht="15" customHeight="1" x14ac:dyDescent="0.25">
      <c r="N721" s="53" t="str">
        <f t="shared" ca="1" si="11"/>
        <v/>
      </c>
      <c r="P721" t="str">
        <f ca="1">IF(TRIM(SUBSTITUTE(($C721&amp;" "&amp;$D721),CHAR(160)," "))="","",IFERROR(IF(ISNUMBER(SEARCH("INC",($C721&amp;" "&amp;$D721))),"INC",IF(ISNUMBER(SEARCH("OPI",($C721&amp;" "&amp;$D721))),"OPI",IF(ISNUMBER(SEARCH("DP",($C721&amp;" "&amp;$D721))),"DP","CONC")))&amp;" "&amp;TEXT(LOOKUP(9.99E+307,--MID(SUBSTITUTE(($C721&amp;" "&amp;$D721),CHAR(160)," "),SUMPRODUCT(MIN(FIND({0,1,2,3,4,5,6,7,8,9},SUBSTITUTE(($C721&amp;" "&amp;$D721),CHAR(160)," ")&amp;"0123456789"))),ROW(INDIRECT("1:6")))),"0"),"SIN NUMERO"))</f>
        <v/>
      </c>
      <c r="Q721" t="str">
        <f ca="1">IF($P721="","",IF(LEFT(UPPER($S721),9)="VERIFICAR","VERIFICAR",IF($A721="","SIN ESTADO",IF(AND($A721="Firmada",$H721=""),"FALTA FECHA DE FIRMA",IF(N($T721)=0,IF(AND(ISNUMBER($H721),$H721&gt;=DATE(2024,1,1)),"FALTA EN FIRMADAS","OK"),IF(OR($A721="Pendiente de presentación",$A721="Observado",$A721="En análisis",$A721="En instrucción",$A721="Suspendida",$A721="IT circulando",$A721="Para resolución",$A721="TDC"),"ABIERTA PERO ESTÁ EN FIRMADAS",IF($H721&lt;&gt;INDEX(firmadas!$F:$F,$T721),"FIRMA DISTINTA EN firmadas ("&amp;IF(INDEX(firmadas!$F:$F,$T721)="","vacía",DAY(INDEX(firmadas!$F:$F,$T721))&amp;"/"&amp;MONTH(INDEX(firmadas!$F:$F,$T721))&amp;"/"&amp;YEAR(INDEX(firmadas!$F:$F,$T721)))&amp;")",IF($G721&lt;&gt;INDEX(firmadas!$E:$E,$T721),"INGRESO DISTINTO EN firmadas ("&amp;IF(INDEX(firmadas!$E:$E,$T721)="","vacía",DAY(INDEX(firmadas!$E:$E,$T721))&amp;"/"&amp;MONTH(INDEX(firmadas!$E:$E,$T721))&amp;"/"&amp;YEAR(INDEX(firmadas!$E:$E,$T721)))&amp;")","OK"))))))))</f>
        <v/>
      </c>
      <c r="T721" t="str">
        <f ca="1">IF($P721="","",IFERROR(MATCH($P721,firmadas!$N:$N,0),IFERROR(MATCH("*/"&amp;MID($P721,FIND(" ",$P721)+1,9)&amp;"*",firmadas!$B:$B,0),0)))</f>
        <v/>
      </c>
    </row>
    <row r="722" spans="14:20" ht="15" customHeight="1" x14ac:dyDescent="0.25">
      <c r="N722" s="53" t="str">
        <f t="shared" ca="1" si="11"/>
        <v/>
      </c>
      <c r="P722" t="str">
        <f ca="1">IF(TRIM(SUBSTITUTE(($C722&amp;" "&amp;$D722),CHAR(160)," "))="","",IFERROR(IF(ISNUMBER(SEARCH("INC",($C722&amp;" "&amp;$D722))),"INC",IF(ISNUMBER(SEARCH("OPI",($C722&amp;" "&amp;$D722))),"OPI",IF(ISNUMBER(SEARCH("DP",($C722&amp;" "&amp;$D722))),"DP","CONC")))&amp;" "&amp;TEXT(LOOKUP(9.99E+307,--MID(SUBSTITUTE(($C722&amp;" "&amp;$D722),CHAR(160)," "),SUMPRODUCT(MIN(FIND({0,1,2,3,4,5,6,7,8,9},SUBSTITUTE(($C722&amp;" "&amp;$D722),CHAR(160)," ")&amp;"0123456789"))),ROW(INDIRECT("1:6")))),"0"),"SIN NUMERO"))</f>
        <v/>
      </c>
      <c r="Q722" t="str">
        <f ca="1">IF($P722="","",IF(LEFT(UPPER($S722),9)="VERIFICAR","VERIFICAR",IF($A722="","SIN ESTADO",IF(AND($A722="Firmada",$H722=""),"FALTA FECHA DE FIRMA",IF(N($T722)=0,IF(AND(ISNUMBER($H722),$H722&gt;=DATE(2024,1,1)),"FALTA EN FIRMADAS","OK"),IF(OR($A722="Pendiente de presentación",$A722="Observado",$A722="En análisis",$A722="En instrucción",$A722="Suspendida",$A722="IT circulando",$A722="Para resolución",$A722="TDC"),"ABIERTA PERO ESTÁ EN FIRMADAS",IF($H722&lt;&gt;INDEX(firmadas!$F:$F,$T722),"FIRMA DISTINTA EN firmadas ("&amp;IF(INDEX(firmadas!$F:$F,$T722)="","vacía",DAY(INDEX(firmadas!$F:$F,$T722))&amp;"/"&amp;MONTH(INDEX(firmadas!$F:$F,$T722))&amp;"/"&amp;YEAR(INDEX(firmadas!$F:$F,$T722)))&amp;")",IF($G722&lt;&gt;INDEX(firmadas!$E:$E,$T722),"INGRESO DISTINTO EN firmadas ("&amp;IF(INDEX(firmadas!$E:$E,$T722)="","vacía",DAY(INDEX(firmadas!$E:$E,$T722))&amp;"/"&amp;MONTH(INDEX(firmadas!$E:$E,$T722))&amp;"/"&amp;YEAR(INDEX(firmadas!$E:$E,$T722)))&amp;")","OK"))))))))</f>
        <v/>
      </c>
      <c r="T722" t="str">
        <f ca="1">IF($P722="","",IFERROR(MATCH($P722,firmadas!$N:$N,0),IFERROR(MATCH("*/"&amp;MID($P722,FIND(" ",$P722)+1,9)&amp;"*",firmadas!$B:$B,0),0)))</f>
        <v/>
      </c>
    </row>
    <row r="723" spans="14:20" ht="15" customHeight="1" x14ac:dyDescent="0.25">
      <c r="N723" s="53" t="str">
        <f t="shared" ca="1" si="11"/>
        <v/>
      </c>
      <c r="P723" t="str">
        <f ca="1">IF(TRIM(SUBSTITUTE(($C723&amp;" "&amp;$D723),CHAR(160)," "))="","",IFERROR(IF(ISNUMBER(SEARCH("INC",($C723&amp;" "&amp;$D723))),"INC",IF(ISNUMBER(SEARCH("OPI",($C723&amp;" "&amp;$D723))),"OPI",IF(ISNUMBER(SEARCH("DP",($C723&amp;" "&amp;$D723))),"DP","CONC")))&amp;" "&amp;TEXT(LOOKUP(9.99E+307,--MID(SUBSTITUTE(($C723&amp;" "&amp;$D723),CHAR(160)," "),SUMPRODUCT(MIN(FIND({0,1,2,3,4,5,6,7,8,9},SUBSTITUTE(($C723&amp;" "&amp;$D723),CHAR(160)," ")&amp;"0123456789"))),ROW(INDIRECT("1:6")))),"0"),"SIN NUMERO"))</f>
        <v/>
      </c>
      <c r="Q723" t="str">
        <f ca="1">IF($P723="","",IF(LEFT(UPPER($S723),9)="VERIFICAR","VERIFICAR",IF($A723="","SIN ESTADO",IF(AND($A723="Firmada",$H723=""),"FALTA FECHA DE FIRMA",IF(N($T723)=0,IF(AND(ISNUMBER($H723),$H723&gt;=DATE(2024,1,1)),"FALTA EN FIRMADAS","OK"),IF(OR($A723="Pendiente de presentación",$A723="Observado",$A723="En análisis",$A723="En instrucción",$A723="Suspendida",$A723="IT circulando",$A723="Para resolución",$A723="TDC"),"ABIERTA PERO ESTÁ EN FIRMADAS",IF($H723&lt;&gt;INDEX(firmadas!$F:$F,$T723),"FIRMA DISTINTA EN firmadas ("&amp;IF(INDEX(firmadas!$F:$F,$T723)="","vacía",DAY(INDEX(firmadas!$F:$F,$T723))&amp;"/"&amp;MONTH(INDEX(firmadas!$F:$F,$T723))&amp;"/"&amp;YEAR(INDEX(firmadas!$F:$F,$T723)))&amp;")",IF($G723&lt;&gt;INDEX(firmadas!$E:$E,$T723),"INGRESO DISTINTO EN firmadas ("&amp;IF(INDEX(firmadas!$E:$E,$T723)="","vacía",DAY(INDEX(firmadas!$E:$E,$T723))&amp;"/"&amp;MONTH(INDEX(firmadas!$E:$E,$T723))&amp;"/"&amp;YEAR(INDEX(firmadas!$E:$E,$T723)))&amp;")","OK"))))))))</f>
        <v/>
      </c>
      <c r="T723" t="str">
        <f ca="1">IF($P723="","",IFERROR(MATCH($P723,firmadas!$N:$N,0),IFERROR(MATCH("*/"&amp;MID($P723,FIND(" ",$P723)+1,9)&amp;"*",firmadas!$B:$B,0),0)))</f>
        <v/>
      </c>
    </row>
    <row r="724" spans="14:20" ht="15" customHeight="1" x14ac:dyDescent="0.25">
      <c r="N724" s="53" t="str">
        <f t="shared" ca="1" si="11"/>
        <v/>
      </c>
      <c r="P724" t="str">
        <f ca="1">IF(TRIM(SUBSTITUTE(($C724&amp;" "&amp;$D724),CHAR(160)," "))="","",IFERROR(IF(ISNUMBER(SEARCH("INC",($C724&amp;" "&amp;$D724))),"INC",IF(ISNUMBER(SEARCH("OPI",($C724&amp;" "&amp;$D724))),"OPI",IF(ISNUMBER(SEARCH("DP",($C724&amp;" "&amp;$D724))),"DP","CONC")))&amp;" "&amp;TEXT(LOOKUP(9.99E+307,--MID(SUBSTITUTE(($C724&amp;" "&amp;$D724),CHAR(160)," "),SUMPRODUCT(MIN(FIND({0,1,2,3,4,5,6,7,8,9},SUBSTITUTE(($C724&amp;" "&amp;$D724),CHAR(160)," ")&amp;"0123456789"))),ROW(INDIRECT("1:6")))),"0"),"SIN NUMERO"))</f>
        <v/>
      </c>
      <c r="Q724" t="str">
        <f ca="1">IF($P724="","",IF(LEFT(UPPER($S724),9)="VERIFICAR","VERIFICAR",IF($A724="","SIN ESTADO",IF(AND($A724="Firmada",$H724=""),"FALTA FECHA DE FIRMA",IF(N($T724)=0,IF(AND(ISNUMBER($H724),$H724&gt;=DATE(2024,1,1)),"FALTA EN FIRMADAS","OK"),IF(OR($A724="Pendiente de presentación",$A724="Observado",$A724="En análisis",$A724="En instrucción",$A724="Suspendida",$A724="IT circulando",$A724="Para resolución",$A724="TDC"),"ABIERTA PERO ESTÁ EN FIRMADAS",IF($H724&lt;&gt;INDEX(firmadas!$F:$F,$T724),"FIRMA DISTINTA EN firmadas ("&amp;IF(INDEX(firmadas!$F:$F,$T724)="","vacía",DAY(INDEX(firmadas!$F:$F,$T724))&amp;"/"&amp;MONTH(INDEX(firmadas!$F:$F,$T724))&amp;"/"&amp;YEAR(INDEX(firmadas!$F:$F,$T724)))&amp;")",IF($G724&lt;&gt;INDEX(firmadas!$E:$E,$T724),"INGRESO DISTINTO EN firmadas ("&amp;IF(INDEX(firmadas!$E:$E,$T724)="","vacía",DAY(INDEX(firmadas!$E:$E,$T724))&amp;"/"&amp;MONTH(INDEX(firmadas!$E:$E,$T724))&amp;"/"&amp;YEAR(INDEX(firmadas!$E:$E,$T724)))&amp;")","OK"))))))))</f>
        <v/>
      </c>
      <c r="T724" t="str">
        <f ca="1">IF($P724="","",IFERROR(MATCH($P724,firmadas!$N:$N,0),IFERROR(MATCH("*/"&amp;MID($P724,FIND(" ",$P724)+1,9)&amp;"*",firmadas!$B:$B,0),0)))</f>
        <v/>
      </c>
    </row>
    <row r="725" spans="14:20" ht="15" customHeight="1" x14ac:dyDescent="0.25">
      <c r="N725" s="53" t="str">
        <f t="shared" ca="1" si="11"/>
        <v/>
      </c>
      <c r="P725" t="str">
        <f ca="1">IF(TRIM(SUBSTITUTE(($C725&amp;" "&amp;$D725),CHAR(160)," "))="","",IFERROR(IF(ISNUMBER(SEARCH("INC",($C725&amp;" "&amp;$D725))),"INC",IF(ISNUMBER(SEARCH("OPI",($C725&amp;" "&amp;$D725))),"OPI",IF(ISNUMBER(SEARCH("DP",($C725&amp;" "&amp;$D725))),"DP","CONC")))&amp;" "&amp;TEXT(LOOKUP(9.99E+307,--MID(SUBSTITUTE(($C725&amp;" "&amp;$D725),CHAR(160)," "),SUMPRODUCT(MIN(FIND({0,1,2,3,4,5,6,7,8,9},SUBSTITUTE(($C725&amp;" "&amp;$D725),CHAR(160)," ")&amp;"0123456789"))),ROW(INDIRECT("1:6")))),"0"),"SIN NUMERO"))</f>
        <v/>
      </c>
      <c r="Q725" t="str">
        <f ca="1">IF($P725="","",IF(LEFT(UPPER($S725),9)="VERIFICAR","VERIFICAR",IF($A725="","SIN ESTADO",IF(AND($A725="Firmada",$H725=""),"FALTA FECHA DE FIRMA",IF(N($T725)=0,IF(AND(ISNUMBER($H725),$H725&gt;=DATE(2024,1,1)),"FALTA EN FIRMADAS","OK"),IF(OR($A725="Pendiente de presentación",$A725="Observado",$A725="En análisis",$A725="En instrucción",$A725="Suspendida",$A725="IT circulando",$A725="Para resolución",$A725="TDC"),"ABIERTA PERO ESTÁ EN FIRMADAS",IF($H725&lt;&gt;INDEX(firmadas!$F:$F,$T725),"FIRMA DISTINTA EN firmadas ("&amp;IF(INDEX(firmadas!$F:$F,$T725)="","vacía",DAY(INDEX(firmadas!$F:$F,$T725))&amp;"/"&amp;MONTH(INDEX(firmadas!$F:$F,$T725))&amp;"/"&amp;YEAR(INDEX(firmadas!$F:$F,$T725)))&amp;")",IF($G725&lt;&gt;INDEX(firmadas!$E:$E,$T725),"INGRESO DISTINTO EN firmadas ("&amp;IF(INDEX(firmadas!$E:$E,$T725)="","vacía",DAY(INDEX(firmadas!$E:$E,$T725))&amp;"/"&amp;MONTH(INDEX(firmadas!$E:$E,$T725))&amp;"/"&amp;YEAR(INDEX(firmadas!$E:$E,$T725)))&amp;")","OK"))))))))</f>
        <v/>
      </c>
      <c r="T725" t="str">
        <f ca="1">IF($P725="","",IFERROR(MATCH($P725,firmadas!$N:$N,0),IFERROR(MATCH("*/"&amp;MID($P725,FIND(" ",$P725)+1,9)&amp;"*",firmadas!$B:$B,0),0)))</f>
        <v/>
      </c>
    </row>
    <row r="726" spans="14:20" ht="15" customHeight="1" x14ac:dyDescent="0.25">
      <c r="N726" s="53" t="str">
        <f t="shared" ca="1" si="11"/>
        <v/>
      </c>
      <c r="P726" t="str">
        <f ca="1">IF(TRIM(SUBSTITUTE(($C726&amp;" "&amp;$D726),CHAR(160)," "))="","",IFERROR(IF(ISNUMBER(SEARCH("INC",($C726&amp;" "&amp;$D726))),"INC",IF(ISNUMBER(SEARCH("OPI",($C726&amp;" "&amp;$D726))),"OPI",IF(ISNUMBER(SEARCH("DP",($C726&amp;" "&amp;$D726))),"DP","CONC")))&amp;" "&amp;TEXT(LOOKUP(9.99E+307,--MID(SUBSTITUTE(($C726&amp;" "&amp;$D726),CHAR(160)," "),SUMPRODUCT(MIN(FIND({0,1,2,3,4,5,6,7,8,9},SUBSTITUTE(($C726&amp;" "&amp;$D726),CHAR(160)," ")&amp;"0123456789"))),ROW(INDIRECT("1:6")))),"0"),"SIN NUMERO"))</f>
        <v/>
      </c>
      <c r="Q726" t="str">
        <f ca="1">IF($P726="","",IF(LEFT(UPPER($S726),9)="VERIFICAR","VERIFICAR",IF($A726="","SIN ESTADO",IF(AND($A726="Firmada",$H726=""),"FALTA FECHA DE FIRMA",IF(N($T726)=0,IF(AND(ISNUMBER($H726),$H726&gt;=DATE(2024,1,1)),"FALTA EN FIRMADAS","OK"),IF(OR($A726="Pendiente de presentación",$A726="Observado",$A726="En análisis",$A726="En instrucción",$A726="Suspendida",$A726="IT circulando",$A726="Para resolución",$A726="TDC"),"ABIERTA PERO ESTÁ EN FIRMADAS",IF($H726&lt;&gt;INDEX(firmadas!$F:$F,$T726),"FIRMA DISTINTA EN firmadas ("&amp;IF(INDEX(firmadas!$F:$F,$T726)="","vacía",DAY(INDEX(firmadas!$F:$F,$T726))&amp;"/"&amp;MONTH(INDEX(firmadas!$F:$F,$T726))&amp;"/"&amp;YEAR(INDEX(firmadas!$F:$F,$T726)))&amp;")",IF($G726&lt;&gt;INDEX(firmadas!$E:$E,$T726),"INGRESO DISTINTO EN firmadas ("&amp;IF(INDEX(firmadas!$E:$E,$T726)="","vacía",DAY(INDEX(firmadas!$E:$E,$T726))&amp;"/"&amp;MONTH(INDEX(firmadas!$E:$E,$T726))&amp;"/"&amp;YEAR(INDEX(firmadas!$E:$E,$T726)))&amp;")","OK"))))))))</f>
        <v/>
      </c>
      <c r="T726" t="str">
        <f ca="1">IF($P726="","",IFERROR(MATCH($P726,firmadas!$N:$N,0),IFERROR(MATCH("*/"&amp;MID($P726,FIND(" ",$P726)+1,9)&amp;"*",firmadas!$B:$B,0),0)))</f>
        <v/>
      </c>
    </row>
    <row r="727" spans="14:20" ht="15" customHeight="1" x14ac:dyDescent="0.25">
      <c r="N727" s="53" t="str">
        <f t="shared" ca="1" si="11"/>
        <v/>
      </c>
      <c r="P727" t="str">
        <f ca="1">IF(TRIM(SUBSTITUTE(($C727&amp;" "&amp;$D727),CHAR(160)," "))="","",IFERROR(IF(ISNUMBER(SEARCH("INC",($C727&amp;" "&amp;$D727))),"INC",IF(ISNUMBER(SEARCH("OPI",($C727&amp;" "&amp;$D727))),"OPI",IF(ISNUMBER(SEARCH("DP",($C727&amp;" "&amp;$D727))),"DP","CONC")))&amp;" "&amp;TEXT(LOOKUP(9.99E+307,--MID(SUBSTITUTE(($C727&amp;" "&amp;$D727),CHAR(160)," "),SUMPRODUCT(MIN(FIND({0,1,2,3,4,5,6,7,8,9},SUBSTITUTE(($C727&amp;" "&amp;$D727),CHAR(160)," ")&amp;"0123456789"))),ROW(INDIRECT("1:6")))),"0"),"SIN NUMERO"))</f>
        <v/>
      </c>
      <c r="Q727" t="str">
        <f ca="1">IF($P727="","",IF(LEFT(UPPER($S727),9)="VERIFICAR","VERIFICAR",IF($A727="","SIN ESTADO",IF(AND($A727="Firmada",$H727=""),"FALTA FECHA DE FIRMA",IF(N($T727)=0,IF(AND(ISNUMBER($H727),$H727&gt;=DATE(2024,1,1)),"FALTA EN FIRMADAS","OK"),IF(OR($A727="Pendiente de presentación",$A727="Observado",$A727="En análisis",$A727="En instrucción",$A727="Suspendida",$A727="IT circulando",$A727="Para resolución",$A727="TDC"),"ABIERTA PERO ESTÁ EN FIRMADAS",IF($H727&lt;&gt;INDEX(firmadas!$F:$F,$T727),"FIRMA DISTINTA EN firmadas ("&amp;IF(INDEX(firmadas!$F:$F,$T727)="","vacía",DAY(INDEX(firmadas!$F:$F,$T727))&amp;"/"&amp;MONTH(INDEX(firmadas!$F:$F,$T727))&amp;"/"&amp;YEAR(INDEX(firmadas!$F:$F,$T727)))&amp;")",IF($G727&lt;&gt;INDEX(firmadas!$E:$E,$T727),"INGRESO DISTINTO EN firmadas ("&amp;IF(INDEX(firmadas!$E:$E,$T727)="","vacía",DAY(INDEX(firmadas!$E:$E,$T727))&amp;"/"&amp;MONTH(INDEX(firmadas!$E:$E,$T727))&amp;"/"&amp;YEAR(INDEX(firmadas!$E:$E,$T727)))&amp;")","OK"))))))))</f>
        <v/>
      </c>
      <c r="T727" t="str">
        <f ca="1">IF($P727="","",IFERROR(MATCH($P727,firmadas!$N:$N,0),IFERROR(MATCH("*/"&amp;MID($P727,FIND(" ",$P727)+1,9)&amp;"*",firmadas!$B:$B,0),0)))</f>
        <v/>
      </c>
    </row>
    <row r="728" spans="14:20" ht="15" customHeight="1" x14ac:dyDescent="0.25">
      <c r="N728" s="53" t="str">
        <f t="shared" ca="1" si="11"/>
        <v/>
      </c>
      <c r="P728" t="str">
        <f ca="1">IF(TRIM(SUBSTITUTE(($C728&amp;" "&amp;$D728),CHAR(160)," "))="","",IFERROR(IF(ISNUMBER(SEARCH("INC",($C728&amp;" "&amp;$D728))),"INC",IF(ISNUMBER(SEARCH("OPI",($C728&amp;" "&amp;$D728))),"OPI",IF(ISNUMBER(SEARCH("DP",($C728&amp;" "&amp;$D728))),"DP","CONC")))&amp;" "&amp;TEXT(LOOKUP(9.99E+307,--MID(SUBSTITUTE(($C728&amp;" "&amp;$D728),CHAR(160)," "),SUMPRODUCT(MIN(FIND({0,1,2,3,4,5,6,7,8,9},SUBSTITUTE(($C728&amp;" "&amp;$D728),CHAR(160)," ")&amp;"0123456789"))),ROW(INDIRECT("1:6")))),"0"),"SIN NUMERO"))</f>
        <v/>
      </c>
      <c r="Q728" t="str">
        <f ca="1">IF($P728="","",IF(LEFT(UPPER($S728),9)="VERIFICAR","VERIFICAR",IF($A728="","SIN ESTADO",IF(AND($A728="Firmada",$H728=""),"FALTA FECHA DE FIRMA",IF(N($T728)=0,IF(AND(ISNUMBER($H728),$H728&gt;=DATE(2024,1,1)),"FALTA EN FIRMADAS","OK"),IF(OR($A728="Pendiente de presentación",$A728="Observado",$A728="En análisis",$A728="En instrucción",$A728="Suspendida",$A728="IT circulando",$A728="Para resolución",$A728="TDC"),"ABIERTA PERO ESTÁ EN FIRMADAS",IF($H728&lt;&gt;INDEX(firmadas!$F:$F,$T728),"FIRMA DISTINTA EN firmadas ("&amp;IF(INDEX(firmadas!$F:$F,$T728)="","vacía",DAY(INDEX(firmadas!$F:$F,$T728))&amp;"/"&amp;MONTH(INDEX(firmadas!$F:$F,$T728))&amp;"/"&amp;YEAR(INDEX(firmadas!$F:$F,$T728)))&amp;")",IF($G728&lt;&gt;INDEX(firmadas!$E:$E,$T728),"INGRESO DISTINTO EN firmadas ("&amp;IF(INDEX(firmadas!$E:$E,$T728)="","vacía",DAY(INDEX(firmadas!$E:$E,$T728))&amp;"/"&amp;MONTH(INDEX(firmadas!$E:$E,$T728))&amp;"/"&amp;YEAR(INDEX(firmadas!$E:$E,$T728)))&amp;")","OK"))))))))</f>
        <v/>
      </c>
      <c r="T728" t="str">
        <f ca="1">IF($P728="","",IFERROR(MATCH($P728,firmadas!$N:$N,0),IFERROR(MATCH("*/"&amp;MID($P728,FIND(" ",$P728)+1,9)&amp;"*",firmadas!$B:$B,0),0)))</f>
        <v/>
      </c>
    </row>
    <row r="729" spans="14:20" ht="15" customHeight="1" x14ac:dyDescent="0.25">
      <c r="N729" s="53" t="str">
        <f t="shared" ca="1" si="11"/>
        <v/>
      </c>
      <c r="P729" t="str">
        <f ca="1">IF(TRIM(SUBSTITUTE(($C729&amp;" "&amp;$D729),CHAR(160)," "))="","",IFERROR(IF(ISNUMBER(SEARCH("INC",($C729&amp;" "&amp;$D729))),"INC",IF(ISNUMBER(SEARCH("OPI",($C729&amp;" "&amp;$D729))),"OPI",IF(ISNUMBER(SEARCH("DP",($C729&amp;" "&amp;$D729))),"DP","CONC")))&amp;" "&amp;TEXT(LOOKUP(9.99E+307,--MID(SUBSTITUTE(($C729&amp;" "&amp;$D729),CHAR(160)," "),SUMPRODUCT(MIN(FIND({0,1,2,3,4,5,6,7,8,9},SUBSTITUTE(($C729&amp;" "&amp;$D729),CHAR(160)," ")&amp;"0123456789"))),ROW(INDIRECT("1:6")))),"0"),"SIN NUMERO"))</f>
        <v/>
      </c>
      <c r="Q729" t="str">
        <f ca="1">IF($P729="","",IF(LEFT(UPPER($S729),9)="VERIFICAR","VERIFICAR",IF($A729="","SIN ESTADO",IF(AND($A729="Firmada",$H729=""),"FALTA FECHA DE FIRMA",IF(N($T729)=0,IF(AND(ISNUMBER($H729),$H729&gt;=DATE(2024,1,1)),"FALTA EN FIRMADAS","OK"),IF(OR($A729="Pendiente de presentación",$A729="Observado",$A729="En análisis",$A729="En instrucción",$A729="Suspendida",$A729="IT circulando",$A729="Para resolución",$A729="TDC"),"ABIERTA PERO ESTÁ EN FIRMADAS",IF($H729&lt;&gt;INDEX(firmadas!$F:$F,$T729),"FIRMA DISTINTA EN firmadas ("&amp;IF(INDEX(firmadas!$F:$F,$T729)="","vacía",DAY(INDEX(firmadas!$F:$F,$T729))&amp;"/"&amp;MONTH(INDEX(firmadas!$F:$F,$T729))&amp;"/"&amp;YEAR(INDEX(firmadas!$F:$F,$T729)))&amp;")",IF($G729&lt;&gt;INDEX(firmadas!$E:$E,$T729),"INGRESO DISTINTO EN firmadas ("&amp;IF(INDEX(firmadas!$E:$E,$T729)="","vacía",DAY(INDEX(firmadas!$E:$E,$T729))&amp;"/"&amp;MONTH(INDEX(firmadas!$E:$E,$T729))&amp;"/"&amp;YEAR(INDEX(firmadas!$E:$E,$T729)))&amp;")","OK"))))))))</f>
        <v/>
      </c>
      <c r="T729" t="str">
        <f ca="1">IF($P729="","",IFERROR(MATCH($P729,firmadas!$N:$N,0),IFERROR(MATCH("*/"&amp;MID($P729,FIND(" ",$P729)+1,9)&amp;"*",firmadas!$B:$B,0),0)))</f>
        <v/>
      </c>
    </row>
    <row r="730" spans="14:20" ht="15" customHeight="1" x14ac:dyDescent="0.25">
      <c r="N730" s="53" t="str">
        <f t="shared" ca="1" si="11"/>
        <v/>
      </c>
      <c r="P730" t="str">
        <f ca="1">IF(TRIM(SUBSTITUTE(($C730&amp;" "&amp;$D730),CHAR(160)," "))="","",IFERROR(IF(ISNUMBER(SEARCH("INC",($C730&amp;" "&amp;$D730))),"INC",IF(ISNUMBER(SEARCH("OPI",($C730&amp;" "&amp;$D730))),"OPI",IF(ISNUMBER(SEARCH("DP",($C730&amp;" "&amp;$D730))),"DP","CONC")))&amp;" "&amp;TEXT(LOOKUP(9.99E+307,--MID(SUBSTITUTE(($C730&amp;" "&amp;$D730),CHAR(160)," "),SUMPRODUCT(MIN(FIND({0,1,2,3,4,5,6,7,8,9},SUBSTITUTE(($C730&amp;" "&amp;$D730),CHAR(160)," ")&amp;"0123456789"))),ROW(INDIRECT("1:6")))),"0"),"SIN NUMERO"))</f>
        <v/>
      </c>
      <c r="Q730" t="str">
        <f ca="1">IF($P730="","",IF(LEFT(UPPER($S730),9)="VERIFICAR","VERIFICAR",IF($A730="","SIN ESTADO",IF(AND($A730="Firmada",$H730=""),"FALTA FECHA DE FIRMA",IF(N($T730)=0,IF(AND(ISNUMBER($H730),$H730&gt;=DATE(2024,1,1)),"FALTA EN FIRMADAS","OK"),IF(OR($A730="Pendiente de presentación",$A730="Observado",$A730="En análisis",$A730="En instrucción",$A730="Suspendida",$A730="IT circulando",$A730="Para resolución",$A730="TDC"),"ABIERTA PERO ESTÁ EN FIRMADAS",IF($H730&lt;&gt;INDEX(firmadas!$F:$F,$T730),"FIRMA DISTINTA EN firmadas ("&amp;IF(INDEX(firmadas!$F:$F,$T730)="","vacía",DAY(INDEX(firmadas!$F:$F,$T730))&amp;"/"&amp;MONTH(INDEX(firmadas!$F:$F,$T730))&amp;"/"&amp;YEAR(INDEX(firmadas!$F:$F,$T730)))&amp;")",IF($G730&lt;&gt;INDEX(firmadas!$E:$E,$T730),"INGRESO DISTINTO EN firmadas ("&amp;IF(INDEX(firmadas!$E:$E,$T730)="","vacía",DAY(INDEX(firmadas!$E:$E,$T730))&amp;"/"&amp;MONTH(INDEX(firmadas!$E:$E,$T730))&amp;"/"&amp;YEAR(INDEX(firmadas!$E:$E,$T730)))&amp;")","OK"))))))))</f>
        <v/>
      </c>
      <c r="T730" t="str">
        <f ca="1">IF($P730="","",IFERROR(MATCH($P730,firmadas!$N:$N,0),IFERROR(MATCH("*/"&amp;MID($P730,FIND(" ",$P730)+1,9)&amp;"*",firmadas!$B:$B,0),0)))</f>
        <v/>
      </c>
    </row>
    <row r="731" spans="14:20" ht="15" customHeight="1" x14ac:dyDescent="0.25">
      <c r="N731" s="53" t="str">
        <f t="shared" ca="1" si="11"/>
        <v/>
      </c>
      <c r="P731" t="str">
        <f ca="1">IF(TRIM(SUBSTITUTE(($C731&amp;" "&amp;$D731),CHAR(160)," "))="","",IFERROR(IF(ISNUMBER(SEARCH("INC",($C731&amp;" "&amp;$D731))),"INC",IF(ISNUMBER(SEARCH("OPI",($C731&amp;" "&amp;$D731))),"OPI",IF(ISNUMBER(SEARCH("DP",($C731&amp;" "&amp;$D731))),"DP","CONC")))&amp;" "&amp;TEXT(LOOKUP(9.99E+307,--MID(SUBSTITUTE(($C731&amp;" "&amp;$D731),CHAR(160)," "),SUMPRODUCT(MIN(FIND({0,1,2,3,4,5,6,7,8,9},SUBSTITUTE(($C731&amp;" "&amp;$D731),CHAR(160)," ")&amp;"0123456789"))),ROW(INDIRECT("1:6")))),"0"),"SIN NUMERO"))</f>
        <v/>
      </c>
      <c r="Q731" t="str">
        <f ca="1">IF($P731="","",IF(LEFT(UPPER($S731),9)="VERIFICAR","VERIFICAR",IF($A731="","SIN ESTADO",IF(AND($A731="Firmada",$H731=""),"FALTA FECHA DE FIRMA",IF(N($T731)=0,IF(AND(ISNUMBER($H731),$H731&gt;=DATE(2024,1,1)),"FALTA EN FIRMADAS","OK"),IF(OR($A731="Pendiente de presentación",$A731="Observado",$A731="En análisis",$A731="En instrucción",$A731="Suspendida",$A731="IT circulando",$A731="Para resolución",$A731="TDC"),"ABIERTA PERO ESTÁ EN FIRMADAS",IF($H731&lt;&gt;INDEX(firmadas!$F:$F,$T731),"FIRMA DISTINTA EN firmadas ("&amp;IF(INDEX(firmadas!$F:$F,$T731)="","vacía",DAY(INDEX(firmadas!$F:$F,$T731))&amp;"/"&amp;MONTH(INDEX(firmadas!$F:$F,$T731))&amp;"/"&amp;YEAR(INDEX(firmadas!$F:$F,$T731)))&amp;")",IF($G731&lt;&gt;INDEX(firmadas!$E:$E,$T731),"INGRESO DISTINTO EN firmadas ("&amp;IF(INDEX(firmadas!$E:$E,$T731)="","vacía",DAY(INDEX(firmadas!$E:$E,$T731))&amp;"/"&amp;MONTH(INDEX(firmadas!$E:$E,$T731))&amp;"/"&amp;YEAR(INDEX(firmadas!$E:$E,$T731)))&amp;")","OK"))))))))</f>
        <v/>
      </c>
      <c r="T731" t="str">
        <f ca="1">IF($P731="","",IFERROR(MATCH($P731,firmadas!$N:$N,0),IFERROR(MATCH("*/"&amp;MID($P731,FIND(" ",$P731)+1,9)&amp;"*",firmadas!$B:$B,0),0)))</f>
        <v/>
      </c>
    </row>
    <row r="732" spans="14:20" ht="15" customHeight="1" x14ac:dyDescent="0.25">
      <c r="N732" s="53" t="str">
        <f t="shared" ca="1" si="11"/>
        <v/>
      </c>
      <c r="P732" t="str">
        <f ca="1">IF(TRIM(SUBSTITUTE(($C732&amp;" "&amp;$D732),CHAR(160)," "))="","",IFERROR(IF(ISNUMBER(SEARCH("INC",($C732&amp;" "&amp;$D732))),"INC",IF(ISNUMBER(SEARCH("OPI",($C732&amp;" "&amp;$D732))),"OPI",IF(ISNUMBER(SEARCH("DP",($C732&amp;" "&amp;$D732))),"DP","CONC")))&amp;" "&amp;TEXT(LOOKUP(9.99E+307,--MID(SUBSTITUTE(($C732&amp;" "&amp;$D732),CHAR(160)," "),SUMPRODUCT(MIN(FIND({0,1,2,3,4,5,6,7,8,9},SUBSTITUTE(($C732&amp;" "&amp;$D732),CHAR(160)," ")&amp;"0123456789"))),ROW(INDIRECT("1:6")))),"0"),"SIN NUMERO"))</f>
        <v/>
      </c>
      <c r="Q732" t="str">
        <f ca="1">IF($P732="","",IF(LEFT(UPPER($S732),9)="VERIFICAR","VERIFICAR",IF($A732="","SIN ESTADO",IF(AND($A732="Firmada",$H732=""),"FALTA FECHA DE FIRMA",IF(N($T732)=0,IF(AND(ISNUMBER($H732),$H732&gt;=DATE(2024,1,1)),"FALTA EN FIRMADAS","OK"),IF(OR($A732="Pendiente de presentación",$A732="Observado",$A732="En análisis",$A732="En instrucción",$A732="Suspendida",$A732="IT circulando",$A732="Para resolución",$A732="TDC"),"ABIERTA PERO ESTÁ EN FIRMADAS",IF($H732&lt;&gt;INDEX(firmadas!$F:$F,$T732),"FIRMA DISTINTA EN firmadas ("&amp;IF(INDEX(firmadas!$F:$F,$T732)="","vacía",DAY(INDEX(firmadas!$F:$F,$T732))&amp;"/"&amp;MONTH(INDEX(firmadas!$F:$F,$T732))&amp;"/"&amp;YEAR(INDEX(firmadas!$F:$F,$T732)))&amp;")",IF($G732&lt;&gt;INDEX(firmadas!$E:$E,$T732),"INGRESO DISTINTO EN firmadas ("&amp;IF(INDEX(firmadas!$E:$E,$T732)="","vacía",DAY(INDEX(firmadas!$E:$E,$T732))&amp;"/"&amp;MONTH(INDEX(firmadas!$E:$E,$T732))&amp;"/"&amp;YEAR(INDEX(firmadas!$E:$E,$T732)))&amp;")","OK"))))))))</f>
        <v/>
      </c>
      <c r="T732" t="str">
        <f ca="1">IF($P732="","",IFERROR(MATCH($P732,firmadas!$N:$N,0),IFERROR(MATCH("*/"&amp;MID($P732,FIND(" ",$P732)+1,9)&amp;"*",firmadas!$B:$B,0),0)))</f>
        <v/>
      </c>
    </row>
    <row r="733" spans="14:20" ht="15" customHeight="1" x14ac:dyDescent="0.25">
      <c r="N733" s="53" t="str">
        <f t="shared" ca="1" si="11"/>
        <v/>
      </c>
      <c r="P733" t="str">
        <f ca="1">IF(TRIM(SUBSTITUTE(($C733&amp;" "&amp;$D733),CHAR(160)," "))="","",IFERROR(IF(ISNUMBER(SEARCH("INC",($C733&amp;" "&amp;$D733))),"INC",IF(ISNUMBER(SEARCH("OPI",($C733&amp;" "&amp;$D733))),"OPI",IF(ISNUMBER(SEARCH("DP",($C733&amp;" "&amp;$D733))),"DP","CONC")))&amp;" "&amp;TEXT(LOOKUP(9.99E+307,--MID(SUBSTITUTE(($C733&amp;" "&amp;$D733),CHAR(160)," "),SUMPRODUCT(MIN(FIND({0,1,2,3,4,5,6,7,8,9},SUBSTITUTE(($C733&amp;" "&amp;$D733),CHAR(160)," ")&amp;"0123456789"))),ROW(INDIRECT("1:6")))),"0"),"SIN NUMERO"))</f>
        <v/>
      </c>
      <c r="Q733" t="str">
        <f ca="1">IF($P733="","",IF(LEFT(UPPER($S733),9)="VERIFICAR","VERIFICAR",IF($A733="","SIN ESTADO",IF(AND($A733="Firmada",$H733=""),"FALTA FECHA DE FIRMA",IF(N($T733)=0,IF(AND(ISNUMBER($H733),$H733&gt;=DATE(2024,1,1)),"FALTA EN FIRMADAS","OK"),IF(OR($A733="Pendiente de presentación",$A733="Observado",$A733="En análisis",$A733="En instrucción",$A733="Suspendida",$A733="IT circulando",$A733="Para resolución",$A733="TDC"),"ABIERTA PERO ESTÁ EN FIRMADAS",IF($H733&lt;&gt;INDEX(firmadas!$F:$F,$T733),"FIRMA DISTINTA EN firmadas ("&amp;IF(INDEX(firmadas!$F:$F,$T733)="","vacía",DAY(INDEX(firmadas!$F:$F,$T733))&amp;"/"&amp;MONTH(INDEX(firmadas!$F:$F,$T733))&amp;"/"&amp;YEAR(INDEX(firmadas!$F:$F,$T733)))&amp;")",IF($G733&lt;&gt;INDEX(firmadas!$E:$E,$T733),"INGRESO DISTINTO EN firmadas ("&amp;IF(INDEX(firmadas!$E:$E,$T733)="","vacía",DAY(INDEX(firmadas!$E:$E,$T733))&amp;"/"&amp;MONTH(INDEX(firmadas!$E:$E,$T733))&amp;"/"&amp;YEAR(INDEX(firmadas!$E:$E,$T733)))&amp;")","OK"))))))))</f>
        <v/>
      </c>
      <c r="T733" t="str">
        <f ca="1">IF($P733="","",IFERROR(MATCH($P733,firmadas!$N:$N,0),IFERROR(MATCH("*/"&amp;MID($P733,FIND(" ",$P733)+1,9)&amp;"*",firmadas!$B:$B,0),0)))</f>
        <v/>
      </c>
    </row>
    <row r="734" spans="14:20" ht="15" customHeight="1" x14ac:dyDescent="0.25">
      <c r="N734" s="53" t="str">
        <f t="shared" ca="1" si="11"/>
        <v/>
      </c>
      <c r="P734" t="str">
        <f ca="1">IF(TRIM(SUBSTITUTE(($C734&amp;" "&amp;$D734),CHAR(160)," "))="","",IFERROR(IF(ISNUMBER(SEARCH("INC",($C734&amp;" "&amp;$D734))),"INC",IF(ISNUMBER(SEARCH("OPI",($C734&amp;" "&amp;$D734))),"OPI",IF(ISNUMBER(SEARCH("DP",($C734&amp;" "&amp;$D734))),"DP","CONC")))&amp;" "&amp;TEXT(LOOKUP(9.99E+307,--MID(SUBSTITUTE(($C734&amp;" "&amp;$D734),CHAR(160)," "),SUMPRODUCT(MIN(FIND({0,1,2,3,4,5,6,7,8,9},SUBSTITUTE(($C734&amp;" "&amp;$D734),CHAR(160)," ")&amp;"0123456789"))),ROW(INDIRECT("1:6")))),"0"),"SIN NUMERO"))</f>
        <v/>
      </c>
      <c r="Q734" t="str">
        <f ca="1">IF($P734="","",IF(LEFT(UPPER($S734),9)="VERIFICAR","VERIFICAR",IF($A734="","SIN ESTADO",IF(AND($A734="Firmada",$H734=""),"FALTA FECHA DE FIRMA",IF(N($T734)=0,IF(AND(ISNUMBER($H734),$H734&gt;=DATE(2024,1,1)),"FALTA EN FIRMADAS","OK"),IF(OR($A734="Pendiente de presentación",$A734="Observado",$A734="En análisis",$A734="En instrucción",$A734="Suspendida",$A734="IT circulando",$A734="Para resolución",$A734="TDC"),"ABIERTA PERO ESTÁ EN FIRMADAS",IF($H734&lt;&gt;INDEX(firmadas!$F:$F,$T734),"FIRMA DISTINTA EN firmadas ("&amp;IF(INDEX(firmadas!$F:$F,$T734)="","vacía",DAY(INDEX(firmadas!$F:$F,$T734))&amp;"/"&amp;MONTH(INDEX(firmadas!$F:$F,$T734))&amp;"/"&amp;YEAR(INDEX(firmadas!$F:$F,$T734)))&amp;")",IF($G734&lt;&gt;INDEX(firmadas!$E:$E,$T734),"INGRESO DISTINTO EN firmadas ("&amp;IF(INDEX(firmadas!$E:$E,$T734)="","vacía",DAY(INDEX(firmadas!$E:$E,$T734))&amp;"/"&amp;MONTH(INDEX(firmadas!$E:$E,$T734))&amp;"/"&amp;YEAR(INDEX(firmadas!$E:$E,$T734)))&amp;")","OK"))))))))</f>
        <v/>
      </c>
      <c r="T734" t="str">
        <f ca="1">IF($P734="","",IFERROR(MATCH($P734,firmadas!$N:$N,0),IFERROR(MATCH("*/"&amp;MID($P734,FIND(" ",$P734)+1,9)&amp;"*",firmadas!$B:$B,0),0)))</f>
        <v/>
      </c>
    </row>
    <row r="735" spans="14:20" ht="15" customHeight="1" x14ac:dyDescent="0.25">
      <c r="N735" s="53" t="str">
        <f t="shared" ca="1" si="11"/>
        <v/>
      </c>
      <c r="P735" t="str">
        <f ca="1">IF(TRIM(SUBSTITUTE(($C735&amp;" "&amp;$D735),CHAR(160)," "))="","",IFERROR(IF(ISNUMBER(SEARCH("INC",($C735&amp;" "&amp;$D735))),"INC",IF(ISNUMBER(SEARCH("OPI",($C735&amp;" "&amp;$D735))),"OPI",IF(ISNUMBER(SEARCH("DP",($C735&amp;" "&amp;$D735))),"DP","CONC")))&amp;" "&amp;TEXT(LOOKUP(9.99E+307,--MID(SUBSTITUTE(($C735&amp;" "&amp;$D735),CHAR(160)," "),SUMPRODUCT(MIN(FIND({0,1,2,3,4,5,6,7,8,9},SUBSTITUTE(($C735&amp;" "&amp;$D735),CHAR(160)," ")&amp;"0123456789"))),ROW(INDIRECT("1:6")))),"0"),"SIN NUMERO"))</f>
        <v/>
      </c>
      <c r="Q735" t="str">
        <f ca="1">IF($P735="","",IF(LEFT(UPPER($S735),9)="VERIFICAR","VERIFICAR",IF($A735="","SIN ESTADO",IF(AND($A735="Firmada",$H735=""),"FALTA FECHA DE FIRMA",IF(N($T735)=0,IF(AND(ISNUMBER($H735),$H735&gt;=DATE(2024,1,1)),"FALTA EN FIRMADAS","OK"),IF(OR($A735="Pendiente de presentación",$A735="Observado",$A735="En análisis",$A735="En instrucción",$A735="Suspendida",$A735="IT circulando",$A735="Para resolución",$A735="TDC"),"ABIERTA PERO ESTÁ EN FIRMADAS",IF($H735&lt;&gt;INDEX(firmadas!$F:$F,$T735),"FIRMA DISTINTA EN firmadas ("&amp;IF(INDEX(firmadas!$F:$F,$T735)="","vacía",DAY(INDEX(firmadas!$F:$F,$T735))&amp;"/"&amp;MONTH(INDEX(firmadas!$F:$F,$T735))&amp;"/"&amp;YEAR(INDEX(firmadas!$F:$F,$T735)))&amp;")",IF($G735&lt;&gt;INDEX(firmadas!$E:$E,$T735),"INGRESO DISTINTO EN firmadas ("&amp;IF(INDEX(firmadas!$E:$E,$T735)="","vacía",DAY(INDEX(firmadas!$E:$E,$T735))&amp;"/"&amp;MONTH(INDEX(firmadas!$E:$E,$T735))&amp;"/"&amp;YEAR(INDEX(firmadas!$E:$E,$T735)))&amp;")","OK"))))))))</f>
        <v/>
      </c>
      <c r="T735" t="str">
        <f ca="1">IF($P735="","",IFERROR(MATCH($P735,firmadas!$N:$N,0),IFERROR(MATCH("*/"&amp;MID($P735,FIND(" ",$P735)+1,9)&amp;"*",firmadas!$B:$B,0),0)))</f>
        <v/>
      </c>
    </row>
    <row r="736" spans="14:20" ht="15" customHeight="1" x14ac:dyDescent="0.25">
      <c r="N736" s="53" t="str">
        <f t="shared" ca="1" si="11"/>
        <v/>
      </c>
      <c r="P736" t="str">
        <f ca="1">IF(TRIM(SUBSTITUTE(($C736&amp;" "&amp;$D736),CHAR(160)," "))="","",IFERROR(IF(ISNUMBER(SEARCH("INC",($C736&amp;" "&amp;$D736))),"INC",IF(ISNUMBER(SEARCH("OPI",($C736&amp;" "&amp;$D736))),"OPI",IF(ISNUMBER(SEARCH("DP",($C736&amp;" "&amp;$D736))),"DP","CONC")))&amp;" "&amp;TEXT(LOOKUP(9.99E+307,--MID(SUBSTITUTE(($C736&amp;" "&amp;$D736),CHAR(160)," "),SUMPRODUCT(MIN(FIND({0,1,2,3,4,5,6,7,8,9},SUBSTITUTE(($C736&amp;" "&amp;$D736),CHAR(160)," ")&amp;"0123456789"))),ROW(INDIRECT("1:6")))),"0"),"SIN NUMERO"))</f>
        <v/>
      </c>
      <c r="Q736" t="str">
        <f ca="1">IF($P736="","",IF(LEFT(UPPER($S736),9)="VERIFICAR","VERIFICAR",IF($A736="","SIN ESTADO",IF(AND($A736="Firmada",$H736=""),"FALTA FECHA DE FIRMA",IF(N($T736)=0,IF(AND(ISNUMBER($H736),$H736&gt;=DATE(2024,1,1)),"FALTA EN FIRMADAS","OK"),IF(OR($A736="Pendiente de presentación",$A736="Observado",$A736="En análisis",$A736="En instrucción",$A736="Suspendida",$A736="IT circulando",$A736="Para resolución",$A736="TDC"),"ABIERTA PERO ESTÁ EN FIRMADAS",IF($H736&lt;&gt;INDEX(firmadas!$F:$F,$T736),"FIRMA DISTINTA EN firmadas ("&amp;IF(INDEX(firmadas!$F:$F,$T736)="","vacía",DAY(INDEX(firmadas!$F:$F,$T736))&amp;"/"&amp;MONTH(INDEX(firmadas!$F:$F,$T736))&amp;"/"&amp;YEAR(INDEX(firmadas!$F:$F,$T736)))&amp;")",IF($G736&lt;&gt;INDEX(firmadas!$E:$E,$T736),"INGRESO DISTINTO EN firmadas ("&amp;IF(INDEX(firmadas!$E:$E,$T736)="","vacía",DAY(INDEX(firmadas!$E:$E,$T736))&amp;"/"&amp;MONTH(INDEX(firmadas!$E:$E,$T736))&amp;"/"&amp;YEAR(INDEX(firmadas!$E:$E,$T736)))&amp;")","OK"))))))))</f>
        <v/>
      </c>
      <c r="T736" t="str">
        <f ca="1">IF($P736="","",IFERROR(MATCH($P736,firmadas!$N:$N,0),IFERROR(MATCH("*/"&amp;MID($P736,FIND(" ",$P736)+1,9)&amp;"*",firmadas!$B:$B,0),0)))</f>
        <v/>
      </c>
    </row>
    <row r="737" spans="14:20" ht="15" customHeight="1" x14ac:dyDescent="0.25">
      <c r="N737" s="53" t="str">
        <f t="shared" ca="1" si="11"/>
        <v/>
      </c>
      <c r="P737" t="str">
        <f ca="1">IF(TRIM(SUBSTITUTE(($C737&amp;" "&amp;$D737),CHAR(160)," "))="","",IFERROR(IF(ISNUMBER(SEARCH("INC",($C737&amp;" "&amp;$D737))),"INC",IF(ISNUMBER(SEARCH("OPI",($C737&amp;" "&amp;$D737))),"OPI",IF(ISNUMBER(SEARCH("DP",($C737&amp;" "&amp;$D737))),"DP","CONC")))&amp;" "&amp;TEXT(LOOKUP(9.99E+307,--MID(SUBSTITUTE(($C737&amp;" "&amp;$D737),CHAR(160)," "),SUMPRODUCT(MIN(FIND({0,1,2,3,4,5,6,7,8,9},SUBSTITUTE(($C737&amp;" "&amp;$D737),CHAR(160)," ")&amp;"0123456789"))),ROW(INDIRECT("1:6")))),"0"),"SIN NUMERO"))</f>
        <v/>
      </c>
      <c r="Q737" t="str">
        <f ca="1">IF($P737="","",IF(LEFT(UPPER($S737),9)="VERIFICAR","VERIFICAR",IF($A737="","SIN ESTADO",IF(AND($A737="Firmada",$H737=""),"FALTA FECHA DE FIRMA",IF(N($T737)=0,IF(AND(ISNUMBER($H737),$H737&gt;=DATE(2024,1,1)),"FALTA EN FIRMADAS","OK"),IF(OR($A737="Pendiente de presentación",$A737="Observado",$A737="En análisis",$A737="En instrucción",$A737="Suspendida",$A737="IT circulando",$A737="Para resolución",$A737="TDC"),"ABIERTA PERO ESTÁ EN FIRMADAS",IF($H737&lt;&gt;INDEX(firmadas!$F:$F,$T737),"FIRMA DISTINTA EN firmadas ("&amp;IF(INDEX(firmadas!$F:$F,$T737)="","vacía",DAY(INDEX(firmadas!$F:$F,$T737))&amp;"/"&amp;MONTH(INDEX(firmadas!$F:$F,$T737))&amp;"/"&amp;YEAR(INDEX(firmadas!$F:$F,$T737)))&amp;")",IF($G737&lt;&gt;INDEX(firmadas!$E:$E,$T737),"INGRESO DISTINTO EN firmadas ("&amp;IF(INDEX(firmadas!$E:$E,$T737)="","vacía",DAY(INDEX(firmadas!$E:$E,$T737))&amp;"/"&amp;MONTH(INDEX(firmadas!$E:$E,$T737))&amp;"/"&amp;YEAR(INDEX(firmadas!$E:$E,$T737)))&amp;")","OK"))))))))</f>
        <v/>
      </c>
      <c r="T737" t="str">
        <f ca="1">IF($P737="","",IFERROR(MATCH($P737,firmadas!$N:$N,0),IFERROR(MATCH("*/"&amp;MID($P737,FIND(" ",$P737)+1,9)&amp;"*",firmadas!$B:$B,0),0)))</f>
        <v/>
      </c>
    </row>
    <row r="738" spans="14:20" ht="15" customHeight="1" x14ac:dyDescent="0.25">
      <c r="N738" s="53" t="str">
        <f t="shared" ca="1" si="11"/>
        <v/>
      </c>
      <c r="P738" t="str">
        <f ca="1">IF(TRIM(SUBSTITUTE(($C738&amp;" "&amp;$D738),CHAR(160)," "))="","",IFERROR(IF(ISNUMBER(SEARCH("INC",($C738&amp;" "&amp;$D738))),"INC",IF(ISNUMBER(SEARCH("OPI",($C738&amp;" "&amp;$D738))),"OPI",IF(ISNUMBER(SEARCH("DP",($C738&amp;" "&amp;$D738))),"DP","CONC")))&amp;" "&amp;TEXT(LOOKUP(9.99E+307,--MID(SUBSTITUTE(($C738&amp;" "&amp;$D738),CHAR(160)," "),SUMPRODUCT(MIN(FIND({0,1,2,3,4,5,6,7,8,9},SUBSTITUTE(($C738&amp;" "&amp;$D738),CHAR(160)," ")&amp;"0123456789"))),ROW(INDIRECT("1:6")))),"0"),"SIN NUMERO"))</f>
        <v/>
      </c>
      <c r="Q738" t="str">
        <f ca="1">IF($P738="","",IF(LEFT(UPPER($S738),9)="VERIFICAR","VERIFICAR",IF($A738="","SIN ESTADO",IF(AND($A738="Firmada",$H738=""),"FALTA FECHA DE FIRMA",IF(N($T738)=0,IF(AND(ISNUMBER($H738),$H738&gt;=DATE(2024,1,1)),"FALTA EN FIRMADAS","OK"),IF(OR($A738="Pendiente de presentación",$A738="Observado",$A738="En análisis",$A738="En instrucción",$A738="Suspendida",$A738="IT circulando",$A738="Para resolución",$A738="TDC"),"ABIERTA PERO ESTÁ EN FIRMADAS",IF($H738&lt;&gt;INDEX(firmadas!$F:$F,$T738),"FIRMA DISTINTA EN firmadas ("&amp;IF(INDEX(firmadas!$F:$F,$T738)="","vacía",DAY(INDEX(firmadas!$F:$F,$T738))&amp;"/"&amp;MONTH(INDEX(firmadas!$F:$F,$T738))&amp;"/"&amp;YEAR(INDEX(firmadas!$F:$F,$T738)))&amp;")",IF($G738&lt;&gt;INDEX(firmadas!$E:$E,$T738),"INGRESO DISTINTO EN firmadas ("&amp;IF(INDEX(firmadas!$E:$E,$T738)="","vacía",DAY(INDEX(firmadas!$E:$E,$T738))&amp;"/"&amp;MONTH(INDEX(firmadas!$E:$E,$T738))&amp;"/"&amp;YEAR(INDEX(firmadas!$E:$E,$T738)))&amp;")","OK"))))))))</f>
        <v/>
      </c>
      <c r="T738" t="str">
        <f ca="1">IF($P738="","",IFERROR(MATCH($P738,firmadas!$N:$N,0),IFERROR(MATCH("*/"&amp;MID($P738,FIND(" ",$P738)+1,9)&amp;"*",firmadas!$B:$B,0),0)))</f>
        <v/>
      </c>
    </row>
    <row r="739" spans="14:20" ht="15" customHeight="1" x14ac:dyDescent="0.25">
      <c r="N739" s="53" t="str">
        <f t="shared" ca="1" si="11"/>
        <v/>
      </c>
      <c r="P739" t="str">
        <f ca="1">IF(TRIM(SUBSTITUTE(($C739&amp;" "&amp;$D739),CHAR(160)," "))="","",IFERROR(IF(ISNUMBER(SEARCH("INC",($C739&amp;" "&amp;$D739))),"INC",IF(ISNUMBER(SEARCH("OPI",($C739&amp;" "&amp;$D739))),"OPI",IF(ISNUMBER(SEARCH("DP",($C739&amp;" "&amp;$D739))),"DP","CONC")))&amp;" "&amp;TEXT(LOOKUP(9.99E+307,--MID(SUBSTITUTE(($C739&amp;" "&amp;$D739),CHAR(160)," "),SUMPRODUCT(MIN(FIND({0,1,2,3,4,5,6,7,8,9},SUBSTITUTE(($C739&amp;" "&amp;$D739),CHAR(160)," ")&amp;"0123456789"))),ROW(INDIRECT("1:6")))),"0"),"SIN NUMERO"))</f>
        <v/>
      </c>
      <c r="Q739" t="str">
        <f ca="1">IF($P739="","",IF(LEFT(UPPER($S739),9)="VERIFICAR","VERIFICAR",IF($A739="","SIN ESTADO",IF(AND($A739="Firmada",$H739=""),"FALTA FECHA DE FIRMA",IF(N($T739)=0,IF(AND(ISNUMBER($H739),$H739&gt;=DATE(2024,1,1)),"FALTA EN FIRMADAS","OK"),IF(OR($A739="Pendiente de presentación",$A739="Observado",$A739="En análisis",$A739="En instrucción",$A739="Suspendida",$A739="IT circulando",$A739="Para resolución",$A739="TDC"),"ABIERTA PERO ESTÁ EN FIRMADAS",IF($H739&lt;&gt;INDEX(firmadas!$F:$F,$T739),"FIRMA DISTINTA EN firmadas ("&amp;IF(INDEX(firmadas!$F:$F,$T739)="","vacía",DAY(INDEX(firmadas!$F:$F,$T739))&amp;"/"&amp;MONTH(INDEX(firmadas!$F:$F,$T739))&amp;"/"&amp;YEAR(INDEX(firmadas!$F:$F,$T739)))&amp;")",IF($G739&lt;&gt;INDEX(firmadas!$E:$E,$T739),"INGRESO DISTINTO EN firmadas ("&amp;IF(INDEX(firmadas!$E:$E,$T739)="","vacía",DAY(INDEX(firmadas!$E:$E,$T739))&amp;"/"&amp;MONTH(INDEX(firmadas!$E:$E,$T739))&amp;"/"&amp;YEAR(INDEX(firmadas!$E:$E,$T739)))&amp;")","OK"))))))))</f>
        <v/>
      </c>
      <c r="T739" t="str">
        <f ca="1">IF($P739="","",IFERROR(MATCH($P739,firmadas!$N:$N,0),IFERROR(MATCH("*/"&amp;MID($P739,FIND(" ",$P739)+1,9)&amp;"*",firmadas!$B:$B,0),0)))</f>
        <v/>
      </c>
    </row>
    <row r="740" spans="14:20" ht="15" customHeight="1" x14ac:dyDescent="0.25">
      <c r="N740" s="53" t="str">
        <f t="shared" ca="1" si="11"/>
        <v/>
      </c>
      <c r="P740" t="str">
        <f ca="1">IF(TRIM(SUBSTITUTE(($C740&amp;" "&amp;$D740),CHAR(160)," "))="","",IFERROR(IF(ISNUMBER(SEARCH("INC",($C740&amp;" "&amp;$D740))),"INC",IF(ISNUMBER(SEARCH("OPI",($C740&amp;" "&amp;$D740))),"OPI",IF(ISNUMBER(SEARCH("DP",($C740&amp;" "&amp;$D740))),"DP","CONC")))&amp;" "&amp;TEXT(LOOKUP(9.99E+307,--MID(SUBSTITUTE(($C740&amp;" "&amp;$D740),CHAR(160)," "),SUMPRODUCT(MIN(FIND({0,1,2,3,4,5,6,7,8,9},SUBSTITUTE(($C740&amp;" "&amp;$D740),CHAR(160)," ")&amp;"0123456789"))),ROW(INDIRECT("1:6")))),"0"),"SIN NUMERO"))</f>
        <v/>
      </c>
      <c r="Q740" t="str">
        <f ca="1">IF($P740="","",IF(LEFT(UPPER($S740),9)="VERIFICAR","VERIFICAR",IF($A740="","SIN ESTADO",IF(AND($A740="Firmada",$H740=""),"FALTA FECHA DE FIRMA",IF(N($T740)=0,IF(AND(ISNUMBER($H740),$H740&gt;=DATE(2024,1,1)),"FALTA EN FIRMADAS","OK"),IF(OR($A740="Pendiente de presentación",$A740="Observado",$A740="En análisis",$A740="En instrucción",$A740="Suspendida",$A740="IT circulando",$A740="Para resolución",$A740="TDC"),"ABIERTA PERO ESTÁ EN FIRMADAS",IF($H740&lt;&gt;INDEX(firmadas!$F:$F,$T740),"FIRMA DISTINTA EN firmadas ("&amp;IF(INDEX(firmadas!$F:$F,$T740)="","vacía",DAY(INDEX(firmadas!$F:$F,$T740))&amp;"/"&amp;MONTH(INDEX(firmadas!$F:$F,$T740))&amp;"/"&amp;YEAR(INDEX(firmadas!$F:$F,$T740)))&amp;")",IF($G740&lt;&gt;INDEX(firmadas!$E:$E,$T740),"INGRESO DISTINTO EN firmadas ("&amp;IF(INDEX(firmadas!$E:$E,$T740)="","vacía",DAY(INDEX(firmadas!$E:$E,$T740))&amp;"/"&amp;MONTH(INDEX(firmadas!$E:$E,$T740))&amp;"/"&amp;YEAR(INDEX(firmadas!$E:$E,$T740)))&amp;")","OK"))))))))</f>
        <v/>
      </c>
      <c r="T740" t="str">
        <f ca="1">IF($P740="","",IFERROR(MATCH($P740,firmadas!$N:$N,0),IFERROR(MATCH("*/"&amp;MID($P740,FIND(" ",$P740)+1,9)&amp;"*",firmadas!$B:$B,0),0)))</f>
        <v/>
      </c>
    </row>
    <row r="741" spans="14:20" ht="15" customHeight="1" x14ac:dyDescent="0.25">
      <c r="N741" s="53" t="str">
        <f t="shared" ca="1" si="11"/>
        <v/>
      </c>
      <c r="P741" t="str">
        <f ca="1">IF(TRIM(SUBSTITUTE(($C741&amp;" "&amp;$D741),CHAR(160)," "))="","",IFERROR(IF(ISNUMBER(SEARCH("INC",($C741&amp;" "&amp;$D741))),"INC",IF(ISNUMBER(SEARCH("OPI",($C741&amp;" "&amp;$D741))),"OPI",IF(ISNUMBER(SEARCH("DP",($C741&amp;" "&amp;$D741))),"DP","CONC")))&amp;" "&amp;TEXT(LOOKUP(9.99E+307,--MID(SUBSTITUTE(($C741&amp;" "&amp;$D741),CHAR(160)," "),SUMPRODUCT(MIN(FIND({0,1,2,3,4,5,6,7,8,9},SUBSTITUTE(($C741&amp;" "&amp;$D741),CHAR(160)," ")&amp;"0123456789"))),ROW(INDIRECT("1:6")))),"0"),"SIN NUMERO"))</f>
        <v/>
      </c>
      <c r="Q741" t="str">
        <f ca="1">IF($P741="","",IF(LEFT(UPPER($S741),9)="VERIFICAR","VERIFICAR",IF($A741="","SIN ESTADO",IF(AND($A741="Firmada",$H741=""),"FALTA FECHA DE FIRMA",IF(N($T741)=0,IF(AND(ISNUMBER($H741),$H741&gt;=DATE(2024,1,1)),"FALTA EN FIRMADAS","OK"),IF(OR($A741="Pendiente de presentación",$A741="Observado",$A741="En análisis",$A741="En instrucción",$A741="Suspendida",$A741="IT circulando",$A741="Para resolución",$A741="TDC"),"ABIERTA PERO ESTÁ EN FIRMADAS",IF($H741&lt;&gt;INDEX(firmadas!$F:$F,$T741),"FIRMA DISTINTA EN firmadas ("&amp;IF(INDEX(firmadas!$F:$F,$T741)="","vacía",DAY(INDEX(firmadas!$F:$F,$T741))&amp;"/"&amp;MONTH(INDEX(firmadas!$F:$F,$T741))&amp;"/"&amp;YEAR(INDEX(firmadas!$F:$F,$T741)))&amp;")",IF($G741&lt;&gt;INDEX(firmadas!$E:$E,$T741),"INGRESO DISTINTO EN firmadas ("&amp;IF(INDEX(firmadas!$E:$E,$T741)="","vacía",DAY(INDEX(firmadas!$E:$E,$T741))&amp;"/"&amp;MONTH(INDEX(firmadas!$E:$E,$T741))&amp;"/"&amp;YEAR(INDEX(firmadas!$E:$E,$T741)))&amp;")","OK"))))))))</f>
        <v/>
      </c>
      <c r="T741" t="str">
        <f ca="1">IF($P741="","",IFERROR(MATCH($P741,firmadas!$N:$N,0),IFERROR(MATCH("*/"&amp;MID($P741,FIND(" ",$P741)+1,9)&amp;"*",firmadas!$B:$B,0),0)))</f>
        <v/>
      </c>
    </row>
    <row r="742" spans="14:20" ht="15" customHeight="1" x14ac:dyDescent="0.25">
      <c r="N742" s="53" t="str">
        <f t="shared" ca="1" si="11"/>
        <v/>
      </c>
      <c r="P742" t="str">
        <f ca="1">IF(TRIM(SUBSTITUTE(($C742&amp;" "&amp;$D742),CHAR(160)," "))="","",IFERROR(IF(ISNUMBER(SEARCH("INC",($C742&amp;" "&amp;$D742))),"INC",IF(ISNUMBER(SEARCH("OPI",($C742&amp;" "&amp;$D742))),"OPI",IF(ISNUMBER(SEARCH("DP",($C742&amp;" "&amp;$D742))),"DP","CONC")))&amp;" "&amp;TEXT(LOOKUP(9.99E+307,--MID(SUBSTITUTE(($C742&amp;" "&amp;$D742),CHAR(160)," "),SUMPRODUCT(MIN(FIND({0,1,2,3,4,5,6,7,8,9},SUBSTITUTE(($C742&amp;" "&amp;$D742),CHAR(160)," ")&amp;"0123456789"))),ROW(INDIRECT("1:6")))),"0"),"SIN NUMERO"))</f>
        <v/>
      </c>
      <c r="Q742" t="str">
        <f ca="1">IF($P742="","",IF(LEFT(UPPER($S742),9)="VERIFICAR","VERIFICAR",IF($A742="","SIN ESTADO",IF(AND($A742="Firmada",$H742=""),"FALTA FECHA DE FIRMA",IF(N($T742)=0,IF(AND(ISNUMBER($H742),$H742&gt;=DATE(2024,1,1)),"FALTA EN FIRMADAS","OK"),IF(OR($A742="Pendiente de presentación",$A742="Observado",$A742="En análisis",$A742="En instrucción",$A742="Suspendida",$A742="IT circulando",$A742="Para resolución",$A742="TDC"),"ABIERTA PERO ESTÁ EN FIRMADAS",IF($H742&lt;&gt;INDEX(firmadas!$F:$F,$T742),"FIRMA DISTINTA EN firmadas ("&amp;IF(INDEX(firmadas!$F:$F,$T742)="","vacía",DAY(INDEX(firmadas!$F:$F,$T742))&amp;"/"&amp;MONTH(INDEX(firmadas!$F:$F,$T742))&amp;"/"&amp;YEAR(INDEX(firmadas!$F:$F,$T742)))&amp;")",IF($G742&lt;&gt;INDEX(firmadas!$E:$E,$T742),"INGRESO DISTINTO EN firmadas ("&amp;IF(INDEX(firmadas!$E:$E,$T742)="","vacía",DAY(INDEX(firmadas!$E:$E,$T742))&amp;"/"&amp;MONTH(INDEX(firmadas!$E:$E,$T742))&amp;"/"&amp;YEAR(INDEX(firmadas!$E:$E,$T742)))&amp;")","OK"))))))))</f>
        <v/>
      </c>
      <c r="T742" t="str">
        <f ca="1">IF($P742="","",IFERROR(MATCH($P742,firmadas!$N:$N,0),IFERROR(MATCH("*/"&amp;MID($P742,FIND(" ",$P742)+1,9)&amp;"*",firmadas!$B:$B,0),0)))</f>
        <v/>
      </c>
    </row>
    <row r="743" spans="14:20" ht="15" customHeight="1" x14ac:dyDescent="0.25">
      <c r="N743" s="53" t="str">
        <f t="shared" ca="1" si="11"/>
        <v/>
      </c>
      <c r="P743" t="str">
        <f ca="1">IF(TRIM(SUBSTITUTE(($C743&amp;" "&amp;$D743),CHAR(160)," "))="","",IFERROR(IF(ISNUMBER(SEARCH("INC",($C743&amp;" "&amp;$D743))),"INC",IF(ISNUMBER(SEARCH("OPI",($C743&amp;" "&amp;$D743))),"OPI",IF(ISNUMBER(SEARCH("DP",($C743&amp;" "&amp;$D743))),"DP","CONC")))&amp;" "&amp;TEXT(LOOKUP(9.99E+307,--MID(SUBSTITUTE(($C743&amp;" "&amp;$D743),CHAR(160)," "),SUMPRODUCT(MIN(FIND({0,1,2,3,4,5,6,7,8,9},SUBSTITUTE(($C743&amp;" "&amp;$D743),CHAR(160)," ")&amp;"0123456789"))),ROW(INDIRECT("1:6")))),"0"),"SIN NUMERO"))</f>
        <v/>
      </c>
      <c r="Q743" t="str">
        <f ca="1">IF($P743="","",IF(LEFT(UPPER($S743),9)="VERIFICAR","VERIFICAR",IF($A743="","SIN ESTADO",IF(AND($A743="Firmada",$H743=""),"FALTA FECHA DE FIRMA",IF(N($T743)=0,IF(AND(ISNUMBER($H743),$H743&gt;=DATE(2024,1,1)),"FALTA EN FIRMADAS","OK"),IF(OR($A743="Pendiente de presentación",$A743="Observado",$A743="En análisis",$A743="En instrucción",$A743="Suspendida",$A743="IT circulando",$A743="Para resolución",$A743="TDC"),"ABIERTA PERO ESTÁ EN FIRMADAS",IF($H743&lt;&gt;INDEX(firmadas!$F:$F,$T743),"FIRMA DISTINTA EN firmadas ("&amp;IF(INDEX(firmadas!$F:$F,$T743)="","vacía",DAY(INDEX(firmadas!$F:$F,$T743))&amp;"/"&amp;MONTH(INDEX(firmadas!$F:$F,$T743))&amp;"/"&amp;YEAR(INDEX(firmadas!$F:$F,$T743)))&amp;")",IF($G743&lt;&gt;INDEX(firmadas!$E:$E,$T743),"INGRESO DISTINTO EN firmadas ("&amp;IF(INDEX(firmadas!$E:$E,$T743)="","vacía",DAY(INDEX(firmadas!$E:$E,$T743))&amp;"/"&amp;MONTH(INDEX(firmadas!$E:$E,$T743))&amp;"/"&amp;YEAR(INDEX(firmadas!$E:$E,$T743)))&amp;")","OK"))))))))</f>
        <v/>
      </c>
      <c r="T743" t="str">
        <f ca="1">IF($P743="","",IFERROR(MATCH($P743,firmadas!$N:$N,0),IFERROR(MATCH("*/"&amp;MID($P743,FIND(" ",$P743)+1,9)&amp;"*",firmadas!$B:$B,0),0)))</f>
        <v/>
      </c>
    </row>
    <row r="744" spans="14:20" ht="15" customHeight="1" x14ac:dyDescent="0.25">
      <c r="N744" s="53" t="str">
        <f t="shared" ca="1" si="11"/>
        <v/>
      </c>
      <c r="P744" t="str">
        <f ca="1">IF(TRIM(SUBSTITUTE(($C744&amp;" "&amp;$D744),CHAR(160)," "))="","",IFERROR(IF(ISNUMBER(SEARCH("INC",($C744&amp;" "&amp;$D744))),"INC",IF(ISNUMBER(SEARCH("OPI",($C744&amp;" "&amp;$D744))),"OPI",IF(ISNUMBER(SEARCH("DP",($C744&amp;" "&amp;$D744))),"DP","CONC")))&amp;" "&amp;TEXT(LOOKUP(9.99E+307,--MID(SUBSTITUTE(($C744&amp;" "&amp;$D744),CHAR(160)," "),SUMPRODUCT(MIN(FIND({0,1,2,3,4,5,6,7,8,9},SUBSTITUTE(($C744&amp;" "&amp;$D744),CHAR(160)," ")&amp;"0123456789"))),ROW(INDIRECT("1:6")))),"0"),"SIN NUMERO"))</f>
        <v/>
      </c>
      <c r="Q744" t="str">
        <f ca="1">IF($P744="","",IF(LEFT(UPPER($S744),9)="VERIFICAR","VERIFICAR",IF($A744="","SIN ESTADO",IF(AND($A744="Firmada",$H744=""),"FALTA FECHA DE FIRMA",IF(N($T744)=0,IF(AND(ISNUMBER($H744),$H744&gt;=DATE(2024,1,1)),"FALTA EN FIRMADAS","OK"),IF(OR($A744="Pendiente de presentación",$A744="Observado",$A744="En análisis",$A744="En instrucción",$A744="Suspendida",$A744="IT circulando",$A744="Para resolución",$A744="TDC"),"ABIERTA PERO ESTÁ EN FIRMADAS",IF($H744&lt;&gt;INDEX(firmadas!$F:$F,$T744),"FIRMA DISTINTA EN firmadas ("&amp;IF(INDEX(firmadas!$F:$F,$T744)="","vacía",DAY(INDEX(firmadas!$F:$F,$T744))&amp;"/"&amp;MONTH(INDEX(firmadas!$F:$F,$T744))&amp;"/"&amp;YEAR(INDEX(firmadas!$F:$F,$T744)))&amp;")",IF($G744&lt;&gt;INDEX(firmadas!$E:$E,$T744),"INGRESO DISTINTO EN firmadas ("&amp;IF(INDEX(firmadas!$E:$E,$T744)="","vacía",DAY(INDEX(firmadas!$E:$E,$T744))&amp;"/"&amp;MONTH(INDEX(firmadas!$E:$E,$T744))&amp;"/"&amp;YEAR(INDEX(firmadas!$E:$E,$T744)))&amp;")","OK"))))))))</f>
        <v/>
      </c>
      <c r="T744" t="str">
        <f ca="1">IF($P744="","",IFERROR(MATCH($P744,firmadas!$N:$N,0),IFERROR(MATCH("*/"&amp;MID($P744,FIND(" ",$P744)+1,9)&amp;"*",firmadas!$B:$B,0),0)))</f>
        <v/>
      </c>
    </row>
    <row r="745" spans="14:20" ht="15" customHeight="1" x14ac:dyDescent="0.25">
      <c r="N745" s="53" t="str">
        <f t="shared" ca="1" si="11"/>
        <v/>
      </c>
      <c r="P745" t="str">
        <f ca="1">IF(TRIM(SUBSTITUTE(($C745&amp;" "&amp;$D745),CHAR(160)," "))="","",IFERROR(IF(ISNUMBER(SEARCH("INC",($C745&amp;" "&amp;$D745))),"INC",IF(ISNUMBER(SEARCH("OPI",($C745&amp;" "&amp;$D745))),"OPI",IF(ISNUMBER(SEARCH("DP",($C745&amp;" "&amp;$D745))),"DP","CONC")))&amp;" "&amp;TEXT(LOOKUP(9.99E+307,--MID(SUBSTITUTE(($C745&amp;" "&amp;$D745),CHAR(160)," "),SUMPRODUCT(MIN(FIND({0,1,2,3,4,5,6,7,8,9},SUBSTITUTE(($C745&amp;" "&amp;$D745),CHAR(160)," ")&amp;"0123456789"))),ROW(INDIRECT("1:6")))),"0"),"SIN NUMERO"))</f>
        <v/>
      </c>
      <c r="Q745" t="str">
        <f ca="1">IF($P745="","",IF(LEFT(UPPER($S745),9)="VERIFICAR","VERIFICAR",IF($A745="","SIN ESTADO",IF(AND($A745="Firmada",$H745=""),"FALTA FECHA DE FIRMA",IF(N($T745)=0,IF(AND(ISNUMBER($H745),$H745&gt;=DATE(2024,1,1)),"FALTA EN FIRMADAS","OK"),IF(OR($A745="Pendiente de presentación",$A745="Observado",$A745="En análisis",$A745="En instrucción",$A745="Suspendida",$A745="IT circulando",$A745="Para resolución",$A745="TDC"),"ABIERTA PERO ESTÁ EN FIRMADAS",IF($H745&lt;&gt;INDEX(firmadas!$F:$F,$T745),"FIRMA DISTINTA EN firmadas ("&amp;IF(INDEX(firmadas!$F:$F,$T745)="","vacía",DAY(INDEX(firmadas!$F:$F,$T745))&amp;"/"&amp;MONTH(INDEX(firmadas!$F:$F,$T745))&amp;"/"&amp;YEAR(INDEX(firmadas!$F:$F,$T745)))&amp;")",IF($G745&lt;&gt;INDEX(firmadas!$E:$E,$T745),"INGRESO DISTINTO EN firmadas ("&amp;IF(INDEX(firmadas!$E:$E,$T745)="","vacía",DAY(INDEX(firmadas!$E:$E,$T745))&amp;"/"&amp;MONTH(INDEX(firmadas!$E:$E,$T745))&amp;"/"&amp;YEAR(INDEX(firmadas!$E:$E,$T745)))&amp;")","OK"))))))))</f>
        <v/>
      </c>
      <c r="T745" t="str">
        <f ca="1">IF($P745="","",IFERROR(MATCH($P745,firmadas!$N:$N,0),IFERROR(MATCH("*/"&amp;MID($P745,FIND(" ",$P745)+1,9)&amp;"*",firmadas!$B:$B,0),0)))</f>
        <v/>
      </c>
    </row>
    <row r="746" spans="14:20" ht="15" customHeight="1" x14ac:dyDescent="0.25">
      <c r="N746" s="53" t="str">
        <f t="shared" ca="1" si="11"/>
        <v/>
      </c>
      <c r="P746" t="str">
        <f ca="1">IF(TRIM(SUBSTITUTE(($C746&amp;" "&amp;$D746),CHAR(160)," "))="","",IFERROR(IF(ISNUMBER(SEARCH("INC",($C746&amp;" "&amp;$D746))),"INC",IF(ISNUMBER(SEARCH("OPI",($C746&amp;" "&amp;$D746))),"OPI",IF(ISNUMBER(SEARCH("DP",($C746&amp;" "&amp;$D746))),"DP","CONC")))&amp;" "&amp;TEXT(LOOKUP(9.99E+307,--MID(SUBSTITUTE(($C746&amp;" "&amp;$D746),CHAR(160)," "),SUMPRODUCT(MIN(FIND({0,1,2,3,4,5,6,7,8,9},SUBSTITUTE(($C746&amp;" "&amp;$D746),CHAR(160)," ")&amp;"0123456789"))),ROW(INDIRECT("1:6")))),"0"),"SIN NUMERO"))</f>
        <v/>
      </c>
      <c r="Q746" t="str">
        <f ca="1">IF($P746="","",IF(LEFT(UPPER($S746),9)="VERIFICAR","VERIFICAR",IF($A746="","SIN ESTADO",IF(AND($A746="Firmada",$H746=""),"FALTA FECHA DE FIRMA",IF(N($T746)=0,IF(AND(ISNUMBER($H746),$H746&gt;=DATE(2024,1,1)),"FALTA EN FIRMADAS","OK"),IF(OR($A746="Pendiente de presentación",$A746="Observado",$A746="En análisis",$A746="En instrucción",$A746="Suspendida",$A746="IT circulando",$A746="Para resolución",$A746="TDC"),"ABIERTA PERO ESTÁ EN FIRMADAS",IF($H746&lt;&gt;INDEX(firmadas!$F:$F,$T746),"FIRMA DISTINTA EN firmadas ("&amp;IF(INDEX(firmadas!$F:$F,$T746)="","vacía",DAY(INDEX(firmadas!$F:$F,$T746))&amp;"/"&amp;MONTH(INDEX(firmadas!$F:$F,$T746))&amp;"/"&amp;YEAR(INDEX(firmadas!$F:$F,$T746)))&amp;")",IF($G746&lt;&gt;INDEX(firmadas!$E:$E,$T746),"INGRESO DISTINTO EN firmadas ("&amp;IF(INDEX(firmadas!$E:$E,$T746)="","vacía",DAY(INDEX(firmadas!$E:$E,$T746))&amp;"/"&amp;MONTH(INDEX(firmadas!$E:$E,$T746))&amp;"/"&amp;YEAR(INDEX(firmadas!$E:$E,$T746)))&amp;")","OK"))))))))</f>
        <v/>
      </c>
      <c r="T746" t="str">
        <f ca="1">IF($P746="","",IFERROR(MATCH($P746,firmadas!$N:$N,0),IFERROR(MATCH("*/"&amp;MID($P746,FIND(" ",$P746)+1,9)&amp;"*",firmadas!$B:$B,0),0)))</f>
        <v/>
      </c>
    </row>
    <row r="747" spans="14:20" ht="15" customHeight="1" x14ac:dyDescent="0.25">
      <c r="N747" s="53" t="str">
        <f t="shared" ca="1" si="11"/>
        <v/>
      </c>
      <c r="P747" t="str">
        <f ca="1">IF(TRIM(SUBSTITUTE(($C747&amp;" "&amp;$D747),CHAR(160)," "))="","",IFERROR(IF(ISNUMBER(SEARCH("INC",($C747&amp;" "&amp;$D747))),"INC",IF(ISNUMBER(SEARCH("OPI",($C747&amp;" "&amp;$D747))),"OPI",IF(ISNUMBER(SEARCH("DP",($C747&amp;" "&amp;$D747))),"DP","CONC")))&amp;" "&amp;TEXT(LOOKUP(9.99E+307,--MID(SUBSTITUTE(($C747&amp;" "&amp;$D747),CHAR(160)," "),SUMPRODUCT(MIN(FIND({0,1,2,3,4,5,6,7,8,9},SUBSTITUTE(($C747&amp;" "&amp;$D747),CHAR(160)," ")&amp;"0123456789"))),ROW(INDIRECT("1:6")))),"0"),"SIN NUMERO"))</f>
        <v/>
      </c>
      <c r="Q747" t="str">
        <f ca="1">IF($P747="","",IF(LEFT(UPPER($S747),9)="VERIFICAR","VERIFICAR",IF($A747="","SIN ESTADO",IF(AND($A747="Firmada",$H747=""),"FALTA FECHA DE FIRMA",IF(N($T747)=0,IF(AND(ISNUMBER($H747),$H747&gt;=DATE(2024,1,1)),"FALTA EN FIRMADAS","OK"),IF(OR($A747="Pendiente de presentación",$A747="Observado",$A747="En análisis",$A747="En instrucción",$A747="Suspendida",$A747="IT circulando",$A747="Para resolución",$A747="TDC"),"ABIERTA PERO ESTÁ EN FIRMADAS",IF($H747&lt;&gt;INDEX(firmadas!$F:$F,$T747),"FIRMA DISTINTA EN firmadas ("&amp;IF(INDEX(firmadas!$F:$F,$T747)="","vacía",DAY(INDEX(firmadas!$F:$F,$T747))&amp;"/"&amp;MONTH(INDEX(firmadas!$F:$F,$T747))&amp;"/"&amp;YEAR(INDEX(firmadas!$F:$F,$T747)))&amp;")",IF($G747&lt;&gt;INDEX(firmadas!$E:$E,$T747),"INGRESO DISTINTO EN firmadas ("&amp;IF(INDEX(firmadas!$E:$E,$T747)="","vacía",DAY(INDEX(firmadas!$E:$E,$T747))&amp;"/"&amp;MONTH(INDEX(firmadas!$E:$E,$T747))&amp;"/"&amp;YEAR(INDEX(firmadas!$E:$E,$T747)))&amp;")","OK"))))))))</f>
        <v/>
      </c>
      <c r="T747" t="str">
        <f ca="1">IF($P747="","",IFERROR(MATCH($P747,firmadas!$N:$N,0),IFERROR(MATCH("*/"&amp;MID($P747,FIND(" ",$P747)+1,9)&amp;"*",firmadas!$B:$B,0),0)))</f>
        <v/>
      </c>
    </row>
    <row r="748" spans="14:20" ht="15" customHeight="1" x14ac:dyDescent="0.25">
      <c r="N748" s="53" t="str">
        <f t="shared" ca="1" si="11"/>
        <v/>
      </c>
      <c r="P748" t="str">
        <f ca="1">IF(TRIM(SUBSTITUTE(($C748&amp;" "&amp;$D748),CHAR(160)," "))="","",IFERROR(IF(ISNUMBER(SEARCH("INC",($C748&amp;" "&amp;$D748))),"INC",IF(ISNUMBER(SEARCH("OPI",($C748&amp;" "&amp;$D748))),"OPI",IF(ISNUMBER(SEARCH("DP",($C748&amp;" "&amp;$D748))),"DP","CONC")))&amp;" "&amp;TEXT(LOOKUP(9.99E+307,--MID(SUBSTITUTE(($C748&amp;" "&amp;$D748),CHAR(160)," "),SUMPRODUCT(MIN(FIND({0,1,2,3,4,5,6,7,8,9},SUBSTITUTE(($C748&amp;" "&amp;$D748),CHAR(160)," ")&amp;"0123456789"))),ROW(INDIRECT("1:6")))),"0"),"SIN NUMERO"))</f>
        <v/>
      </c>
      <c r="Q748" t="str">
        <f ca="1">IF($P748="","",IF(LEFT(UPPER($S748),9)="VERIFICAR","VERIFICAR",IF($A748="","SIN ESTADO",IF(AND($A748="Firmada",$H748=""),"FALTA FECHA DE FIRMA",IF(N($T748)=0,IF(AND(ISNUMBER($H748),$H748&gt;=DATE(2024,1,1)),"FALTA EN FIRMADAS","OK"),IF(OR($A748="Pendiente de presentación",$A748="Observado",$A748="En análisis",$A748="En instrucción",$A748="Suspendida",$A748="IT circulando",$A748="Para resolución",$A748="TDC"),"ABIERTA PERO ESTÁ EN FIRMADAS",IF($H748&lt;&gt;INDEX(firmadas!$F:$F,$T748),"FIRMA DISTINTA EN firmadas ("&amp;IF(INDEX(firmadas!$F:$F,$T748)="","vacía",DAY(INDEX(firmadas!$F:$F,$T748))&amp;"/"&amp;MONTH(INDEX(firmadas!$F:$F,$T748))&amp;"/"&amp;YEAR(INDEX(firmadas!$F:$F,$T748)))&amp;")",IF($G748&lt;&gt;INDEX(firmadas!$E:$E,$T748),"INGRESO DISTINTO EN firmadas ("&amp;IF(INDEX(firmadas!$E:$E,$T748)="","vacía",DAY(INDEX(firmadas!$E:$E,$T748))&amp;"/"&amp;MONTH(INDEX(firmadas!$E:$E,$T748))&amp;"/"&amp;YEAR(INDEX(firmadas!$E:$E,$T748)))&amp;")","OK"))))))))</f>
        <v/>
      </c>
      <c r="T748" t="str">
        <f ca="1">IF($P748="","",IFERROR(MATCH($P748,firmadas!$N:$N,0),IFERROR(MATCH("*/"&amp;MID($P748,FIND(" ",$P748)+1,9)&amp;"*",firmadas!$B:$B,0),0)))</f>
        <v/>
      </c>
    </row>
    <row r="749" spans="14:20" ht="15" customHeight="1" x14ac:dyDescent="0.25">
      <c r="N749" s="53" t="str">
        <f t="shared" ca="1" si="11"/>
        <v/>
      </c>
      <c r="P749" t="str">
        <f ca="1">IF(TRIM(SUBSTITUTE(($C749&amp;" "&amp;$D749),CHAR(160)," "))="","",IFERROR(IF(ISNUMBER(SEARCH("INC",($C749&amp;" "&amp;$D749))),"INC",IF(ISNUMBER(SEARCH("OPI",($C749&amp;" "&amp;$D749))),"OPI",IF(ISNUMBER(SEARCH("DP",($C749&amp;" "&amp;$D749))),"DP","CONC")))&amp;" "&amp;TEXT(LOOKUP(9.99E+307,--MID(SUBSTITUTE(($C749&amp;" "&amp;$D749),CHAR(160)," "),SUMPRODUCT(MIN(FIND({0,1,2,3,4,5,6,7,8,9},SUBSTITUTE(($C749&amp;" "&amp;$D749),CHAR(160)," ")&amp;"0123456789"))),ROW(INDIRECT("1:6")))),"0"),"SIN NUMERO"))</f>
        <v/>
      </c>
      <c r="Q749" t="str">
        <f ca="1">IF($P749="","",IF(LEFT(UPPER($S749),9)="VERIFICAR","VERIFICAR",IF($A749="","SIN ESTADO",IF(AND($A749="Firmada",$H749=""),"FALTA FECHA DE FIRMA",IF(N($T749)=0,IF(AND(ISNUMBER($H749),$H749&gt;=DATE(2024,1,1)),"FALTA EN FIRMADAS","OK"),IF(OR($A749="Pendiente de presentación",$A749="Observado",$A749="En análisis",$A749="En instrucción",$A749="Suspendida",$A749="IT circulando",$A749="Para resolución",$A749="TDC"),"ABIERTA PERO ESTÁ EN FIRMADAS",IF($H749&lt;&gt;INDEX(firmadas!$F:$F,$T749),"FIRMA DISTINTA EN firmadas ("&amp;IF(INDEX(firmadas!$F:$F,$T749)="","vacía",DAY(INDEX(firmadas!$F:$F,$T749))&amp;"/"&amp;MONTH(INDEX(firmadas!$F:$F,$T749))&amp;"/"&amp;YEAR(INDEX(firmadas!$F:$F,$T749)))&amp;")",IF($G749&lt;&gt;INDEX(firmadas!$E:$E,$T749),"INGRESO DISTINTO EN firmadas ("&amp;IF(INDEX(firmadas!$E:$E,$T749)="","vacía",DAY(INDEX(firmadas!$E:$E,$T749))&amp;"/"&amp;MONTH(INDEX(firmadas!$E:$E,$T749))&amp;"/"&amp;YEAR(INDEX(firmadas!$E:$E,$T749)))&amp;")","OK"))))))))</f>
        <v/>
      </c>
      <c r="T749" t="str">
        <f ca="1">IF($P749="","",IFERROR(MATCH($P749,firmadas!$N:$N,0),IFERROR(MATCH("*/"&amp;MID($P749,FIND(" ",$P749)+1,9)&amp;"*",firmadas!$B:$B,0),0)))</f>
        <v/>
      </c>
    </row>
    <row r="750" spans="14:20" ht="15" customHeight="1" x14ac:dyDescent="0.25">
      <c r="N750" s="53" t="str">
        <f t="shared" ca="1" si="11"/>
        <v/>
      </c>
      <c r="P750" t="str">
        <f ca="1">IF(TRIM(SUBSTITUTE(($C750&amp;" "&amp;$D750),CHAR(160)," "))="","",IFERROR(IF(ISNUMBER(SEARCH("INC",($C750&amp;" "&amp;$D750))),"INC",IF(ISNUMBER(SEARCH("OPI",($C750&amp;" "&amp;$D750))),"OPI",IF(ISNUMBER(SEARCH("DP",($C750&amp;" "&amp;$D750))),"DP","CONC")))&amp;" "&amp;TEXT(LOOKUP(9.99E+307,--MID(SUBSTITUTE(($C750&amp;" "&amp;$D750),CHAR(160)," "),SUMPRODUCT(MIN(FIND({0,1,2,3,4,5,6,7,8,9},SUBSTITUTE(($C750&amp;" "&amp;$D750),CHAR(160)," ")&amp;"0123456789"))),ROW(INDIRECT("1:6")))),"0"),"SIN NUMERO"))</f>
        <v/>
      </c>
      <c r="Q750" t="str">
        <f ca="1">IF($P750="","",IF(LEFT(UPPER($S750),9)="VERIFICAR","VERIFICAR",IF($A750="","SIN ESTADO",IF(AND($A750="Firmada",$H750=""),"FALTA FECHA DE FIRMA",IF(N($T750)=0,IF(AND(ISNUMBER($H750),$H750&gt;=DATE(2024,1,1)),"FALTA EN FIRMADAS","OK"),IF(OR($A750="Pendiente de presentación",$A750="Observado",$A750="En análisis",$A750="En instrucción",$A750="Suspendida",$A750="IT circulando",$A750="Para resolución",$A750="TDC"),"ABIERTA PERO ESTÁ EN FIRMADAS",IF($H750&lt;&gt;INDEX(firmadas!$F:$F,$T750),"FIRMA DISTINTA EN firmadas ("&amp;IF(INDEX(firmadas!$F:$F,$T750)="","vacía",DAY(INDEX(firmadas!$F:$F,$T750))&amp;"/"&amp;MONTH(INDEX(firmadas!$F:$F,$T750))&amp;"/"&amp;YEAR(INDEX(firmadas!$F:$F,$T750)))&amp;")",IF($G750&lt;&gt;INDEX(firmadas!$E:$E,$T750),"INGRESO DISTINTO EN firmadas ("&amp;IF(INDEX(firmadas!$E:$E,$T750)="","vacía",DAY(INDEX(firmadas!$E:$E,$T750))&amp;"/"&amp;MONTH(INDEX(firmadas!$E:$E,$T750))&amp;"/"&amp;YEAR(INDEX(firmadas!$E:$E,$T750)))&amp;")","OK"))))))))</f>
        <v/>
      </c>
      <c r="T750" t="str">
        <f ca="1">IF($P750="","",IFERROR(MATCH($P750,firmadas!$N:$N,0),IFERROR(MATCH("*/"&amp;MID($P750,FIND(" ",$P750)+1,9)&amp;"*",firmadas!$B:$B,0),0)))</f>
        <v/>
      </c>
    </row>
    <row r="751" spans="14:20" ht="15" customHeight="1" x14ac:dyDescent="0.25">
      <c r="N751" s="53" t="str">
        <f t="shared" ca="1" si="11"/>
        <v/>
      </c>
      <c r="P751" t="str">
        <f ca="1">IF(TRIM(SUBSTITUTE(($C751&amp;" "&amp;$D751),CHAR(160)," "))="","",IFERROR(IF(ISNUMBER(SEARCH("INC",($C751&amp;" "&amp;$D751))),"INC",IF(ISNUMBER(SEARCH("OPI",($C751&amp;" "&amp;$D751))),"OPI",IF(ISNUMBER(SEARCH("DP",($C751&amp;" "&amp;$D751))),"DP","CONC")))&amp;" "&amp;TEXT(LOOKUP(9.99E+307,--MID(SUBSTITUTE(($C751&amp;" "&amp;$D751),CHAR(160)," "),SUMPRODUCT(MIN(FIND({0,1,2,3,4,5,6,7,8,9},SUBSTITUTE(($C751&amp;" "&amp;$D751),CHAR(160)," ")&amp;"0123456789"))),ROW(INDIRECT("1:6")))),"0"),"SIN NUMERO"))</f>
        <v/>
      </c>
      <c r="Q751" t="str">
        <f ca="1">IF($P751="","",IF(LEFT(UPPER($S751),9)="VERIFICAR","VERIFICAR",IF($A751="","SIN ESTADO",IF(AND($A751="Firmada",$H751=""),"FALTA FECHA DE FIRMA",IF(N($T751)=0,IF(AND(ISNUMBER($H751),$H751&gt;=DATE(2024,1,1)),"FALTA EN FIRMADAS","OK"),IF(OR($A751="Pendiente de presentación",$A751="Observado",$A751="En análisis",$A751="En instrucción",$A751="Suspendida",$A751="IT circulando",$A751="Para resolución",$A751="TDC"),"ABIERTA PERO ESTÁ EN FIRMADAS",IF($H751&lt;&gt;INDEX(firmadas!$F:$F,$T751),"FIRMA DISTINTA EN firmadas ("&amp;IF(INDEX(firmadas!$F:$F,$T751)="","vacía",DAY(INDEX(firmadas!$F:$F,$T751))&amp;"/"&amp;MONTH(INDEX(firmadas!$F:$F,$T751))&amp;"/"&amp;YEAR(INDEX(firmadas!$F:$F,$T751)))&amp;")",IF($G751&lt;&gt;INDEX(firmadas!$E:$E,$T751),"INGRESO DISTINTO EN firmadas ("&amp;IF(INDEX(firmadas!$E:$E,$T751)="","vacía",DAY(INDEX(firmadas!$E:$E,$T751))&amp;"/"&amp;MONTH(INDEX(firmadas!$E:$E,$T751))&amp;"/"&amp;YEAR(INDEX(firmadas!$E:$E,$T751)))&amp;")","OK"))))))))</f>
        <v/>
      </c>
      <c r="T751" t="str">
        <f ca="1">IF($P751="","",IFERROR(MATCH($P751,firmadas!$N:$N,0),IFERROR(MATCH("*/"&amp;MID($P751,FIND(" ",$P751)+1,9)&amp;"*",firmadas!$B:$B,0),0)))</f>
        <v/>
      </c>
    </row>
    <row r="752" spans="14:20" ht="15" customHeight="1" x14ac:dyDescent="0.25">
      <c r="N752" s="53" t="str">
        <f t="shared" ca="1" si="11"/>
        <v/>
      </c>
      <c r="P752" t="str">
        <f ca="1">IF(TRIM(SUBSTITUTE(($C752&amp;" "&amp;$D752),CHAR(160)," "))="","",IFERROR(IF(ISNUMBER(SEARCH("INC",($C752&amp;" "&amp;$D752))),"INC",IF(ISNUMBER(SEARCH("OPI",($C752&amp;" "&amp;$D752))),"OPI",IF(ISNUMBER(SEARCH("DP",($C752&amp;" "&amp;$D752))),"DP","CONC")))&amp;" "&amp;TEXT(LOOKUP(9.99E+307,--MID(SUBSTITUTE(($C752&amp;" "&amp;$D752),CHAR(160)," "),SUMPRODUCT(MIN(FIND({0,1,2,3,4,5,6,7,8,9},SUBSTITUTE(($C752&amp;" "&amp;$D752),CHAR(160)," ")&amp;"0123456789"))),ROW(INDIRECT("1:6")))),"0"),"SIN NUMERO"))</f>
        <v/>
      </c>
      <c r="Q752" t="str">
        <f ca="1">IF($P752="","",IF(LEFT(UPPER($S752),9)="VERIFICAR","VERIFICAR",IF($A752="","SIN ESTADO",IF(AND($A752="Firmada",$H752=""),"FALTA FECHA DE FIRMA",IF(N($T752)=0,IF(AND(ISNUMBER($H752),$H752&gt;=DATE(2024,1,1)),"FALTA EN FIRMADAS","OK"),IF(OR($A752="Pendiente de presentación",$A752="Observado",$A752="En análisis",$A752="En instrucción",$A752="Suspendida",$A752="IT circulando",$A752="Para resolución",$A752="TDC"),"ABIERTA PERO ESTÁ EN FIRMADAS",IF($H752&lt;&gt;INDEX(firmadas!$F:$F,$T752),"FIRMA DISTINTA EN firmadas ("&amp;IF(INDEX(firmadas!$F:$F,$T752)="","vacía",DAY(INDEX(firmadas!$F:$F,$T752))&amp;"/"&amp;MONTH(INDEX(firmadas!$F:$F,$T752))&amp;"/"&amp;YEAR(INDEX(firmadas!$F:$F,$T752)))&amp;")",IF($G752&lt;&gt;INDEX(firmadas!$E:$E,$T752),"INGRESO DISTINTO EN firmadas ("&amp;IF(INDEX(firmadas!$E:$E,$T752)="","vacía",DAY(INDEX(firmadas!$E:$E,$T752))&amp;"/"&amp;MONTH(INDEX(firmadas!$E:$E,$T752))&amp;"/"&amp;YEAR(INDEX(firmadas!$E:$E,$T752)))&amp;")","OK"))))))))</f>
        <v/>
      </c>
      <c r="T752" t="str">
        <f ca="1">IF($P752="","",IFERROR(MATCH($P752,firmadas!$N:$N,0),IFERROR(MATCH("*/"&amp;MID($P752,FIND(" ",$P752)+1,9)&amp;"*",firmadas!$B:$B,0),0)))</f>
        <v/>
      </c>
    </row>
    <row r="753" spans="14:20" ht="15" customHeight="1" x14ac:dyDescent="0.25">
      <c r="N753" s="53" t="str">
        <f t="shared" ca="1" si="11"/>
        <v/>
      </c>
      <c r="P753" t="str">
        <f ca="1">IF(TRIM(SUBSTITUTE(($C753&amp;" "&amp;$D753),CHAR(160)," "))="","",IFERROR(IF(ISNUMBER(SEARCH("INC",($C753&amp;" "&amp;$D753))),"INC",IF(ISNUMBER(SEARCH("OPI",($C753&amp;" "&amp;$D753))),"OPI",IF(ISNUMBER(SEARCH("DP",($C753&amp;" "&amp;$D753))),"DP","CONC")))&amp;" "&amp;TEXT(LOOKUP(9.99E+307,--MID(SUBSTITUTE(($C753&amp;" "&amp;$D753),CHAR(160)," "),SUMPRODUCT(MIN(FIND({0,1,2,3,4,5,6,7,8,9},SUBSTITUTE(($C753&amp;" "&amp;$D753),CHAR(160)," ")&amp;"0123456789"))),ROW(INDIRECT("1:6")))),"0"),"SIN NUMERO"))</f>
        <v/>
      </c>
      <c r="Q753" t="str">
        <f ca="1">IF($P753="","",IF(LEFT(UPPER($S753),9)="VERIFICAR","VERIFICAR",IF($A753="","SIN ESTADO",IF(AND($A753="Firmada",$H753=""),"FALTA FECHA DE FIRMA",IF(N($T753)=0,IF(AND(ISNUMBER($H753),$H753&gt;=DATE(2024,1,1)),"FALTA EN FIRMADAS","OK"),IF(OR($A753="Pendiente de presentación",$A753="Observado",$A753="En análisis",$A753="En instrucción",$A753="Suspendida",$A753="IT circulando",$A753="Para resolución",$A753="TDC"),"ABIERTA PERO ESTÁ EN FIRMADAS",IF($H753&lt;&gt;INDEX(firmadas!$F:$F,$T753),"FIRMA DISTINTA EN firmadas ("&amp;IF(INDEX(firmadas!$F:$F,$T753)="","vacía",DAY(INDEX(firmadas!$F:$F,$T753))&amp;"/"&amp;MONTH(INDEX(firmadas!$F:$F,$T753))&amp;"/"&amp;YEAR(INDEX(firmadas!$F:$F,$T753)))&amp;")",IF($G753&lt;&gt;INDEX(firmadas!$E:$E,$T753),"INGRESO DISTINTO EN firmadas ("&amp;IF(INDEX(firmadas!$E:$E,$T753)="","vacía",DAY(INDEX(firmadas!$E:$E,$T753))&amp;"/"&amp;MONTH(INDEX(firmadas!$E:$E,$T753))&amp;"/"&amp;YEAR(INDEX(firmadas!$E:$E,$T753)))&amp;")","OK"))))))))</f>
        <v/>
      </c>
      <c r="T753" t="str">
        <f ca="1">IF($P753="","",IFERROR(MATCH($P753,firmadas!$N:$N,0),IFERROR(MATCH("*/"&amp;MID($P753,FIND(" ",$P753)+1,9)&amp;"*",firmadas!$B:$B,0),0)))</f>
        <v/>
      </c>
    </row>
    <row r="754" spans="14:20" ht="15" customHeight="1" x14ac:dyDescent="0.25">
      <c r="N754" s="53" t="str">
        <f t="shared" ca="1" si="11"/>
        <v/>
      </c>
      <c r="P754" t="str">
        <f ca="1">IF(TRIM(SUBSTITUTE(($C754&amp;" "&amp;$D754),CHAR(160)," "))="","",IFERROR(IF(ISNUMBER(SEARCH("INC",($C754&amp;" "&amp;$D754))),"INC",IF(ISNUMBER(SEARCH("OPI",($C754&amp;" "&amp;$D754))),"OPI",IF(ISNUMBER(SEARCH("DP",($C754&amp;" "&amp;$D754))),"DP","CONC")))&amp;" "&amp;TEXT(LOOKUP(9.99E+307,--MID(SUBSTITUTE(($C754&amp;" "&amp;$D754),CHAR(160)," "),SUMPRODUCT(MIN(FIND({0,1,2,3,4,5,6,7,8,9},SUBSTITUTE(($C754&amp;" "&amp;$D754),CHAR(160)," ")&amp;"0123456789"))),ROW(INDIRECT("1:6")))),"0"),"SIN NUMERO"))</f>
        <v/>
      </c>
      <c r="Q754" t="str">
        <f ca="1">IF($P754="","",IF(LEFT(UPPER($S754),9)="VERIFICAR","VERIFICAR",IF($A754="","SIN ESTADO",IF(AND($A754="Firmada",$H754=""),"FALTA FECHA DE FIRMA",IF(N($T754)=0,IF(AND(ISNUMBER($H754),$H754&gt;=DATE(2024,1,1)),"FALTA EN FIRMADAS","OK"),IF(OR($A754="Pendiente de presentación",$A754="Observado",$A754="En análisis",$A754="En instrucción",$A754="Suspendida",$A754="IT circulando",$A754="Para resolución",$A754="TDC"),"ABIERTA PERO ESTÁ EN FIRMADAS",IF($H754&lt;&gt;INDEX(firmadas!$F:$F,$T754),"FIRMA DISTINTA EN firmadas ("&amp;IF(INDEX(firmadas!$F:$F,$T754)="","vacía",DAY(INDEX(firmadas!$F:$F,$T754))&amp;"/"&amp;MONTH(INDEX(firmadas!$F:$F,$T754))&amp;"/"&amp;YEAR(INDEX(firmadas!$F:$F,$T754)))&amp;")",IF($G754&lt;&gt;INDEX(firmadas!$E:$E,$T754),"INGRESO DISTINTO EN firmadas ("&amp;IF(INDEX(firmadas!$E:$E,$T754)="","vacía",DAY(INDEX(firmadas!$E:$E,$T754))&amp;"/"&amp;MONTH(INDEX(firmadas!$E:$E,$T754))&amp;"/"&amp;YEAR(INDEX(firmadas!$E:$E,$T754)))&amp;")","OK"))))))))</f>
        <v/>
      </c>
      <c r="T754" t="str">
        <f ca="1">IF($P754="","",IFERROR(MATCH($P754,firmadas!$N:$N,0),IFERROR(MATCH("*/"&amp;MID($P754,FIND(" ",$P754)+1,9)&amp;"*",firmadas!$B:$B,0),0)))</f>
        <v/>
      </c>
    </row>
    <row r="755" spans="14:20" ht="15" customHeight="1" x14ac:dyDescent="0.25">
      <c r="N755" s="53" t="str">
        <f t="shared" ca="1" si="11"/>
        <v/>
      </c>
      <c r="P755" t="str">
        <f ca="1">IF(TRIM(SUBSTITUTE(($C755&amp;" "&amp;$D755),CHAR(160)," "))="","",IFERROR(IF(ISNUMBER(SEARCH("INC",($C755&amp;" "&amp;$D755))),"INC",IF(ISNUMBER(SEARCH("OPI",($C755&amp;" "&amp;$D755))),"OPI",IF(ISNUMBER(SEARCH("DP",($C755&amp;" "&amp;$D755))),"DP","CONC")))&amp;" "&amp;TEXT(LOOKUP(9.99E+307,--MID(SUBSTITUTE(($C755&amp;" "&amp;$D755),CHAR(160)," "),SUMPRODUCT(MIN(FIND({0,1,2,3,4,5,6,7,8,9},SUBSTITUTE(($C755&amp;" "&amp;$D755),CHAR(160)," ")&amp;"0123456789"))),ROW(INDIRECT("1:6")))),"0"),"SIN NUMERO"))</f>
        <v/>
      </c>
      <c r="Q755" t="str">
        <f ca="1">IF($P755="","",IF(LEFT(UPPER($S755),9)="VERIFICAR","VERIFICAR",IF($A755="","SIN ESTADO",IF(AND($A755="Firmada",$H755=""),"FALTA FECHA DE FIRMA",IF(N($T755)=0,IF(AND(ISNUMBER($H755),$H755&gt;=DATE(2024,1,1)),"FALTA EN FIRMADAS","OK"),IF(OR($A755="Pendiente de presentación",$A755="Observado",$A755="En análisis",$A755="En instrucción",$A755="Suspendida",$A755="IT circulando",$A755="Para resolución",$A755="TDC"),"ABIERTA PERO ESTÁ EN FIRMADAS",IF($H755&lt;&gt;INDEX(firmadas!$F:$F,$T755),"FIRMA DISTINTA EN firmadas ("&amp;IF(INDEX(firmadas!$F:$F,$T755)="","vacía",DAY(INDEX(firmadas!$F:$F,$T755))&amp;"/"&amp;MONTH(INDEX(firmadas!$F:$F,$T755))&amp;"/"&amp;YEAR(INDEX(firmadas!$F:$F,$T755)))&amp;")",IF($G755&lt;&gt;INDEX(firmadas!$E:$E,$T755),"INGRESO DISTINTO EN firmadas ("&amp;IF(INDEX(firmadas!$E:$E,$T755)="","vacía",DAY(INDEX(firmadas!$E:$E,$T755))&amp;"/"&amp;MONTH(INDEX(firmadas!$E:$E,$T755))&amp;"/"&amp;YEAR(INDEX(firmadas!$E:$E,$T755)))&amp;")","OK"))))))))</f>
        <v/>
      </c>
      <c r="T755" t="str">
        <f ca="1">IF($P755="","",IFERROR(MATCH($P755,firmadas!$N:$N,0),IFERROR(MATCH("*/"&amp;MID($P755,FIND(" ",$P755)+1,9)&amp;"*",firmadas!$B:$B,0),0)))</f>
        <v/>
      </c>
    </row>
    <row r="756" spans="14:20" ht="15" customHeight="1" x14ac:dyDescent="0.25">
      <c r="N756" s="53" t="str">
        <f t="shared" ca="1" si="11"/>
        <v/>
      </c>
      <c r="P756" t="str">
        <f ca="1">IF(TRIM(SUBSTITUTE(($C756&amp;" "&amp;$D756),CHAR(160)," "))="","",IFERROR(IF(ISNUMBER(SEARCH("INC",($C756&amp;" "&amp;$D756))),"INC",IF(ISNUMBER(SEARCH("OPI",($C756&amp;" "&amp;$D756))),"OPI",IF(ISNUMBER(SEARCH("DP",($C756&amp;" "&amp;$D756))),"DP","CONC")))&amp;" "&amp;TEXT(LOOKUP(9.99E+307,--MID(SUBSTITUTE(($C756&amp;" "&amp;$D756),CHAR(160)," "),SUMPRODUCT(MIN(FIND({0,1,2,3,4,5,6,7,8,9},SUBSTITUTE(($C756&amp;" "&amp;$D756),CHAR(160)," ")&amp;"0123456789"))),ROW(INDIRECT("1:6")))),"0"),"SIN NUMERO"))</f>
        <v/>
      </c>
      <c r="Q756" t="str">
        <f ca="1">IF($P756="","",IF(LEFT(UPPER($S756),9)="VERIFICAR","VERIFICAR",IF($A756="","SIN ESTADO",IF(AND($A756="Firmada",$H756=""),"FALTA FECHA DE FIRMA",IF(N($T756)=0,IF(AND(ISNUMBER($H756),$H756&gt;=DATE(2024,1,1)),"FALTA EN FIRMADAS","OK"),IF(OR($A756="Pendiente de presentación",$A756="Observado",$A756="En análisis",$A756="En instrucción",$A756="Suspendida",$A756="IT circulando",$A756="Para resolución",$A756="TDC"),"ABIERTA PERO ESTÁ EN FIRMADAS",IF($H756&lt;&gt;INDEX(firmadas!$F:$F,$T756),"FIRMA DISTINTA EN firmadas ("&amp;IF(INDEX(firmadas!$F:$F,$T756)="","vacía",DAY(INDEX(firmadas!$F:$F,$T756))&amp;"/"&amp;MONTH(INDEX(firmadas!$F:$F,$T756))&amp;"/"&amp;YEAR(INDEX(firmadas!$F:$F,$T756)))&amp;")",IF($G756&lt;&gt;INDEX(firmadas!$E:$E,$T756),"INGRESO DISTINTO EN firmadas ("&amp;IF(INDEX(firmadas!$E:$E,$T756)="","vacía",DAY(INDEX(firmadas!$E:$E,$T756))&amp;"/"&amp;MONTH(INDEX(firmadas!$E:$E,$T756))&amp;"/"&amp;YEAR(INDEX(firmadas!$E:$E,$T756)))&amp;")","OK"))))))))</f>
        <v/>
      </c>
      <c r="T756" t="str">
        <f ca="1">IF($P756="","",IFERROR(MATCH($P756,firmadas!$N:$N,0),IFERROR(MATCH("*/"&amp;MID($P756,FIND(" ",$P756)+1,9)&amp;"*",firmadas!$B:$B,0),0)))</f>
        <v/>
      </c>
    </row>
    <row r="757" spans="14:20" ht="15" customHeight="1" x14ac:dyDescent="0.25">
      <c r="N757" s="53" t="str">
        <f t="shared" ca="1" si="11"/>
        <v/>
      </c>
      <c r="P757" t="str">
        <f ca="1">IF(TRIM(SUBSTITUTE(($C757&amp;" "&amp;$D757),CHAR(160)," "))="","",IFERROR(IF(ISNUMBER(SEARCH("INC",($C757&amp;" "&amp;$D757))),"INC",IF(ISNUMBER(SEARCH("OPI",($C757&amp;" "&amp;$D757))),"OPI",IF(ISNUMBER(SEARCH("DP",($C757&amp;" "&amp;$D757))),"DP","CONC")))&amp;" "&amp;TEXT(LOOKUP(9.99E+307,--MID(SUBSTITUTE(($C757&amp;" "&amp;$D757),CHAR(160)," "),SUMPRODUCT(MIN(FIND({0,1,2,3,4,5,6,7,8,9},SUBSTITUTE(($C757&amp;" "&amp;$D757),CHAR(160)," ")&amp;"0123456789"))),ROW(INDIRECT("1:6")))),"0"),"SIN NUMERO"))</f>
        <v/>
      </c>
      <c r="Q757" t="str">
        <f ca="1">IF($P757="","",IF(LEFT(UPPER($S757),9)="VERIFICAR","VERIFICAR",IF($A757="","SIN ESTADO",IF(AND($A757="Firmada",$H757=""),"FALTA FECHA DE FIRMA",IF(N($T757)=0,IF(AND(ISNUMBER($H757),$H757&gt;=DATE(2024,1,1)),"FALTA EN FIRMADAS","OK"),IF(OR($A757="Pendiente de presentación",$A757="Observado",$A757="En análisis",$A757="En instrucción",$A757="Suspendida",$A757="IT circulando",$A757="Para resolución",$A757="TDC"),"ABIERTA PERO ESTÁ EN FIRMADAS",IF($H757&lt;&gt;INDEX(firmadas!$F:$F,$T757),"FIRMA DISTINTA EN firmadas ("&amp;IF(INDEX(firmadas!$F:$F,$T757)="","vacía",DAY(INDEX(firmadas!$F:$F,$T757))&amp;"/"&amp;MONTH(INDEX(firmadas!$F:$F,$T757))&amp;"/"&amp;YEAR(INDEX(firmadas!$F:$F,$T757)))&amp;")",IF($G757&lt;&gt;INDEX(firmadas!$E:$E,$T757),"INGRESO DISTINTO EN firmadas ("&amp;IF(INDEX(firmadas!$E:$E,$T757)="","vacía",DAY(INDEX(firmadas!$E:$E,$T757))&amp;"/"&amp;MONTH(INDEX(firmadas!$E:$E,$T757))&amp;"/"&amp;YEAR(INDEX(firmadas!$E:$E,$T757)))&amp;")","OK"))))))))</f>
        <v/>
      </c>
      <c r="T757" t="str">
        <f ca="1">IF($P757="","",IFERROR(MATCH($P757,firmadas!$N:$N,0),IFERROR(MATCH("*/"&amp;MID($P757,FIND(" ",$P757)+1,9)&amp;"*",firmadas!$B:$B,0),0)))</f>
        <v/>
      </c>
    </row>
    <row r="758" spans="14:20" ht="15" customHeight="1" x14ac:dyDescent="0.25">
      <c r="N758" s="53" t="str">
        <f t="shared" ca="1" si="11"/>
        <v/>
      </c>
      <c r="P758" t="str">
        <f ca="1">IF(TRIM(SUBSTITUTE(($C758&amp;" "&amp;$D758),CHAR(160)," "))="","",IFERROR(IF(ISNUMBER(SEARCH("INC",($C758&amp;" "&amp;$D758))),"INC",IF(ISNUMBER(SEARCH("OPI",($C758&amp;" "&amp;$D758))),"OPI",IF(ISNUMBER(SEARCH("DP",($C758&amp;" "&amp;$D758))),"DP","CONC")))&amp;" "&amp;TEXT(LOOKUP(9.99E+307,--MID(SUBSTITUTE(($C758&amp;" "&amp;$D758),CHAR(160)," "),SUMPRODUCT(MIN(FIND({0,1,2,3,4,5,6,7,8,9},SUBSTITUTE(($C758&amp;" "&amp;$D758),CHAR(160)," ")&amp;"0123456789"))),ROW(INDIRECT("1:6")))),"0"),"SIN NUMERO"))</f>
        <v/>
      </c>
      <c r="Q758" t="str">
        <f ca="1">IF($P758="","",IF(LEFT(UPPER($S758),9)="VERIFICAR","VERIFICAR",IF($A758="","SIN ESTADO",IF(AND($A758="Firmada",$H758=""),"FALTA FECHA DE FIRMA",IF(N($T758)=0,IF(AND(ISNUMBER($H758),$H758&gt;=DATE(2024,1,1)),"FALTA EN FIRMADAS","OK"),IF(OR($A758="Pendiente de presentación",$A758="Observado",$A758="En análisis",$A758="En instrucción",$A758="Suspendida",$A758="IT circulando",$A758="Para resolución",$A758="TDC"),"ABIERTA PERO ESTÁ EN FIRMADAS",IF($H758&lt;&gt;INDEX(firmadas!$F:$F,$T758),"FIRMA DISTINTA EN firmadas ("&amp;IF(INDEX(firmadas!$F:$F,$T758)="","vacía",DAY(INDEX(firmadas!$F:$F,$T758))&amp;"/"&amp;MONTH(INDEX(firmadas!$F:$F,$T758))&amp;"/"&amp;YEAR(INDEX(firmadas!$F:$F,$T758)))&amp;")",IF($G758&lt;&gt;INDEX(firmadas!$E:$E,$T758),"INGRESO DISTINTO EN firmadas ("&amp;IF(INDEX(firmadas!$E:$E,$T758)="","vacía",DAY(INDEX(firmadas!$E:$E,$T758))&amp;"/"&amp;MONTH(INDEX(firmadas!$E:$E,$T758))&amp;"/"&amp;YEAR(INDEX(firmadas!$E:$E,$T758)))&amp;")","OK"))))))))</f>
        <v/>
      </c>
      <c r="T758" t="str">
        <f ca="1">IF($P758="","",IFERROR(MATCH($P758,firmadas!$N:$N,0),IFERROR(MATCH("*/"&amp;MID($P758,FIND(" ",$P758)+1,9)&amp;"*",firmadas!$B:$B,0),0)))</f>
        <v/>
      </c>
    </row>
    <row r="759" spans="14:20" ht="15" customHeight="1" x14ac:dyDescent="0.25">
      <c r="N759" s="53" t="str">
        <f t="shared" ca="1" si="11"/>
        <v/>
      </c>
      <c r="P759" t="str">
        <f ca="1">IF(TRIM(SUBSTITUTE(($C759&amp;" "&amp;$D759),CHAR(160)," "))="","",IFERROR(IF(ISNUMBER(SEARCH("INC",($C759&amp;" "&amp;$D759))),"INC",IF(ISNUMBER(SEARCH("OPI",($C759&amp;" "&amp;$D759))),"OPI",IF(ISNUMBER(SEARCH("DP",($C759&amp;" "&amp;$D759))),"DP","CONC")))&amp;" "&amp;TEXT(LOOKUP(9.99E+307,--MID(SUBSTITUTE(($C759&amp;" "&amp;$D759),CHAR(160)," "),SUMPRODUCT(MIN(FIND({0,1,2,3,4,5,6,7,8,9},SUBSTITUTE(($C759&amp;" "&amp;$D759),CHAR(160)," ")&amp;"0123456789"))),ROW(INDIRECT("1:6")))),"0"),"SIN NUMERO"))</f>
        <v/>
      </c>
      <c r="Q759" t="str">
        <f ca="1">IF($P759="","",IF(LEFT(UPPER($S759),9)="VERIFICAR","VERIFICAR",IF($A759="","SIN ESTADO",IF(AND($A759="Firmada",$H759=""),"FALTA FECHA DE FIRMA",IF(N($T759)=0,IF(AND(ISNUMBER($H759),$H759&gt;=DATE(2024,1,1)),"FALTA EN FIRMADAS","OK"),IF(OR($A759="Pendiente de presentación",$A759="Observado",$A759="En análisis",$A759="En instrucción",$A759="Suspendida",$A759="IT circulando",$A759="Para resolución",$A759="TDC"),"ABIERTA PERO ESTÁ EN FIRMADAS",IF($H759&lt;&gt;INDEX(firmadas!$F:$F,$T759),"FIRMA DISTINTA EN firmadas ("&amp;IF(INDEX(firmadas!$F:$F,$T759)="","vacía",DAY(INDEX(firmadas!$F:$F,$T759))&amp;"/"&amp;MONTH(INDEX(firmadas!$F:$F,$T759))&amp;"/"&amp;YEAR(INDEX(firmadas!$F:$F,$T759)))&amp;")",IF($G759&lt;&gt;INDEX(firmadas!$E:$E,$T759),"INGRESO DISTINTO EN firmadas ("&amp;IF(INDEX(firmadas!$E:$E,$T759)="","vacía",DAY(INDEX(firmadas!$E:$E,$T759))&amp;"/"&amp;MONTH(INDEX(firmadas!$E:$E,$T759))&amp;"/"&amp;YEAR(INDEX(firmadas!$E:$E,$T759)))&amp;")","OK"))))))))</f>
        <v/>
      </c>
      <c r="T759" t="str">
        <f ca="1">IF($P759="","",IFERROR(MATCH($P759,firmadas!$N:$N,0),IFERROR(MATCH("*/"&amp;MID($P759,FIND(" ",$P759)+1,9)&amp;"*",firmadas!$B:$B,0),0)))</f>
        <v/>
      </c>
    </row>
    <row r="760" spans="14:20" ht="15" customHeight="1" x14ac:dyDescent="0.25">
      <c r="N760" s="53" t="str">
        <f t="shared" ca="1" si="11"/>
        <v/>
      </c>
      <c r="P760" t="str">
        <f ca="1">IF(TRIM(SUBSTITUTE(($C760&amp;" "&amp;$D760),CHAR(160)," "))="","",IFERROR(IF(ISNUMBER(SEARCH("INC",($C760&amp;" "&amp;$D760))),"INC",IF(ISNUMBER(SEARCH("OPI",($C760&amp;" "&amp;$D760))),"OPI",IF(ISNUMBER(SEARCH("DP",($C760&amp;" "&amp;$D760))),"DP","CONC")))&amp;" "&amp;TEXT(LOOKUP(9.99E+307,--MID(SUBSTITUTE(($C760&amp;" "&amp;$D760),CHAR(160)," "),SUMPRODUCT(MIN(FIND({0,1,2,3,4,5,6,7,8,9},SUBSTITUTE(($C760&amp;" "&amp;$D760),CHAR(160)," ")&amp;"0123456789"))),ROW(INDIRECT("1:6")))),"0"),"SIN NUMERO"))</f>
        <v/>
      </c>
      <c r="Q760" t="str">
        <f ca="1">IF($P760="","",IF(LEFT(UPPER($S760),9)="VERIFICAR","VERIFICAR",IF($A760="","SIN ESTADO",IF(AND($A760="Firmada",$H760=""),"FALTA FECHA DE FIRMA",IF(N($T760)=0,IF(AND(ISNUMBER($H760),$H760&gt;=DATE(2024,1,1)),"FALTA EN FIRMADAS","OK"),IF(OR($A760="Pendiente de presentación",$A760="Observado",$A760="En análisis",$A760="En instrucción",$A760="Suspendida",$A760="IT circulando",$A760="Para resolución",$A760="TDC"),"ABIERTA PERO ESTÁ EN FIRMADAS",IF($H760&lt;&gt;INDEX(firmadas!$F:$F,$T760),"FIRMA DISTINTA EN firmadas ("&amp;IF(INDEX(firmadas!$F:$F,$T760)="","vacía",DAY(INDEX(firmadas!$F:$F,$T760))&amp;"/"&amp;MONTH(INDEX(firmadas!$F:$F,$T760))&amp;"/"&amp;YEAR(INDEX(firmadas!$F:$F,$T760)))&amp;")",IF($G760&lt;&gt;INDEX(firmadas!$E:$E,$T760),"INGRESO DISTINTO EN firmadas ("&amp;IF(INDEX(firmadas!$E:$E,$T760)="","vacía",DAY(INDEX(firmadas!$E:$E,$T760))&amp;"/"&amp;MONTH(INDEX(firmadas!$E:$E,$T760))&amp;"/"&amp;YEAR(INDEX(firmadas!$E:$E,$T760)))&amp;")","OK"))))))))</f>
        <v/>
      </c>
      <c r="T760" t="str">
        <f ca="1">IF($P760="","",IFERROR(MATCH($P760,firmadas!$N:$N,0),IFERROR(MATCH("*/"&amp;MID($P760,FIND(" ",$P760)+1,9)&amp;"*",firmadas!$B:$B,0),0)))</f>
        <v/>
      </c>
    </row>
    <row r="761" spans="14:20" ht="15" customHeight="1" x14ac:dyDescent="0.25">
      <c r="N761" s="53" t="str">
        <f t="shared" ca="1" si="11"/>
        <v/>
      </c>
      <c r="P761" t="str">
        <f ca="1">IF(TRIM(SUBSTITUTE(($C761&amp;" "&amp;$D761),CHAR(160)," "))="","",IFERROR(IF(ISNUMBER(SEARCH("INC",($C761&amp;" "&amp;$D761))),"INC",IF(ISNUMBER(SEARCH("OPI",($C761&amp;" "&amp;$D761))),"OPI",IF(ISNUMBER(SEARCH("DP",($C761&amp;" "&amp;$D761))),"DP","CONC")))&amp;" "&amp;TEXT(LOOKUP(9.99E+307,--MID(SUBSTITUTE(($C761&amp;" "&amp;$D761),CHAR(160)," "),SUMPRODUCT(MIN(FIND({0,1,2,3,4,5,6,7,8,9},SUBSTITUTE(($C761&amp;" "&amp;$D761),CHAR(160)," ")&amp;"0123456789"))),ROW(INDIRECT("1:6")))),"0"),"SIN NUMERO"))</f>
        <v/>
      </c>
      <c r="Q761" t="str">
        <f ca="1">IF($P761="","",IF(LEFT(UPPER($S761),9)="VERIFICAR","VERIFICAR",IF($A761="","SIN ESTADO",IF(AND($A761="Firmada",$H761=""),"FALTA FECHA DE FIRMA",IF(N($T761)=0,IF(AND(ISNUMBER($H761),$H761&gt;=DATE(2024,1,1)),"FALTA EN FIRMADAS","OK"),IF(OR($A761="Pendiente de presentación",$A761="Observado",$A761="En análisis",$A761="En instrucción",$A761="Suspendida",$A761="IT circulando",$A761="Para resolución",$A761="TDC"),"ABIERTA PERO ESTÁ EN FIRMADAS",IF($H761&lt;&gt;INDEX(firmadas!$F:$F,$T761),"FIRMA DISTINTA EN firmadas ("&amp;IF(INDEX(firmadas!$F:$F,$T761)="","vacía",DAY(INDEX(firmadas!$F:$F,$T761))&amp;"/"&amp;MONTH(INDEX(firmadas!$F:$F,$T761))&amp;"/"&amp;YEAR(INDEX(firmadas!$F:$F,$T761)))&amp;")",IF($G761&lt;&gt;INDEX(firmadas!$E:$E,$T761),"INGRESO DISTINTO EN firmadas ("&amp;IF(INDEX(firmadas!$E:$E,$T761)="","vacía",DAY(INDEX(firmadas!$E:$E,$T761))&amp;"/"&amp;MONTH(INDEX(firmadas!$E:$E,$T761))&amp;"/"&amp;YEAR(INDEX(firmadas!$E:$E,$T761)))&amp;")","OK"))))))))</f>
        <v/>
      </c>
      <c r="T761" t="str">
        <f ca="1">IF($P761="","",IFERROR(MATCH($P761,firmadas!$N:$N,0),IFERROR(MATCH("*/"&amp;MID($P761,FIND(" ",$P761)+1,9)&amp;"*",firmadas!$B:$B,0),0)))</f>
        <v/>
      </c>
    </row>
    <row r="762" spans="14:20" ht="15" customHeight="1" x14ac:dyDescent="0.25">
      <c r="N762" s="53" t="str">
        <f t="shared" ca="1" si="11"/>
        <v/>
      </c>
      <c r="P762" t="str">
        <f ca="1">IF(TRIM(SUBSTITUTE(($C762&amp;" "&amp;$D762),CHAR(160)," "))="","",IFERROR(IF(ISNUMBER(SEARCH("INC",($C762&amp;" "&amp;$D762))),"INC",IF(ISNUMBER(SEARCH("OPI",($C762&amp;" "&amp;$D762))),"OPI",IF(ISNUMBER(SEARCH("DP",($C762&amp;" "&amp;$D762))),"DP","CONC")))&amp;" "&amp;TEXT(LOOKUP(9.99E+307,--MID(SUBSTITUTE(($C762&amp;" "&amp;$D762),CHAR(160)," "),SUMPRODUCT(MIN(FIND({0,1,2,3,4,5,6,7,8,9},SUBSTITUTE(($C762&amp;" "&amp;$D762),CHAR(160)," ")&amp;"0123456789"))),ROW(INDIRECT("1:6")))),"0"),"SIN NUMERO"))</f>
        <v/>
      </c>
      <c r="Q762" t="str">
        <f ca="1">IF($P762="","",IF(LEFT(UPPER($S762),9)="VERIFICAR","VERIFICAR",IF($A762="","SIN ESTADO",IF(AND($A762="Firmada",$H762=""),"FALTA FECHA DE FIRMA",IF(N($T762)=0,IF(AND(ISNUMBER($H762),$H762&gt;=DATE(2024,1,1)),"FALTA EN FIRMADAS","OK"),IF(OR($A762="Pendiente de presentación",$A762="Observado",$A762="En análisis",$A762="En instrucción",$A762="Suspendida",$A762="IT circulando",$A762="Para resolución",$A762="TDC"),"ABIERTA PERO ESTÁ EN FIRMADAS",IF($H762&lt;&gt;INDEX(firmadas!$F:$F,$T762),"FIRMA DISTINTA EN firmadas ("&amp;IF(INDEX(firmadas!$F:$F,$T762)="","vacía",DAY(INDEX(firmadas!$F:$F,$T762))&amp;"/"&amp;MONTH(INDEX(firmadas!$F:$F,$T762))&amp;"/"&amp;YEAR(INDEX(firmadas!$F:$F,$T762)))&amp;")",IF($G762&lt;&gt;INDEX(firmadas!$E:$E,$T762),"INGRESO DISTINTO EN firmadas ("&amp;IF(INDEX(firmadas!$E:$E,$T762)="","vacía",DAY(INDEX(firmadas!$E:$E,$T762))&amp;"/"&amp;MONTH(INDEX(firmadas!$E:$E,$T762))&amp;"/"&amp;YEAR(INDEX(firmadas!$E:$E,$T762)))&amp;")","OK"))))))))</f>
        <v/>
      </c>
      <c r="T762" t="str">
        <f ca="1">IF($P762="","",IFERROR(MATCH($P762,firmadas!$N:$N,0),IFERROR(MATCH("*/"&amp;MID($P762,FIND(" ",$P762)+1,9)&amp;"*",firmadas!$B:$B,0),0)))</f>
        <v/>
      </c>
    </row>
    <row r="763" spans="14:20" ht="15" customHeight="1" x14ac:dyDescent="0.25">
      <c r="N763" s="53" t="str">
        <f t="shared" ca="1" si="11"/>
        <v/>
      </c>
      <c r="P763" t="str">
        <f ca="1">IF(TRIM(SUBSTITUTE(($C763&amp;" "&amp;$D763),CHAR(160)," "))="","",IFERROR(IF(ISNUMBER(SEARCH("INC",($C763&amp;" "&amp;$D763))),"INC",IF(ISNUMBER(SEARCH("OPI",($C763&amp;" "&amp;$D763))),"OPI",IF(ISNUMBER(SEARCH("DP",($C763&amp;" "&amp;$D763))),"DP","CONC")))&amp;" "&amp;TEXT(LOOKUP(9.99E+307,--MID(SUBSTITUTE(($C763&amp;" "&amp;$D763),CHAR(160)," "),SUMPRODUCT(MIN(FIND({0,1,2,3,4,5,6,7,8,9},SUBSTITUTE(($C763&amp;" "&amp;$D763),CHAR(160)," ")&amp;"0123456789"))),ROW(INDIRECT("1:6")))),"0"),"SIN NUMERO"))</f>
        <v/>
      </c>
      <c r="Q763" t="str">
        <f ca="1">IF($P763="","",IF(LEFT(UPPER($S763),9)="VERIFICAR","VERIFICAR",IF($A763="","SIN ESTADO",IF(AND($A763="Firmada",$H763=""),"FALTA FECHA DE FIRMA",IF(N($T763)=0,IF(AND(ISNUMBER($H763),$H763&gt;=DATE(2024,1,1)),"FALTA EN FIRMADAS","OK"),IF(OR($A763="Pendiente de presentación",$A763="Observado",$A763="En análisis",$A763="En instrucción",$A763="Suspendida",$A763="IT circulando",$A763="Para resolución",$A763="TDC"),"ABIERTA PERO ESTÁ EN FIRMADAS",IF($H763&lt;&gt;INDEX(firmadas!$F:$F,$T763),"FIRMA DISTINTA EN firmadas ("&amp;IF(INDEX(firmadas!$F:$F,$T763)="","vacía",DAY(INDEX(firmadas!$F:$F,$T763))&amp;"/"&amp;MONTH(INDEX(firmadas!$F:$F,$T763))&amp;"/"&amp;YEAR(INDEX(firmadas!$F:$F,$T763)))&amp;")",IF($G763&lt;&gt;INDEX(firmadas!$E:$E,$T763),"INGRESO DISTINTO EN firmadas ("&amp;IF(INDEX(firmadas!$E:$E,$T763)="","vacía",DAY(INDEX(firmadas!$E:$E,$T763))&amp;"/"&amp;MONTH(INDEX(firmadas!$E:$E,$T763))&amp;"/"&amp;YEAR(INDEX(firmadas!$E:$E,$T763)))&amp;")","OK"))))))))</f>
        <v/>
      </c>
      <c r="T763" t="str">
        <f ca="1">IF($P763="","",IFERROR(MATCH($P763,firmadas!$N:$N,0),IFERROR(MATCH("*/"&amp;MID($P763,FIND(" ",$P763)+1,9)&amp;"*",firmadas!$B:$B,0),0)))</f>
        <v/>
      </c>
    </row>
    <row r="764" spans="14:20" ht="15" customHeight="1" x14ac:dyDescent="0.25">
      <c r="N764" s="53" t="str">
        <f t="shared" ca="1" si="11"/>
        <v/>
      </c>
      <c r="P764" t="str">
        <f ca="1">IF(TRIM(SUBSTITUTE(($C764&amp;" "&amp;$D764),CHAR(160)," "))="","",IFERROR(IF(ISNUMBER(SEARCH("INC",($C764&amp;" "&amp;$D764))),"INC",IF(ISNUMBER(SEARCH("OPI",($C764&amp;" "&amp;$D764))),"OPI",IF(ISNUMBER(SEARCH("DP",($C764&amp;" "&amp;$D764))),"DP","CONC")))&amp;" "&amp;TEXT(LOOKUP(9.99E+307,--MID(SUBSTITUTE(($C764&amp;" "&amp;$D764),CHAR(160)," "),SUMPRODUCT(MIN(FIND({0,1,2,3,4,5,6,7,8,9},SUBSTITUTE(($C764&amp;" "&amp;$D764),CHAR(160)," ")&amp;"0123456789"))),ROW(INDIRECT("1:6")))),"0"),"SIN NUMERO"))</f>
        <v/>
      </c>
      <c r="Q764" t="str">
        <f ca="1">IF($P764="","",IF(LEFT(UPPER($S764),9)="VERIFICAR","VERIFICAR",IF($A764="","SIN ESTADO",IF(AND($A764="Firmada",$H764=""),"FALTA FECHA DE FIRMA",IF(N($T764)=0,IF(AND(ISNUMBER($H764),$H764&gt;=DATE(2024,1,1)),"FALTA EN FIRMADAS","OK"),IF(OR($A764="Pendiente de presentación",$A764="Observado",$A764="En análisis",$A764="En instrucción",$A764="Suspendida",$A764="IT circulando",$A764="Para resolución",$A764="TDC"),"ABIERTA PERO ESTÁ EN FIRMADAS",IF($H764&lt;&gt;INDEX(firmadas!$F:$F,$T764),"FIRMA DISTINTA EN firmadas ("&amp;IF(INDEX(firmadas!$F:$F,$T764)="","vacía",DAY(INDEX(firmadas!$F:$F,$T764))&amp;"/"&amp;MONTH(INDEX(firmadas!$F:$F,$T764))&amp;"/"&amp;YEAR(INDEX(firmadas!$F:$F,$T764)))&amp;")",IF($G764&lt;&gt;INDEX(firmadas!$E:$E,$T764),"INGRESO DISTINTO EN firmadas ("&amp;IF(INDEX(firmadas!$E:$E,$T764)="","vacía",DAY(INDEX(firmadas!$E:$E,$T764))&amp;"/"&amp;MONTH(INDEX(firmadas!$E:$E,$T764))&amp;"/"&amp;YEAR(INDEX(firmadas!$E:$E,$T764)))&amp;")","OK"))))))))</f>
        <v/>
      </c>
      <c r="T764" t="str">
        <f ca="1">IF($P764="","",IFERROR(MATCH($P764,firmadas!$N:$N,0),IFERROR(MATCH("*/"&amp;MID($P764,FIND(" ",$P764)+1,9)&amp;"*",firmadas!$B:$B,0),0)))</f>
        <v/>
      </c>
    </row>
    <row r="765" spans="14:20" ht="15" customHeight="1" x14ac:dyDescent="0.25">
      <c r="N765" s="53" t="str">
        <f t="shared" ca="1" si="11"/>
        <v/>
      </c>
      <c r="P765" t="str">
        <f ca="1">IF(TRIM(SUBSTITUTE(($C765&amp;" "&amp;$D765),CHAR(160)," "))="","",IFERROR(IF(ISNUMBER(SEARCH("INC",($C765&amp;" "&amp;$D765))),"INC",IF(ISNUMBER(SEARCH("OPI",($C765&amp;" "&amp;$D765))),"OPI",IF(ISNUMBER(SEARCH("DP",($C765&amp;" "&amp;$D765))),"DP","CONC")))&amp;" "&amp;TEXT(LOOKUP(9.99E+307,--MID(SUBSTITUTE(($C765&amp;" "&amp;$D765),CHAR(160)," "),SUMPRODUCT(MIN(FIND({0,1,2,3,4,5,6,7,8,9},SUBSTITUTE(($C765&amp;" "&amp;$D765),CHAR(160)," ")&amp;"0123456789"))),ROW(INDIRECT("1:6")))),"0"),"SIN NUMERO"))</f>
        <v/>
      </c>
      <c r="Q765" t="str">
        <f ca="1">IF($P765="","",IF(LEFT(UPPER($S765),9)="VERIFICAR","VERIFICAR",IF($A765="","SIN ESTADO",IF(AND($A765="Firmada",$H765=""),"FALTA FECHA DE FIRMA",IF(N($T765)=0,IF(AND(ISNUMBER($H765),$H765&gt;=DATE(2024,1,1)),"FALTA EN FIRMADAS","OK"),IF(OR($A765="Pendiente de presentación",$A765="Observado",$A765="En análisis",$A765="En instrucción",$A765="Suspendida",$A765="IT circulando",$A765="Para resolución",$A765="TDC"),"ABIERTA PERO ESTÁ EN FIRMADAS",IF($H765&lt;&gt;INDEX(firmadas!$F:$F,$T765),"FIRMA DISTINTA EN firmadas ("&amp;IF(INDEX(firmadas!$F:$F,$T765)="","vacía",DAY(INDEX(firmadas!$F:$F,$T765))&amp;"/"&amp;MONTH(INDEX(firmadas!$F:$F,$T765))&amp;"/"&amp;YEAR(INDEX(firmadas!$F:$F,$T765)))&amp;")",IF($G765&lt;&gt;INDEX(firmadas!$E:$E,$T765),"INGRESO DISTINTO EN firmadas ("&amp;IF(INDEX(firmadas!$E:$E,$T765)="","vacía",DAY(INDEX(firmadas!$E:$E,$T765))&amp;"/"&amp;MONTH(INDEX(firmadas!$E:$E,$T765))&amp;"/"&amp;YEAR(INDEX(firmadas!$E:$E,$T765)))&amp;")","OK"))))))))</f>
        <v/>
      </c>
      <c r="T765" t="str">
        <f ca="1">IF($P765="","",IFERROR(MATCH($P765,firmadas!$N:$N,0),IFERROR(MATCH("*/"&amp;MID($P765,FIND(" ",$P765)+1,9)&amp;"*",firmadas!$B:$B,0),0)))</f>
        <v/>
      </c>
    </row>
    <row r="766" spans="14:20" ht="15" customHeight="1" x14ac:dyDescent="0.25">
      <c r="N766" s="53" t="str">
        <f t="shared" ca="1" si="11"/>
        <v/>
      </c>
      <c r="P766" t="str">
        <f ca="1">IF(TRIM(SUBSTITUTE(($C766&amp;" "&amp;$D766),CHAR(160)," "))="","",IFERROR(IF(ISNUMBER(SEARCH("INC",($C766&amp;" "&amp;$D766))),"INC",IF(ISNUMBER(SEARCH("OPI",($C766&amp;" "&amp;$D766))),"OPI",IF(ISNUMBER(SEARCH("DP",($C766&amp;" "&amp;$D766))),"DP","CONC")))&amp;" "&amp;TEXT(LOOKUP(9.99E+307,--MID(SUBSTITUTE(($C766&amp;" "&amp;$D766),CHAR(160)," "),SUMPRODUCT(MIN(FIND({0,1,2,3,4,5,6,7,8,9},SUBSTITUTE(($C766&amp;" "&amp;$D766),CHAR(160)," ")&amp;"0123456789"))),ROW(INDIRECT("1:6")))),"0"),"SIN NUMERO"))</f>
        <v/>
      </c>
      <c r="Q766" t="str">
        <f ca="1">IF($P766="","",IF(LEFT(UPPER($S766),9)="VERIFICAR","VERIFICAR",IF($A766="","SIN ESTADO",IF(AND($A766="Firmada",$H766=""),"FALTA FECHA DE FIRMA",IF(N($T766)=0,IF(AND(ISNUMBER($H766),$H766&gt;=DATE(2024,1,1)),"FALTA EN FIRMADAS","OK"),IF(OR($A766="Pendiente de presentación",$A766="Observado",$A766="En análisis",$A766="En instrucción",$A766="Suspendida",$A766="IT circulando",$A766="Para resolución",$A766="TDC"),"ABIERTA PERO ESTÁ EN FIRMADAS",IF($H766&lt;&gt;INDEX(firmadas!$F:$F,$T766),"FIRMA DISTINTA EN firmadas ("&amp;IF(INDEX(firmadas!$F:$F,$T766)="","vacía",DAY(INDEX(firmadas!$F:$F,$T766))&amp;"/"&amp;MONTH(INDEX(firmadas!$F:$F,$T766))&amp;"/"&amp;YEAR(INDEX(firmadas!$F:$F,$T766)))&amp;")",IF($G766&lt;&gt;INDEX(firmadas!$E:$E,$T766),"INGRESO DISTINTO EN firmadas ("&amp;IF(INDEX(firmadas!$E:$E,$T766)="","vacía",DAY(INDEX(firmadas!$E:$E,$T766))&amp;"/"&amp;MONTH(INDEX(firmadas!$E:$E,$T766))&amp;"/"&amp;YEAR(INDEX(firmadas!$E:$E,$T766)))&amp;")","OK"))))))))</f>
        <v/>
      </c>
      <c r="T766" t="str">
        <f ca="1">IF($P766="","",IFERROR(MATCH($P766,firmadas!$N:$N,0),IFERROR(MATCH("*/"&amp;MID($P766,FIND(" ",$P766)+1,9)&amp;"*",firmadas!$B:$B,0),0)))</f>
        <v/>
      </c>
    </row>
    <row r="767" spans="14:20" ht="15" customHeight="1" x14ac:dyDescent="0.25">
      <c r="N767" s="53" t="str">
        <f t="shared" ca="1" si="11"/>
        <v/>
      </c>
      <c r="P767" t="str">
        <f ca="1">IF(TRIM(SUBSTITUTE(($C767&amp;" "&amp;$D767),CHAR(160)," "))="","",IFERROR(IF(ISNUMBER(SEARCH("INC",($C767&amp;" "&amp;$D767))),"INC",IF(ISNUMBER(SEARCH("OPI",($C767&amp;" "&amp;$D767))),"OPI",IF(ISNUMBER(SEARCH("DP",($C767&amp;" "&amp;$D767))),"DP","CONC")))&amp;" "&amp;TEXT(LOOKUP(9.99E+307,--MID(SUBSTITUTE(($C767&amp;" "&amp;$D767),CHAR(160)," "),SUMPRODUCT(MIN(FIND({0,1,2,3,4,5,6,7,8,9},SUBSTITUTE(($C767&amp;" "&amp;$D767),CHAR(160)," ")&amp;"0123456789"))),ROW(INDIRECT("1:6")))),"0"),"SIN NUMERO"))</f>
        <v/>
      </c>
      <c r="Q767" t="str">
        <f ca="1">IF($P767="","",IF(LEFT(UPPER($S767),9)="VERIFICAR","VERIFICAR",IF($A767="","SIN ESTADO",IF(AND($A767="Firmada",$H767=""),"FALTA FECHA DE FIRMA",IF(N($T767)=0,IF(AND(ISNUMBER($H767),$H767&gt;=DATE(2024,1,1)),"FALTA EN FIRMADAS","OK"),IF(OR($A767="Pendiente de presentación",$A767="Observado",$A767="En análisis",$A767="En instrucción",$A767="Suspendida",$A767="IT circulando",$A767="Para resolución",$A767="TDC"),"ABIERTA PERO ESTÁ EN FIRMADAS",IF($H767&lt;&gt;INDEX(firmadas!$F:$F,$T767),"FIRMA DISTINTA EN firmadas ("&amp;IF(INDEX(firmadas!$F:$F,$T767)="","vacía",DAY(INDEX(firmadas!$F:$F,$T767))&amp;"/"&amp;MONTH(INDEX(firmadas!$F:$F,$T767))&amp;"/"&amp;YEAR(INDEX(firmadas!$F:$F,$T767)))&amp;")",IF($G767&lt;&gt;INDEX(firmadas!$E:$E,$T767),"INGRESO DISTINTO EN firmadas ("&amp;IF(INDEX(firmadas!$E:$E,$T767)="","vacía",DAY(INDEX(firmadas!$E:$E,$T767))&amp;"/"&amp;MONTH(INDEX(firmadas!$E:$E,$T767))&amp;"/"&amp;YEAR(INDEX(firmadas!$E:$E,$T767)))&amp;")","OK"))))))))</f>
        <v/>
      </c>
      <c r="T767" t="str">
        <f ca="1">IF($P767="","",IFERROR(MATCH($P767,firmadas!$N:$N,0),IFERROR(MATCH("*/"&amp;MID($P767,FIND(" ",$P767)+1,9)&amp;"*",firmadas!$B:$B,0),0)))</f>
        <v/>
      </c>
    </row>
    <row r="768" spans="14:20" ht="15" customHeight="1" x14ac:dyDescent="0.25">
      <c r="N768" s="53" t="str">
        <f t="shared" ca="1" si="11"/>
        <v/>
      </c>
      <c r="P768" t="str">
        <f ca="1">IF(TRIM(SUBSTITUTE(($C768&amp;" "&amp;$D768),CHAR(160)," "))="","",IFERROR(IF(ISNUMBER(SEARCH("INC",($C768&amp;" "&amp;$D768))),"INC",IF(ISNUMBER(SEARCH("OPI",($C768&amp;" "&amp;$D768))),"OPI",IF(ISNUMBER(SEARCH("DP",($C768&amp;" "&amp;$D768))),"DP","CONC")))&amp;" "&amp;TEXT(LOOKUP(9.99E+307,--MID(SUBSTITUTE(($C768&amp;" "&amp;$D768),CHAR(160)," "),SUMPRODUCT(MIN(FIND({0,1,2,3,4,5,6,7,8,9},SUBSTITUTE(($C768&amp;" "&amp;$D768),CHAR(160)," ")&amp;"0123456789"))),ROW(INDIRECT("1:6")))),"0"),"SIN NUMERO"))</f>
        <v/>
      </c>
      <c r="Q768" t="str">
        <f ca="1">IF($P768="","",IF(LEFT(UPPER($S768),9)="VERIFICAR","VERIFICAR",IF($A768="","SIN ESTADO",IF(AND($A768="Firmada",$H768=""),"FALTA FECHA DE FIRMA",IF(N($T768)=0,IF(AND(ISNUMBER($H768),$H768&gt;=DATE(2024,1,1)),"FALTA EN FIRMADAS","OK"),IF(OR($A768="Pendiente de presentación",$A768="Observado",$A768="En análisis",$A768="En instrucción",$A768="Suspendida",$A768="IT circulando",$A768="Para resolución",$A768="TDC"),"ABIERTA PERO ESTÁ EN FIRMADAS",IF($H768&lt;&gt;INDEX(firmadas!$F:$F,$T768),"FIRMA DISTINTA EN firmadas ("&amp;IF(INDEX(firmadas!$F:$F,$T768)="","vacía",DAY(INDEX(firmadas!$F:$F,$T768))&amp;"/"&amp;MONTH(INDEX(firmadas!$F:$F,$T768))&amp;"/"&amp;YEAR(INDEX(firmadas!$F:$F,$T768)))&amp;")",IF($G768&lt;&gt;INDEX(firmadas!$E:$E,$T768),"INGRESO DISTINTO EN firmadas ("&amp;IF(INDEX(firmadas!$E:$E,$T768)="","vacía",DAY(INDEX(firmadas!$E:$E,$T768))&amp;"/"&amp;MONTH(INDEX(firmadas!$E:$E,$T768))&amp;"/"&amp;YEAR(INDEX(firmadas!$E:$E,$T768)))&amp;")","OK"))))))))</f>
        <v/>
      </c>
      <c r="T768" t="str">
        <f ca="1">IF($P768="","",IFERROR(MATCH($P768,firmadas!$N:$N,0),IFERROR(MATCH("*/"&amp;MID($P768,FIND(" ",$P768)+1,9)&amp;"*",firmadas!$B:$B,0),0)))</f>
        <v/>
      </c>
    </row>
    <row r="769" spans="14:20" ht="15" customHeight="1" x14ac:dyDescent="0.25">
      <c r="N769" s="53" t="str">
        <f t="shared" ca="1" si="11"/>
        <v/>
      </c>
      <c r="P769" t="str">
        <f ca="1">IF(TRIM(SUBSTITUTE(($C769&amp;" "&amp;$D769),CHAR(160)," "))="","",IFERROR(IF(ISNUMBER(SEARCH("INC",($C769&amp;" "&amp;$D769))),"INC",IF(ISNUMBER(SEARCH("OPI",($C769&amp;" "&amp;$D769))),"OPI",IF(ISNUMBER(SEARCH("DP",($C769&amp;" "&amp;$D769))),"DP","CONC")))&amp;" "&amp;TEXT(LOOKUP(9.99E+307,--MID(SUBSTITUTE(($C769&amp;" "&amp;$D769),CHAR(160)," "),SUMPRODUCT(MIN(FIND({0,1,2,3,4,5,6,7,8,9},SUBSTITUTE(($C769&amp;" "&amp;$D769),CHAR(160)," ")&amp;"0123456789"))),ROW(INDIRECT("1:6")))),"0"),"SIN NUMERO"))</f>
        <v/>
      </c>
      <c r="Q769" t="str">
        <f ca="1">IF($P769="","",IF(LEFT(UPPER($S769),9)="VERIFICAR","VERIFICAR",IF($A769="","SIN ESTADO",IF(AND($A769="Firmada",$H769=""),"FALTA FECHA DE FIRMA",IF(N($T769)=0,IF(AND(ISNUMBER($H769),$H769&gt;=DATE(2024,1,1)),"FALTA EN FIRMADAS","OK"),IF(OR($A769="Pendiente de presentación",$A769="Observado",$A769="En análisis",$A769="En instrucción",$A769="Suspendida",$A769="IT circulando",$A769="Para resolución",$A769="TDC"),"ABIERTA PERO ESTÁ EN FIRMADAS",IF($H769&lt;&gt;INDEX(firmadas!$F:$F,$T769),"FIRMA DISTINTA EN firmadas ("&amp;IF(INDEX(firmadas!$F:$F,$T769)="","vacía",DAY(INDEX(firmadas!$F:$F,$T769))&amp;"/"&amp;MONTH(INDEX(firmadas!$F:$F,$T769))&amp;"/"&amp;YEAR(INDEX(firmadas!$F:$F,$T769)))&amp;")",IF($G769&lt;&gt;INDEX(firmadas!$E:$E,$T769),"INGRESO DISTINTO EN firmadas ("&amp;IF(INDEX(firmadas!$E:$E,$T769)="","vacía",DAY(INDEX(firmadas!$E:$E,$T769))&amp;"/"&amp;MONTH(INDEX(firmadas!$E:$E,$T769))&amp;"/"&amp;YEAR(INDEX(firmadas!$E:$E,$T769)))&amp;")","OK"))))))))</f>
        <v/>
      </c>
      <c r="T769" t="str">
        <f ca="1">IF($P769="","",IFERROR(MATCH($P769,firmadas!$N:$N,0),IFERROR(MATCH("*/"&amp;MID($P769,FIND(" ",$P769)+1,9)&amp;"*",firmadas!$B:$B,0),0)))</f>
        <v/>
      </c>
    </row>
    <row r="770" spans="14:20" ht="15" customHeight="1" x14ac:dyDescent="0.25">
      <c r="N770" s="53" t="str">
        <f t="shared" ref="N770:N833" ca="1" si="12">IF($G770="","",(IF($H770="",TODAY(),$H770)-$G770)/30)</f>
        <v/>
      </c>
      <c r="P770" t="str">
        <f ca="1">IF(TRIM(SUBSTITUTE(($C770&amp;" "&amp;$D770),CHAR(160)," "))="","",IFERROR(IF(ISNUMBER(SEARCH("INC",($C770&amp;" "&amp;$D770))),"INC",IF(ISNUMBER(SEARCH("OPI",($C770&amp;" "&amp;$D770))),"OPI",IF(ISNUMBER(SEARCH("DP",($C770&amp;" "&amp;$D770))),"DP","CONC")))&amp;" "&amp;TEXT(LOOKUP(9.99E+307,--MID(SUBSTITUTE(($C770&amp;" "&amp;$D770),CHAR(160)," "),SUMPRODUCT(MIN(FIND({0,1,2,3,4,5,6,7,8,9},SUBSTITUTE(($C770&amp;" "&amp;$D770),CHAR(160)," ")&amp;"0123456789"))),ROW(INDIRECT("1:6")))),"0"),"SIN NUMERO"))</f>
        <v/>
      </c>
      <c r="Q770" t="str">
        <f ca="1">IF($P770="","",IF(LEFT(UPPER($S770),9)="VERIFICAR","VERIFICAR",IF($A770="","SIN ESTADO",IF(AND($A770="Firmada",$H770=""),"FALTA FECHA DE FIRMA",IF(N($T770)=0,IF(AND(ISNUMBER($H770),$H770&gt;=DATE(2024,1,1)),"FALTA EN FIRMADAS","OK"),IF(OR($A770="Pendiente de presentación",$A770="Observado",$A770="En análisis",$A770="En instrucción",$A770="Suspendida",$A770="IT circulando",$A770="Para resolución",$A770="TDC"),"ABIERTA PERO ESTÁ EN FIRMADAS",IF($H770&lt;&gt;INDEX(firmadas!$F:$F,$T770),"FIRMA DISTINTA EN firmadas ("&amp;IF(INDEX(firmadas!$F:$F,$T770)="","vacía",DAY(INDEX(firmadas!$F:$F,$T770))&amp;"/"&amp;MONTH(INDEX(firmadas!$F:$F,$T770))&amp;"/"&amp;YEAR(INDEX(firmadas!$F:$F,$T770)))&amp;")",IF($G770&lt;&gt;INDEX(firmadas!$E:$E,$T770),"INGRESO DISTINTO EN firmadas ("&amp;IF(INDEX(firmadas!$E:$E,$T770)="","vacía",DAY(INDEX(firmadas!$E:$E,$T770))&amp;"/"&amp;MONTH(INDEX(firmadas!$E:$E,$T770))&amp;"/"&amp;YEAR(INDEX(firmadas!$E:$E,$T770)))&amp;")","OK"))))))))</f>
        <v/>
      </c>
      <c r="T770" t="str">
        <f ca="1">IF($P770="","",IFERROR(MATCH($P770,firmadas!$N:$N,0),IFERROR(MATCH("*/"&amp;MID($P770,FIND(" ",$P770)+1,9)&amp;"*",firmadas!$B:$B,0),0)))</f>
        <v/>
      </c>
    </row>
    <row r="771" spans="14:20" ht="15" customHeight="1" x14ac:dyDescent="0.25">
      <c r="N771" s="53" t="str">
        <f t="shared" ca="1" si="12"/>
        <v/>
      </c>
      <c r="P771" t="str">
        <f ca="1">IF(TRIM(SUBSTITUTE(($C771&amp;" "&amp;$D771),CHAR(160)," "))="","",IFERROR(IF(ISNUMBER(SEARCH("INC",($C771&amp;" "&amp;$D771))),"INC",IF(ISNUMBER(SEARCH("OPI",($C771&amp;" "&amp;$D771))),"OPI",IF(ISNUMBER(SEARCH("DP",($C771&amp;" "&amp;$D771))),"DP","CONC")))&amp;" "&amp;TEXT(LOOKUP(9.99E+307,--MID(SUBSTITUTE(($C771&amp;" "&amp;$D771),CHAR(160)," "),SUMPRODUCT(MIN(FIND({0,1,2,3,4,5,6,7,8,9},SUBSTITUTE(($C771&amp;" "&amp;$D771),CHAR(160)," ")&amp;"0123456789"))),ROW(INDIRECT("1:6")))),"0"),"SIN NUMERO"))</f>
        <v/>
      </c>
      <c r="Q771" t="str">
        <f ca="1">IF($P771="","",IF(LEFT(UPPER($S771),9)="VERIFICAR","VERIFICAR",IF($A771="","SIN ESTADO",IF(AND($A771="Firmada",$H771=""),"FALTA FECHA DE FIRMA",IF(N($T771)=0,IF(AND(ISNUMBER($H771),$H771&gt;=DATE(2024,1,1)),"FALTA EN FIRMADAS","OK"),IF(OR($A771="Pendiente de presentación",$A771="Observado",$A771="En análisis",$A771="En instrucción",$A771="Suspendida",$A771="IT circulando",$A771="Para resolución",$A771="TDC"),"ABIERTA PERO ESTÁ EN FIRMADAS",IF($H771&lt;&gt;INDEX(firmadas!$F:$F,$T771),"FIRMA DISTINTA EN firmadas ("&amp;IF(INDEX(firmadas!$F:$F,$T771)="","vacía",DAY(INDEX(firmadas!$F:$F,$T771))&amp;"/"&amp;MONTH(INDEX(firmadas!$F:$F,$T771))&amp;"/"&amp;YEAR(INDEX(firmadas!$F:$F,$T771)))&amp;")",IF($G771&lt;&gt;INDEX(firmadas!$E:$E,$T771),"INGRESO DISTINTO EN firmadas ("&amp;IF(INDEX(firmadas!$E:$E,$T771)="","vacía",DAY(INDEX(firmadas!$E:$E,$T771))&amp;"/"&amp;MONTH(INDEX(firmadas!$E:$E,$T771))&amp;"/"&amp;YEAR(INDEX(firmadas!$E:$E,$T771)))&amp;")","OK"))))))))</f>
        <v/>
      </c>
      <c r="T771" t="str">
        <f ca="1">IF($P771="","",IFERROR(MATCH($P771,firmadas!$N:$N,0),IFERROR(MATCH("*/"&amp;MID($P771,FIND(" ",$P771)+1,9)&amp;"*",firmadas!$B:$B,0),0)))</f>
        <v/>
      </c>
    </row>
    <row r="772" spans="14:20" ht="15" customHeight="1" x14ac:dyDescent="0.25">
      <c r="N772" s="53" t="str">
        <f t="shared" ca="1" si="12"/>
        <v/>
      </c>
      <c r="P772" t="str">
        <f ca="1">IF(TRIM(SUBSTITUTE(($C772&amp;" "&amp;$D772),CHAR(160)," "))="","",IFERROR(IF(ISNUMBER(SEARCH("INC",($C772&amp;" "&amp;$D772))),"INC",IF(ISNUMBER(SEARCH("OPI",($C772&amp;" "&amp;$D772))),"OPI",IF(ISNUMBER(SEARCH("DP",($C772&amp;" "&amp;$D772))),"DP","CONC")))&amp;" "&amp;TEXT(LOOKUP(9.99E+307,--MID(SUBSTITUTE(($C772&amp;" "&amp;$D772),CHAR(160)," "),SUMPRODUCT(MIN(FIND({0,1,2,3,4,5,6,7,8,9},SUBSTITUTE(($C772&amp;" "&amp;$D772),CHAR(160)," ")&amp;"0123456789"))),ROW(INDIRECT("1:6")))),"0"),"SIN NUMERO"))</f>
        <v/>
      </c>
      <c r="Q772" t="str">
        <f ca="1">IF($P772="","",IF(LEFT(UPPER($S772),9)="VERIFICAR","VERIFICAR",IF($A772="","SIN ESTADO",IF(AND($A772="Firmada",$H772=""),"FALTA FECHA DE FIRMA",IF(N($T772)=0,IF(AND(ISNUMBER($H772),$H772&gt;=DATE(2024,1,1)),"FALTA EN FIRMADAS","OK"),IF(OR($A772="Pendiente de presentación",$A772="Observado",$A772="En análisis",$A772="En instrucción",$A772="Suspendida",$A772="IT circulando",$A772="Para resolución",$A772="TDC"),"ABIERTA PERO ESTÁ EN FIRMADAS",IF($H772&lt;&gt;INDEX(firmadas!$F:$F,$T772),"FIRMA DISTINTA EN firmadas ("&amp;IF(INDEX(firmadas!$F:$F,$T772)="","vacía",DAY(INDEX(firmadas!$F:$F,$T772))&amp;"/"&amp;MONTH(INDEX(firmadas!$F:$F,$T772))&amp;"/"&amp;YEAR(INDEX(firmadas!$F:$F,$T772)))&amp;")",IF($G772&lt;&gt;INDEX(firmadas!$E:$E,$T772),"INGRESO DISTINTO EN firmadas ("&amp;IF(INDEX(firmadas!$E:$E,$T772)="","vacía",DAY(INDEX(firmadas!$E:$E,$T772))&amp;"/"&amp;MONTH(INDEX(firmadas!$E:$E,$T772))&amp;"/"&amp;YEAR(INDEX(firmadas!$E:$E,$T772)))&amp;")","OK"))))))))</f>
        <v/>
      </c>
      <c r="T772" t="str">
        <f ca="1">IF($P772="","",IFERROR(MATCH($P772,firmadas!$N:$N,0),IFERROR(MATCH("*/"&amp;MID($P772,FIND(" ",$P772)+1,9)&amp;"*",firmadas!$B:$B,0),0)))</f>
        <v/>
      </c>
    </row>
    <row r="773" spans="14:20" ht="15" customHeight="1" x14ac:dyDescent="0.25">
      <c r="N773" s="53" t="str">
        <f t="shared" ca="1" si="12"/>
        <v/>
      </c>
      <c r="P773" t="str">
        <f ca="1">IF(TRIM(SUBSTITUTE(($C773&amp;" "&amp;$D773),CHAR(160)," "))="","",IFERROR(IF(ISNUMBER(SEARCH("INC",($C773&amp;" "&amp;$D773))),"INC",IF(ISNUMBER(SEARCH("OPI",($C773&amp;" "&amp;$D773))),"OPI",IF(ISNUMBER(SEARCH("DP",($C773&amp;" "&amp;$D773))),"DP","CONC")))&amp;" "&amp;TEXT(LOOKUP(9.99E+307,--MID(SUBSTITUTE(($C773&amp;" "&amp;$D773),CHAR(160)," "),SUMPRODUCT(MIN(FIND({0,1,2,3,4,5,6,7,8,9},SUBSTITUTE(($C773&amp;" "&amp;$D773),CHAR(160)," ")&amp;"0123456789"))),ROW(INDIRECT("1:6")))),"0"),"SIN NUMERO"))</f>
        <v/>
      </c>
      <c r="Q773" t="str">
        <f ca="1">IF($P773="","",IF(LEFT(UPPER($S773),9)="VERIFICAR","VERIFICAR",IF($A773="","SIN ESTADO",IF(AND($A773="Firmada",$H773=""),"FALTA FECHA DE FIRMA",IF(N($T773)=0,IF(AND(ISNUMBER($H773),$H773&gt;=DATE(2024,1,1)),"FALTA EN FIRMADAS","OK"),IF(OR($A773="Pendiente de presentación",$A773="Observado",$A773="En análisis",$A773="En instrucción",$A773="Suspendida",$A773="IT circulando",$A773="Para resolución",$A773="TDC"),"ABIERTA PERO ESTÁ EN FIRMADAS",IF($H773&lt;&gt;INDEX(firmadas!$F:$F,$T773),"FIRMA DISTINTA EN firmadas ("&amp;IF(INDEX(firmadas!$F:$F,$T773)="","vacía",DAY(INDEX(firmadas!$F:$F,$T773))&amp;"/"&amp;MONTH(INDEX(firmadas!$F:$F,$T773))&amp;"/"&amp;YEAR(INDEX(firmadas!$F:$F,$T773)))&amp;")",IF($G773&lt;&gt;INDEX(firmadas!$E:$E,$T773),"INGRESO DISTINTO EN firmadas ("&amp;IF(INDEX(firmadas!$E:$E,$T773)="","vacía",DAY(INDEX(firmadas!$E:$E,$T773))&amp;"/"&amp;MONTH(INDEX(firmadas!$E:$E,$T773))&amp;"/"&amp;YEAR(INDEX(firmadas!$E:$E,$T773)))&amp;")","OK"))))))))</f>
        <v/>
      </c>
      <c r="T773" t="str">
        <f ca="1">IF($P773="","",IFERROR(MATCH($P773,firmadas!$N:$N,0),IFERROR(MATCH("*/"&amp;MID($P773,FIND(" ",$P773)+1,9)&amp;"*",firmadas!$B:$B,0),0)))</f>
        <v/>
      </c>
    </row>
    <row r="774" spans="14:20" ht="15" customHeight="1" x14ac:dyDescent="0.25">
      <c r="N774" s="53" t="str">
        <f t="shared" ca="1" si="12"/>
        <v/>
      </c>
      <c r="P774" t="str">
        <f ca="1">IF(TRIM(SUBSTITUTE(($C774&amp;" "&amp;$D774),CHAR(160)," "))="","",IFERROR(IF(ISNUMBER(SEARCH("INC",($C774&amp;" "&amp;$D774))),"INC",IF(ISNUMBER(SEARCH("OPI",($C774&amp;" "&amp;$D774))),"OPI",IF(ISNUMBER(SEARCH("DP",($C774&amp;" "&amp;$D774))),"DP","CONC")))&amp;" "&amp;TEXT(LOOKUP(9.99E+307,--MID(SUBSTITUTE(($C774&amp;" "&amp;$D774),CHAR(160)," "),SUMPRODUCT(MIN(FIND({0,1,2,3,4,5,6,7,8,9},SUBSTITUTE(($C774&amp;" "&amp;$D774),CHAR(160)," ")&amp;"0123456789"))),ROW(INDIRECT("1:6")))),"0"),"SIN NUMERO"))</f>
        <v/>
      </c>
      <c r="Q774" t="str">
        <f ca="1">IF($P774="","",IF(LEFT(UPPER($S774),9)="VERIFICAR","VERIFICAR",IF($A774="","SIN ESTADO",IF(AND($A774="Firmada",$H774=""),"FALTA FECHA DE FIRMA",IF(N($T774)=0,IF(AND(ISNUMBER($H774),$H774&gt;=DATE(2024,1,1)),"FALTA EN FIRMADAS","OK"),IF(OR($A774="Pendiente de presentación",$A774="Observado",$A774="En análisis",$A774="En instrucción",$A774="Suspendida",$A774="IT circulando",$A774="Para resolución",$A774="TDC"),"ABIERTA PERO ESTÁ EN FIRMADAS",IF($H774&lt;&gt;INDEX(firmadas!$F:$F,$T774),"FIRMA DISTINTA EN firmadas ("&amp;IF(INDEX(firmadas!$F:$F,$T774)="","vacía",DAY(INDEX(firmadas!$F:$F,$T774))&amp;"/"&amp;MONTH(INDEX(firmadas!$F:$F,$T774))&amp;"/"&amp;YEAR(INDEX(firmadas!$F:$F,$T774)))&amp;")",IF($G774&lt;&gt;INDEX(firmadas!$E:$E,$T774),"INGRESO DISTINTO EN firmadas ("&amp;IF(INDEX(firmadas!$E:$E,$T774)="","vacía",DAY(INDEX(firmadas!$E:$E,$T774))&amp;"/"&amp;MONTH(INDEX(firmadas!$E:$E,$T774))&amp;"/"&amp;YEAR(INDEX(firmadas!$E:$E,$T774)))&amp;")","OK"))))))))</f>
        <v/>
      </c>
      <c r="T774" t="str">
        <f ca="1">IF($P774="","",IFERROR(MATCH($P774,firmadas!$N:$N,0),IFERROR(MATCH("*/"&amp;MID($P774,FIND(" ",$P774)+1,9)&amp;"*",firmadas!$B:$B,0),0)))</f>
        <v/>
      </c>
    </row>
    <row r="775" spans="14:20" ht="15" customHeight="1" x14ac:dyDescent="0.25">
      <c r="N775" s="53" t="str">
        <f t="shared" ca="1" si="12"/>
        <v/>
      </c>
      <c r="P775" t="str">
        <f ca="1">IF(TRIM(SUBSTITUTE(($C775&amp;" "&amp;$D775),CHAR(160)," "))="","",IFERROR(IF(ISNUMBER(SEARCH("INC",($C775&amp;" "&amp;$D775))),"INC",IF(ISNUMBER(SEARCH("OPI",($C775&amp;" "&amp;$D775))),"OPI",IF(ISNUMBER(SEARCH("DP",($C775&amp;" "&amp;$D775))),"DP","CONC")))&amp;" "&amp;TEXT(LOOKUP(9.99E+307,--MID(SUBSTITUTE(($C775&amp;" "&amp;$D775),CHAR(160)," "),SUMPRODUCT(MIN(FIND({0,1,2,3,4,5,6,7,8,9},SUBSTITUTE(($C775&amp;" "&amp;$D775),CHAR(160)," ")&amp;"0123456789"))),ROW(INDIRECT("1:6")))),"0"),"SIN NUMERO"))</f>
        <v/>
      </c>
      <c r="Q775" t="str">
        <f ca="1">IF($P775="","",IF(LEFT(UPPER($S775),9)="VERIFICAR","VERIFICAR",IF($A775="","SIN ESTADO",IF(AND($A775="Firmada",$H775=""),"FALTA FECHA DE FIRMA",IF(N($T775)=0,IF(AND(ISNUMBER($H775),$H775&gt;=DATE(2024,1,1)),"FALTA EN FIRMADAS","OK"),IF(OR($A775="Pendiente de presentación",$A775="Observado",$A775="En análisis",$A775="En instrucción",$A775="Suspendida",$A775="IT circulando",$A775="Para resolución",$A775="TDC"),"ABIERTA PERO ESTÁ EN FIRMADAS",IF($H775&lt;&gt;INDEX(firmadas!$F:$F,$T775),"FIRMA DISTINTA EN firmadas ("&amp;IF(INDEX(firmadas!$F:$F,$T775)="","vacía",DAY(INDEX(firmadas!$F:$F,$T775))&amp;"/"&amp;MONTH(INDEX(firmadas!$F:$F,$T775))&amp;"/"&amp;YEAR(INDEX(firmadas!$F:$F,$T775)))&amp;")",IF($G775&lt;&gt;INDEX(firmadas!$E:$E,$T775),"INGRESO DISTINTO EN firmadas ("&amp;IF(INDEX(firmadas!$E:$E,$T775)="","vacía",DAY(INDEX(firmadas!$E:$E,$T775))&amp;"/"&amp;MONTH(INDEX(firmadas!$E:$E,$T775))&amp;"/"&amp;YEAR(INDEX(firmadas!$E:$E,$T775)))&amp;")","OK"))))))))</f>
        <v/>
      </c>
      <c r="T775" t="str">
        <f ca="1">IF($P775="","",IFERROR(MATCH($P775,firmadas!$N:$N,0),IFERROR(MATCH("*/"&amp;MID($P775,FIND(" ",$P775)+1,9)&amp;"*",firmadas!$B:$B,0),0)))</f>
        <v/>
      </c>
    </row>
    <row r="776" spans="14:20" ht="15" customHeight="1" x14ac:dyDescent="0.25">
      <c r="N776" s="53" t="str">
        <f t="shared" ca="1" si="12"/>
        <v/>
      </c>
      <c r="P776" t="str">
        <f ca="1">IF(TRIM(SUBSTITUTE(($C776&amp;" "&amp;$D776),CHAR(160)," "))="","",IFERROR(IF(ISNUMBER(SEARCH("INC",($C776&amp;" "&amp;$D776))),"INC",IF(ISNUMBER(SEARCH("OPI",($C776&amp;" "&amp;$D776))),"OPI",IF(ISNUMBER(SEARCH("DP",($C776&amp;" "&amp;$D776))),"DP","CONC")))&amp;" "&amp;TEXT(LOOKUP(9.99E+307,--MID(SUBSTITUTE(($C776&amp;" "&amp;$D776),CHAR(160)," "),SUMPRODUCT(MIN(FIND({0,1,2,3,4,5,6,7,8,9},SUBSTITUTE(($C776&amp;" "&amp;$D776),CHAR(160)," ")&amp;"0123456789"))),ROW(INDIRECT("1:6")))),"0"),"SIN NUMERO"))</f>
        <v/>
      </c>
      <c r="Q776" t="str">
        <f ca="1">IF($P776="","",IF(LEFT(UPPER($S776),9)="VERIFICAR","VERIFICAR",IF($A776="","SIN ESTADO",IF(AND($A776="Firmada",$H776=""),"FALTA FECHA DE FIRMA",IF(N($T776)=0,IF(AND(ISNUMBER($H776),$H776&gt;=DATE(2024,1,1)),"FALTA EN FIRMADAS","OK"),IF(OR($A776="Pendiente de presentación",$A776="Observado",$A776="En análisis",$A776="En instrucción",$A776="Suspendida",$A776="IT circulando",$A776="Para resolución",$A776="TDC"),"ABIERTA PERO ESTÁ EN FIRMADAS",IF($H776&lt;&gt;INDEX(firmadas!$F:$F,$T776),"FIRMA DISTINTA EN firmadas ("&amp;IF(INDEX(firmadas!$F:$F,$T776)="","vacía",DAY(INDEX(firmadas!$F:$F,$T776))&amp;"/"&amp;MONTH(INDEX(firmadas!$F:$F,$T776))&amp;"/"&amp;YEAR(INDEX(firmadas!$F:$F,$T776)))&amp;")",IF($G776&lt;&gt;INDEX(firmadas!$E:$E,$T776),"INGRESO DISTINTO EN firmadas ("&amp;IF(INDEX(firmadas!$E:$E,$T776)="","vacía",DAY(INDEX(firmadas!$E:$E,$T776))&amp;"/"&amp;MONTH(INDEX(firmadas!$E:$E,$T776))&amp;"/"&amp;YEAR(INDEX(firmadas!$E:$E,$T776)))&amp;")","OK"))))))))</f>
        <v/>
      </c>
      <c r="T776" t="str">
        <f ca="1">IF($P776="","",IFERROR(MATCH($P776,firmadas!$N:$N,0),IFERROR(MATCH("*/"&amp;MID($P776,FIND(" ",$P776)+1,9)&amp;"*",firmadas!$B:$B,0),0)))</f>
        <v/>
      </c>
    </row>
    <row r="777" spans="14:20" ht="15" customHeight="1" x14ac:dyDescent="0.25">
      <c r="N777" s="53" t="str">
        <f t="shared" ca="1" si="12"/>
        <v/>
      </c>
      <c r="P777" t="str">
        <f ca="1">IF(TRIM(SUBSTITUTE(($C777&amp;" "&amp;$D777),CHAR(160)," "))="","",IFERROR(IF(ISNUMBER(SEARCH("INC",($C777&amp;" "&amp;$D777))),"INC",IF(ISNUMBER(SEARCH("OPI",($C777&amp;" "&amp;$D777))),"OPI",IF(ISNUMBER(SEARCH("DP",($C777&amp;" "&amp;$D777))),"DP","CONC")))&amp;" "&amp;TEXT(LOOKUP(9.99E+307,--MID(SUBSTITUTE(($C777&amp;" "&amp;$D777),CHAR(160)," "),SUMPRODUCT(MIN(FIND({0,1,2,3,4,5,6,7,8,9},SUBSTITUTE(($C777&amp;" "&amp;$D777),CHAR(160)," ")&amp;"0123456789"))),ROW(INDIRECT("1:6")))),"0"),"SIN NUMERO"))</f>
        <v/>
      </c>
      <c r="Q777" t="str">
        <f ca="1">IF($P777="","",IF(LEFT(UPPER($S777),9)="VERIFICAR","VERIFICAR",IF($A777="","SIN ESTADO",IF(AND($A777="Firmada",$H777=""),"FALTA FECHA DE FIRMA",IF(N($T777)=0,IF(AND(ISNUMBER($H777),$H777&gt;=DATE(2024,1,1)),"FALTA EN FIRMADAS","OK"),IF(OR($A777="Pendiente de presentación",$A777="Observado",$A777="En análisis",$A777="En instrucción",$A777="Suspendida",$A777="IT circulando",$A777="Para resolución",$A777="TDC"),"ABIERTA PERO ESTÁ EN FIRMADAS",IF($H777&lt;&gt;INDEX(firmadas!$F:$F,$T777),"FIRMA DISTINTA EN firmadas ("&amp;IF(INDEX(firmadas!$F:$F,$T777)="","vacía",DAY(INDEX(firmadas!$F:$F,$T777))&amp;"/"&amp;MONTH(INDEX(firmadas!$F:$F,$T777))&amp;"/"&amp;YEAR(INDEX(firmadas!$F:$F,$T777)))&amp;")",IF($G777&lt;&gt;INDEX(firmadas!$E:$E,$T777),"INGRESO DISTINTO EN firmadas ("&amp;IF(INDEX(firmadas!$E:$E,$T777)="","vacía",DAY(INDEX(firmadas!$E:$E,$T777))&amp;"/"&amp;MONTH(INDEX(firmadas!$E:$E,$T777))&amp;"/"&amp;YEAR(INDEX(firmadas!$E:$E,$T777)))&amp;")","OK"))))))))</f>
        <v/>
      </c>
      <c r="T777" t="str">
        <f ca="1">IF($P777="","",IFERROR(MATCH($P777,firmadas!$N:$N,0),IFERROR(MATCH("*/"&amp;MID($P777,FIND(" ",$P777)+1,9)&amp;"*",firmadas!$B:$B,0),0)))</f>
        <v/>
      </c>
    </row>
    <row r="778" spans="14:20" ht="15" customHeight="1" x14ac:dyDescent="0.25">
      <c r="N778" s="53" t="str">
        <f t="shared" ca="1" si="12"/>
        <v/>
      </c>
      <c r="P778" t="str">
        <f ca="1">IF(TRIM(SUBSTITUTE(($C778&amp;" "&amp;$D778),CHAR(160)," "))="","",IFERROR(IF(ISNUMBER(SEARCH("INC",($C778&amp;" "&amp;$D778))),"INC",IF(ISNUMBER(SEARCH("OPI",($C778&amp;" "&amp;$D778))),"OPI",IF(ISNUMBER(SEARCH("DP",($C778&amp;" "&amp;$D778))),"DP","CONC")))&amp;" "&amp;TEXT(LOOKUP(9.99E+307,--MID(SUBSTITUTE(($C778&amp;" "&amp;$D778),CHAR(160)," "),SUMPRODUCT(MIN(FIND({0,1,2,3,4,5,6,7,8,9},SUBSTITUTE(($C778&amp;" "&amp;$D778),CHAR(160)," ")&amp;"0123456789"))),ROW(INDIRECT("1:6")))),"0"),"SIN NUMERO"))</f>
        <v/>
      </c>
      <c r="Q778" t="str">
        <f ca="1">IF($P778="","",IF(LEFT(UPPER($S778),9)="VERIFICAR","VERIFICAR",IF($A778="","SIN ESTADO",IF(AND($A778="Firmada",$H778=""),"FALTA FECHA DE FIRMA",IF(N($T778)=0,IF(AND(ISNUMBER($H778),$H778&gt;=DATE(2024,1,1)),"FALTA EN FIRMADAS","OK"),IF(OR($A778="Pendiente de presentación",$A778="Observado",$A778="En análisis",$A778="En instrucción",$A778="Suspendida",$A778="IT circulando",$A778="Para resolución",$A778="TDC"),"ABIERTA PERO ESTÁ EN FIRMADAS",IF($H778&lt;&gt;INDEX(firmadas!$F:$F,$T778),"FIRMA DISTINTA EN firmadas ("&amp;IF(INDEX(firmadas!$F:$F,$T778)="","vacía",DAY(INDEX(firmadas!$F:$F,$T778))&amp;"/"&amp;MONTH(INDEX(firmadas!$F:$F,$T778))&amp;"/"&amp;YEAR(INDEX(firmadas!$F:$F,$T778)))&amp;")",IF($G778&lt;&gt;INDEX(firmadas!$E:$E,$T778),"INGRESO DISTINTO EN firmadas ("&amp;IF(INDEX(firmadas!$E:$E,$T778)="","vacía",DAY(INDEX(firmadas!$E:$E,$T778))&amp;"/"&amp;MONTH(INDEX(firmadas!$E:$E,$T778))&amp;"/"&amp;YEAR(INDEX(firmadas!$E:$E,$T778)))&amp;")","OK"))))))))</f>
        <v/>
      </c>
      <c r="T778" t="str">
        <f ca="1">IF($P778="","",IFERROR(MATCH($P778,firmadas!$N:$N,0),IFERROR(MATCH("*/"&amp;MID($P778,FIND(" ",$P778)+1,9)&amp;"*",firmadas!$B:$B,0),0)))</f>
        <v/>
      </c>
    </row>
    <row r="779" spans="14:20" ht="15" customHeight="1" x14ac:dyDescent="0.25">
      <c r="N779" s="53" t="str">
        <f t="shared" ca="1" si="12"/>
        <v/>
      </c>
      <c r="P779" t="str">
        <f ca="1">IF(TRIM(SUBSTITUTE(($C779&amp;" "&amp;$D779),CHAR(160)," "))="","",IFERROR(IF(ISNUMBER(SEARCH("INC",($C779&amp;" "&amp;$D779))),"INC",IF(ISNUMBER(SEARCH("OPI",($C779&amp;" "&amp;$D779))),"OPI",IF(ISNUMBER(SEARCH("DP",($C779&amp;" "&amp;$D779))),"DP","CONC")))&amp;" "&amp;TEXT(LOOKUP(9.99E+307,--MID(SUBSTITUTE(($C779&amp;" "&amp;$D779),CHAR(160)," "),SUMPRODUCT(MIN(FIND({0,1,2,3,4,5,6,7,8,9},SUBSTITUTE(($C779&amp;" "&amp;$D779),CHAR(160)," ")&amp;"0123456789"))),ROW(INDIRECT("1:6")))),"0"),"SIN NUMERO"))</f>
        <v/>
      </c>
      <c r="Q779" t="str">
        <f ca="1">IF($P779="","",IF(LEFT(UPPER($S779),9)="VERIFICAR","VERIFICAR",IF($A779="","SIN ESTADO",IF(AND($A779="Firmada",$H779=""),"FALTA FECHA DE FIRMA",IF(N($T779)=0,IF(AND(ISNUMBER($H779),$H779&gt;=DATE(2024,1,1)),"FALTA EN FIRMADAS","OK"),IF(OR($A779="Pendiente de presentación",$A779="Observado",$A779="En análisis",$A779="En instrucción",$A779="Suspendida",$A779="IT circulando",$A779="Para resolución",$A779="TDC"),"ABIERTA PERO ESTÁ EN FIRMADAS",IF($H779&lt;&gt;INDEX(firmadas!$F:$F,$T779),"FIRMA DISTINTA EN firmadas ("&amp;IF(INDEX(firmadas!$F:$F,$T779)="","vacía",DAY(INDEX(firmadas!$F:$F,$T779))&amp;"/"&amp;MONTH(INDEX(firmadas!$F:$F,$T779))&amp;"/"&amp;YEAR(INDEX(firmadas!$F:$F,$T779)))&amp;")",IF($G779&lt;&gt;INDEX(firmadas!$E:$E,$T779),"INGRESO DISTINTO EN firmadas ("&amp;IF(INDEX(firmadas!$E:$E,$T779)="","vacía",DAY(INDEX(firmadas!$E:$E,$T779))&amp;"/"&amp;MONTH(INDEX(firmadas!$E:$E,$T779))&amp;"/"&amp;YEAR(INDEX(firmadas!$E:$E,$T779)))&amp;")","OK"))))))))</f>
        <v/>
      </c>
      <c r="T779" t="str">
        <f ca="1">IF($P779="","",IFERROR(MATCH($P779,firmadas!$N:$N,0),IFERROR(MATCH("*/"&amp;MID($P779,FIND(" ",$P779)+1,9)&amp;"*",firmadas!$B:$B,0),0)))</f>
        <v/>
      </c>
    </row>
    <row r="780" spans="14:20" ht="15" customHeight="1" x14ac:dyDescent="0.25">
      <c r="N780" s="53" t="str">
        <f t="shared" ca="1" si="12"/>
        <v/>
      </c>
      <c r="P780" t="str">
        <f ca="1">IF(TRIM(SUBSTITUTE(($C780&amp;" "&amp;$D780),CHAR(160)," "))="","",IFERROR(IF(ISNUMBER(SEARCH("INC",($C780&amp;" "&amp;$D780))),"INC",IF(ISNUMBER(SEARCH("OPI",($C780&amp;" "&amp;$D780))),"OPI",IF(ISNUMBER(SEARCH("DP",($C780&amp;" "&amp;$D780))),"DP","CONC")))&amp;" "&amp;TEXT(LOOKUP(9.99E+307,--MID(SUBSTITUTE(($C780&amp;" "&amp;$D780),CHAR(160)," "),SUMPRODUCT(MIN(FIND({0,1,2,3,4,5,6,7,8,9},SUBSTITUTE(($C780&amp;" "&amp;$D780),CHAR(160)," ")&amp;"0123456789"))),ROW(INDIRECT("1:6")))),"0"),"SIN NUMERO"))</f>
        <v/>
      </c>
      <c r="Q780" t="str">
        <f ca="1">IF($P780="","",IF(LEFT(UPPER($S780),9)="VERIFICAR","VERIFICAR",IF($A780="","SIN ESTADO",IF(AND($A780="Firmada",$H780=""),"FALTA FECHA DE FIRMA",IF(N($T780)=0,IF(AND(ISNUMBER($H780),$H780&gt;=DATE(2024,1,1)),"FALTA EN FIRMADAS","OK"),IF(OR($A780="Pendiente de presentación",$A780="Observado",$A780="En análisis",$A780="En instrucción",$A780="Suspendida",$A780="IT circulando",$A780="Para resolución",$A780="TDC"),"ABIERTA PERO ESTÁ EN FIRMADAS",IF($H780&lt;&gt;INDEX(firmadas!$F:$F,$T780),"FIRMA DISTINTA EN firmadas ("&amp;IF(INDEX(firmadas!$F:$F,$T780)="","vacía",DAY(INDEX(firmadas!$F:$F,$T780))&amp;"/"&amp;MONTH(INDEX(firmadas!$F:$F,$T780))&amp;"/"&amp;YEAR(INDEX(firmadas!$F:$F,$T780)))&amp;")",IF($G780&lt;&gt;INDEX(firmadas!$E:$E,$T780),"INGRESO DISTINTO EN firmadas ("&amp;IF(INDEX(firmadas!$E:$E,$T780)="","vacía",DAY(INDEX(firmadas!$E:$E,$T780))&amp;"/"&amp;MONTH(INDEX(firmadas!$E:$E,$T780))&amp;"/"&amp;YEAR(INDEX(firmadas!$E:$E,$T780)))&amp;")","OK"))))))))</f>
        <v/>
      </c>
      <c r="T780" t="str">
        <f ca="1">IF($P780="","",IFERROR(MATCH($P780,firmadas!$N:$N,0),IFERROR(MATCH("*/"&amp;MID($P780,FIND(" ",$P780)+1,9)&amp;"*",firmadas!$B:$B,0),0)))</f>
        <v/>
      </c>
    </row>
    <row r="781" spans="14:20" ht="15" customHeight="1" x14ac:dyDescent="0.25">
      <c r="N781" s="53" t="str">
        <f t="shared" ca="1" si="12"/>
        <v/>
      </c>
      <c r="P781" t="str">
        <f ca="1">IF(TRIM(SUBSTITUTE(($C781&amp;" "&amp;$D781),CHAR(160)," "))="","",IFERROR(IF(ISNUMBER(SEARCH("INC",($C781&amp;" "&amp;$D781))),"INC",IF(ISNUMBER(SEARCH("OPI",($C781&amp;" "&amp;$D781))),"OPI",IF(ISNUMBER(SEARCH("DP",($C781&amp;" "&amp;$D781))),"DP","CONC")))&amp;" "&amp;TEXT(LOOKUP(9.99E+307,--MID(SUBSTITUTE(($C781&amp;" "&amp;$D781),CHAR(160)," "),SUMPRODUCT(MIN(FIND({0,1,2,3,4,5,6,7,8,9},SUBSTITUTE(($C781&amp;" "&amp;$D781),CHAR(160)," ")&amp;"0123456789"))),ROW(INDIRECT("1:6")))),"0"),"SIN NUMERO"))</f>
        <v/>
      </c>
      <c r="Q781" t="str">
        <f ca="1">IF($P781="","",IF(LEFT(UPPER($S781),9)="VERIFICAR","VERIFICAR",IF($A781="","SIN ESTADO",IF(AND($A781="Firmada",$H781=""),"FALTA FECHA DE FIRMA",IF(N($T781)=0,IF(AND(ISNUMBER($H781),$H781&gt;=DATE(2024,1,1)),"FALTA EN FIRMADAS","OK"),IF(OR($A781="Pendiente de presentación",$A781="Observado",$A781="En análisis",$A781="En instrucción",$A781="Suspendida",$A781="IT circulando",$A781="Para resolución",$A781="TDC"),"ABIERTA PERO ESTÁ EN FIRMADAS",IF($H781&lt;&gt;INDEX(firmadas!$F:$F,$T781),"FIRMA DISTINTA EN firmadas ("&amp;IF(INDEX(firmadas!$F:$F,$T781)="","vacía",DAY(INDEX(firmadas!$F:$F,$T781))&amp;"/"&amp;MONTH(INDEX(firmadas!$F:$F,$T781))&amp;"/"&amp;YEAR(INDEX(firmadas!$F:$F,$T781)))&amp;")",IF($G781&lt;&gt;INDEX(firmadas!$E:$E,$T781),"INGRESO DISTINTO EN firmadas ("&amp;IF(INDEX(firmadas!$E:$E,$T781)="","vacía",DAY(INDEX(firmadas!$E:$E,$T781))&amp;"/"&amp;MONTH(INDEX(firmadas!$E:$E,$T781))&amp;"/"&amp;YEAR(INDEX(firmadas!$E:$E,$T781)))&amp;")","OK"))))))))</f>
        <v/>
      </c>
      <c r="T781" t="str">
        <f ca="1">IF($P781="","",IFERROR(MATCH($P781,firmadas!$N:$N,0),IFERROR(MATCH("*/"&amp;MID($P781,FIND(" ",$P781)+1,9)&amp;"*",firmadas!$B:$B,0),0)))</f>
        <v/>
      </c>
    </row>
    <row r="782" spans="14:20" ht="15" customHeight="1" x14ac:dyDescent="0.25">
      <c r="N782" s="53" t="str">
        <f t="shared" ca="1" si="12"/>
        <v/>
      </c>
      <c r="P782" t="str">
        <f ca="1">IF(TRIM(SUBSTITUTE(($C782&amp;" "&amp;$D782),CHAR(160)," "))="","",IFERROR(IF(ISNUMBER(SEARCH("INC",($C782&amp;" "&amp;$D782))),"INC",IF(ISNUMBER(SEARCH("OPI",($C782&amp;" "&amp;$D782))),"OPI",IF(ISNUMBER(SEARCH("DP",($C782&amp;" "&amp;$D782))),"DP","CONC")))&amp;" "&amp;TEXT(LOOKUP(9.99E+307,--MID(SUBSTITUTE(($C782&amp;" "&amp;$D782),CHAR(160)," "),SUMPRODUCT(MIN(FIND({0,1,2,3,4,5,6,7,8,9},SUBSTITUTE(($C782&amp;" "&amp;$D782),CHAR(160)," ")&amp;"0123456789"))),ROW(INDIRECT("1:6")))),"0"),"SIN NUMERO"))</f>
        <v/>
      </c>
      <c r="Q782" t="str">
        <f ca="1">IF($P782="","",IF(LEFT(UPPER($S782),9)="VERIFICAR","VERIFICAR",IF($A782="","SIN ESTADO",IF(AND($A782="Firmada",$H782=""),"FALTA FECHA DE FIRMA",IF(N($T782)=0,IF(AND(ISNUMBER($H782),$H782&gt;=DATE(2024,1,1)),"FALTA EN FIRMADAS","OK"),IF(OR($A782="Pendiente de presentación",$A782="Observado",$A782="En análisis",$A782="En instrucción",$A782="Suspendida",$A782="IT circulando",$A782="Para resolución",$A782="TDC"),"ABIERTA PERO ESTÁ EN FIRMADAS",IF($H782&lt;&gt;INDEX(firmadas!$F:$F,$T782),"FIRMA DISTINTA EN firmadas ("&amp;IF(INDEX(firmadas!$F:$F,$T782)="","vacía",DAY(INDEX(firmadas!$F:$F,$T782))&amp;"/"&amp;MONTH(INDEX(firmadas!$F:$F,$T782))&amp;"/"&amp;YEAR(INDEX(firmadas!$F:$F,$T782)))&amp;")",IF($G782&lt;&gt;INDEX(firmadas!$E:$E,$T782),"INGRESO DISTINTO EN firmadas ("&amp;IF(INDEX(firmadas!$E:$E,$T782)="","vacía",DAY(INDEX(firmadas!$E:$E,$T782))&amp;"/"&amp;MONTH(INDEX(firmadas!$E:$E,$T782))&amp;"/"&amp;YEAR(INDEX(firmadas!$E:$E,$T782)))&amp;")","OK"))))))))</f>
        <v/>
      </c>
      <c r="T782" t="str">
        <f ca="1">IF($P782="","",IFERROR(MATCH($P782,firmadas!$N:$N,0),IFERROR(MATCH("*/"&amp;MID($P782,FIND(" ",$P782)+1,9)&amp;"*",firmadas!$B:$B,0),0)))</f>
        <v/>
      </c>
    </row>
    <row r="783" spans="14:20" ht="15" customHeight="1" x14ac:dyDescent="0.25">
      <c r="N783" s="53" t="str">
        <f t="shared" ca="1" si="12"/>
        <v/>
      </c>
      <c r="P783" t="str">
        <f ca="1">IF(TRIM(SUBSTITUTE(($C783&amp;" "&amp;$D783),CHAR(160)," "))="","",IFERROR(IF(ISNUMBER(SEARCH("INC",($C783&amp;" "&amp;$D783))),"INC",IF(ISNUMBER(SEARCH("OPI",($C783&amp;" "&amp;$D783))),"OPI",IF(ISNUMBER(SEARCH("DP",($C783&amp;" "&amp;$D783))),"DP","CONC")))&amp;" "&amp;TEXT(LOOKUP(9.99E+307,--MID(SUBSTITUTE(($C783&amp;" "&amp;$D783),CHAR(160)," "),SUMPRODUCT(MIN(FIND({0,1,2,3,4,5,6,7,8,9},SUBSTITUTE(($C783&amp;" "&amp;$D783),CHAR(160)," ")&amp;"0123456789"))),ROW(INDIRECT("1:6")))),"0"),"SIN NUMERO"))</f>
        <v/>
      </c>
      <c r="Q783" t="str">
        <f ca="1">IF($P783="","",IF(LEFT(UPPER($S783),9)="VERIFICAR","VERIFICAR",IF($A783="","SIN ESTADO",IF(AND($A783="Firmada",$H783=""),"FALTA FECHA DE FIRMA",IF(N($T783)=0,IF(AND(ISNUMBER($H783),$H783&gt;=DATE(2024,1,1)),"FALTA EN FIRMADAS","OK"),IF(OR($A783="Pendiente de presentación",$A783="Observado",$A783="En análisis",$A783="En instrucción",$A783="Suspendida",$A783="IT circulando",$A783="Para resolución",$A783="TDC"),"ABIERTA PERO ESTÁ EN FIRMADAS",IF($H783&lt;&gt;INDEX(firmadas!$F:$F,$T783),"FIRMA DISTINTA EN firmadas ("&amp;IF(INDEX(firmadas!$F:$F,$T783)="","vacía",DAY(INDEX(firmadas!$F:$F,$T783))&amp;"/"&amp;MONTH(INDEX(firmadas!$F:$F,$T783))&amp;"/"&amp;YEAR(INDEX(firmadas!$F:$F,$T783)))&amp;")",IF($G783&lt;&gt;INDEX(firmadas!$E:$E,$T783),"INGRESO DISTINTO EN firmadas ("&amp;IF(INDEX(firmadas!$E:$E,$T783)="","vacía",DAY(INDEX(firmadas!$E:$E,$T783))&amp;"/"&amp;MONTH(INDEX(firmadas!$E:$E,$T783))&amp;"/"&amp;YEAR(INDEX(firmadas!$E:$E,$T783)))&amp;")","OK"))))))))</f>
        <v/>
      </c>
      <c r="T783" t="str">
        <f ca="1">IF($P783="","",IFERROR(MATCH($P783,firmadas!$N:$N,0),IFERROR(MATCH("*/"&amp;MID($P783,FIND(" ",$P783)+1,9)&amp;"*",firmadas!$B:$B,0),0)))</f>
        <v/>
      </c>
    </row>
    <row r="784" spans="14:20" ht="15" customHeight="1" x14ac:dyDescent="0.25">
      <c r="N784" s="53" t="str">
        <f t="shared" ca="1" si="12"/>
        <v/>
      </c>
      <c r="P784" t="str">
        <f ca="1">IF(TRIM(SUBSTITUTE(($C784&amp;" "&amp;$D784),CHAR(160)," "))="","",IFERROR(IF(ISNUMBER(SEARCH("INC",($C784&amp;" "&amp;$D784))),"INC",IF(ISNUMBER(SEARCH("OPI",($C784&amp;" "&amp;$D784))),"OPI",IF(ISNUMBER(SEARCH("DP",($C784&amp;" "&amp;$D784))),"DP","CONC")))&amp;" "&amp;TEXT(LOOKUP(9.99E+307,--MID(SUBSTITUTE(($C784&amp;" "&amp;$D784),CHAR(160)," "),SUMPRODUCT(MIN(FIND({0,1,2,3,4,5,6,7,8,9},SUBSTITUTE(($C784&amp;" "&amp;$D784),CHAR(160)," ")&amp;"0123456789"))),ROW(INDIRECT("1:6")))),"0"),"SIN NUMERO"))</f>
        <v/>
      </c>
      <c r="Q784" t="str">
        <f ca="1">IF($P784="","",IF(LEFT(UPPER($S784),9)="VERIFICAR","VERIFICAR",IF($A784="","SIN ESTADO",IF(AND($A784="Firmada",$H784=""),"FALTA FECHA DE FIRMA",IF(N($T784)=0,IF(AND(ISNUMBER($H784),$H784&gt;=DATE(2024,1,1)),"FALTA EN FIRMADAS","OK"),IF(OR($A784="Pendiente de presentación",$A784="Observado",$A784="En análisis",$A784="En instrucción",$A784="Suspendida",$A784="IT circulando",$A784="Para resolución",$A784="TDC"),"ABIERTA PERO ESTÁ EN FIRMADAS",IF($H784&lt;&gt;INDEX(firmadas!$F:$F,$T784),"FIRMA DISTINTA EN firmadas ("&amp;IF(INDEX(firmadas!$F:$F,$T784)="","vacía",DAY(INDEX(firmadas!$F:$F,$T784))&amp;"/"&amp;MONTH(INDEX(firmadas!$F:$F,$T784))&amp;"/"&amp;YEAR(INDEX(firmadas!$F:$F,$T784)))&amp;")",IF($G784&lt;&gt;INDEX(firmadas!$E:$E,$T784),"INGRESO DISTINTO EN firmadas ("&amp;IF(INDEX(firmadas!$E:$E,$T784)="","vacía",DAY(INDEX(firmadas!$E:$E,$T784))&amp;"/"&amp;MONTH(INDEX(firmadas!$E:$E,$T784))&amp;"/"&amp;YEAR(INDEX(firmadas!$E:$E,$T784)))&amp;")","OK"))))))))</f>
        <v/>
      </c>
      <c r="T784" t="str">
        <f ca="1">IF($P784="","",IFERROR(MATCH($P784,firmadas!$N:$N,0),IFERROR(MATCH("*/"&amp;MID($P784,FIND(" ",$P784)+1,9)&amp;"*",firmadas!$B:$B,0),0)))</f>
        <v/>
      </c>
    </row>
    <row r="785" spans="14:20" ht="15" customHeight="1" x14ac:dyDescent="0.25">
      <c r="N785" s="53" t="str">
        <f t="shared" ca="1" si="12"/>
        <v/>
      </c>
      <c r="P785" t="str">
        <f ca="1">IF(TRIM(SUBSTITUTE(($C785&amp;" "&amp;$D785),CHAR(160)," "))="","",IFERROR(IF(ISNUMBER(SEARCH("INC",($C785&amp;" "&amp;$D785))),"INC",IF(ISNUMBER(SEARCH("OPI",($C785&amp;" "&amp;$D785))),"OPI",IF(ISNUMBER(SEARCH("DP",($C785&amp;" "&amp;$D785))),"DP","CONC")))&amp;" "&amp;TEXT(LOOKUP(9.99E+307,--MID(SUBSTITUTE(($C785&amp;" "&amp;$D785),CHAR(160)," "),SUMPRODUCT(MIN(FIND({0,1,2,3,4,5,6,7,8,9},SUBSTITUTE(($C785&amp;" "&amp;$D785),CHAR(160)," ")&amp;"0123456789"))),ROW(INDIRECT("1:6")))),"0"),"SIN NUMERO"))</f>
        <v/>
      </c>
      <c r="Q785" t="str">
        <f ca="1">IF($P785="","",IF(LEFT(UPPER($S785),9)="VERIFICAR","VERIFICAR",IF($A785="","SIN ESTADO",IF(AND($A785="Firmada",$H785=""),"FALTA FECHA DE FIRMA",IF(N($T785)=0,IF(AND(ISNUMBER($H785),$H785&gt;=DATE(2024,1,1)),"FALTA EN FIRMADAS","OK"),IF(OR($A785="Pendiente de presentación",$A785="Observado",$A785="En análisis",$A785="En instrucción",$A785="Suspendida",$A785="IT circulando",$A785="Para resolución",$A785="TDC"),"ABIERTA PERO ESTÁ EN FIRMADAS",IF($H785&lt;&gt;INDEX(firmadas!$F:$F,$T785),"FIRMA DISTINTA EN firmadas ("&amp;IF(INDEX(firmadas!$F:$F,$T785)="","vacía",DAY(INDEX(firmadas!$F:$F,$T785))&amp;"/"&amp;MONTH(INDEX(firmadas!$F:$F,$T785))&amp;"/"&amp;YEAR(INDEX(firmadas!$F:$F,$T785)))&amp;")",IF($G785&lt;&gt;INDEX(firmadas!$E:$E,$T785),"INGRESO DISTINTO EN firmadas ("&amp;IF(INDEX(firmadas!$E:$E,$T785)="","vacía",DAY(INDEX(firmadas!$E:$E,$T785))&amp;"/"&amp;MONTH(INDEX(firmadas!$E:$E,$T785))&amp;"/"&amp;YEAR(INDEX(firmadas!$E:$E,$T785)))&amp;")","OK"))))))))</f>
        <v/>
      </c>
      <c r="T785" t="str">
        <f ca="1">IF($P785="","",IFERROR(MATCH($P785,firmadas!$N:$N,0),IFERROR(MATCH("*/"&amp;MID($P785,FIND(" ",$P785)+1,9)&amp;"*",firmadas!$B:$B,0),0)))</f>
        <v/>
      </c>
    </row>
    <row r="786" spans="14:20" ht="15" customHeight="1" x14ac:dyDescent="0.25">
      <c r="N786" s="53" t="str">
        <f t="shared" ca="1" si="12"/>
        <v/>
      </c>
      <c r="P786" t="str">
        <f ca="1">IF(TRIM(SUBSTITUTE(($C786&amp;" "&amp;$D786),CHAR(160)," "))="","",IFERROR(IF(ISNUMBER(SEARCH("INC",($C786&amp;" "&amp;$D786))),"INC",IF(ISNUMBER(SEARCH("OPI",($C786&amp;" "&amp;$D786))),"OPI",IF(ISNUMBER(SEARCH("DP",($C786&amp;" "&amp;$D786))),"DP","CONC")))&amp;" "&amp;TEXT(LOOKUP(9.99E+307,--MID(SUBSTITUTE(($C786&amp;" "&amp;$D786),CHAR(160)," "),SUMPRODUCT(MIN(FIND({0,1,2,3,4,5,6,7,8,9},SUBSTITUTE(($C786&amp;" "&amp;$D786),CHAR(160)," ")&amp;"0123456789"))),ROW(INDIRECT("1:6")))),"0"),"SIN NUMERO"))</f>
        <v/>
      </c>
      <c r="Q786" t="str">
        <f ca="1">IF($P786="","",IF(LEFT(UPPER($S786),9)="VERIFICAR","VERIFICAR",IF($A786="","SIN ESTADO",IF(AND($A786="Firmada",$H786=""),"FALTA FECHA DE FIRMA",IF(N($T786)=0,IF(AND(ISNUMBER($H786),$H786&gt;=DATE(2024,1,1)),"FALTA EN FIRMADAS","OK"),IF(OR($A786="Pendiente de presentación",$A786="Observado",$A786="En análisis",$A786="En instrucción",$A786="Suspendida",$A786="IT circulando",$A786="Para resolución",$A786="TDC"),"ABIERTA PERO ESTÁ EN FIRMADAS",IF($H786&lt;&gt;INDEX(firmadas!$F:$F,$T786),"FIRMA DISTINTA EN firmadas ("&amp;IF(INDEX(firmadas!$F:$F,$T786)="","vacía",DAY(INDEX(firmadas!$F:$F,$T786))&amp;"/"&amp;MONTH(INDEX(firmadas!$F:$F,$T786))&amp;"/"&amp;YEAR(INDEX(firmadas!$F:$F,$T786)))&amp;")",IF($G786&lt;&gt;INDEX(firmadas!$E:$E,$T786),"INGRESO DISTINTO EN firmadas ("&amp;IF(INDEX(firmadas!$E:$E,$T786)="","vacía",DAY(INDEX(firmadas!$E:$E,$T786))&amp;"/"&amp;MONTH(INDEX(firmadas!$E:$E,$T786))&amp;"/"&amp;YEAR(INDEX(firmadas!$E:$E,$T786)))&amp;")","OK"))))))))</f>
        <v/>
      </c>
      <c r="T786" t="str">
        <f ca="1">IF($P786="","",IFERROR(MATCH($P786,firmadas!$N:$N,0),IFERROR(MATCH("*/"&amp;MID($P786,FIND(" ",$P786)+1,9)&amp;"*",firmadas!$B:$B,0),0)))</f>
        <v/>
      </c>
    </row>
    <row r="787" spans="14:20" ht="15" customHeight="1" x14ac:dyDescent="0.25">
      <c r="N787" s="53" t="str">
        <f t="shared" ca="1" si="12"/>
        <v/>
      </c>
      <c r="P787" t="str">
        <f ca="1">IF(TRIM(SUBSTITUTE(($C787&amp;" "&amp;$D787),CHAR(160)," "))="","",IFERROR(IF(ISNUMBER(SEARCH("INC",($C787&amp;" "&amp;$D787))),"INC",IF(ISNUMBER(SEARCH("OPI",($C787&amp;" "&amp;$D787))),"OPI",IF(ISNUMBER(SEARCH("DP",($C787&amp;" "&amp;$D787))),"DP","CONC")))&amp;" "&amp;TEXT(LOOKUP(9.99E+307,--MID(SUBSTITUTE(($C787&amp;" "&amp;$D787),CHAR(160)," "),SUMPRODUCT(MIN(FIND({0,1,2,3,4,5,6,7,8,9},SUBSTITUTE(($C787&amp;" "&amp;$D787),CHAR(160)," ")&amp;"0123456789"))),ROW(INDIRECT("1:6")))),"0"),"SIN NUMERO"))</f>
        <v/>
      </c>
      <c r="Q787" t="str">
        <f ca="1">IF($P787="","",IF(LEFT(UPPER($S787),9)="VERIFICAR","VERIFICAR",IF($A787="","SIN ESTADO",IF(AND($A787="Firmada",$H787=""),"FALTA FECHA DE FIRMA",IF(N($T787)=0,IF(AND(ISNUMBER($H787),$H787&gt;=DATE(2024,1,1)),"FALTA EN FIRMADAS","OK"),IF(OR($A787="Pendiente de presentación",$A787="Observado",$A787="En análisis",$A787="En instrucción",$A787="Suspendida",$A787="IT circulando",$A787="Para resolución",$A787="TDC"),"ABIERTA PERO ESTÁ EN FIRMADAS",IF($H787&lt;&gt;INDEX(firmadas!$F:$F,$T787),"FIRMA DISTINTA EN firmadas ("&amp;IF(INDEX(firmadas!$F:$F,$T787)="","vacía",DAY(INDEX(firmadas!$F:$F,$T787))&amp;"/"&amp;MONTH(INDEX(firmadas!$F:$F,$T787))&amp;"/"&amp;YEAR(INDEX(firmadas!$F:$F,$T787)))&amp;")",IF($G787&lt;&gt;INDEX(firmadas!$E:$E,$T787),"INGRESO DISTINTO EN firmadas ("&amp;IF(INDEX(firmadas!$E:$E,$T787)="","vacía",DAY(INDEX(firmadas!$E:$E,$T787))&amp;"/"&amp;MONTH(INDEX(firmadas!$E:$E,$T787))&amp;"/"&amp;YEAR(INDEX(firmadas!$E:$E,$T787)))&amp;")","OK"))))))))</f>
        <v/>
      </c>
      <c r="T787" t="str">
        <f ca="1">IF($P787="","",IFERROR(MATCH($P787,firmadas!$N:$N,0),IFERROR(MATCH("*/"&amp;MID($P787,FIND(" ",$P787)+1,9)&amp;"*",firmadas!$B:$B,0),0)))</f>
        <v/>
      </c>
    </row>
    <row r="788" spans="14:20" ht="15" customHeight="1" x14ac:dyDescent="0.25">
      <c r="N788" s="53" t="str">
        <f t="shared" ca="1" si="12"/>
        <v/>
      </c>
      <c r="P788" t="str">
        <f ca="1">IF(TRIM(SUBSTITUTE(($C788&amp;" "&amp;$D788),CHAR(160)," "))="","",IFERROR(IF(ISNUMBER(SEARCH("INC",($C788&amp;" "&amp;$D788))),"INC",IF(ISNUMBER(SEARCH("OPI",($C788&amp;" "&amp;$D788))),"OPI",IF(ISNUMBER(SEARCH("DP",($C788&amp;" "&amp;$D788))),"DP","CONC")))&amp;" "&amp;TEXT(LOOKUP(9.99E+307,--MID(SUBSTITUTE(($C788&amp;" "&amp;$D788),CHAR(160)," "),SUMPRODUCT(MIN(FIND({0,1,2,3,4,5,6,7,8,9},SUBSTITUTE(($C788&amp;" "&amp;$D788),CHAR(160)," ")&amp;"0123456789"))),ROW(INDIRECT("1:6")))),"0"),"SIN NUMERO"))</f>
        <v/>
      </c>
      <c r="Q788" t="str">
        <f ca="1">IF($P788="","",IF(LEFT(UPPER($S788),9)="VERIFICAR","VERIFICAR",IF($A788="","SIN ESTADO",IF(AND($A788="Firmada",$H788=""),"FALTA FECHA DE FIRMA",IF(N($T788)=0,IF(AND(ISNUMBER($H788),$H788&gt;=DATE(2024,1,1)),"FALTA EN FIRMADAS","OK"),IF(OR($A788="Pendiente de presentación",$A788="Observado",$A788="En análisis",$A788="En instrucción",$A788="Suspendida",$A788="IT circulando",$A788="Para resolución",$A788="TDC"),"ABIERTA PERO ESTÁ EN FIRMADAS",IF($H788&lt;&gt;INDEX(firmadas!$F:$F,$T788),"FIRMA DISTINTA EN firmadas ("&amp;IF(INDEX(firmadas!$F:$F,$T788)="","vacía",DAY(INDEX(firmadas!$F:$F,$T788))&amp;"/"&amp;MONTH(INDEX(firmadas!$F:$F,$T788))&amp;"/"&amp;YEAR(INDEX(firmadas!$F:$F,$T788)))&amp;")",IF($G788&lt;&gt;INDEX(firmadas!$E:$E,$T788),"INGRESO DISTINTO EN firmadas ("&amp;IF(INDEX(firmadas!$E:$E,$T788)="","vacía",DAY(INDEX(firmadas!$E:$E,$T788))&amp;"/"&amp;MONTH(INDEX(firmadas!$E:$E,$T788))&amp;"/"&amp;YEAR(INDEX(firmadas!$E:$E,$T788)))&amp;")","OK"))))))))</f>
        <v/>
      </c>
      <c r="T788" t="str">
        <f ca="1">IF($P788="","",IFERROR(MATCH($P788,firmadas!$N:$N,0),IFERROR(MATCH("*/"&amp;MID($P788,FIND(" ",$P788)+1,9)&amp;"*",firmadas!$B:$B,0),0)))</f>
        <v/>
      </c>
    </row>
    <row r="789" spans="14:20" ht="15" customHeight="1" x14ac:dyDescent="0.25">
      <c r="N789" s="53" t="str">
        <f t="shared" ca="1" si="12"/>
        <v/>
      </c>
      <c r="P789" t="str">
        <f ca="1">IF(TRIM(SUBSTITUTE(($C789&amp;" "&amp;$D789),CHAR(160)," "))="","",IFERROR(IF(ISNUMBER(SEARCH("INC",($C789&amp;" "&amp;$D789))),"INC",IF(ISNUMBER(SEARCH("OPI",($C789&amp;" "&amp;$D789))),"OPI",IF(ISNUMBER(SEARCH("DP",($C789&amp;" "&amp;$D789))),"DP","CONC")))&amp;" "&amp;TEXT(LOOKUP(9.99E+307,--MID(SUBSTITUTE(($C789&amp;" "&amp;$D789),CHAR(160)," "),SUMPRODUCT(MIN(FIND({0,1,2,3,4,5,6,7,8,9},SUBSTITUTE(($C789&amp;" "&amp;$D789),CHAR(160)," ")&amp;"0123456789"))),ROW(INDIRECT("1:6")))),"0"),"SIN NUMERO"))</f>
        <v/>
      </c>
      <c r="Q789" t="str">
        <f ca="1">IF($P789="","",IF(LEFT(UPPER($S789),9)="VERIFICAR","VERIFICAR",IF($A789="","SIN ESTADO",IF(AND($A789="Firmada",$H789=""),"FALTA FECHA DE FIRMA",IF(N($T789)=0,IF(AND(ISNUMBER($H789),$H789&gt;=DATE(2024,1,1)),"FALTA EN FIRMADAS","OK"),IF(OR($A789="Pendiente de presentación",$A789="Observado",$A789="En análisis",$A789="En instrucción",$A789="Suspendida",$A789="IT circulando",$A789="Para resolución",$A789="TDC"),"ABIERTA PERO ESTÁ EN FIRMADAS",IF($H789&lt;&gt;INDEX(firmadas!$F:$F,$T789),"FIRMA DISTINTA EN firmadas ("&amp;IF(INDEX(firmadas!$F:$F,$T789)="","vacía",DAY(INDEX(firmadas!$F:$F,$T789))&amp;"/"&amp;MONTH(INDEX(firmadas!$F:$F,$T789))&amp;"/"&amp;YEAR(INDEX(firmadas!$F:$F,$T789)))&amp;")",IF($G789&lt;&gt;INDEX(firmadas!$E:$E,$T789),"INGRESO DISTINTO EN firmadas ("&amp;IF(INDEX(firmadas!$E:$E,$T789)="","vacía",DAY(INDEX(firmadas!$E:$E,$T789))&amp;"/"&amp;MONTH(INDEX(firmadas!$E:$E,$T789))&amp;"/"&amp;YEAR(INDEX(firmadas!$E:$E,$T789)))&amp;")","OK"))))))))</f>
        <v/>
      </c>
      <c r="T789" t="str">
        <f ca="1">IF($P789="","",IFERROR(MATCH($P789,firmadas!$N:$N,0),IFERROR(MATCH("*/"&amp;MID($P789,FIND(" ",$P789)+1,9)&amp;"*",firmadas!$B:$B,0),0)))</f>
        <v/>
      </c>
    </row>
    <row r="790" spans="14:20" ht="15" customHeight="1" x14ac:dyDescent="0.25">
      <c r="N790" s="53" t="str">
        <f t="shared" ca="1" si="12"/>
        <v/>
      </c>
      <c r="P790" t="str">
        <f ca="1">IF(TRIM(SUBSTITUTE(($C790&amp;" "&amp;$D790),CHAR(160)," "))="","",IFERROR(IF(ISNUMBER(SEARCH("INC",($C790&amp;" "&amp;$D790))),"INC",IF(ISNUMBER(SEARCH("OPI",($C790&amp;" "&amp;$D790))),"OPI",IF(ISNUMBER(SEARCH("DP",($C790&amp;" "&amp;$D790))),"DP","CONC")))&amp;" "&amp;TEXT(LOOKUP(9.99E+307,--MID(SUBSTITUTE(($C790&amp;" "&amp;$D790),CHAR(160)," "),SUMPRODUCT(MIN(FIND({0,1,2,3,4,5,6,7,8,9},SUBSTITUTE(($C790&amp;" "&amp;$D790),CHAR(160)," ")&amp;"0123456789"))),ROW(INDIRECT("1:6")))),"0"),"SIN NUMERO"))</f>
        <v/>
      </c>
      <c r="Q790" t="str">
        <f ca="1">IF($P790="","",IF(LEFT(UPPER($S790),9)="VERIFICAR","VERIFICAR",IF($A790="","SIN ESTADO",IF(AND($A790="Firmada",$H790=""),"FALTA FECHA DE FIRMA",IF(N($T790)=0,IF(AND(ISNUMBER($H790),$H790&gt;=DATE(2024,1,1)),"FALTA EN FIRMADAS","OK"),IF(OR($A790="Pendiente de presentación",$A790="Observado",$A790="En análisis",$A790="En instrucción",$A790="Suspendida",$A790="IT circulando",$A790="Para resolución",$A790="TDC"),"ABIERTA PERO ESTÁ EN FIRMADAS",IF($H790&lt;&gt;INDEX(firmadas!$F:$F,$T790),"FIRMA DISTINTA EN firmadas ("&amp;IF(INDEX(firmadas!$F:$F,$T790)="","vacía",DAY(INDEX(firmadas!$F:$F,$T790))&amp;"/"&amp;MONTH(INDEX(firmadas!$F:$F,$T790))&amp;"/"&amp;YEAR(INDEX(firmadas!$F:$F,$T790)))&amp;")",IF($G790&lt;&gt;INDEX(firmadas!$E:$E,$T790),"INGRESO DISTINTO EN firmadas ("&amp;IF(INDEX(firmadas!$E:$E,$T790)="","vacía",DAY(INDEX(firmadas!$E:$E,$T790))&amp;"/"&amp;MONTH(INDEX(firmadas!$E:$E,$T790))&amp;"/"&amp;YEAR(INDEX(firmadas!$E:$E,$T790)))&amp;")","OK"))))))))</f>
        <v/>
      </c>
      <c r="T790" t="str">
        <f ca="1">IF($P790="","",IFERROR(MATCH($P790,firmadas!$N:$N,0),IFERROR(MATCH("*/"&amp;MID($P790,FIND(" ",$P790)+1,9)&amp;"*",firmadas!$B:$B,0),0)))</f>
        <v/>
      </c>
    </row>
    <row r="791" spans="14:20" ht="15" customHeight="1" x14ac:dyDescent="0.25">
      <c r="N791" s="53" t="str">
        <f t="shared" ca="1" si="12"/>
        <v/>
      </c>
      <c r="P791" t="str">
        <f ca="1">IF(TRIM(SUBSTITUTE(($C791&amp;" "&amp;$D791),CHAR(160)," "))="","",IFERROR(IF(ISNUMBER(SEARCH("INC",($C791&amp;" "&amp;$D791))),"INC",IF(ISNUMBER(SEARCH("OPI",($C791&amp;" "&amp;$D791))),"OPI",IF(ISNUMBER(SEARCH("DP",($C791&amp;" "&amp;$D791))),"DP","CONC")))&amp;" "&amp;TEXT(LOOKUP(9.99E+307,--MID(SUBSTITUTE(($C791&amp;" "&amp;$D791),CHAR(160)," "),SUMPRODUCT(MIN(FIND({0,1,2,3,4,5,6,7,8,9},SUBSTITUTE(($C791&amp;" "&amp;$D791),CHAR(160)," ")&amp;"0123456789"))),ROW(INDIRECT("1:6")))),"0"),"SIN NUMERO"))</f>
        <v/>
      </c>
      <c r="Q791" t="str">
        <f ca="1">IF($P791="","",IF(LEFT(UPPER($S791),9)="VERIFICAR","VERIFICAR",IF($A791="","SIN ESTADO",IF(AND($A791="Firmada",$H791=""),"FALTA FECHA DE FIRMA",IF(N($T791)=0,IF(AND(ISNUMBER($H791),$H791&gt;=DATE(2024,1,1)),"FALTA EN FIRMADAS","OK"),IF(OR($A791="Pendiente de presentación",$A791="Observado",$A791="En análisis",$A791="En instrucción",$A791="Suspendida",$A791="IT circulando",$A791="Para resolución",$A791="TDC"),"ABIERTA PERO ESTÁ EN FIRMADAS",IF($H791&lt;&gt;INDEX(firmadas!$F:$F,$T791),"FIRMA DISTINTA EN firmadas ("&amp;IF(INDEX(firmadas!$F:$F,$T791)="","vacía",DAY(INDEX(firmadas!$F:$F,$T791))&amp;"/"&amp;MONTH(INDEX(firmadas!$F:$F,$T791))&amp;"/"&amp;YEAR(INDEX(firmadas!$F:$F,$T791)))&amp;")",IF($G791&lt;&gt;INDEX(firmadas!$E:$E,$T791),"INGRESO DISTINTO EN firmadas ("&amp;IF(INDEX(firmadas!$E:$E,$T791)="","vacía",DAY(INDEX(firmadas!$E:$E,$T791))&amp;"/"&amp;MONTH(INDEX(firmadas!$E:$E,$T791))&amp;"/"&amp;YEAR(INDEX(firmadas!$E:$E,$T791)))&amp;")","OK"))))))))</f>
        <v/>
      </c>
      <c r="T791" t="str">
        <f ca="1">IF($P791="","",IFERROR(MATCH($P791,firmadas!$N:$N,0),IFERROR(MATCH("*/"&amp;MID($P791,FIND(" ",$P791)+1,9)&amp;"*",firmadas!$B:$B,0),0)))</f>
        <v/>
      </c>
    </row>
    <row r="792" spans="14:20" ht="15" customHeight="1" x14ac:dyDescent="0.25">
      <c r="N792" s="53" t="str">
        <f t="shared" ca="1" si="12"/>
        <v/>
      </c>
      <c r="P792" t="str">
        <f ca="1">IF(TRIM(SUBSTITUTE(($C792&amp;" "&amp;$D792),CHAR(160)," "))="","",IFERROR(IF(ISNUMBER(SEARCH("INC",($C792&amp;" "&amp;$D792))),"INC",IF(ISNUMBER(SEARCH("OPI",($C792&amp;" "&amp;$D792))),"OPI",IF(ISNUMBER(SEARCH("DP",($C792&amp;" "&amp;$D792))),"DP","CONC")))&amp;" "&amp;TEXT(LOOKUP(9.99E+307,--MID(SUBSTITUTE(($C792&amp;" "&amp;$D792),CHAR(160)," "),SUMPRODUCT(MIN(FIND({0,1,2,3,4,5,6,7,8,9},SUBSTITUTE(($C792&amp;" "&amp;$D792),CHAR(160)," ")&amp;"0123456789"))),ROW(INDIRECT("1:6")))),"0"),"SIN NUMERO"))</f>
        <v/>
      </c>
      <c r="Q792" t="str">
        <f ca="1">IF($P792="","",IF(LEFT(UPPER($S792),9)="VERIFICAR","VERIFICAR",IF($A792="","SIN ESTADO",IF(AND($A792="Firmada",$H792=""),"FALTA FECHA DE FIRMA",IF(N($T792)=0,IF(AND(ISNUMBER($H792),$H792&gt;=DATE(2024,1,1)),"FALTA EN FIRMADAS","OK"),IF(OR($A792="Pendiente de presentación",$A792="Observado",$A792="En análisis",$A792="En instrucción",$A792="Suspendida",$A792="IT circulando",$A792="Para resolución",$A792="TDC"),"ABIERTA PERO ESTÁ EN FIRMADAS",IF($H792&lt;&gt;INDEX(firmadas!$F:$F,$T792),"FIRMA DISTINTA EN firmadas ("&amp;IF(INDEX(firmadas!$F:$F,$T792)="","vacía",DAY(INDEX(firmadas!$F:$F,$T792))&amp;"/"&amp;MONTH(INDEX(firmadas!$F:$F,$T792))&amp;"/"&amp;YEAR(INDEX(firmadas!$F:$F,$T792)))&amp;")",IF($G792&lt;&gt;INDEX(firmadas!$E:$E,$T792),"INGRESO DISTINTO EN firmadas ("&amp;IF(INDEX(firmadas!$E:$E,$T792)="","vacía",DAY(INDEX(firmadas!$E:$E,$T792))&amp;"/"&amp;MONTH(INDEX(firmadas!$E:$E,$T792))&amp;"/"&amp;YEAR(INDEX(firmadas!$E:$E,$T792)))&amp;")","OK"))))))))</f>
        <v/>
      </c>
      <c r="T792" t="str">
        <f ca="1">IF($P792="","",IFERROR(MATCH($P792,firmadas!$N:$N,0),IFERROR(MATCH("*/"&amp;MID($P792,FIND(" ",$P792)+1,9)&amp;"*",firmadas!$B:$B,0),0)))</f>
        <v/>
      </c>
    </row>
    <row r="793" spans="14:20" ht="15" customHeight="1" x14ac:dyDescent="0.25">
      <c r="N793" s="53" t="str">
        <f t="shared" ca="1" si="12"/>
        <v/>
      </c>
      <c r="P793" t="str">
        <f ca="1">IF(TRIM(SUBSTITUTE(($C793&amp;" "&amp;$D793),CHAR(160)," "))="","",IFERROR(IF(ISNUMBER(SEARCH("INC",($C793&amp;" "&amp;$D793))),"INC",IF(ISNUMBER(SEARCH("OPI",($C793&amp;" "&amp;$D793))),"OPI",IF(ISNUMBER(SEARCH("DP",($C793&amp;" "&amp;$D793))),"DP","CONC")))&amp;" "&amp;TEXT(LOOKUP(9.99E+307,--MID(SUBSTITUTE(($C793&amp;" "&amp;$D793),CHAR(160)," "),SUMPRODUCT(MIN(FIND({0,1,2,3,4,5,6,7,8,9},SUBSTITUTE(($C793&amp;" "&amp;$D793),CHAR(160)," ")&amp;"0123456789"))),ROW(INDIRECT("1:6")))),"0"),"SIN NUMERO"))</f>
        <v/>
      </c>
      <c r="Q793" t="str">
        <f ca="1">IF($P793="","",IF(LEFT(UPPER($S793),9)="VERIFICAR","VERIFICAR",IF($A793="","SIN ESTADO",IF(AND($A793="Firmada",$H793=""),"FALTA FECHA DE FIRMA",IF(N($T793)=0,IF(AND(ISNUMBER($H793),$H793&gt;=DATE(2024,1,1)),"FALTA EN FIRMADAS","OK"),IF(OR($A793="Pendiente de presentación",$A793="Observado",$A793="En análisis",$A793="En instrucción",$A793="Suspendida",$A793="IT circulando",$A793="Para resolución",$A793="TDC"),"ABIERTA PERO ESTÁ EN FIRMADAS",IF($H793&lt;&gt;INDEX(firmadas!$F:$F,$T793),"FIRMA DISTINTA EN firmadas ("&amp;IF(INDEX(firmadas!$F:$F,$T793)="","vacía",DAY(INDEX(firmadas!$F:$F,$T793))&amp;"/"&amp;MONTH(INDEX(firmadas!$F:$F,$T793))&amp;"/"&amp;YEAR(INDEX(firmadas!$F:$F,$T793)))&amp;")",IF($G793&lt;&gt;INDEX(firmadas!$E:$E,$T793),"INGRESO DISTINTO EN firmadas ("&amp;IF(INDEX(firmadas!$E:$E,$T793)="","vacía",DAY(INDEX(firmadas!$E:$E,$T793))&amp;"/"&amp;MONTH(INDEX(firmadas!$E:$E,$T793))&amp;"/"&amp;YEAR(INDEX(firmadas!$E:$E,$T793)))&amp;")","OK"))))))))</f>
        <v/>
      </c>
      <c r="T793" t="str">
        <f ca="1">IF($P793="","",IFERROR(MATCH($P793,firmadas!$N:$N,0),IFERROR(MATCH("*/"&amp;MID($P793,FIND(" ",$P793)+1,9)&amp;"*",firmadas!$B:$B,0),0)))</f>
        <v/>
      </c>
    </row>
    <row r="794" spans="14:20" ht="15" customHeight="1" x14ac:dyDescent="0.25">
      <c r="N794" s="53" t="str">
        <f t="shared" ca="1" si="12"/>
        <v/>
      </c>
      <c r="P794" t="str">
        <f ca="1">IF(TRIM(SUBSTITUTE(($C794&amp;" "&amp;$D794),CHAR(160)," "))="","",IFERROR(IF(ISNUMBER(SEARCH("INC",($C794&amp;" "&amp;$D794))),"INC",IF(ISNUMBER(SEARCH("OPI",($C794&amp;" "&amp;$D794))),"OPI",IF(ISNUMBER(SEARCH("DP",($C794&amp;" "&amp;$D794))),"DP","CONC")))&amp;" "&amp;TEXT(LOOKUP(9.99E+307,--MID(SUBSTITUTE(($C794&amp;" "&amp;$D794),CHAR(160)," "),SUMPRODUCT(MIN(FIND({0,1,2,3,4,5,6,7,8,9},SUBSTITUTE(($C794&amp;" "&amp;$D794),CHAR(160)," ")&amp;"0123456789"))),ROW(INDIRECT("1:6")))),"0"),"SIN NUMERO"))</f>
        <v/>
      </c>
      <c r="Q794" t="str">
        <f ca="1">IF($P794="","",IF(LEFT(UPPER($S794),9)="VERIFICAR","VERIFICAR",IF($A794="","SIN ESTADO",IF(AND($A794="Firmada",$H794=""),"FALTA FECHA DE FIRMA",IF(N($T794)=0,IF(AND(ISNUMBER($H794),$H794&gt;=DATE(2024,1,1)),"FALTA EN FIRMADAS","OK"),IF(OR($A794="Pendiente de presentación",$A794="Observado",$A794="En análisis",$A794="En instrucción",$A794="Suspendida",$A794="IT circulando",$A794="Para resolución",$A794="TDC"),"ABIERTA PERO ESTÁ EN FIRMADAS",IF($H794&lt;&gt;INDEX(firmadas!$F:$F,$T794),"FIRMA DISTINTA EN firmadas ("&amp;IF(INDEX(firmadas!$F:$F,$T794)="","vacía",DAY(INDEX(firmadas!$F:$F,$T794))&amp;"/"&amp;MONTH(INDEX(firmadas!$F:$F,$T794))&amp;"/"&amp;YEAR(INDEX(firmadas!$F:$F,$T794)))&amp;")",IF($G794&lt;&gt;INDEX(firmadas!$E:$E,$T794),"INGRESO DISTINTO EN firmadas ("&amp;IF(INDEX(firmadas!$E:$E,$T794)="","vacía",DAY(INDEX(firmadas!$E:$E,$T794))&amp;"/"&amp;MONTH(INDEX(firmadas!$E:$E,$T794))&amp;"/"&amp;YEAR(INDEX(firmadas!$E:$E,$T794)))&amp;")","OK"))))))))</f>
        <v/>
      </c>
      <c r="T794" t="str">
        <f ca="1">IF($P794="","",IFERROR(MATCH($P794,firmadas!$N:$N,0),IFERROR(MATCH("*/"&amp;MID($P794,FIND(" ",$P794)+1,9)&amp;"*",firmadas!$B:$B,0),0)))</f>
        <v/>
      </c>
    </row>
    <row r="795" spans="14:20" ht="15" customHeight="1" x14ac:dyDescent="0.25">
      <c r="N795" s="53" t="str">
        <f t="shared" ca="1" si="12"/>
        <v/>
      </c>
      <c r="P795" t="str">
        <f ca="1">IF(TRIM(SUBSTITUTE(($C795&amp;" "&amp;$D795),CHAR(160)," "))="","",IFERROR(IF(ISNUMBER(SEARCH("INC",($C795&amp;" "&amp;$D795))),"INC",IF(ISNUMBER(SEARCH("OPI",($C795&amp;" "&amp;$D795))),"OPI",IF(ISNUMBER(SEARCH("DP",($C795&amp;" "&amp;$D795))),"DP","CONC")))&amp;" "&amp;TEXT(LOOKUP(9.99E+307,--MID(SUBSTITUTE(($C795&amp;" "&amp;$D795),CHAR(160)," "),SUMPRODUCT(MIN(FIND({0,1,2,3,4,5,6,7,8,9},SUBSTITUTE(($C795&amp;" "&amp;$D795),CHAR(160)," ")&amp;"0123456789"))),ROW(INDIRECT("1:6")))),"0"),"SIN NUMERO"))</f>
        <v/>
      </c>
      <c r="Q795" t="str">
        <f ca="1">IF($P795="","",IF(LEFT(UPPER($S795),9)="VERIFICAR","VERIFICAR",IF($A795="","SIN ESTADO",IF(AND($A795="Firmada",$H795=""),"FALTA FECHA DE FIRMA",IF(N($T795)=0,IF(AND(ISNUMBER($H795),$H795&gt;=DATE(2024,1,1)),"FALTA EN FIRMADAS","OK"),IF(OR($A795="Pendiente de presentación",$A795="Observado",$A795="En análisis",$A795="En instrucción",$A795="Suspendida",$A795="IT circulando",$A795="Para resolución",$A795="TDC"),"ABIERTA PERO ESTÁ EN FIRMADAS",IF($H795&lt;&gt;INDEX(firmadas!$F:$F,$T795),"FIRMA DISTINTA EN firmadas ("&amp;IF(INDEX(firmadas!$F:$F,$T795)="","vacía",DAY(INDEX(firmadas!$F:$F,$T795))&amp;"/"&amp;MONTH(INDEX(firmadas!$F:$F,$T795))&amp;"/"&amp;YEAR(INDEX(firmadas!$F:$F,$T795)))&amp;")",IF($G795&lt;&gt;INDEX(firmadas!$E:$E,$T795),"INGRESO DISTINTO EN firmadas ("&amp;IF(INDEX(firmadas!$E:$E,$T795)="","vacía",DAY(INDEX(firmadas!$E:$E,$T795))&amp;"/"&amp;MONTH(INDEX(firmadas!$E:$E,$T795))&amp;"/"&amp;YEAR(INDEX(firmadas!$E:$E,$T795)))&amp;")","OK"))))))))</f>
        <v/>
      </c>
      <c r="T795" t="str">
        <f ca="1">IF($P795="","",IFERROR(MATCH($P795,firmadas!$N:$N,0),IFERROR(MATCH("*/"&amp;MID($P795,FIND(" ",$P795)+1,9)&amp;"*",firmadas!$B:$B,0),0)))</f>
        <v/>
      </c>
    </row>
    <row r="796" spans="14:20" ht="15" customHeight="1" x14ac:dyDescent="0.25">
      <c r="N796" s="53" t="str">
        <f t="shared" ca="1" si="12"/>
        <v/>
      </c>
      <c r="P796" t="str">
        <f ca="1">IF(TRIM(SUBSTITUTE(($C796&amp;" "&amp;$D796),CHAR(160)," "))="","",IFERROR(IF(ISNUMBER(SEARCH("INC",($C796&amp;" "&amp;$D796))),"INC",IF(ISNUMBER(SEARCH("OPI",($C796&amp;" "&amp;$D796))),"OPI",IF(ISNUMBER(SEARCH("DP",($C796&amp;" "&amp;$D796))),"DP","CONC")))&amp;" "&amp;TEXT(LOOKUP(9.99E+307,--MID(SUBSTITUTE(($C796&amp;" "&amp;$D796),CHAR(160)," "),SUMPRODUCT(MIN(FIND({0,1,2,3,4,5,6,7,8,9},SUBSTITUTE(($C796&amp;" "&amp;$D796),CHAR(160)," ")&amp;"0123456789"))),ROW(INDIRECT("1:6")))),"0"),"SIN NUMERO"))</f>
        <v/>
      </c>
      <c r="Q796" t="str">
        <f ca="1">IF($P796="","",IF(LEFT(UPPER($S796),9)="VERIFICAR","VERIFICAR",IF($A796="","SIN ESTADO",IF(AND($A796="Firmada",$H796=""),"FALTA FECHA DE FIRMA",IF(N($T796)=0,IF(AND(ISNUMBER($H796),$H796&gt;=DATE(2024,1,1)),"FALTA EN FIRMADAS","OK"),IF(OR($A796="Pendiente de presentación",$A796="Observado",$A796="En análisis",$A796="En instrucción",$A796="Suspendida",$A796="IT circulando",$A796="Para resolución",$A796="TDC"),"ABIERTA PERO ESTÁ EN FIRMADAS",IF($H796&lt;&gt;INDEX(firmadas!$F:$F,$T796),"FIRMA DISTINTA EN firmadas ("&amp;IF(INDEX(firmadas!$F:$F,$T796)="","vacía",DAY(INDEX(firmadas!$F:$F,$T796))&amp;"/"&amp;MONTH(INDEX(firmadas!$F:$F,$T796))&amp;"/"&amp;YEAR(INDEX(firmadas!$F:$F,$T796)))&amp;")",IF($G796&lt;&gt;INDEX(firmadas!$E:$E,$T796),"INGRESO DISTINTO EN firmadas ("&amp;IF(INDEX(firmadas!$E:$E,$T796)="","vacía",DAY(INDEX(firmadas!$E:$E,$T796))&amp;"/"&amp;MONTH(INDEX(firmadas!$E:$E,$T796))&amp;"/"&amp;YEAR(INDEX(firmadas!$E:$E,$T796)))&amp;")","OK"))))))))</f>
        <v/>
      </c>
      <c r="T796" t="str">
        <f ca="1">IF($P796="","",IFERROR(MATCH($P796,firmadas!$N:$N,0),IFERROR(MATCH("*/"&amp;MID($P796,FIND(" ",$P796)+1,9)&amp;"*",firmadas!$B:$B,0),0)))</f>
        <v/>
      </c>
    </row>
    <row r="797" spans="14:20" ht="15" customHeight="1" x14ac:dyDescent="0.25">
      <c r="N797" s="53" t="str">
        <f t="shared" ca="1" si="12"/>
        <v/>
      </c>
      <c r="P797" t="str">
        <f ca="1">IF(TRIM(SUBSTITUTE(($C797&amp;" "&amp;$D797),CHAR(160)," "))="","",IFERROR(IF(ISNUMBER(SEARCH("INC",($C797&amp;" "&amp;$D797))),"INC",IF(ISNUMBER(SEARCH("OPI",($C797&amp;" "&amp;$D797))),"OPI",IF(ISNUMBER(SEARCH("DP",($C797&amp;" "&amp;$D797))),"DP","CONC")))&amp;" "&amp;TEXT(LOOKUP(9.99E+307,--MID(SUBSTITUTE(($C797&amp;" "&amp;$D797),CHAR(160)," "),SUMPRODUCT(MIN(FIND({0,1,2,3,4,5,6,7,8,9},SUBSTITUTE(($C797&amp;" "&amp;$D797),CHAR(160)," ")&amp;"0123456789"))),ROW(INDIRECT("1:6")))),"0"),"SIN NUMERO"))</f>
        <v/>
      </c>
      <c r="Q797" t="str">
        <f ca="1">IF($P797="","",IF(LEFT(UPPER($S797),9)="VERIFICAR","VERIFICAR",IF($A797="","SIN ESTADO",IF(AND($A797="Firmada",$H797=""),"FALTA FECHA DE FIRMA",IF(N($T797)=0,IF(AND(ISNUMBER($H797),$H797&gt;=DATE(2024,1,1)),"FALTA EN FIRMADAS","OK"),IF(OR($A797="Pendiente de presentación",$A797="Observado",$A797="En análisis",$A797="En instrucción",$A797="Suspendida",$A797="IT circulando",$A797="Para resolución",$A797="TDC"),"ABIERTA PERO ESTÁ EN FIRMADAS",IF($H797&lt;&gt;INDEX(firmadas!$F:$F,$T797),"FIRMA DISTINTA EN firmadas ("&amp;IF(INDEX(firmadas!$F:$F,$T797)="","vacía",DAY(INDEX(firmadas!$F:$F,$T797))&amp;"/"&amp;MONTH(INDEX(firmadas!$F:$F,$T797))&amp;"/"&amp;YEAR(INDEX(firmadas!$F:$F,$T797)))&amp;")",IF($G797&lt;&gt;INDEX(firmadas!$E:$E,$T797),"INGRESO DISTINTO EN firmadas ("&amp;IF(INDEX(firmadas!$E:$E,$T797)="","vacía",DAY(INDEX(firmadas!$E:$E,$T797))&amp;"/"&amp;MONTH(INDEX(firmadas!$E:$E,$T797))&amp;"/"&amp;YEAR(INDEX(firmadas!$E:$E,$T797)))&amp;")","OK"))))))))</f>
        <v/>
      </c>
      <c r="T797" t="str">
        <f ca="1">IF($P797="","",IFERROR(MATCH($P797,firmadas!$N:$N,0),IFERROR(MATCH("*/"&amp;MID($P797,FIND(" ",$P797)+1,9)&amp;"*",firmadas!$B:$B,0),0)))</f>
        <v/>
      </c>
    </row>
    <row r="798" spans="14:20" ht="15" customHeight="1" x14ac:dyDescent="0.25">
      <c r="N798" s="53" t="str">
        <f t="shared" ca="1" si="12"/>
        <v/>
      </c>
      <c r="P798" t="str">
        <f ca="1">IF(TRIM(SUBSTITUTE(($C798&amp;" "&amp;$D798),CHAR(160)," "))="","",IFERROR(IF(ISNUMBER(SEARCH("INC",($C798&amp;" "&amp;$D798))),"INC",IF(ISNUMBER(SEARCH("OPI",($C798&amp;" "&amp;$D798))),"OPI",IF(ISNUMBER(SEARCH("DP",($C798&amp;" "&amp;$D798))),"DP","CONC")))&amp;" "&amp;TEXT(LOOKUP(9.99E+307,--MID(SUBSTITUTE(($C798&amp;" "&amp;$D798),CHAR(160)," "),SUMPRODUCT(MIN(FIND({0,1,2,3,4,5,6,7,8,9},SUBSTITUTE(($C798&amp;" "&amp;$D798),CHAR(160)," ")&amp;"0123456789"))),ROW(INDIRECT("1:6")))),"0"),"SIN NUMERO"))</f>
        <v/>
      </c>
      <c r="Q798" t="str">
        <f ca="1">IF($P798="","",IF(LEFT(UPPER($S798),9)="VERIFICAR","VERIFICAR",IF($A798="","SIN ESTADO",IF(AND($A798="Firmada",$H798=""),"FALTA FECHA DE FIRMA",IF(N($T798)=0,IF(AND(ISNUMBER($H798),$H798&gt;=DATE(2024,1,1)),"FALTA EN FIRMADAS","OK"),IF(OR($A798="Pendiente de presentación",$A798="Observado",$A798="En análisis",$A798="En instrucción",$A798="Suspendida",$A798="IT circulando",$A798="Para resolución",$A798="TDC"),"ABIERTA PERO ESTÁ EN FIRMADAS",IF($H798&lt;&gt;INDEX(firmadas!$F:$F,$T798),"FIRMA DISTINTA EN firmadas ("&amp;IF(INDEX(firmadas!$F:$F,$T798)="","vacía",DAY(INDEX(firmadas!$F:$F,$T798))&amp;"/"&amp;MONTH(INDEX(firmadas!$F:$F,$T798))&amp;"/"&amp;YEAR(INDEX(firmadas!$F:$F,$T798)))&amp;")",IF($G798&lt;&gt;INDEX(firmadas!$E:$E,$T798),"INGRESO DISTINTO EN firmadas ("&amp;IF(INDEX(firmadas!$E:$E,$T798)="","vacía",DAY(INDEX(firmadas!$E:$E,$T798))&amp;"/"&amp;MONTH(INDEX(firmadas!$E:$E,$T798))&amp;"/"&amp;YEAR(INDEX(firmadas!$E:$E,$T798)))&amp;")","OK"))))))))</f>
        <v/>
      </c>
      <c r="T798" t="str">
        <f ca="1">IF($P798="","",IFERROR(MATCH($P798,firmadas!$N:$N,0),IFERROR(MATCH("*/"&amp;MID($P798,FIND(" ",$P798)+1,9)&amp;"*",firmadas!$B:$B,0),0)))</f>
        <v/>
      </c>
    </row>
    <row r="799" spans="14:20" ht="15" customHeight="1" x14ac:dyDescent="0.25">
      <c r="N799" s="53" t="str">
        <f t="shared" ca="1" si="12"/>
        <v/>
      </c>
      <c r="P799" t="str">
        <f ca="1">IF(TRIM(SUBSTITUTE(($C799&amp;" "&amp;$D799),CHAR(160)," "))="","",IFERROR(IF(ISNUMBER(SEARCH("INC",($C799&amp;" "&amp;$D799))),"INC",IF(ISNUMBER(SEARCH("OPI",($C799&amp;" "&amp;$D799))),"OPI",IF(ISNUMBER(SEARCH("DP",($C799&amp;" "&amp;$D799))),"DP","CONC")))&amp;" "&amp;TEXT(LOOKUP(9.99E+307,--MID(SUBSTITUTE(($C799&amp;" "&amp;$D799),CHAR(160)," "),SUMPRODUCT(MIN(FIND({0,1,2,3,4,5,6,7,8,9},SUBSTITUTE(($C799&amp;" "&amp;$D799),CHAR(160)," ")&amp;"0123456789"))),ROW(INDIRECT("1:6")))),"0"),"SIN NUMERO"))</f>
        <v/>
      </c>
      <c r="Q799" t="str">
        <f ca="1">IF($P799="","",IF(LEFT(UPPER($S799),9)="VERIFICAR","VERIFICAR",IF($A799="","SIN ESTADO",IF(AND($A799="Firmada",$H799=""),"FALTA FECHA DE FIRMA",IF(N($T799)=0,IF(AND(ISNUMBER($H799),$H799&gt;=DATE(2024,1,1)),"FALTA EN FIRMADAS","OK"),IF(OR($A799="Pendiente de presentación",$A799="Observado",$A799="En análisis",$A799="En instrucción",$A799="Suspendida",$A799="IT circulando",$A799="Para resolución",$A799="TDC"),"ABIERTA PERO ESTÁ EN FIRMADAS",IF($H799&lt;&gt;INDEX(firmadas!$F:$F,$T799),"FIRMA DISTINTA EN firmadas ("&amp;IF(INDEX(firmadas!$F:$F,$T799)="","vacía",DAY(INDEX(firmadas!$F:$F,$T799))&amp;"/"&amp;MONTH(INDEX(firmadas!$F:$F,$T799))&amp;"/"&amp;YEAR(INDEX(firmadas!$F:$F,$T799)))&amp;")",IF($G799&lt;&gt;INDEX(firmadas!$E:$E,$T799),"INGRESO DISTINTO EN firmadas ("&amp;IF(INDEX(firmadas!$E:$E,$T799)="","vacía",DAY(INDEX(firmadas!$E:$E,$T799))&amp;"/"&amp;MONTH(INDEX(firmadas!$E:$E,$T799))&amp;"/"&amp;YEAR(INDEX(firmadas!$E:$E,$T799)))&amp;")","OK"))))))))</f>
        <v/>
      </c>
      <c r="T799" t="str">
        <f ca="1">IF($P799="","",IFERROR(MATCH($P799,firmadas!$N:$N,0),IFERROR(MATCH("*/"&amp;MID($P799,FIND(" ",$P799)+1,9)&amp;"*",firmadas!$B:$B,0),0)))</f>
        <v/>
      </c>
    </row>
    <row r="800" spans="14:20" ht="15" customHeight="1" x14ac:dyDescent="0.25">
      <c r="N800" s="53" t="str">
        <f t="shared" ca="1" si="12"/>
        <v/>
      </c>
      <c r="P800" t="str">
        <f ca="1">IF(TRIM(SUBSTITUTE(($C800&amp;" "&amp;$D800),CHAR(160)," "))="","",IFERROR(IF(ISNUMBER(SEARCH("INC",($C800&amp;" "&amp;$D800))),"INC",IF(ISNUMBER(SEARCH("OPI",($C800&amp;" "&amp;$D800))),"OPI",IF(ISNUMBER(SEARCH("DP",($C800&amp;" "&amp;$D800))),"DP","CONC")))&amp;" "&amp;TEXT(LOOKUP(9.99E+307,--MID(SUBSTITUTE(($C800&amp;" "&amp;$D800),CHAR(160)," "),SUMPRODUCT(MIN(FIND({0,1,2,3,4,5,6,7,8,9},SUBSTITUTE(($C800&amp;" "&amp;$D800),CHAR(160)," ")&amp;"0123456789"))),ROW(INDIRECT("1:6")))),"0"),"SIN NUMERO"))</f>
        <v/>
      </c>
      <c r="Q800" t="str">
        <f ca="1">IF($P800="","",IF(LEFT(UPPER($S800),9)="VERIFICAR","VERIFICAR",IF($A800="","SIN ESTADO",IF(AND($A800="Firmada",$H800=""),"FALTA FECHA DE FIRMA",IF(N($T800)=0,IF(AND(ISNUMBER($H800),$H800&gt;=DATE(2024,1,1)),"FALTA EN FIRMADAS","OK"),IF(OR($A800="Pendiente de presentación",$A800="Observado",$A800="En análisis",$A800="En instrucción",$A800="Suspendida",$A800="IT circulando",$A800="Para resolución",$A800="TDC"),"ABIERTA PERO ESTÁ EN FIRMADAS",IF($H800&lt;&gt;INDEX(firmadas!$F:$F,$T800),"FIRMA DISTINTA EN firmadas ("&amp;IF(INDEX(firmadas!$F:$F,$T800)="","vacía",DAY(INDEX(firmadas!$F:$F,$T800))&amp;"/"&amp;MONTH(INDEX(firmadas!$F:$F,$T800))&amp;"/"&amp;YEAR(INDEX(firmadas!$F:$F,$T800)))&amp;")",IF($G800&lt;&gt;INDEX(firmadas!$E:$E,$T800),"INGRESO DISTINTO EN firmadas ("&amp;IF(INDEX(firmadas!$E:$E,$T800)="","vacía",DAY(INDEX(firmadas!$E:$E,$T800))&amp;"/"&amp;MONTH(INDEX(firmadas!$E:$E,$T800))&amp;"/"&amp;YEAR(INDEX(firmadas!$E:$E,$T800)))&amp;")","OK"))))))))</f>
        <v/>
      </c>
      <c r="T800" t="str">
        <f ca="1">IF($P800="","",IFERROR(MATCH($P800,firmadas!$N:$N,0),IFERROR(MATCH("*/"&amp;MID($P800,FIND(" ",$P800)+1,9)&amp;"*",firmadas!$B:$B,0),0)))</f>
        <v/>
      </c>
    </row>
    <row r="801" spans="14:20" ht="15" customHeight="1" x14ac:dyDescent="0.25">
      <c r="N801" s="53" t="str">
        <f t="shared" ca="1" si="12"/>
        <v/>
      </c>
      <c r="P801" t="str">
        <f ca="1">IF(TRIM(SUBSTITUTE(($C801&amp;" "&amp;$D801),CHAR(160)," "))="","",IFERROR(IF(ISNUMBER(SEARCH("INC",($C801&amp;" "&amp;$D801))),"INC",IF(ISNUMBER(SEARCH("OPI",($C801&amp;" "&amp;$D801))),"OPI",IF(ISNUMBER(SEARCH("DP",($C801&amp;" "&amp;$D801))),"DP","CONC")))&amp;" "&amp;TEXT(LOOKUP(9.99E+307,--MID(SUBSTITUTE(($C801&amp;" "&amp;$D801),CHAR(160)," "),SUMPRODUCT(MIN(FIND({0,1,2,3,4,5,6,7,8,9},SUBSTITUTE(($C801&amp;" "&amp;$D801),CHAR(160)," ")&amp;"0123456789"))),ROW(INDIRECT("1:6")))),"0"),"SIN NUMERO"))</f>
        <v/>
      </c>
      <c r="Q801" t="str">
        <f ca="1">IF($P801="","",IF(LEFT(UPPER($S801),9)="VERIFICAR","VERIFICAR",IF($A801="","SIN ESTADO",IF(AND($A801="Firmada",$H801=""),"FALTA FECHA DE FIRMA",IF(N($T801)=0,IF(AND(ISNUMBER($H801),$H801&gt;=DATE(2024,1,1)),"FALTA EN FIRMADAS","OK"),IF(OR($A801="Pendiente de presentación",$A801="Observado",$A801="En análisis",$A801="En instrucción",$A801="Suspendida",$A801="IT circulando",$A801="Para resolución",$A801="TDC"),"ABIERTA PERO ESTÁ EN FIRMADAS",IF($H801&lt;&gt;INDEX(firmadas!$F:$F,$T801),"FIRMA DISTINTA EN firmadas ("&amp;IF(INDEX(firmadas!$F:$F,$T801)="","vacía",DAY(INDEX(firmadas!$F:$F,$T801))&amp;"/"&amp;MONTH(INDEX(firmadas!$F:$F,$T801))&amp;"/"&amp;YEAR(INDEX(firmadas!$F:$F,$T801)))&amp;")",IF($G801&lt;&gt;INDEX(firmadas!$E:$E,$T801),"INGRESO DISTINTO EN firmadas ("&amp;IF(INDEX(firmadas!$E:$E,$T801)="","vacía",DAY(INDEX(firmadas!$E:$E,$T801))&amp;"/"&amp;MONTH(INDEX(firmadas!$E:$E,$T801))&amp;"/"&amp;YEAR(INDEX(firmadas!$E:$E,$T801)))&amp;")","OK"))))))))</f>
        <v/>
      </c>
      <c r="T801" t="str">
        <f ca="1">IF($P801="","",IFERROR(MATCH($P801,firmadas!$N:$N,0),IFERROR(MATCH("*/"&amp;MID($P801,FIND(" ",$P801)+1,9)&amp;"*",firmadas!$B:$B,0),0)))</f>
        <v/>
      </c>
    </row>
    <row r="802" spans="14:20" ht="15" customHeight="1" x14ac:dyDescent="0.25">
      <c r="N802" s="53" t="str">
        <f t="shared" ca="1" si="12"/>
        <v/>
      </c>
      <c r="P802" t="str">
        <f ca="1">IF(TRIM(SUBSTITUTE(($C802&amp;" "&amp;$D802),CHAR(160)," "))="","",IFERROR(IF(ISNUMBER(SEARCH("INC",($C802&amp;" "&amp;$D802))),"INC",IF(ISNUMBER(SEARCH("OPI",($C802&amp;" "&amp;$D802))),"OPI",IF(ISNUMBER(SEARCH("DP",($C802&amp;" "&amp;$D802))),"DP","CONC")))&amp;" "&amp;TEXT(LOOKUP(9.99E+307,--MID(SUBSTITUTE(($C802&amp;" "&amp;$D802),CHAR(160)," "),SUMPRODUCT(MIN(FIND({0,1,2,3,4,5,6,7,8,9},SUBSTITUTE(($C802&amp;" "&amp;$D802),CHAR(160)," ")&amp;"0123456789"))),ROW(INDIRECT("1:6")))),"0"),"SIN NUMERO"))</f>
        <v/>
      </c>
      <c r="Q802" t="str">
        <f ca="1">IF($P802="","",IF(LEFT(UPPER($S802),9)="VERIFICAR","VERIFICAR",IF($A802="","SIN ESTADO",IF(AND($A802="Firmada",$H802=""),"FALTA FECHA DE FIRMA",IF(N($T802)=0,IF(AND(ISNUMBER($H802),$H802&gt;=DATE(2024,1,1)),"FALTA EN FIRMADAS","OK"),IF(OR($A802="Pendiente de presentación",$A802="Observado",$A802="En análisis",$A802="En instrucción",$A802="Suspendida",$A802="IT circulando",$A802="Para resolución",$A802="TDC"),"ABIERTA PERO ESTÁ EN FIRMADAS",IF($H802&lt;&gt;INDEX(firmadas!$F:$F,$T802),"FIRMA DISTINTA EN firmadas ("&amp;IF(INDEX(firmadas!$F:$F,$T802)="","vacía",DAY(INDEX(firmadas!$F:$F,$T802))&amp;"/"&amp;MONTH(INDEX(firmadas!$F:$F,$T802))&amp;"/"&amp;YEAR(INDEX(firmadas!$F:$F,$T802)))&amp;")",IF($G802&lt;&gt;INDEX(firmadas!$E:$E,$T802),"INGRESO DISTINTO EN firmadas ("&amp;IF(INDEX(firmadas!$E:$E,$T802)="","vacía",DAY(INDEX(firmadas!$E:$E,$T802))&amp;"/"&amp;MONTH(INDEX(firmadas!$E:$E,$T802))&amp;"/"&amp;YEAR(INDEX(firmadas!$E:$E,$T802)))&amp;")","OK"))))))))</f>
        <v/>
      </c>
      <c r="T802" t="str">
        <f ca="1">IF($P802="","",IFERROR(MATCH($P802,firmadas!$N:$N,0),IFERROR(MATCH("*/"&amp;MID($P802,FIND(" ",$P802)+1,9)&amp;"*",firmadas!$B:$B,0),0)))</f>
        <v/>
      </c>
    </row>
    <row r="803" spans="14:20" ht="15" customHeight="1" x14ac:dyDescent="0.25">
      <c r="N803" s="53" t="str">
        <f t="shared" ca="1" si="12"/>
        <v/>
      </c>
      <c r="P803" t="str">
        <f ca="1">IF(TRIM(SUBSTITUTE(($C803&amp;" "&amp;$D803),CHAR(160)," "))="","",IFERROR(IF(ISNUMBER(SEARCH("INC",($C803&amp;" "&amp;$D803))),"INC",IF(ISNUMBER(SEARCH("OPI",($C803&amp;" "&amp;$D803))),"OPI",IF(ISNUMBER(SEARCH("DP",($C803&amp;" "&amp;$D803))),"DP","CONC")))&amp;" "&amp;TEXT(LOOKUP(9.99E+307,--MID(SUBSTITUTE(($C803&amp;" "&amp;$D803),CHAR(160)," "),SUMPRODUCT(MIN(FIND({0,1,2,3,4,5,6,7,8,9},SUBSTITUTE(($C803&amp;" "&amp;$D803),CHAR(160)," ")&amp;"0123456789"))),ROW(INDIRECT("1:6")))),"0"),"SIN NUMERO"))</f>
        <v/>
      </c>
      <c r="Q803" t="str">
        <f ca="1">IF($P803="","",IF(LEFT(UPPER($S803),9)="VERIFICAR","VERIFICAR",IF($A803="","SIN ESTADO",IF(AND($A803="Firmada",$H803=""),"FALTA FECHA DE FIRMA",IF(N($T803)=0,IF(AND(ISNUMBER($H803),$H803&gt;=DATE(2024,1,1)),"FALTA EN FIRMADAS","OK"),IF(OR($A803="Pendiente de presentación",$A803="Observado",$A803="En análisis",$A803="En instrucción",$A803="Suspendida",$A803="IT circulando",$A803="Para resolución",$A803="TDC"),"ABIERTA PERO ESTÁ EN FIRMADAS",IF($H803&lt;&gt;INDEX(firmadas!$F:$F,$T803),"FIRMA DISTINTA EN firmadas ("&amp;IF(INDEX(firmadas!$F:$F,$T803)="","vacía",DAY(INDEX(firmadas!$F:$F,$T803))&amp;"/"&amp;MONTH(INDEX(firmadas!$F:$F,$T803))&amp;"/"&amp;YEAR(INDEX(firmadas!$F:$F,$T803)))&amp;")",IF($G803&lt;&gt;INDEX(firmadas!$E:$E,$T803),"INGRESO DISTINTO EN firmadas ("&amp;IF(INDEX(firmadas!$E:$E,$T803)="","vacía",DAY(INDEX(firmadas!$E:$E,$T803))&amp;"/"&amp;MONTH(INDEX(firmadas!$E:$E,$T803))&amp;"/"&amp;YEAR(INDEX(firmadas!$E:$E,$T803)))&amp;")","OK"))))))))</f>
        <v/>
      </c>
      <c r="T803" t="str">
        <f ca="1">IF($P803="","",IFERROR(MATCH($P803,firmadas!$N:$N,0),IFERROR(MATCH("*/"&amp;MID($P803,FIND(" ",$P803)+1,9)&amp;"*",firmadas!$B:$B,0),0)))</f>
        <v/>
      </c>
    </row>
    <row r="804" spans="14:20" ht="15" customHeight="1" x14ac:dyDescent="0.25">
      <c r="N804" s="53" t="str">
        <f t="shared" ca="1" si="12"/>
        <v/>
      </c>
      <c r="P804" t="str">
        <f ca="1">IF(TRIM(SUBSTITUTE(($C804&amp;" "&amp;$D804),CHAR(160)," "))="","",IFERROR(IF(ISNUMBER(SEARCH("INC",($C804&amp;" "&amp;$D804))),"INC",IF(ISNUMBER(SEARCH("OPI",($C804&amp;" "&amp;$D804))),"OPI",IF(ISNUMBER(SEARCH("DP",($C804&amp;" "&amp;$D804))),"DP","CONC")))&amp;" "&amp;TEXT(LOOKUP(9.99E+307,--MID(SUBSTITUTE(($C804&amp;" "&amp;$D804),CHAR(160)," "),SUMPRODUCT(MIN(FIND({0,1,2,3,4,5,6,7,8,9},SUBSTITUTE(($C804&amp;" "&amp;$D804),CHAR(160)," ")&amp;"0123456789"))),ROW(INDIRECT("1:6")))),"0"),"SIN NUMERO"))</f>
        <v/>
      </c>
      <c r="Q804" t="str">
        <f ca="1">IF($P804="","",IF(LEFT(UPPER($S804),9)="VERIFICAR","VERIFICAR",IF($A804="","SIN ESTADO",IF(AND($A804="Firmada",$H804=""),"FALTA FECHA DE FIRMA",IF(N($T804)=0,IF(AND(ISNUMBER($H804),$H804&gt;=DATE(2024,1,1)),"FALTA EN FIRMADAS","OK"),IF(OR($A804="Pendiente de presentación",$A804="Observado",$A804="En análisis",$A804="En instrucción",$A804="Suspendida",$A804="IT circulando",$A804="Para resolución",$A804="TDC"),"ABIERTA PERO ESTÁ EN FIRMADAS",IF($H804&lt;&gt;INDEX(firmadas!$F:$F,$T804),"FIRMA DISTINTA EN firmadas ("&amp;IF(INDEX(firmadas!$F:$F,$T804)="","vacía",DAY(INDEX(firmadas!$F:$F,$T804))&amp;"/"&amp;MONTH(INDEX(firmadas!$F:$F,$T804))&amp;"/"&amp;YEAR(INDEX(firmadas!$F:$F,$T804)))&amp;")",IF($G804&lt;&gt;INDEX(firmadas!$E:$E,$T804),"INGRESO DISTINTO EN firmadas ("&amp;IF(INDEX(firmadas!$E:$E,$T804)="","vacía",DAY(INDEX(firmadas!$E:$E,$T804))&amp;"/"&amp;MONTH(INDEX(firmadas!$E:$E,$T804))&amp;"/"&amp;YEAR(INDEX(firmadas!$E:$E,$T804)))&amp;")","OK"))))))))</f>
        <v/>
      </c>
      <c r="T804" t="str">
        <f ca="1">IF($P804="","",IFERROR(MATCH($P804,firmadas!$N:$N,0),IFERROR(MATCH("*/"&amp;MID($P804,FIND(" ",$P804)+1,9)&amp;"*",firmadas!$B:$B,0),0)))</f>
        <v/>
      </c>
    </row>
    <row r="805" spans="14:20" ht="15" customHeight="1" x14ac:dyDescent="0.25">
      <c r="N805" s="53" t="str">
        <f t="shared" ca="1" si="12"/>
        <v/>
      </c>
      <c r="P805" t="str">
        <f ca="1">IF(TRIM(SUBSTITUTE(($C805&amp;" "&amp;$D805),CHAR(160)," "))="","",IFERROR(IF(ISNUMBER(SEARCH("INC",($C805&amp;" "&amp;$D805))),"INC",IF(ISNUMBER(SEARCH("OPI",($C805&amp;" "&amp;$D805))),"OPI",IF(ISNUMBER(SEARCH("DP",($C805&amp;" "&amp;$D805))),"DP","CONC")))&amp;" "&amp;TEXT(LOOKUP(9.99E+307,--MID(SUBSTITUTE(($C805&amp;" "&amp;$D805),CHAR(160)," "),SUMPRODUCT(MIN(FIND({0,1,2,3,4,5,6,7,8,9},SUBSTITUTE(($C805&amp;" "&amp;$D805),CHAR(160)," ")&amp;"0123456789"))),ROW(INDIRECT("1:6")))),"0"),"SIN NUMERO"))</f>
        <v/>
      </c>
      <c r="Q805" t="str">
        <f ca="1">IF($P805="","",IF(LEFT(UPPER($S805),9)="VERIFICAR","VERIFICAR",IF($A805="","SIN ESTADO",IF(AND($A805="Firmada",$H805=""),"FALTA FECHA DE FIRMA",IF(N($T805)=0,IF(AND(ISNUMBER($H805),$H805&gt;=DATE(2024,1,1)),"FALTA EN FIRMADAS","OK"),IF(OR($A805="Pendiente de presentación",$A805="Observado",$A805="En análisis",$A805="En instrucción",$A805="Suspendida",$A805="IT circulando",$A805="Para resolución",$A805="TDC"),"ABIERTA PERO ESTÁ EN FIRMADAS",IF($H805&lt;&gt;INDEX(firmadas!$F:$F,$T805),"FIRMA DISTINTA EN firmadas ("&amp;IF(INDEX(firmadas!$F:$F,$T805)="","vacía",DAY(INDEX(firmadas!$F:$F,$T805))&amp;"/"&amp;MONTH(INDEX(firmadas!$F:$F,$T805))&amp;"/"&amp;YEAR(INDEX(firmadas!$F:$F,$T805)))&amp;")",IF($G805&lt;&gt;INDEX(firmadas!$E:$E,$T805),"INGRESO DISTINTO EN firmadas ("&amp;IF(INDEX(firmadas!$E:$E,$T805)="","vacía",DAY(INDEX(firmadas!$E:$E,$T805))&amp;"/"&amp;MONTH(INDEX(firmadas!$E:$E,$T805))&amp;"/"&amp;YEAR(INDEX(firmadas!$E:$E,$T805)))&amp;")","OK"))))))))</f>
        <v/>
      </c>
      <c r="T805" t="str">
        <f ca="1">IF($P805="","",IFERROR(MATCH($P805,firmadas!$N:$N,0),IFERROR(MATCH("*/"&amp;MID($P805,FIND(" ",$P805)+1,9)&amp;"*",firmadas!$B:$B,0),0)))</f>
        <v/>
      </c>
    </row>
    <row r="806" spans="14:20" ht="15" customHeight="1" x14ac:dyDescent="0.25">
      <c r="N806" s="53" t="str">
        <f t="shared" ca="1" si="12"/>
        <v/>
      </c>
      <c r="P806" t="str">
        <f ca="1">IF(TRIM(SUBSTITUTE(($C806&amp;" "&amp;$D806),CHAR(160)," "))="","",IFERROR(IF(ISNUMBER(SEARCH("INC",($C806&amp;" "&amp;$D806))),"INC",IF(ISNUMBER(SEARCH("OPI",($C806&amp;" "&amp;$D806))),"OPI",IF(ISNUMBER(SEARCH("DP",($C806&amp;" "&amp;$D806))),"DP","CONC")))&amp;" "&amp;TEXT(LOOKUP(9.99E+307,--MID(SUBSTITUTE(($C806&amp;" "&amp;$D806),CHAR(160)," "),SUMPRODUCT(MIN(FIND({0,1,2,3,4,5,6,7,8,9},SUBSTITUTE(($C806&amp;" "&amp;$D806),CHAR(160)," ")&amp;"0123456789"))),ROW(INDIRECT("1:6")))),"0"),"SIN NUMERO"))</f>
        <v/>
      </c>
      <c r="Q806" t="str">
        <f ca="1">IF($P806="","",IF(LEFT(UPPER($S806),9)="VERIFICAR","VERIFICAR",IF($A806="","SIN ESTADO",IF(AND($A806="Firmada",$H806=""),"FALTA FECHA DE FIRMA",IF(N($T806)=0,IF(AND(ISNUMBER($H806),$H806&gt;=DATE(2024,1,1)),"FALTA EN FIRMADAS","OK"),IF(OR($A806="Pendiente de presentación",$A806="Observado",$A806="En análisis",$A806="En instrucción",$A806="Suspendida",$A806="IT circulando",$A806="Para resolución",$A806="TDC"),"ABIERTA PERO ESTÁ EN FIRMADAS",IF($H806&lt;&gt;INDEX(firmadas!$F:$F,$T806),"FIRMA DISTINTA EN firmadas ("&amp;IF(INDEX(firmadas!$F:$F,$T806)="","vacía",DAY(INDEX(firmadas!$F:$F,$T806))&amp;"/"&amp;MONTH(INDEX(firmadas!$F:$F,$T806))&amp;"/"&amp;YEAR(INDEX(firmadas!$F:$F,$T806)))&amp;")",IF($G806&lt;&gt;INDEX(firmadas!$E:$E,$T806),"INGRESO DISTINTO EN firmadas ("&amp;IF(INDEX(firmadas!$E:$E,$T806)="","vacía",DAY(INDEX(firmadas!$E:$E,$T806))&amp;"/"&amp;MONTH(INDEX(firmadas!$E:$E,$T806))&amp;"/"&amp;YEAR(INDEX(firmadas!$E:$E,$T806)))&amp;")","OK"))))))))</f>
        <v/>
      </c>
      <c r="T806" t="str">
        <f ca="1">IF($P806="","",IFERROR(MATCH($P806,firmadas!$N:$N,0),IFERROR(MATCH("*/"&amp;MID($P806,FIND(" ",$P806)+1,9)&amp;"*",firmadas!$B:$B,0),0)))</f>
        <v/>
      </c>
    </row>
    <row r="807" spans="14:20" ht="15" customHeight="1" x14ac:dyDescent="0.25">
      <c r="N807" s="53" t="str">
        <f t="shared" ca="1" si="12"/>
        <v/>
      </c>
      <c r="P807" t="str">
        <f ca="1">IF(TRIM(SUBSTITUTE(($C807&amp;" "&amp;$D807),CHAR(160)," "))="","",IFERROR(IF(ISNUMBER(SEARCH("INC",($C807&amp;" "&amp;$D807))),"INC",IF(ISNUMBER(SEARCH("OPI",($C807&amp;" "&amp;$D807))),"OPI",IF(ISNUMBER(SEARCH("DP",($C807&amp;" "&amp;$D807))),"DP","CONC")))&amp;" "&amp;TEXT(LOOKUP(9.99E+307,--MID(SUBSTITUTE(($C807&amp;" "&amp;$D807),CHAR(160)," "),SUMPRODUCT(MIN(FIND({0,1,2,3,4,5,6,7,8,9},SUBSTITUTE(($C807&amp;" "&amp;$D807),CHAR(160)," ")&amp;"0123456789"))),ROW(INDIRECT("1:6")))),"0"),"SIN NUMERO"))</f>
        <v/>
      </c>
      <c r="Q807" t="str">
        <f ca="1">IF($P807="","",IF(LEFT(UPPER($S807),9)="VERIFICAR","VERIFICAR",IF($A807="","SIN ESTADO",IF(AND($A807="Firmada",$H807=""),"FALTA FECHA DE FIRMA",IF(N($T807)=0,IF(AND(ISNUMBER($H807),$H807&gt;=DATE(2024,1,1)),"FALTA EN FIRMADAS","OK"),IF(OR($A807="Pendiente de presentación",$A807="Observado",$A807="En análisis",$A807="En instrucción",$A807="Suspendida",$A807="IT circulando",$A807="Para resolución",$A807="TDC"),"ABIERTA PERO ESTÁ EN FIRMADAS",IF($H807&lt;&gt;INDEX(firmadas!$F:$F,$T807),"FIRMA DISTINTA EN firmadas ("&amp;IF(INDEX(firmadas!$F:$F,$T807)="","vacía",DAY(INDEX(firmadas!$F:$F,$T807))&amp;"/"&amp;MONTH(INDEX(firmadas!$F:$F,$T807))&amp;"/"&amp;YEAR(INDEX(firmadas!$F:$F,$T807)))&amp;")",IF($G807&lt;&gt;INDEX(firmadas!$E:$E,$T807),"INGRESO DISTINTO EN firmadas ("&amp;IF(INDEX(firmadas!$E:$E,$T807)="","vacía",DAY(INDEX(firmadas!$E:$E,$T807))&amp;"/"&amp;MONTH(INDEX(firmadas!$E:$E,$T807))&amp;"/"&amp;YEAR(INDEX(firmadas!$E:$E,$T807)))&amp;")","OK"))))))))</f>
        <v/>
      </c>
      <c r="T807" t="str">
        <f ca="1">IF($P807="","",IFERROR(MATCH($P807,firmadas!$N:$N,0),IFERROR(MATCH("*/"&amp;MID($P807,FIND(" ",$P807)+1,9)&amp;"*",firmadas!$B:$B,0),0)))</f>
        <v/>
      </c>
    </row>
    <row r="808" spans="14:20" ht="15" customHeight="1" x14ac:dyDescent="0.25">
      <c r="N808" s="53" t="str">
        <f t="shared" ca="1" si="12"/>
        <v/>
      </c>
      <c r="P808" t="str">
        <f ca="1">IF(TRIM(SUBSTITUTE(($C808&amp;" "&amp;$D808),CHAR(160)," "))="","",IFERROR(IF(ISNUMBER(SEARCH("INC",($C808&amp;" "&amp;$D808))),"INC",IF(ISNUMBER(SEARCH("OPI",($C808&amp;" "&amp;$D808))),"OPI",IF(ISNUMBER(SEARCH("DP",($C808&amp;" "&amp;$D808))),"DP","CONC")))&amp;" "&amp;TEXT(LOOKUP(9.99E+307,--MID(SUBSTITUTE(($C808&amp;" "&amp;$D808),CHAR(160)," "),SUMPRODUCT(MIN(FIND({0,1,2,3,4,5,6,7,8,9},SUBSTITUTE(($C808&amp;" "&amp;$D808),CHAR(160)," ")&amp;"0123456789"))),ROW(INDIRECT("1:6")))),"0"),"SIN NUMERO"))</f>
        <v/>
      </c>
      <c r="Q808" t="str">
        <f ca="1">IF($P808="","",IF(LEFT(UPPER($S808),9)="VERIFICAR","VERIFICAR",IF($A808="","SIN ESTADO",IF(AND($A808="Firmada",$H808=""),"FALTA FECHA DE FIRMA",IF(N($T808)=0,IF(AND(ISNUMBER($H808),$H808&gt;=DATE(2024,1,1)),"FALTA EN FIRMADAS","OK"),IF(OR($A808="Pendiente de presentación",$A808="Observado",$A808="En análisis",$A808="En instrucción",$A808="Suspendida",$A808="IT circulando",$A808="Para resolución",$A808="TDC"),"ABIERTA PERO ESTÁ EN FIRMADAS",IF($H808&lt;&gt;INDEX(firmadas!$F:$F,$T808),"FIRMA DISTINTA EN firmadas ("&amp;IF(INDEX(firmadas!$F:$F,$T808)="","vacía",DAY(INDEX(firmadas!$F:$F,$T808))&amp;"/"&amp;MONTH(INDEX(firmadas!$F:$F,$T808))&amp;"/"&amp;YEAR(INDEX(firmadas!$F:$F,$T808)))&amp;")",IF($G808&lt;&gt;INDEX(firmadas!$E:$E,$T808),"INGRESO DISTINTO EN firmadas ("&amp;IF(INDEX(firmadas!$E:$E,$T808)="","vacía",DAY(INDEX(firmadas!$E:$E,$T808))&amp;"/"&amp;MONTH(INDEX(firmadas!$E:$E,$T808))&amp;"/"&amp;YEAR(INDEX(firmadas!$E:$E,$T808)))&amp;")","OK"))))))))</f>
        <v/>
      </c>
      <c r="T808" t="str">
        <f ca="1">IF($P808="","",IFERROR(MATCH($P808,firmadas!$N:$N,0),IFERROR(MATCH("*/"&amp;MID($P808,FIND(" ",$P808)+1,9)&amp;"*",firmadas!$B:$B,0),0)))</f>
        <v/>
      </c>
    </row>
    <row r="809" spans="14:20" ht="15" customHeight="1" x14ac:dyDescent="0.25">
      <c r="N809" s="53" t="str">
        <f t="shared" ca="1" si="12"/>
        <v/>
      </c>
      <c r="P809" t="str">
        <f ca="1">IF(TRIM(SUBSTITUTE(($C809&amp;" "&amp;$D809),CHAR(160)," "))="","",IFERROR(IF(ISNUMBER(SEARCH("INC",($C809&amp;" "&amp;$D809))),"INC",IF(ISNUMBER(SEARCH("OPI",($C809&amp;" "&amp;$D809))),"OPI",IF(ISNUMBER(SEARCH("DP",($C809&amp;" "&amp;$D809))),"DP","CONC")))&amp;" "&amp;TEXT(LOOKUP(9.99E+307,--MID(SUBSTITUTE(($C809&amp;" "&amp;$D809),CHAR(160)," "),SUMPRODUCT(MIN(FIND({0,1,2,3,4,5,6,7,8,9},SUBSTITUTE(($C809&amp;" "&amp;$D809),CHAR(160)," ")&amp;"0123456789"))),ROW(INDIRECT("1:6")))),"0"),"SIN NUMERO"))</f>
        <v/>
      </c>
      <c r="Q809" t="str">
        <f ca="1">IF($P809="","",IF(LEFT(UPPER($S809),9)="VERIFICAR","VERIFICAR",IF($A809="","SIN ESTADO",IF(AND($A809="Firmada",$H809=""),"FALTA FECHA DE FIRMA",IF(N($T809)=0,IF(AND(ISNUMBER($H809),$H809&gt;=DATE(2024,1,1)),"FALTA EN FIRMADAS","OK"),IF(OR($A809="Pendiente de presentación",$A809="Observado",$A809="En análisis",$A809="En instrucción",$A809="Suspendida",$A809="IT circulando",$A809="Para resolución",$A809="TDC"),"ABIERTA PERO ESTÁ EN FIRMADAS",IF($H809&lt;&gt;INDEX(firmadas!$F:$F,$T809),"FIRMA DISTINTA EN firmadas ("&amp;IF(INDEX(firmadas!$F:$F,$T809)="","vacía",DAY(INDEX(firmadas!$F:$F,$T809))&amp;"/"&amp;MONTH(INDEX(firmadas!$F:$F,$T809))&amp;"/"&amp;YEAR(INDEX(firmadas!$F:$F,$T809)))&amp;")",IF($G809&lt;&gt;INDEX(firmadas!$E:$E,$T809),"INGRESO DISTINTO EN firmadas ("&amp;IF(INDEX(firmadas!$E:$E,$T809)="","vacía",DAY(INDEX(firmadas!$E:$E,$T809))&amp;"/"&amp;MONTH(INDEX(firmadas!$E:$E,$T809))&amp;"/"&amp;YEAR(INDEX(firmadas!$E:$E,$T809)))&amp;")","OK"))))))))</f>
        <v/>
      </c>
      <c r="T809" t="str">
        <f ca="1">IF($P809="","",IFERROR(MATCH($P809,firmadas!$N:$N,0),IFERROR(MATCH("*/"&amp;MID($P809,FIND(" ",$P809)+1,9)&amp;"*",firmadas!$B:$B,0),0)))</f>
        <v/>
      </c>
    </row>
    <row r="810" spans="14:20" ht="15" customHeight="1" x14ac:dyDescent="0.25">
      <c r="N810" s="53" t="str">
        <f t="shared" ca="1" si="12"/>
        <v/>
      </c>
      <c r="P810" t="str">
        <f ca="1">IF(TRIM(SUBSTITUTE(($C810&amp;" "&amp;$D810),CHAR(160)," "))="","",IFERROR(IF(ISNUMBER(SEARCH("INC",($C810&amp;" "&amp;$D810))),"INC",IF(ISNUMBER(SEARCH("OPI",($C810&amp;" "&amp;$D810))),"OPI",IF(ISNUMBER(SEARCH("DP",($C810&amp;" "&amp;$D810))),"DP","CONC")))&amp;" "&amp;TEXT(LOOKUP(9.99E+307,--MID(SUBSTITUTE(($C810&amp;" "&amp;$D810),CHAR(160)," "),SUMPRODUCT(MIN(FIND({0,1,2,3,4,5,6,7,8,9},SUBSTITUTE(($C810&amp;" "&amp;$D810),CHAR(160)," ")&amp;"0123456789"))),ROW(INDIRECT("1:6")))),"0"),"SIN NUMERO"))</f>
        <v/>
      </c>
      <c r="Q810" t="str">
        <f ca="1">IF($P810="","",IF(LEFT(UPPER($S810),9)="VERIFICAR","VERIFICAR",IF($A810="","SIN ESTADO",IF(AND($A810="Firmada",$H810=""),"FALTA FECHA DE FIRMA",IF(N($T810)=0,IF(AND(ISNUMBER($H810),$H810&gt;=DATE(2024,1,1)),"FALTA EN FIRMADAS","OK"),IF(OR($A810="Pendiente de presentación",$A810="Observado",$A810="En análisis",$A810="En instrucción",$A810="Suspendida",$A810="IT circulando",$A810="Para resolución",$A810="TDC"),"ABIERTA PERO ESTÁ EN FIRMADAS",IF($H810&lt;&gt;INDEX(firmadas!$F:$F,$T810),"FIRMA DISTINTA EN firmadas ("&amp;IF(INDEX(firmadas!$F:$F,$T810)="","vacía",DAY(INDEX(firmadas!$F:$F,$T810))&amp;"/"&amp;MONTH(INDEX(firmadas!$F:$F,$T810))&amp;"/"&amp;YEAR(INDEX(firmadas!$F:$F,$T810)))&amp;")",IF($G810&lt;&gt;INDEX(firmadas!$E:$E,$T810),"INGRESO DISTINTO EN firmadas ("&amp;IF(INDEX(firmadas!$E:$E,$T810)="","vacía",DAY(INDEX(firmadas!$E:$E,$T810))&amp;"/"&amp;MONTH(INDEX(firmadas!$E:$E,$T810))&amp;"/"&amp;YEAR(INDEX(firmadas!$E:$E,$T810)))&amp;")","OK"))))))))</f>
        <v/>
      </c>
      <c r="T810" t="str">
        <f ca="1">IF($P810="","",IFERROR(MATCH($P810,firmadas!$N:$N,0),IFERROR(MATCH("*/"&amp;MID($P810,FIND(" ",$P810)+1,9)&amp;"*",firmadas!$B:$B,0),0)))</f>
        <v/>
      </c>
    </row>
    <row r="811" spans="14:20" ht="15" customHeight="1" x14ac:dyDescent="0.25">
      <c r="N811" s="53" t="str">
        <f t="shared" ca="1" si="12"/>
        <v/>
      </c>
      <c r="P811" t="str">
        <f ca="1">IF(TRIM(SUBSTITUTE(($C811&amp;" "&amp;$D811),CHAR(160)," "))="","",IFERROR(IF(ISNUMBER(SEARCH("INC",($C811&amp;" "&amp;$D811))),"INC",IF(ISNUMBER(SEARCH("OPI",($C811&amp;" "&amp;$D811))),"OPI",IF(ISNUMBER(SEARCH("DP",($C811&amp;" "&amp;$D811))),"DP","CONC")))&amp;" "&amp;TEXT(LOOKUP(9.99E+307,--MID(SUBSTITUTE(($C811&amp;" "&amp;$D811),CHAR(160)," "),SUMPRODUCT(MIN(FIND({0,1,2,3,4,5,6,7,8,9},SUBSTITUTE(($C811&amp;" "&amp;$D811),CHAR(160)," ")&amp;"0123456789"))),ROW(INDIRECT("1:6")))),"0"),"SIN NUMERO"))</f>
        <v/>
      </c>
      <c r="Q811" t="str">
        <f ca="1">IF($P811="","",IF(LEFT(UPPER($S811),9)="VERIFICAR","VERIFICAR",IF($A811="","SIN ESTADO",IF(AND($A811="Firmada",$H811=""),"FALTA FECHA DE FIRMA",IF(N($T811)=0,IF(AND(ISNUMBER($H811),$H811&gt;=DATE(2024,1,1)),"FALTA EN FIRMADAS","OK"),IF(OR($A811="Pendiente de presentación",$A811="Observado",$A811="En análisis",$A811="En instrucción",$A811="Suspendida",$A811="IT circulando",$A811="Para resolución",$A811="TDC"),"ABIERTA PERO ESTÁ EN FIRMADAS",IF($H811&lt;&gt;INDEX(firmadas!$F:$F,$T811),"FIRMA DISTINTA EN firmadas ("&amp;IF(INDEX(firmadas!$F:$F,$T811)="","vacía",DAY(INDEX(firmadas!$F:$F,$T811))&amp;"/"&amp;MONTH(INDEX(firmadas!$F:$F,$T811))&amp;"/"&amp;YEAR(INDEX(firmadas!$F:$F,$T811)))&amp;")",IF($G811&lt;&gt;INDEX(firmadas!$E:$E,$T811),"INGRESO DISTINTO EN firmadas ("&amp;IF(INDEX(firmadas!$E:$E,$T811)="","vacía",DAY(INDEX(firmadas!$E:$E,$T811))&amp;"/"&amp;MONTH(INDEX(firmadas!$E:$E,$T811))&amp;"/"&amp;YEAR(INDEX(firmadas!$E:$E,$T811)))&amp;")","OK"))))))))</f>
        <v/>
      </c>
      <c r="T811" t="str">
        <f ca="1">IF($P811="","",IFERROR(MATCH($P811,firmadas!$N:$N,0),IFERROR(MATCH("*/"&amp;MID($P811,FIND(" ",$P811)+1,9)&amp;"*",firmadas!$B:$B,0),0)))</f>
        <v/>
      </c>
    </row>
    <row r="812" spans="14:20" ht="15" customHeight="1" x14ac:dyDescent="0.25">
      <c r="N812" s="53" t="str">
        <f t="shared" ca="1" si="12"/>
        <v/>
      </c>
      <c r="P812" t="str">
        <f ca="1">IF(TRIM(SUBSTITUTE(($C812&amp;" "&amp;$D812),CHAR(160)," "))="","",IFERROR(IF(ISNUMBER(SEARCH("INC",($C812&amp;" "&amp;$D812))),"INC",IF(ISNUMBER(SEARCH("OPI",($C812&amp;" "&amp;$D812))),"OPI",IF(ISNUMBER(SEARCH("DP",($C812&amp;" "&amp;$D812))),"DP","CONC")))&amp;" "&amp;TEXT(LOOKUP(9.99E+307,--MID(SUBSTITUTE(($C812&amp;" "&amp;$D812),CHAR(160)," "),SUMPRODUCT(MIN(FIND({0,1,2,3,4,5,6,7,8,9},SUBSTITUTE(($C812&amp;" "&amp;$D812),CHAR(160)," ")&amp;"0123456789"))),ROW(INDIRECT("1:6")))),"0"),"SIN NUMERO"))</f>
        <v/>
      </c>
      <c r="Q812" t="str">
        <f ca="1">IF($P812="","",IF(LEFT(UPPER($S812),9)="VERIFICAR","VERIFICAR",IF($A812="","SIN ESTADO",IF(AND($A812="Firmada",$H812=""),"FALTA FECHA DE FIRMA",IF(N($T812)=0,IF(AND(ISNUMBER($H812),$H812&gt;=DATE(2024,1,1)),"FALTA EN FIRMADAS","OK"),IF(OR($A812="Pendiente de presentación",$A812="Observado",$A812="En análisis",$A812="En instrucción",$A812="Suspendida",$A812="IT circulando",$A812="Para resolución",$A812="TDC"),"ABIERTA PERO ESTÁ EN FIRMADAS",IF($H812&lt;&gt;INDEX(firmadas!$F:$F,$T812),"FIRMA DISTINTA EN firmadas ("&amp;IF(INDEX(firmadas!$F:$F,$T812)="","vacía",DAY(INDEX(firmadas!$F:$F,$T812))&amp;"/"&amp;MONTH(INDEX(firmadas!$F:$F,$T812))&amp;"/"&amp;YEAR(INDEX(firmadas!$F:$F,$T812)))&amp;")",IF($G812&lt;&gt;INDEX(firmadas!$E:$E,$T812),"INGRESO DISTINTO EN firmadas ("&amp;IF(INDEX(firmadas!$E:$E,$T812)="","vacía",DAY(INDEX(firmadas!$E:$E,$T812))&amp;"/"&amp;MONTH(INDEX(firmadas!$E:$E,$T812))&amp;"/"&amp;YEAR(INDEX(firmadas!$E:$E,$T812)))&amp;")","OK"))))))))</f>
        <v/>
      </c>
      <c r="T812" t="str">
        <f ca="1">IF($P812="","",IFERROR(MATCH($P812,firmadas!$N:$N,0),IFERROR(MATCH("*/"&amp;MID($P812,FIND(" ",$P812)+1,9)&amp;"*",firmadas!$B:$B,0),0)))</f>
        <v/>
      </c>
    </row>
    <row r="813" spans="14:20" ht="15" customHeight="1" x14ac:dyDescent="0.25">
      <c r="N813" s="53" t="str">
        <f t="shared" ca="1" si="12"/>
        <v/>
      </c>
      <c r="P813" t="str">
        <f ca="1">IF(TRIM(SUBSTITUTE(($C813&amp;" "&amp;$D813),CHAR(160)," "))="","",IFERROR(IF(ISNUMBER(SEARCH("INC",($C813&amp;" "&amp;$D813))),"INC",IF(ISNUMBER(SEARCH("OPI",($C813&amp;" "&amp;$D813))),"OPI",IF(ISNUMBER(SEARCH("DP",($C813&amp;" "&amp;$D813))),"DP","CONC")))&amp;" "&amp;TEXT(LOOKUP(9.99E+307,--MID(SUBSTITUTE(($C813&amp;" "&amp;$D813),CHAR(160)," "),SUMPRODUCT(MIN(FIND({0,1,2,3,4,5,6,7,8,9},SUBSTITUTE(($C813&amp;" "&amp;$D813),CHAR(160)," ")&amp;"0123456789"))),ROW(INDIRECT("1:6")))),"0"),"SIN NUMERO"))</f>
        <v/>
      </c>
      <c r="Q813" t="str">
        <f ca="1">IF($P813="","",IF(LEFT(UPPER($S813),9)="VERIFICAR","VERIFICAR",IF($A813="","SIN ESTADO",IF(AND($A813="Firmada",$H813=""),"FALTA FECHA DE FIRMA",IF(N($T813)=0,IF(AND(ISNUMBER($H813),$H813&gt;=DATE(2024,1,1)),"FALTA EN FIRMADAS","OK"),IF(OR($A813="Pendiente de presentación",$A813="Observado",$A813="En análisis",$A813="En instrucción",$A813="Suspendida",$A813="IT circulando",$A813="Para resolución",$A813="TDC"),"ABIERTA PERO ESTÁ EN FIRMADAS",IF($H813&lt;&gt;INDEX(firmadas!$F:$F,$T813),"FIRMA DISTINTA EN firmadas ("&amp;IF(INDEX(firmadas!$F:$F,$T813)="","vacía",DAY(INDEX(firmadas!$F:$F,$T813))&amp;"/"&amp;MONTH(INDEX(firmadas!$F:$F,$T813))&amp;"/"&amp;YEAR(INDEX(firmadas!$F:$F,$T813)))&amp;")",IF($G813&lt;&gt;INDEX(firmadas!$E:$E,$T813),"INGRESO DISTINTO EN firmadas ("&amp;IF(INDEX(firmadas!$E:$E,$T813)="","vacía",DAY(INDEX(firmadas!$E:$E,$T813))&amp;"/"&amp;MONTH(INDEX(firmadas!$E:$E,$T813))&amp;"/"&amp;YEAR(INDEX(firmadas!$E:$E,$T813)))&amp;")","OK"))))))))</f>
        <v/>
      </c>
      <c r="T813" t="str">
        <f ca="1">IF($P813="","",IFERROR(MATCH($P813,firmadas!$N:$N,0),IFERROR(MATCH("*/"&amp;MID($P813,FIND(" ",$P813)+1,9)&amp;"*",firmadas!$B:$B,0),0)))</f>
        <v/>
      </c>
    </row>
    <row r="814" spans="14:20" ht="15" customHeight="1" x14ac:dyDescent="0.25">
      <c r="N814" s="53" t="str">
        <f t="shared" ca="1" si="12"/>
        <v/>
      </c>
      <c r="P814" t="str">
        <f ca="1">IF(TRIM(SUBSTITUTE(($C814&amp;" "&amp;$D814),CHAR(160)," "))="","",IFERROR(IF(ISNUMBER(SEARCH("INC",($C814&amp;" "&amp;$D814))),"INC",IF(ISNUMBER(SEARCH("OPI",($C814&amp;" "&amp;$D814))),"OPI",IF(ISNUMBER(SEARCH("DP",($C814&amp;" "&amp;$D814))),"DP","CONC")))&amp;" "&amp;TEXT(LOOKUP(9.99E+307,--MID(SUBSTITUTE(($C814&amp;" "&amp;$D814),CHAR(160)," "),SUMPRODUCT(MIN(FIND({0,1,2,3,4,5,6,7,8,9},SUBSTITUTE(($C814&amp;" "&amp;$D814),CHAR(160)," ")&amp;"0123456789"))),ROW(INDIRECT("1:6")))),"0"),"SIN NUMERO"))</f>
        <v/>
      </c>
      <c r="Q814" t="str">
        <f ca="1">IF($P814="","",IF(LEFT(UPPER($S814),9)="VERIFICAR","VERIFICAR",IF($A814="","SIN ESTADO",IF(AND($A814="Firmada",$H814=""),"FALTA FECHA DE FIRMA",IF(N($T814)=0,IF(AND(ISNUMBER($H814),$H814&gt;=DATE(2024,1,1)),"FALTA EN FIRMADAS","OK"),IF(OR($A814="Pendiente de presentación",$A814="Observado",$A814="En análisis",$A814="En instrucción",$A814="Suspendida",$A814="IT circulando",$A814="Para resolución",$A814="TDC"),"ABIERTA PERO ESTÁ EN FIRMADAS",IF($H814&lt;&gt;INDEX(firmadas!$F:$F,$T814),"FIRMA DISTINTA EN firmadas ("&amp;IF(INDEX(firmadas!$F:$F,$T814)="","vacía",DAY(INDEX(firmadas!$F:$F,$T814))&amp;"/"&amp;MONTH(INDEX(firmadas!$F:$F,$T814))&amp;"/"&amp;YEAR(INDEX(firmadas!$F:$F,$T814)))&amp;")",IF($G814&lt;&gt;INDEX(firmadas!$E:$E,$T814),"INGRESO DISTINTO EN firmadas ("&amp;IF(INDEX(firmadas!$E:$E,$T814)="","vacía",DAY(INDEX(firmadas!$E:$E,$T814))&amp;"/"&amp;MONTH(INDEX(firmadas!$E:$E,$T814))&amp;"/"&amp;YEAR(INDEX(firmadas!$E:$E,$T814)))&amp;")","OK"))))))))</f>
        <v/>
      </c>
      <c r="T814" t="str">
        <f ca="1">IF($P814="","",IFERROR(MATCH($P814,firmadas!$N:$N,0),IFERROR(MATCH("*/"&amp;MID($P814,FIND(" ",$P814)+1,9)&amp;"*",firmadas!$B:$B,0),0)))</f>
        <v/>
      </c>
    </row>
    <row r="815" spans="14:20" ht="15" customHeight="1" x14ac:dyDescent="0.25">
      <c r="N815" s="53" t="str">
        <f t="shared" ca="1" si="12"/>
        <v/>
      </c>
      <c r="P815" t="str">
        <f ca="1">IF(TRIM(SUBSTITUTE(($C815&amp;" "&amp;$D815),CHAR(160)," "))="","",IFERROR(IF(ISNUMBER(SEARCH("INC",($C815&amp;" "&amp;$D815))),"INC",IF(ISNUMBER(SEARCH("OPI",($C815&amp;" "&amp;$D815))),"OPI",IF(ISNUMBER(SEARCH("DP",($C815&amp;" "&amp;$D815))),"DP","CONC")))&amp;" "&amp;TEXT(LOOKUP(9.99E+307,--MID(SUBSTITUTE(($C815&amp;" "&amp;$D815),CHAR(160)," "),SUMPRODUCT(MIN(FIND({0,1,2,3,4,5,6,7,8,9},SUBSTITUTE(($C815&amp;" "&amp;$D815),CHAR(160)," ")&amp;"0123456789"))),ROW(INDIRECT("1:6")))),"0"),"SIN NUMERO"))</f>
        <v/>
      </c>
      <c r="Q815" t="str">
        <f ca="1">IF($P815="","",IF(LEFT(UPPER($S815),9)="VERIFICAR","VERIFICAR",IF($A815="","SIN ESTADO",IF(AND($A815="Firmada",$H815=""),"FALTA FECHA DE FIRMA",IF(N($T815)=0,IF(AND(ISNUMBER($H815),$H815&gt;=DATE(2024,1,1)),"FALTA EN FIRMADAS","OK"),IF(OR($A815="Pendiente de presentación",$A815="Observado",$A815="En análisis",$A815="En instrucción",$A815="Suspendida",$A815="IT circulando",$A815="Para resolución",$A815="TDC"),"ABIERTA PERO ESTÁ EN FIRMADAS",IF($H815&lt;&gt;INDEX(firmadas!$F:$F,$T815),"FIRMA DISTINTA EN firmadas ("&amp;IF(INDEX(firmadas!$F:$F,$T815)="","vacía",DAY(INDEX(firmadas!$F:$F,$T815))&amp;"/"&amp;MONTH(INDEX(firmadas!$F:$F,$T815))&amp;"/"&amp;YEAR(INDEX(firmadas!$F:$F,$T815)))&amp;")",IF($G815&lt;&gt;INDEX(firmadas!$E:$E,$T815),"INGRESO DISTINTO EN firmadas ("&amp;IF(INDEX(firmadas!$E:$E,$T815)="","vacía",DAY(INDEX(firmadas!$E:$E,$T815))&amp;"/"&amp;MONTH(INDEX(firmadas!$E:$E,$T815))&amp;"/"&amp;YEAR(INDEX(firmadas!$E:$E,$T815)))&amp;")","OK"))))))))</f>
        <v/>
      </c>
      <c r="T815" t="str">
        <f ca="1">IF($P815="","",IFERROR(MATCH($P815,firmadas!$N:$N,0),IFERROR(MATCH("*/"&amp;MID($P815,FIND(" ",$P815)+1,9)&amp;"*",firmadas!$B:$B,0),0)))</f>
        <v/>
      </c>
    </row>
    <row r="816" spans="14:20" ht="15" customHeight="1" x14ac:dyDescent="0.25">
      <c r="N816" s="53" t="str">
        <f t="shared" ca="1" si="12"/>
        <v/>
      </c>
      <c r="P816" t="str">
        <f ca="1">IF(TRIM(SUBSTITUTE(($C816&amp;" "&amp;$D816),CHAR(160)," "))="","",IFERROR(IF(ISNUMBER(SEARCH("INC",($C816&amp;" "&amp;$D816))),"INC",IF(ISNUMBER(SEARCH("OPI",($C816&amp;" "&amp;$D816))),"OPI",IF(ISNUMBER(SEARCH("DP",($C816&amp;" "&amp;$D816))),"DP","CONC")))&amp;" "&amp;TEXT(LOOKUP(9.99E+307,--MID(SUBSTITUTE(($C816&amp;" "&amp;$D816),CHAR(160)," "),SUMPRODUCT(MIN(FIND({0,1,2,3,4,5,6,7,8,9},SUBSTITUTE(($C816&amp;" "&amp;$D816),CHAR(160)," ")&amp;"0123456789"))),ROW(INDIRECT("1:6")))),"0"),"SIN NUMERO"))</f>
        <v/>
      </c>
      <c r="Q816" t="str">
        <f ca="1">IF($P816="","",IF(LEFT(UPPER($S816),9)="VERIFICAR","VERIFICAR",IF($A816="","SIN ESTADO",IF(AND($A816="Firmada",$H816=""),"FALTA FECHA DE FIRMA",IF(N($T816)=0,IF(AND(ISNUMBER($H816),$H816&gt;=DATE(2024,1,1)),"FALTA EN FIRMADAS","OK"),IF(OR($A816="Pendiente de presentación",$A816="Observado",$A816="En análisis",$A816="En instrucción",$A816="Suspendida",$A816="IT circulando",$A816="Para resolución",$A816="TDC"),"ABIERTA PERO ESTÁ EN FIRMADAS",IF($H816&lt;&gt;INDEX(firmadas!$F:$F,$T816),"FIRMA DISTINTA EN firmadas ("&amp;IF(INDEX(firmadas!$F:$F,$T816)="","vacía",DAY(INDEX(firmadas!$F:$F,$T816))&amp;"/"&amp;MONTH(INDEX(firmadas!$F:$F,$T816))&amp;"/"&amp;YEAR(INDEX(firmadas!$F:$F,$T816)))&amp;")",IF($G816&lt;&gt;INDEX(firmadas!$E:$E,$T816),"INGRESO DISTINTO EN firmadas ("&amp;IF(INDEX(firmadas!$E:$E,$T816)="","vacía",DAY(INDEX(firmadas!$E:$E,$T816))&amp;"/"&amp;MONTH(INDEX(firmadas!$E:$E,$T816))&amp;"/"&amp;YEAR(INDEX(firmadas!$E:$E,$T816)))&amp;")","OK"))))))))</f>
        <v/>
      </c>
      <c r="T816" t="str">
        <f ca="1">IF($P816="","",IFERROR(MATCH($P816,firmadas!$N:$N,0),IFERROR(MATCH("*/"&amp;MID($P816,FIND(" ",$P816)+1,9)&amp;"*",firmadas!$B:$B,0),0)))</f>
        <v/>
      </c>
    </row>
    <row r="817" spans="14:20" ht="15" customHeight="1" x14ac:dyDescent="0.25">
      <c r="N817" s="53" t="str">
        <f t="shared" ca="1" si="12"/>
        <v/>
      </c>
      <c r="P817" t="str">
        <f ca="1">IF(TRIM(SUBSTITUTE(($C817&amp;" "&amp;$D817),CHAR(160)," "))="","",IFERROR(IF(ISNUMBER(SEARCH("INC",($C817&amp;" "&amp;$D817))),"INC",IF(ISNUMBER(SEARCH("OPI",($C817&amp;" "&amp;$D817))),"OPI",IF(ISNUMBER(SEARCH("DP",($C817&amp;" "&amp;$D817))),"DP","CONC")))&amp;" "&amp;TEXT(LOOKUP(9.99E+307,--MID(SUBSTITUTE(($C817&amp;" "&amp;$D817),CHAR(160)," "),SUMPRODUCT(MIN(FIND({0,1,2,3,4,5,6,7,8,9},SUBSTITUTE(($C817&amp;" "&amp;$D817),CHAR(160)," ")&amp;"0123456789"))),ROW(INDIRECT("1:6")))),"0"),"SIN NUMERO"))</f>
        <v/>
      </c>
      <c r="Q817" t="str">
        <f ca="1">IF($P817="","",IF(LEFT(UPPER($S817),9)="VERIFICAR","VERIFICAR",IF($A817="","SIN ESTADO",IF(AND($A817="Firmada",$H817=""),"FALTA FECHA DE FIRMA",IF(N($T817)=0,IF(AND(ISNUMBER($H817),$H817&gt;=DATE(2024,1,1)),"FALTA EN FIRMADAS","OK"),IF(OR($A817="Pendiente de presentación",$A817="Observado",$A817="En análisis",$A817="En instrucción",$A817="Suspendida",$A817="IT circulando",$A817="Para resolución",$A817="TDC"),"ABIERTA PERO ESTÁ EN FIRMADAS",IF($H817&lt;&gt;INDEX(firmadas!$F:$F,$T817),"FIRMA DISTINTA EN firmadas ("&amp;IF(INDEX(firmadas!$F:$F,$T817)="","vacía",DAY(INDEX(firmadas!$F:$F,$T817))&amp;"/"&amp;MONTH(INDEX(firmadas!$F:$F,$T817))&amp;"/"&amp;YEAR(INDEX(firmadas!$F:$F,$T817)))&amp;")",IF($G817&lt;&gt;INDEX(firmadas!$E:$E,$T817),"INGRESO DISTINTO EN firmadas ("&amp;IF(INDEX(firmadas!$E:$E,$T817)="","vacía",DAY(INDEX(firmadas!$E:$E,$T817))&amp;"/"&amp;MONTH(INDEX(firmadas!$E:$E,$T817))&amp;"/"&amp;YEAR(INDEX(firmadas!$E:$E,$T817)))&amp;")","OK"))))))))</f>
        <v/>
      </c>
      <c r="T817" t="str">
        <f ca="1">IF($P817="","",IFERROR(MATCH($P817,firmadas!$N:$N,0),IFERROR(MATCH("*/"&amp;MID($P817,FIND(" ",$P817)+1,9)&amp;"*",firmadas!$B:$B,0),0)))</f>
        <v/>
      </c>
    </row>
    <row r="818" spans="14:20" ht="15" customHeight="1" x14ac:dyDescent="0.25">
      <c r="N818" s="53" t="str">
        <f t="shared" ca="1" si="12"/>
        <v/>
      </c>
      <c r="P818" t="str">
        <f ca="1">IF(TRIM(SUBSTITUTE(($C818&amp;" "&amp;$D818),CHAR(160)," "))="","",IFERROR(IF(ISNUMBER(SEARCH("INC",($C818&amp;" "&amp;$D818))),"INC",IF(ISNUMBER(SEARCH("OPI",($C818&amp;" "&amp;$D818))),"OPI",IF(ISNUMBER(SEARCH("DP",($C818&amp;" "&amp;$D818))),"DP","CONC")))&amp;" "&amp;TEXT(LOOKUP(9.99E+307,--MID(SUBSTITUTE(($C818&amp;" "&amp;$D818),CHAR(160)," "),SUMPRODUCT(MIN(FIND({0,1,2,3,4,5,6,7,8,9},SUBSTITUTE(($C818&amp;" "&amp;$D818),CHAR(160)," ")&amp;"0123456789"))),ROW(INDIRECT("1:6")))),"0"),"SIN NUMERO"))</f>
        <v/>
      </c>
      <c r="Q818" t="str">
        <f ca="1">IF($P818="","",IF(LEFT(UPPER($S818),9)="VERIFICAR","VERIFICAR",IF($A818="","SIN ESTADO",IF(AND($A818="Firmada",$H818=""),"FALTA FECHA DE FIRMA",IF(N($T818)=0,IF(AND(ISNUMBER($H818),$H818&gt;=DATE(2024,1,1)),"FALTA EN FIRMADAS","OK"),IF(OR($A818="Pendiente de presentación",$A818="Observado",$A818="En análisis",$A818="En instrucción",$A818="Suspendida",$A818="IT circulando",$A818="Para resolución",$A818="TDC"),"ABIERTA PERO ESTÁ EN FIRMADAS",IF($H818&lt;&gt;INDEX(firmadas!$F:$F,$T818),"FIRMA DISTINTA EN firmadas ("&amp;IF(INDEX(firmadas!$F:$F,$T818)="","vacía",DAY(INDEX(firmadas!$F:$F,$T818))&amp;"/"&amp;MONTH(INDEX(firmadas!$F:$F,$T818))&amp;"/"&amp;YEAR(INDEX(firmadas!$F:$F,$T818)))&amp;")",IF($G818&lt;&gt;INDEX(firmadas!$E:$E,$T818),"INGRESO DISTINTO EN firmadas ("&amp;IF(INDEX(firmadas!$E:$E,$T818)="","vacía",DAY(INDEX(firmadas!$E:$E,$T818))&amp;"/"&amp;MONTH(INDEX(firmadas!$E:$E,$T818))&amp;"/"&amp;YEAR(INDEX(firmadas!$E:$E,$T818)))&amp;")","OK"))))))))</f>
        <v/>
      </c>
      <c r="T818" t="str">
        <f ca="1">IF($P818="","",IFERROR(MATCH($P818,firmadas!$N:$N,0),IFERROR(MATCH("*/"&amp;MID($P818,FIND(" ",$P818)+1,9)&amp;"*",firmadas!$B:$B,0),0)))</f>
        <v/>
      </c>
    </row>
    <row r="819" spans="14:20" ht="15" customHeight="1" x14ac:dyDescent="0.25">
      <c r="N819" s="53" t="str">
        <f t="shared" ca="1" si="12"/>
        <v/>
      </c>
      <c r="P819" t="str">
        <f ca="1">IF(TRIM(SUBSTITUTE(($C819&amp;" "&amp;$D819),CHAR(160)," "))="","",IFERROR(IF(ISNUMBER(SEARCH("INC",($C819&amp;" "&amp;$D819))),"INC",IF(ISNUMBER(SEARCH("OPI",($C819&amp;" "&amp;$D819))),"OPI",IF(ISNUMBER(SEARCH("DP",($C819&amp;" "&amp;$D819))),"DP","CONC")))&amp;" "&amp;TEXT(LOOKUP(9.99E+307,--MID(SUBSTITUTE(($C819&amp;" "&amp;$D819),CHAR(160)," "),SUMPRODUCT(MIN(FIND({0,1,2,3,4,5,6,7,8,9},SUBSTITUTE(($C819&amp;" "&amp;$D819),CHAR(160)," ")&amp;"0123456789"))),ROW(INDIRECT("1:6")))),"0"),"SIN NUMERO"))</f>
        <v/>
      </c>
      <c r="Q819" t="str">
        <f ca="1">IF($P819="","",IF(LEFT(UPPER($S819),9)="VERIFICAR","VERIFICAR",IF($A819="","SIN ESTADO",IF(AND($A819="Firmada",$H819=""),"FALTA FECHA DE FIRMA",IF(N($T819)=0,IF(AND(ISNUMBER($H819),$H819&gt;=DATE(2024,1,1)),"FALTA EN FIRMADAS","OK"),IF(OR($A819="Pendiente de presentación",$A819="Observado",$A819="En análisis",$A819="En instrucción",$A819="Suspendida",$A819="IT circulando",$A819="Para resolución",$A819="TDC"),"ABIERTA PERO ESTÁ EN FIRMADAS",IF($H819&lt;&gt;INDEX(firmadas!$F:$F,$T819),"FIRMA DISTINTA EN firmadas ("&amp;IF(INDEX(firmadas!$F:$F,$T819)="","vacía",DAY(INDEX(firmadas!$F:$F,$T819))&amp;"/"&amp;MONTH(INDEX(firmadas!$F:$F,$T819))&amp;"/"&amp;YEAR(INDEX(firmadas!$F:$F,$T819)))&amp;")",IF($G819&lt;&gt;INDEX(firmadas!$E:$E,$T819),"INGRESO DISTINTO EN firmadas ("&amp;IF(INDEX(firmadas!$E:$E,$T819)="","vacía",DAY(INDEX(firmadas!$E:$E,$T819))&amp;"/"&amp;MONTH(INDEX(firmadas!$E:$E,$T819))&amp;"/"&amp;YEAR(INDEX(firmadas!$E:$E,$T819)))&amp;")","OK"))))))))</f>
        <v/>
      </c>
      <c r="T819" t="str">
        <f ca="1">IF($P819="","",IFERROR(MATCH($P819,firmadas!$N:$N,0),IFERROR(MATCH("*/"&amp;MID($P819,FIND(" ",$P819)+1,9)&amp;"*",firmadas!$B:$B,0),0)))</f>
        <v/>
      </c>
    </row>
    <row r="820" spans="14:20" ht="15" customHeight="1" x14ac:dyDescent="0.25">
      <c r="N820" s="53" t="str">
        <f t="shared" ca="1" si="12"/>
        <v/>
      </c>
      <c r="P820" t="str">
        <f ca="1">IF(TRIM(SUBSTITUTE(($C820&amp;" "&amp;$D820),CHAR(160)," "))="","",IFERROR(IF(ISNUMBER(SEARCH("INC",($C820&amp;" "&amp;$D820))),"INC",IF(ISNUMBER(SEARCH("OPI",($C820&amp;" "&amp;$D820))),"OPI",IF(ISNUMBER(SEARCH("DP",($C820&amp;" "&amp;$D820))),"DP","CONC")))&amp;" "&amp;TEXT(LOOKUP(9.99E+307,--MID(SUBSTITUTE(($C820&amp;" "&amp;$D820),CHAR(160)," "),SUMPRODUCT(MIN(FIND({0,1,2,3,4,5,6,7,8,9},SUBSTITUTE(($C820&amp;" "&amp;$D820),CHAR(160)," ")&amp;"0123456789"))),ROW(INDIRECT("1:6")))),"0"),"SIN NUMERO"))</f>
        <v/>
      </c>
      <c r="Q820" t="str">
        <f ca="1">IF($P820="","",IF(LEFT(UPPER($S820),9)="VERIFICAR","VERIFICAR",IF($A820="","SIN ESTADO",IF(AND($A820="Firmada",$H820=""),"FALTA FECHA DE FIRMA",IF(N($T820)=0,IF(AND(ISNUMBER($H820),$H820&gt;=DATE(2024,1,1)),"FALTA EN FIRMADAS","OK"),IF(OR($A820="Pendiente de presentación",$A820="Observado",$A820="En análisis",$A820="En instrucción",$A820="Suspendida",$A820="IT circulando",$A820="Para resolución",$A820="TDC"),"ABIERTA PERO ESTÁ EN FIRMADAS",IF($H820&lt;&gt;INDEX(firmadas!$F:$F,$T820),"FIRMA DISTINTA EN firmadas ("&amp;IF(INDEX(firmadas!$F:$F,$T820)="","vacía",DAY(INDEX(firmadas!$F:$F,$T820))&amp;"/"&amp;MONTH(INDEX(firmadas!$F:$F,$T820))&amp;"/"&amp;YEAR(INDEX(firmadas!$F:$F,$T820)))&amp;")",IF($G820&lt;&gt;INDEX(firmadas!$E:$E,$T820),"INGRESO DISTINTO EN firmadas ("&amp;IF(INDEX(firmadas!$E:$E,$T820)="","vacía",DAY(INDEX(firmadas!$E:$E,$T820))&amp;"/"&amp;MONTH(INDEX(firmadas!$E:$E,$T820))&amp;"/"&amp;YEAR(INDEX(firmadas!$E:$E,$T820)))&amp;")","OK"))))))))</f>
        <v/>
      </c>
      <c r="T820" t="str">
        <f ca="1">IF($P820="","",IFERROR(MATCH($P820,firmadas!$N:$N,0),IFERROR(MATCH("*/"&amp;MID($P820,FIND(" ",$P820)+1,9)&amp;"*",firmadas!$B:$B,0),0)))</f>
        <v/>
      </c>
    </row>
    <row r="821" spans="14:20" ht="15" customHeight="1" x14ac:dyDescent="0.25">
      <c r="N821" s="53" t="str">
        <f t="shared" ca="1" si="12"/>
        <v/>
      </c>
      <c r="P821" t="str">
        <f ca="1">IF(TRIM(SUBSTITUTE(($C821&amp;" "&amp;$D821),CHAR(160)," "))="","",IFERROR(IF(ISNUMBER(SEARCH("INC",($C821&amp;" "&amp;$D821))),"INC",IF(ISNUMBER(SEARCH("OPI",($C821&amp;" "&amp;$D821))),"OPI",IF(ISNUMBER(SEARCH("DP",($C821&amp;" "&amp;$D821))),"DP","CONC")))&amp;" "&amp;TEXT(LOOKUP(9.99E+307,--MID(SUBSTITUTE(($C821&amp;" "&amp;$D821),CHAR(160)," "),SUMPRODUCT(MIN(FIND({0,1,2,3,4,5,6,7,8,9},SUBSTITUTE(($C821&amp;" "&amp;$D821),CHAR(160)," ")&amp;"0123456789"))),ROW(INDIRECT("1:6")))),"0"),"SIN NUMERO"))</f>
        <v/>
      </c>
      <c r="Q821" t="str">
        <f ca="1">IF($P821="","",IF(LEFT(UPPER($S821),9)="VERIFICAR","VERIFICAR",IF($A821="","SIN ESTADO",IF(AND($A821="Firmada",$H821=""),"FALTA FECHA DE FIRMA",IF(N($T821)=0,IF(AND(ISNUMBER($H821),$H821&gt;=DATE(2024,1,1)),"FALTA EN FIRMADAS","OK"),IF(OR($A821="Pendiente de presentación",$A821="Observado",$A821="En análisis",$A821="En instrucción",$A821="Suspendida",$A821="IT circulando",$A821="Para resolución",$A821="TDC"),"ABIERTA PERO ESTÁ EN FIRMADAS",IF($H821&lt;&gt;INDEX(firmadas!$F:$F,$T821),"FIRMA DISTINTA EN firmadas ("&amp;IF(INDEX(firmadas!$F:$F,$T821)="","vacía",DAY(INDEX(firmadas!$F:$F,$T821))&amp;"/"&amp;MONTH(INDEX(firmadas!$F:$F,$T821))&amp;"/"&amp;YEAR(INDEX(firmadas!$F:$F,$T821)))&amp;")",IF($G821&lt;&gt;INDEX(firmadas!$E:$E,$T821),"INGRESO DISTINTO EN firmadas ("&amp;IF(INDEX(firmadas!$E:$E,$T821)="","vacía",DAY(INDEX(firmadas!$E:$E,$T821))&amp;"/"&amp;MONTH(INDEX(firmadas!$E:$E,$T821))&amp;"/"&amp;YEAR(INDEX(firmadas!$E:$E,$T821)))&amp;")","OK"))))))))</f>
        <v/>
      </c>
      <c r="T821" t="str">
        <f ca="1">IF($P821="","",IFERROR(MATCH($P821,firmadas!$N:$N,0),IFERROR(MATCH("*/"&amp;MID($P821,FIND(" ",$P821)+1,9)&amp;"*",firmadas!$B:$B,0),0)))</f>
        <v/>
      </c>
    </row>
    <row r="822" spans="14:20" ht="15" customHeight="1" x14ac:dyDescent="0.25">
      <c r="N822" s="53" t="str">
        <f t="shared" ca="1" si="12"/>
        <v/>
      </c>
      <c r="P822" t="str">
        <f ca="1">IF(TRIM(SUBSTITUTE(($C822&amp;" "&amp;$D822),CHAR(160)," "))="","",IFERROR(IF(ISNUMBER(SEARCH("INC",($C822&amp;" "&amp;$D822))),"INC",IF(ISNUMBER(SEARCH("OPI",($C822&amp;" "&amp;$D822))),"OPI",IF(ISNUMBER(SEARCH("DP",($C822&amp;" "&amp;$D822))),"DP","CONC")))&amp;" "&amp;TEXT(LOOKUP(9.99E+307,--MID(SUBSTITUTE(($C822&amp;" "&amp;$D822),CHAR(160)," "),SUMPRODUCT(MIN(FIND({0,1,2,3,4,5,6,7,8,9},SUBSTITUTE(($C822&amp;" "&amp;$D822),CHAR(160)," ")&amp;"0123456789"))),ROW(INDIRECT("1:6")))),"0"),"SIN NUMERO"))</f>
        <v/>
      </c>
      <c r="Q822" t="str">
        <f ca="1">IF($P822="","",IF(LEFT(UPPER($S822),9)="VERIFICAR","VERIFICAR",IF($A822="","SIN ESTADO",IF(AND($A822="Firmada",$H822=""),"FALTA FECHA DE FIRMA",IF(N($T822)=0,IF(AND(ISNUMBER($H822),$H822&gt;=DATE(2024,1,1)),"FALTA EN FIRMADAS","OK"),IF(OR($A822="Pendiente de presentación",$A822="Observado",$A822="En análisis",$A822="En instrucción",$A822="Suspendida",$A822="IT circulando",$A822="Para resolución",$A822="TDC"),"ABIERTA PERO ESTÁ EN FIRMADAS",IF($H822&lt;&gt;INDEX(firmadas!$F:$F,$T822),"FIRMA DISTINTA EN firmadas ("&amp;IF(INDEX(firmadas!$F:$F,$T822)="","vacía",DAY(INDEX(firmadas!$F:$F,$T822))&amp;"/"&amp;MONTH(INDEX(firmadas!$F:$F,$T822))&amp;"/"&amp;YEAR(INDEX(firmadas!$F:$F,$T822)))&amp;")",IF($G822&lt;&gt;INDEX(firmadas!$E:$E,$T822),"INGRESO DISTINTO EN firmadas ("&amp;IF(INDEX(firmadas!$E:$E,$T822)="","vacía",DAY(INDEX(firmadas!$E:$E,$T822))&amp;"/"&amp;MONTH(INDEX(firmadas!$E:$E,$T822))&amp;"/"&amp;YEAR(INDEX(firmadas!$E:$E,$T822)))&amp;")","OK"))))))))</f>
        <v/>
      </c>
      <c r="T822" t="str">
        <f ca="1">IF($P822="","",IFERROR(MATCH($P822,firmadas!$N:$N,0),IFERROR(MATCH("*/"&amp;MID($P822,FIND(" ",$P822)+1,9)&amp;"*",firmadas!$B:$B,0),0)))</f>
        <v/>
      </c>
    </row>
    <row r="823" spans="14:20" ht="15" customHeight="1" x14ac:dyDescent="0.25">
      <c r="N823" s="53" t="str">
        <f t="shared" ca="1" si="12"/>
        <v/>
      </c>
      <c r="P823" t="str">
        <f ca="1">IF(TRIM(SUBSTITUTE(($C823&amp;" "&amp;$D823),CHAR(160)," "))="","",IFERROR(IF(ISNUMBER(SEARCH("INC",($C823&amp;" "&amp;$D823))),"INC",IF(ISNUMBER(SEARCH("OPI",($C823&amp;" "&amp;$D823))),"OPI",IF(ISNUMBER(SEARCH("DP",($C823&amp;" "&amp;$D823))),"DP","CONC")))&amp;" "&amp;TEXT(LOOKUP(9.99E+307,--MID(SUBSTITUTE(($C823&amp;" "&amp;$D823),CHAR(160)," "),SUMPRODUCT(MIN(FIND({0,1,2,3,4,5,6,7,8,9},SUBSTITUTE(($C823&amp;" "&amp;$D823),CHAR(160)," ")&amp;"0123456789"))),ROW(INDIRECT("1:6")))),"0"),"SIN NUMERO"))</f>
        <v/>
      </c>
      <c r="Q823" t="str">
        <f ca="1">IF($P823="","",IF(LEFT(UPPER($S823),9)="VERIFICAR","VERIFICAR",IF($A823="","SIN ESTADO",IF(AND($A823="Firmada",$H823=""),"FALTA FECHA DE FIRMA",IF(N($T823)=0,IF(AND(ISNUMBER($H823),$H823&gt;=DATE(2024,1,1)),"FALTA EN FIRMADAS","OK"),IF(OR($A823="Pendiente de presentación",$A823="Observado",$A823="En análisis",$A823="En instrucción",$A823="Suspendida",$A823="IT circulando",$A823="Para resolución",$A823="TDC"),"ABIERTA PERO ESTÁ EN FIRMADAS",IF($H823&lt;&gt;INDEX(firmadas!$F:$F,$T823),"FIRMA DISTINTA EN firmadas ("&amp;IF(INDEX(firmadas!$F:$F,$T823)="","vacía",DAY(INDEX(firmadas!$F:$F,$T823))&amp;"/"&amp;MONTH(INDEX(firmadas!$F:$F,$T823))&amp;"/"&amp;YEAR(INDEX(firmadas!$F:$F,$T823)))&amp;")",IF($G823&lt;&gt;INDEX(firmadas!$E:$E,$T823),"INGRESO DISTINTO EN firmadas ("&amp;IF(INDEX(firmadas!$E:$E,$T823)="","vacía",DAY(INDEX(firmadas!$E:$E,$T823))&amp;"/"&amp;MONTH(INDEX(firmadas!$E:$E,$T823))&amp;"/"&amp;YEAR(INDEX(firmadas!$E:$E,$T823)))&amp;")","OK"))))))))</f>
        <v/>
      </c>
      <c r="T823" t="str">
        <f ca="1">IF($P823="","",IFERROR(MATCH($P823,firmadas!$N:$N,0),IFERROR(MATCH("*/"&amp;MID($P823,FIND(" ",$P823)+1,9)&amp;"*",firmadas!$B:$B,0),0)))</f>
        <v/>
      </c>
    </row>
    <row r="824" spans="14:20" ht="15" customHeight="1" x14ac:dyDescent="0.25">
      <c r="N824" s="53" t="str">
        <f t="shared" ca="1" si="12"/>
        <v/>
      </c>
      <c r="P824" t="str">
        <f ca="1">IF(TRIM(SUBSTITUTE(($C824&amp;" "&amp;$D824),CHAR(160)," "))="","",IFERROR(IF(ISNUMBER(SEARCH("INC",($C824&amp;" "&amp;$D824))),"INC",IF(ISNUMBER(SEARCH("OPI",($C824&amp;" "&amp;$D824))),"OPI",IF(ISNUMBER(SEARCH("DP",($C824&amp;" "&amp;$D824))),"DP","CONC")))&amp;" "&amp;TEXT(LOOKUP(9.99E+307,--MID(SUBSTITUTE(($C824&amp;" "&amp;$D824),CHAR(160)," "),SUMPRODUCT(MIN(FIND({0,1,2,3,4,5,6,7,8,9},SUBSTITUTE(($C824&amp;" "&amp;$D824),CHAR(160)," ")&amp;"0123456789"))),ROW(INDIRECT("1:6")))),"0"),"SIN NUMERO"))</f>
        <v/>
      </c>
      <c r="Q824" t="str">
        <f ca="1">IF($P824="","",IF(LEFT(UPPER($S824),9)="VERIFICAR","VERIFICAR",IF($A824="","SIN ESTADO",IF(AND($A824="Firmada",$H824=""),"FALTA FECHA DE FIRMA",IF(N($T824)=0,IF(AND(ISNUMBER($H824),$H824&gt;=DATE(2024,1,1)),"FALTA EN FIRMADAS","OK"),IF(OR($A824="Pendiente de presentación",$A824="Observado",$A824="En análisis",$A824="En instrucción",$A824="Suspendida",$A824="IT circulando",$A824="Para resolución",$A824="TDC"),"ABIERTA PERO ESTÁ EN FIRMADAS",IF($H824&lt;&gt;INDEX(firmadas!$F:$F,$T824),"FIRMA DISTINTA EN firmadas ("&amp;IF(INDEX(firmadas!$F:$F,$T824)="","vacía",DAY(INDEX(firmadas!$F:$F,$T824))&amp;"/"&amp;MONTH(INDEX(firmadas!$F:$F,$T824))&amp;"/"&amp;YEAR(INDEX(firmadas!$F:$F,$T824)))&amp;")",IF($G824&lt;&gt;INDEX(firmadas!$E:$E,$T824),"INGRESO DISTINTO EN firmadas ("&amp;IF(INDEX(firmadas!$E:$E,$T824)="","vacía",DAY(INDEX(firmadas!$E:$E,$T824))&amp;"/"&amp;MONTH(INDEX(firmadas!$E:$E,$T824))&amp;"/"&amp;YEAR(INDEX(firmadas!$E:$E,$T824)))&amp;")","OK"))))))))</f>
        <v/>
      </c>
      <c r="T824" t="str">
        <f ca="1">IF($P824="","",IFERROR(MATCH($P824,firmadas!$N:$N,0),IFERROR(MATCH("*/"&amp;MID($P824,FIND(" ",$P824)+1,9)&amp;"*",firmadas!$B:$B,0),0)))</f>
        <v/>
      </c>
    </row>
    <row r="825" spans="14:20" ht="15" customHeight="1" x14ac:dyDescent="0.25">
      <c r="N825" s="53" t="str">
        <f t="shared" ca="1" si="12"/>
        <v/>
      </c>
      <c r="P825" t="str">
        <f ca="1">IF(TRIM(SUBSTITUTE(($C825&amp;" "&amp;$D825),CHAR(160)," "))="","",IFERROR(IF(ISNUMBER(SEARCH("INC",($C825&amp;" "&amp;$D825))),"INC",IF(ISNUMBER(SEARCH("OPI",($C825&amp;" "&amp;$D825))),"OPI",IF(ISNUMBER(SEARCH("DP",($C825&amp;" "&amp;$D825))),"DP","CONC")))&amp;" "&amp;TEXT(LOOKUP(9.99E+307,--MID(SUBSTITUTE(($C825&amp;" "&amp;$D825),CHAR(160)," "),SUMPRODUCT(MIN(FIND({0,1,2,3,4,5,6,7,8,9},SUBSTITUTE(($C825&amp;" "&amp;$D825),CHAR(160)," ")&amp;"0123456789"))),ROW(INDIRECT("1:6")))),"0"),"SIN NUMERO"))</f>
        <v/>
      </c>
      <c r="Q825" t="str">
        <f ca="1">IF($P825="","",IF(LEFT(UPPER($S825),9)="VERIFICAR","VERIFICAR",IF($A825="","SIN ESTADO",IF(AND($A825="Firmada",$H825=""),"FALTA FECHA DE FIRMA",IF(N($T825)=0,IF(AND(ISNUMBER($H825),$H825&gt;=DATE(2024,1,1)),"FALTA EN FIRMADAS","OK"),IF(OR($A825="Pendiente de presentación",$A825="Observado",$A825="En análisis",$A825="En instrucción",$A825="Suspendida",$A825="IT circulando",$A825="Para resolución",$A825="TDC"),"ABIERTA PERO ESTÁ EN FIRMADAS",IF($H825&lt;&gt;INDEX(firmadas!$F:$F,$T825),"FIRMA DISTINTA EN firmadas ("&amp;IF(INDEX(firmadas!$F:$F,$T825)="","vacía",DAY(INDEX(firmadas!$F:$F,$T825))&amp;"/"&amp;MONTH(INDEX(firmadas!$F:$F,$T825))&amp;"/"&amp;YEAR(INDEX(firmadas!$F:$F,$T825)))&amp;")",IF($G825&lt;&gt;INDEX(firmadas!$E:$E,$T825),"INGRESO DISTINTO EN firmadas ("&amp;IF(INDEX(firmadas!$E:$E,$T825)="","vacía",DAY(INDEX(firmadas!$E:$E,$T825))&amp;"/"&amp;MONTH(INDEX(firmadas!$E:$E,$T825))&amp;"/"&amp;YEAR(INDEX(firmadas!$E:$E,$T825)))&amp;")","OK"))))))))</f>
        <v/>
      </c>
      <c r="T825" t="str">
        <f ca="1">IF($P825="","",IFERROR(MATCH($P825,firmadas!$N:$N,0),IFERROR(MATCH("*/"&amp;MID($P825,FIND(" ",$P825)+1,9)&amp;"*",firmadas!$B:$B,0),0)))</f>
        <v/>
      </c>
    </row>
    <row r="826" spans="14:20" ht="15" customHeight="1" x14ac:dyDescent="0.25">
      <c r="N826" s="53" t="str">
        <f t="shared" ca="1" si="12"/>
        <v/>
      </c>
      <c r="P826" t="str">
        <f ca="1">IF(TRIM(SUBSTITUTE(($C826&amp;" "&amp;$D826),CHAR(160)," "))="","",IFERROR(IF(ISNUMBER(SEARCH("INC",($C826&amp;" "&amp;$D826))),"INC",IF(ISNUMBER(SEARCH("OPI",($C826&amp;" "&amp;$D826))),"OPI",IF(ISNUMBER(SEARCH("DP",($C826&amp;" "&amp;$D826))),"DP","CONC")))&amp;" "&amp;TEXT(LOOKUP(9.99E+307,--MID(SUBSTITUTE(($C826&amp;" "&amp;$D826),CHAR(160)," "),SUMPRODUCT(MIN(FIND({0,1,2,3,4,5,6,7,8,9},SUBSTITUTE(($C826&amp;" "&amp;$D826),CHAR(160)," ")&amp;"0123456789"))),ROW(INDIRECT("1:6")))),"0"),"SIN NUMERO"))</f>
        <v/>
      </c>
      <c r="Q826" t="str">
        <f ca="1">IF($P826="","",IF(LEFT(UPPER($S826),9)="VERIFICAR","VERIFICAR",IF($A826="","SIN ESTADO",IF(AND($A826="Firmada",$H826=""),"FALTA FECHA DE FIRMA",IF(N($T826)=0,IF(AND(ISNUMBER($H826),$H826&gt;=DATE(2024,1,1)),"FALTA EN FIRMADAS","OK"),IF(OR($A826="Pendiente de presentación",$A826="Observado",$A826="En análisis",$A826="En instrucción",$A826="Suspendida",$A826="IT circulando",$A826="Para resolución",$A826="TDC"),"ABIERTA PERO ESTÁ EN FIRMADAS",IF($H826&lt;&gt;INDEX(firmadas!$F:$F,$T826),"FIRMA DISTINTA EN firmadas ("&amp;IF(INDEX(firmadas!$F:$F,$T826)="","vacía",DAY(INDEX(firmadas!$F:$F,$T826))&amp;"/"&amp;MONTH(INDEX(firmadas!$F:$F,$T826))&amp;"/"&amp;YEAR(INDEX(firmadas!$F:$F,$T826)))&amp;")",IF($G826&lt;&gt;INDEX(firmadas!$E:$E,$T826),"INGRESO DISTINTO EN firmadas ("&amp;IF(INDEX(firmadas!$E:$E,$T826)="","vacía",DAY(INDEX(firmadas!$E:$E,$T826))&amp;"/"&amp;MONTH(INDEX(firmadas!$E:$E,$T826))&amp;"/"&amp;YEAR(INDEX(firmadas!$E:$E,$T826)))&amp;")","OK"))))))))</f>
        <v/>
      </c>
      <c r="T826" t="str">
        <f ca="1">IF($P826="","",IFERROR(MATCH($P826,firmadas!$N:$N,0),IFERROR(MATCH("*/"&amp;MID($P826,FIND(" ",$P826)+1,9)&amp;"*",firmadas!$B:$B,0),0)))</f>
        <v/>
      </c>
    </row>
    <row r="827" spans="14:20" ht="15" customHeight="1" x14ac:dyDescent="0.25">
      <c r="N827" s="53" t="str">
        <f t="shared" ca="1" si="12"/>
        <v/>
      </c>
      <c r="P827" t="str">
        <f ca="1">IF(TRIM(SUBSTITUTE(($C827&amp;" "&amp;$D827),CHAR(160)," "))="","",IFERROR(IF(ISNUMBER(SEARCH("INC",($C827&amp;" "&amp;$D827))),"INC",IF(ISNUMBER(SEARCH("OPI",($C827&amp;" "&amp;$D827))),"OPI",IF(ISNUMBER(SEARCH("DP",($C827&amp;" "&amp;$D827))),"DP","CONC")))&amp;" "&amp;TEXT(LOOKUP(9.99E+307,--MID(SUBSTITUTE(($C827&amp;" "&amp;$D827),CHAR(160)," "),SUMPRODUCT(MIN(FIND({0,1,2,3,4,5,6,7,8,9},SUBSTITUTE(($C827&amp;" "&amp;$D827),CHAR(160)," ")&amp;"0123456789"))),ROW(INDIRECT("1:6")))),"0"),"SIN NUMERO"))</f>
        <v/>
      </c>
      <c r="Q827" t="str">
        <f ca="1">IF($P827="","",IF(LEFT(UPPER($S827),9)="VERIFICAR","VERIFICAR",IF($A827="","SIN ESTADO",IF(AND($A827="Firmada",$H827=""),"FALTA FECHA DE FIRMA",IF(N($T827)=0,IF(AND(ISNUMBER($H827),$H827&gt;=DATE(2024,1,1)),"FALTA EN FIRMADAS","OK"),IF(OR($A827="Pendiente de presentación",$A827="Observado",$A827="En análisis",$A827="En instrucción",$A827="Suspendida",$A827="IT circulando",$A827="Para resolución",$A827="TDC"),"ABIERTA PERO ESTÁ EN FIRMADAS",IF($H827&lt;&gt;INDEX(firmadas!$F:$F,$T827),"FIRMA DISTINTA EN firmadas ("&amp;IF(INDEX(firmadas!$F:$F,$T827)="","vacía",DAY(INDEX(firmadas!$F:$F,$T827))&amp;"/"&amp;MONTH(INDEX(firmadas!$F:$F,$T827))&amp;"/"&amp;YEAR(INDEX(firmadas!$F:$F,$T827)))&amp;")",IF($G827&lt;&gt;INDEX(firmadas!$E:$E,$T827),"INGRESO DISTINTO EN firmadas ("&amp;IF(INDEX(firmadas!$E:$E,$T827)="","vacía",DAY(INDEX(firmadas!$E:$E,$T827))&amp;"/"&amp;MONTH(INDEX(firmadas!$E:$E,$T827))&amp;"/"&amp;YEAR(INDEX(firmadas!$E:$E,$T827)))&amp;")","OK"))))))))</f>
        <v/>
      </c>
      <c r="T827" t="str">
        <f ca="1">IF($P827="","",IFERROR(MATCH($P827,firmadas!$N:$N,0),IFERROR(MATCH("*/"&amp;MID($P827,FIND(" ",$P827)+1,9)&amp;"*",firmadas!$B:$B,0),0)))</f>
        <v/>
      </c>
    </row>
    <row r="828" spans="14:20" ht="15" customHeight="1" x14ac:dyDescent="0.25">
      <c r="N828" s="53" t="str">
        <f t="shared" ca="1" si="12"/>
        <v/>
      </c>
      <c r="P828" t="str">
        <f ca="1">IF(TRIM(SUBSTITUTE(($C828&amp;" "&amp;$D828),CHAR(160)," "))="","",IFERROR(IF(ISNUMBER(SEARCH("INC",($C828&amp;" "&amp;$D828))),"INC",IF(ISNUMBER(SEARCH("OPI",($C828&amp;" "&amp;$D828))),"OPI",IF(ISNUMBER(SEARCH("DP",($C828&amp;" "&amp;$D828))),"DP","CONC")))&amp;" "&amp;TEXT(LOOKUP(9.99E+307,--MID(SUBSTITUTE(($C828&amp;" "&amp;$D828),CHAR(160)," "),SUMPRODUCT(MIN(FIND({0,1,2,3,4,5,6,7,8,9},SUBSTITUTE(($C828&amp;" "&amp;$D828),CHAR(160)," ")&amp;"0123456789"))),ROW(INDIRECT("1:6")))),"0"),"SIN NUMERO"))</f>
        <v/>
      </c>
      <c r="Q828" t="str">
        <f ca="1">IF($P828="","",IF(LEFT(UPPER($S828),9)="VERIFICAR","VERIFICAR",IF($A828="","SIN ESTADO",IF(AND($A828="Firmada",$H828=""),"FALTA FECHA DE FIRMA",IF(N($T828)=0,IF(AND(ISNUMBER($H828),$H828&gt;=DATE(2024,1,1)),"FALTA EN FIRMADAS","OK"),IF(OR($A828="Pendiente de presentación",$A828="Observado",$A828="En análisis",$A828="En instrucción",$A828="Suspendida",$A828="IT circulando",$A828="Para resolución",$A828="TDC"),"ABIERTA PERO ESTÁ EN FIRMADAS",IF($H828&lt;&gt;INDEX(firmadas!$F:$F,$T828),"FIRMA DISTINTA EN firmadas ("&amp;IF(INDEX(firmadas!$F:$F,$T828)="","vacía",DAY(INDEX(firmadas!$F:$F,$T828))&amp;"/"&amp;MONTH(INDEX(firmadas!$F:$F,$T828))&amp;"/"&amp;YEAR(INDEX(firmadas!$F:$F,$T828)))&amp;")",IF($G828&lt;&gt;INDEX(firmadas!$E:$E,$T828),"INGRESO DISTINTO EN firmadas ("&amp;IF(INDEX(firmadas!$E:$E,$T828)="","vacía",DAY(INDEX(firmadas!$E:$E,$T828))&amp;"/"&amp;MONTH(INDEX(firmadas!$E:$E,$T828))&amp;"/"&amp;YEAR(INDEX(firmadas!$E:$E,$T828)))&amp;")","OK"))))))))</f>
        <v/>
      </c>
      <c r="T828" t="str">
        <f ca="1">IF($P828="","",IFERROR(MATCH($P828,firmadas!$N:$N,0),IFERROR(MATCH("*/"&amp;MID($P828,FIND(" ",$P828)+1,9)&amp;"*",firmadas!$B:$B,0),0)))</f>
        <v/>
      </c>
    </row>
    <row r="829" spans="14:20" ht="15" customHeight="1" x14ac:dyDescent="0.25">
      <c r="N829" s="53" t="str">
        <f t="shared" ca="1" si="12"/>
        <v/>
      </c>
      <c r="P829" t="str">
        <f ca="1">IF(TRIM(SUBSTITUTE(($C829&amp;" "&amp;$D829),CHAR(160)," "))="","",IFERROR(IF(ISNUMBER(SEARCH("INC",($C829&amp;" "&amp;$D829))),"INC",IF(ISNUMBER(SEARCH("OPI",($C829&amp;" "&amp;$D829))),"OPI",IF(ISNUMBER(SEARCH("DP",($C829&amp;" "&amp;$D829))),"DP","CONC")))&amp;" "&amp;TEXT(LOOKUP(9.99E+307,--MID(SUBSTITUTE(($C829&amp;" "&amp;$D829),CHAR(160)," "),SUMPRODUCT(MIN(FIND({0,1,2,3,4,5,6,7,8,9},SUBSTITUTE(($C829&amp;" "&amp;$D829),CHAR(160)," ")&amp;"0123456789"))),ROW(INDIRECT("1:6")))),"0"),"SIN NUMERO"))</f>
        <v/>
      </c>
      <c r="Q829" t="str">
        <f ca="1">IF($P829="","",IF(LEFT(UPPER($S829),9)="VERIFICAR","VERIFICAR",IF($A829="","SIN ESTADO",IF(AND($A829="Firmada",$H829=""),"FALTA FECHA DE FIRMA",IF(N($T829)=0,IF(AND(ISNUMBER($H829),$H829&gt;=DATE(2024,1,1)),"FALTA EN FIRMADAS","OK"),IF(OR($A829="Pendiente de presentación",$A829="Observado",$A829="En análisis",$A829="En instrucción",$A829="Suspendida",$A829="IT circulando",$A829="Para resolución",$A829="TDC"),"ABIERTA PERO ESTÁ EN FIRMADAS",IF($H829&lt;&gt;INDEX(firmadas!$F:$F,$T829),"FIRMA DISTINTA EN firmadas ("&amp;IF(INDEX(firmadas!$F:$F,$T829)="","vacía",DAY(INDEX(firmadas!$F:$F,$T829))&amp;"/"&amp;MONTH(INDEX(firmadas!$F:$F,$T829))&amp;"/"&amp;YEAR(INDEX(firmadas!$F:$F,$T829)))&amp;")",IF($G829&lt;&gt;INDEX(firmadas!$E:$E,$T829),"INGRESO DISTINTO EN firmadas ("&amp;IF(INDEX(firmadas!$E:$E,$T829)="","vacía",DAY(INDEX(firmadas!$E:$E,$T829))&amp;"/"&amp;MONTH(INDEX(firmadas!$E:$E,$T829))&amp;"/"&amp;YEAR(INDEX(firmadas!$E:$E,$T829)))&amp;")","OK"))))))))</f>
        <v/>
      </c>
      <c r="T829" t="str">
        <f ca="1">IF($P829="","",IFERROR(MATCH($P829,firmadas!$N:$N,0),IFERROR(MATCH("*/"&amp;MID($P829,FIND(" ",$P829)+1,9)&amp;"*",firmadas!$B:$B,0),0)))</f>
        <v/>
      </c>
    </row>
    <row r="830" spans="14:20" ht="15" customHeight="1" x14ac:dyDescent="0.25">
      <c r="N830" s="53" t="str">
        <f t="shared" ca="1" si="12"/>
        <v/>
      </c>
      <c r="P830" t="str">
        <f ca="1">IF(TRIM(SUBSTITUTE(($C830&amp;" "&amp;$D830),CHAR(160)," "))="","",IFERROR(IF(ISNUMBER(SEARCH("INC",($C830&amp;" "&amp;$D830))),"INC",IF(ISNUMBER(SEARCH("OPI",($C830&amp;" "&amp;$D830))),"OPI",IF(ISNUMBER(SEARCH("DP",($C830&amp;" "&amp;$D830))),"DP","CONC")))&amp;" "&amp;TEXT(LOOKUP(9.99E+307,--MID(SUBSTITUTE(($C830&amp;" "&amp;$D830),CHAR(160)," "),SUMPRODUCT(MIN(FIND({0,1,2,3,4,5,6,7,8,9},SUBSTITUTE(($C830&amp;" "&amp;$D830),CHAR(160)," ")&amp;"0123456789"))),ROW(INDIRECT("1:6")))),"0"),"SIN NUMERO"))</f>
        <v/>
      </c>
      <c r="Q830" t="str">
        <f ca="1">IF($P830="","",IF(LEFT(UPPER($S830),9)="VERIFICAR","VERIFICAR",IF($A830="","SIN ESTADO",IF(AND($A830="Firmada",$H830=""),"FALTA FECHA DE FIRMA",IF(N($T830)=0,IF(AND(ISNUMBER($H830),$H830&gt;=DATE(2024,1,1)),"FALTA EN FIRMADAS","OK"),IF(OR($A830="Pendiente de presentación",$A830="Observado",$A830="En análisis",$A830="En instrucción",$A830="Suspendida",$A830="IT circulando",$A830="Para resolución",$A830="TDC"),"ABIERTA PERO ESTÁ EN FIRMADAS",IF($H830&lt;&gt;INDEX(firmadas!$F:$F,$T830),"FIRMA DISTINTA EN firmadas ("&amp;IF(INDEX(firmadas!$F:$F,$T830)="","vacía",DAY(INDEX(firmadas!$F:$F,$T830))&amp;"/"&amp;MONTH(INDEX(firmadas!$F:$F,$T830))&amp;"/"&amp;YEAR(INDEX(firmadas!$F:$F,$T830)))&amp;")",IF($G830&lt;&gt;INDEX(firmadas!$E:$E,$T830),"INGRESO DISTINTO EN firmadas ("&amp;IF(INDEX(firmadas!$E:$E,$T830)="","vacía",DAY(INDEX(firmadas!$E:$E,$T830))&amp;"/"&amp;MONTH(INDEX(firmadas!$E:$E,$T830))&amp;"/"&amp;YEAR(INDEX(firmadas!$E:$E,$T830)))&amp;")","OK"))))))))</f>
        <v/>
      </c>
      <c r="T830" t="str">
        <f ca="1">IF($P830="","",IFERROR(MATCH($P830,firmadas!$N:$N,0),IFERROR(MATCH("*/"&amp;MID($P830,FIND(" ",$P830)+1,9)&amp;"*",firmadas!$B:$B,0),0)))</f>
        <v/>
      </c>
    </row>
    <row r="831" spans="14:20" ht="15" customHeight="1" x14ac:dyDescent="0.25">
      <c r="N831" s="53" t="str">
        <f t="shared" ca="1" si="12"/>
        <v/>
      </c>
      <c r="P831" t="str">
        <f ca="1">IF(TRIM(SUBSTITUTE(($C831&amp;" "&amp;$D831),CHAR(160)," "))="","",IFERROR(IF(ISNUMBER(SEARCH("INC",($C831&amp;" "&amp;$D831))),"INC",IF(ISNUMBER(SEARCH("OPI",($C831&amp;" "&amp;$D831))),"OPI",IF(ISNUMBER(SEARCH("DP",($C831&amp;" "&amp;$D831))),"DP","CONC")))&amp;" "&amp;TEXT(LOOKUP(9.99E+307,--MID(SUBSTITUTE(($C831&amp;" "&amp;$D831),CHAR(160)," "),SUMPRODUCT(MIN(FIND({0,1,2,3,4,5,6,7,8,9},SUBSTITUTE(($C831&amp;" "&amp;$D831),CHAR(160)," ")&amp;"0123456789"))),ROW(INDIRECT("1:6")))),"0"),"SIN NUMERO"))</f>
        <v/>
      </c>
      <c r="Q831" t="str">
        <f ca="1">IF($P831="","",IF(LEFT(UPPER($S831),9)="VERIFICAR","VERIFICAR",IF($A831="","SIN ESTADO",IF(AND($A831="Firmada",$H831=""),"FALTA FECHA DE FIRMA",IF(N($T831)=0,IF(AND(ISNUMBER($H831),$H831&gt;=DATE(2024,1,1)),"FALTA EN FIRMADAS","OK"),IF(OR($A831="Pendiente de presentación",$A831="Observado",$A831="En análisis",$A831="En instrucción",$A831="Suspendida",$A831="IT circulando",$A831="Para resolución",$A831="TDC"),"ABIERTA PERO ESTÁ EN FIRMADAS",IF($H831&lt;&gt;INDEX(firmadas!$F:$F,$T831),"FIRMA DISTINTA EN firmadas ("&amp;IF(INDEX(firmadas!$F:$F,$T831)="","vacía",DAY(INDEX(firmadas!$F:$F,$T831))&amp;"/"&amp;MONTH(INDEX(firmadas!$F:$F,$T831))&amp;"/"&amp;YEAR(INDEX(firmadas!$F:$F,$T831)))&amp;")",IF($G831&lt;&gt;INDEX(firmadas!$E:$E,$T831),"INGRESO DISTINTO EN firmadas ("&amp;IF(INDEX(firmadas!$E:$E,$T831)="","vacía",DAY(INDEX(firmadas!$E:$E,$T831))&amp;"/"&amp;MONTH(INDEX(firmadas!$E:$E,$T831))&amp;"/"&amp;YEAR(INDEX(firmadas!$E:$E,$T831)))&amp;")","OK"))))))))</f>
        <v/>
      </c>
      <c r="T831" t="str">
        <f ca="1">IF($P831="","",IFERROR(MATCH($P831,firmadas!$N:$N,0),IFERROR(MATCH("*/"&amp;MID($P831,FIND(" ",$P831)+1,9)&amp;"*",firmadas!$B:$B,0),0)))</f>
        <v/>
      </c>
    </row>
    <row r="832" spans="14:20" ht="15" customHeight="1" x14ac:dyDescent="0.25">
      <c r="N832" s="53" t="str">
        <f t="shared" ca="1" si="12"/>
        <v/>
      </c>
      <c r="P832" t="str">
        <f ca="1">IF(TRIM(SUBSTITUTE(($C832&amp;" "&amp;$D832),CHAR(160)," "))="","",IFERROR(IF(ISNUMBER(SEARCH("INC",($C832&amp;" "&amp;$D832))),"INC",IF(ISNUMBER(SEARCH("OPI",($C832&amp;" "&amp;$D832))),"OPI",IF(ISNUMBER(SEARCH("DP",($C832&amp;" "&amp;$D832))),"DP","CONC")))&amp;" "&amp;TEXT(LOOKUP(9.99E+307,--MID(SUBSTITUTE(($C832&amp;" "&amp;$D832),CHAR(160)," "),SUMPRODUCT(MIN(FIND({0,1,2,3,4,5,6,7,8,9},SUBSTITUTE(($C832&amp;" "&amp;$D832),CHAR(160)," ")&amp;"0123456789"))),ROW(INDIRECT("1:6")))),"0"),"SIN NUMERO"))</f>
        <v/>
      </c>
      <c r="Q832" t="str">
        <f ca="1">IF($P832="","",IF(LEFT(UPPER($S832),9)="VERIFICAR","VERIFICAR",IF($A832="","SIN ESTADO",IF(AND($A832="Firmada",$H832=""),"FALTA FECHA DE FIRMA",IF(N($T832)=0,IF(AND(ISNUMBER($H832),$H832&gt;=DATE(2024,1,1)),"FALTA EN FIRMADAS","OK"),IF(OR($A832="Pendiente de presentación",$A832="Observado",$A832="En análisis",$A832="En instrucción",$A832="Suspendida",$A832="IT circulando",$A832="Para resolución",$A832="TDC"),"ABIERTA PERO ESTÁ EN FIRMADAS",IF($H832&lt;&gt;INDEX(firmadas!$F:$F,$T832),"FIRMA DISTINTA EN firmadas ("&amp;IF(INDEX(firmadas!$F:$F,$T832)="","vacía",DAY(INDEX(firmadas!$F:$F,$T832))&amp;"/"&amp;MONTH(INDEX(firmadas!$F:$F,$T832))&amp;"/"&amp;YEAR(INDEX(firmadas!$F:$F,$T832)))&amp;")",IF($G832&lt;&gt;INDEX(firmadas!$E:$E,$T832),"INGRESO DISTINTO EN firmadas ("&amp;IF(INDEX(firmadas!$E:$E,$T832)="","vacía",DAY(INDEX(firmadas!$E:$E,$T832))&amp;"/"&amp;MONTH(INDEX(firmadas!$E:$E,$T832))&amp;"/"&amp;YEAR(INDEX(firmadas!$E:$E,$T832)))&amp;")","OK"))))))))</f>
        <v/>
      </c>
      <c r="T832" t="str">
        <f ca="1">IF($P832="","",IFERROR(MATCH($P832,firmadas!$N:$N,0),IFERROR(MATCH("*/"&amp;MID($P832,FIND(" ",$P832)+1,9)&amp;"*",firmadas!$B:$B,0),0)))</f>
        <v/>
      </c>
    </row>
    <row r="833" spans="14:20" ht="15" customHeight="1" x14ac:dyDescent="0.25">
      <c r="N833" s="53" t="str">
        <f t="shared" ca="1" si="12"/>
        <v/>
      </c>
      <c r="P833" t="str">
        <f ca="1">IF(TRIM(SUBSTITUTE(($C833&amp;" "&amp;$D833),CHAR(160)," "))="","",IFERROR(IF(ISNUMBER(SEARCH("INC",($C833&amp;" "&amp;$D833))),"INC",IF(ISNUMBER(SEARCH("OPI",($C833&amp;" "&amp;$D833))),"OPI",IF(ISNUMBER(SEARCH("DP",($C833&amp;" "&amp;$D833))),"DP","CONC")))&amp;" "&amp;TEXT(LOOKUP(9.99E+307,--MID(SUBSTITUTE(($C833&amp;" "&amp;$D833),CHAR(160)," "),SUMPRODUCT(MIN(FIND({0,1,2,3,4,5,6,7,8,9},SUBSTITUTE(($C833&amp;" "&amp;$D833),CHAR(160)," ")&amp;"0123456789"))),ROW(INDIRECT("1:6")))),"0"),"SIN NUMERO"))</f>
        <v/>
      </c>
      <c r="Q833" t="str">
        <f ca="1">IF($P833="","",IF(LEFT(UPPER($S833),9)="VERIFICAR","VERIFICAR",IF($A833="","SIN ESTADO",IF(AND($A833="Firmada",$H833=""),"FALTA FECHA DE FIRMA",IF(N($T833)=0,IF(AND(ISNUMBER($H833),$H833&gt;=DATE(2024,1,1)),"FALTA EN FIRMADAS","OK"),IF(OR($A833="Pendiente de presentación",$A833="Observado",$A833="En análisis",$A833="En instrucción",$A833="Suspendida",$A833="IT circulando",$A833="Para resolución",$A833="TDC"),"ABIERTA PERO ESTÁ EN FIRMADAS",IF($H833&lt;&gt;INDEX(firmadas!$F:$F,$T833),"FIRMA DISTINTA EN firmadas ("&amp;IF(INDEX(firmadas!$F:$F,$T833)="","vacía",DAY(INDEX(firmadas!$F:$F,$T833))&amp;"/"&amp;MONTH(INDEX(firmadas!$F:$F,$T833))&amp;"/"&amp;YEAR(INDEX(firmadas!$F:$F,$T833)))&amp;")",IF($G833&lt;&gt;INDEX(firmadas!$E:$E,$T833),"INGRESO DISTINTO EN firmadas ("&amp;IF(INDEX(firmadas!$E:$E,$T833)="","vacía",DAY(INDEX(firmadas!$E:$E,$T833))&amp;"/"&amp;MONTH(INDEX(firmadas!$E:$E,$T833))&amp;"/"&amp;YEAR(INDEX(firmadas!$E:$E,$T833)))&amp;")","OK"))))))))</f>
        <v/>
      </c>
      <c r="T833" t="str">
        <f ca="1">IF($P833="","",IFERROR(MATCH($P833,firmadas!$N:$N,0),IFERROR(MATCH("*/"&amp;MID($P833,FIND(" ",$P833)+1,9)&amp;"*",firmadas!$B:$B,0),0)))</f>
        <v/>
      </c>
    </row>
    <row r="834" spans="14:20" ht="15" customHeight="1" x14ac:dyDescent="0.25">
      <c r="N834" s="53" t="str">
        <f t="shared" ref="N834:N897" ca="1" si="13">IF($G834="","",(IF($H834="",TODAY(),$H834)-$G834)/30)</f>
        <v/>
      </c>
      <c r="P834" t="str">
        <f ca="1">IF(TRIM(SUBSTITUTE(($C834&amp;" "&amp;$D834),CHAR(160)," "))="","",IFERROR(IF(ISNUMBER(SEARCH("INC",($C834&amp;" "&amp;$D834))),"INC",IF(ISNUMBER(SEARCH("OPI",($C834&amp;" "&amp;$D834))),"OPI",IF(ISNUMBER(SEARCH("DP",($C834&amp;" "&amp;$D834))),"DP","CONC")))&amp;" "&amp;TEXT(LOOKUP(9.99E+307,--MID(SUBSTITUTE(($C834&amp;" "&amp;$D834),CHAR(160)," "),SUMPRODUCT(MIN(FIND({0,1,2,3,4,5,6,7,8,9},SUBSTITUTE(($C834&amp;" "&amp;$D834),CHAR(160)," ")&amp;"0123456789"))),ROW(INDIRECT("1:6")))),"0"),"SIN NUMERO"))</f>
        <v/>
      </c>
      <c r="Q834" t="str">
        <f ca="1">IF($P834="","",IF(LEFT(UPPER($S834),9)="VERIFICAR","VERIFICAR",IF($A834="","SIN ESTADO",IF(AND($A834="Firmada",$H834=""),"FALTA FECHA DE FIRMA",IF(N($T834)=0,IF(AND(ISNUMBER($H834),$H834&gt;=DATE(2024,1,1)),"FALTA EN FIRMADAS","OK"),IF(OR($A834="Pendiente de presentación",$A834="Observado",$A834="En análisis",$A834="En instrucción",$A834="Suspendida",$A834="IT circulando",$A834="Para resolución",$A834="TDC"),"ABIERTA PERO ESTÁ EN FIRMADAS",IF($H834&lt;&gt;INDEX(firmadas!$F:$F,$T834),"FIRMA DISTINTA EN firmadas ("&amp;IF(INDEX(firmadas!$F:$F,$T834)="","vacía",DAY(INDEX(firmadas!$F:$F,$T834))&amp;"/"&amp;MONTH(INDEX(firmadas!$F:$F,$T834))&amp;"/"&amp;YEAR(INDEX(firmadas!$F:$F,$T834)))&amp;")",IF($G834&lt;&gt;INDEX(firmadas!$E:$E,$T834),"INGRESO DISTINTO EN firmadas ("&amp;IF(INDEX(firmadas!$E:$E,$T834)="","vacía",DAY(INDEX(firmadas!$E:$E,$T834))&amp;"/"&amp;MONTH(INDEX(firmadas!$E:$E,$T834))&amp;"/"&amp;YEAR(INDEX(firmadas!$E:$E,$T834)))&amp;")","OK"))))))))</f>
        <v/>
      </c>
      <c r="T834" t="str">
        <f ca="1">IF($P834="","",IFERROR(MATCH($P834,firmadas!$N:$N,0),IFERROR(MATCH("*/"&amp;MID($P834,FIND(" ",$P834)+1,9)&amp;"*",firmadas!$B:$B,0),0)))</f>
        <v/>
      </c>
    </row>
    <row r="835" spans="14:20" ht="15" customHeight="1" x14ac:dyDescent="0.25">
      <c r="N835" s="53" t="str">
        <f t="shared" ca="1" si="13"/>
        <v/>
      </c>
      <c r="P835" t="str">
        <f ca="1">IF(TRIM(SUBSTITUTE(($C835&amp;" "&amp;$D835),CHAR(160)," "))="","",IFERROR(IF(ISNUMBER(SEARCH("INC",($C835&amp;" "&amp;$D835))),"INC",IF(ISNUMBER(SEARCH("OPI",($C835&amp;" "&amp;$D835))),"OPI",IF(ISNUMBER(SEARCH("DP",($C835&amp;" "&amp;$D835))),"DP","CONC")))&amp;" "&amp;TEXT(LOOKUP(9.99E+307,--MID(SUBSTITUTE(($C835&amp;" "&amp;$D835),CHAR(160)," "),SUMPRODUCT(MIN(FIND({0,1,2,3,4,5,6,7,8,9},SUBSTITUTE(($C835&amp;" "&amp;$D835),CHAR(160)," ")&amp;"0123456789"))),ROW(INDIRECT("1:6")))),"0"),"SIN NUMERO"))</f>
        <v/>
      </c>
      <c r="Q835" t="str">
        <f ca="1">IF($P835="","",IF(LEFT(UPPER($S835),9)="VERIFICAR","VERIFICAR",IF($A835="","SIN ESTADO",IF(AND($A835="Firmada",$H835=""),"FALTA FECHA DE FIRMA",IF(N($T835)=0,IF(AND(ISNUMBER($H835),$H835&gt;=DATE(2024,1,1)),"FALTA EN FIRMADAS","OK"),IF(OR($A835="Pendiente de presentación",$A835="Observado",$A835="En análisis",$A835="En instrucción",$A835="Suspendida",$A835="IT circulando",$A835="Para resolución",$A835="TDC"),"ABIERTA PERO ESTÁ EN FIRMADAS",IF($H835&lt;&gt;INDEX(firmadas!$F:$F,$T835),"FIRMA DISTINTA EN firmadas ("&amp;IF(INDEX(firmadas!$F:$F,$T835)="","vacía",DAY(INDEX(firmadas!$F:$F,$T835))&amp;"/"&amp;MONTH(INDEX(firmadas!$F:$F,$T835))&amp;"/"&amp;YEAR(INDEX(firmadas!$F:$F,$T835)))&amp;")",IF($G835&lt;&gt;INDEX(firmadas!$E:$E,$T835),"INGRESO DISTINTO EN firmadas ("&amp;IF(INDEX(firmadas!$E:$E,$T835)="","vacía",DAY(INDEX(firmadas!$E:$E,$T835))&amp;"/"&amp;MONTH(INDEX(firmadas!$E:$E,$T835))&amp;"/"&amp;YEAR(INDEX(firmadas!$E:$E,$T835)))&amp;")","OK"))))))))</f>
        <v/>
      </c>
      <c r="T835" t="str">
        <f ca="1">IF($P835="","",IFERROR(MATCH($P835,firmadas!$N:$N,0),IFERROR(MATCH("*/"&amp;MID($P835,FIND(" ",$P835)+1,9)&amp;"*",firmadas!$B:$B,0),0)))</f>
        <v/>
      </c>
    </row>
    <row r="836" spans="14:20" ht="15" customHeight="1" x14ac:dyDescent="0.25">
      <c r="N836" s="53" t="str">
        <f t="shared" ca="1" si="13"/>
        <v/>
      </c>
      <c r="P836" t="str">
        <f ca="1">IF(TRIM(SUBSTITUTE(($C836&amp;" "&amp;$D836),CHAR(160)," "))="","",IFERROR(IF(ISNUMBER(SEARCH("INC",($C836&amp;" "&amp;$D836))),"INC",IF(ISNUMBER(SEARCH("OPI",($C836&amp;" "&amp;$D836))),"OPI",IF(ISNUMBER(SEARCH("DP",($C836&amp;" "&amp;$D836))),"DP","CONC")))&amp;" "&amp;TEXT(LOOKUP(9.99E+307,--MID(SUBSTITUTE(($C836&amp;" "&amp;$D836),CHAR(160)," "),SUMPRODUCT(MIN(FIND({0,1,2,3,4,5,6,7,8,9},SUBSTITUTE(($C836&amp;" "&amp;$D836),CHAR(160)," ")&amp;"0123456789"))),ROW(INDIRECT("1:6")))),"0"),"SIN NUMERO"))</f>
        <v/>
      </c>
      <c r="Q836" t="str">
        <f ca="1">IF($P836="","",IF(LEFT(UPPER($S836),9)="VERIFICAR","VERIFICAR",IF($A836="","SIN ESTADO",IF(AND($A836="Firmada",$H836=""),"FALTA FECHA DE FIRMA",IF(N($T836)=0,IF(AND(ISNUMBER($H836),$H836&gt;=DATE(2024,1,1)),"FALTA EN FIRMADAS","OK"),IF(OR($A836="Pendiente de presentación",$A836="Observado",$A836="En análisis",$A836="En instrucción",$A836="Suspendida",$A836="IT circulando",$A836="Para resolución",$A836="TDC"),"ABIERTA PERO ESTÁ EN FIRMADAS",IF($H836&lt;&gt;INDEX(firmadas!$F:$F,$T836),"FIRMA DISTINTA EN firmadas ("&amp;IF(INDEX(firmadas!$F:$F,$T836)="","vacía",DAY(INDEX(firmadas!$F:$F,$T836))&amp;"/"&amp;MONTH(INDEX(firmadas!$F:$F,$T836))&amp;"/"&amp;YEAR(INDEX(firmadas!$F:$F,$T836)))&amp;")",IF($G836&lt;&gt;INDEX(firmadas!$E:$E,$T836),"INGRESO DISTINTO EN firmadas ("&amp;IF(INDEX(firmadas!$E:$E,$T836)="","vacía",DAY(INDEX(firmadas!$E:$E,$T836))&amp;"/"&amp;MONTH(INDEX(firmadas!$E:$E,$T836))&amp;"/"&amp;YEAR(INDEX(firmadas!$E:$E,$T836)))&amp;")","OK"))))))))</f>
        <v/>
      </c>
      <c r="T836" t="str">
        <f ca="1">IF($P836="","",IFERROR(MATCH($P836,firmadas!$N:$N,0),IFERROR(MATCH("*/"&amp;MID($P836,FIND(" ",$P836)+1,9)&amp;"*",firmadas!$B:$B,0),0)))</f>
        <v/>
      </c>
    </row>
    <row r="837" spans="14:20" ht="15" customHeight="1" x14ac:dyDescent="0.25">
      <c r="N837" s="53" t="str">
        <f t="shared" ca="1" si="13"/>
        <v/>
      </c>
      <c r="P837" t="str">
        <f ca="1">IF(TRIM(SUBSTITUTE(($C837&amp;" "&amp;$D837),CHAR(160)," "))="","",IFERROR(IF(ISNUMBER(SEARCH("INC",($C837&amp;" "&amp;$D837))),"INC",IF(ISNUMBER(SEARCH("OPI",($C837&amp;" "&amp;$D837))),"OPI",IF(ISNUMBER(SEARCH("DP",($C837&amp;" "&amp;$D837))),"DP","CONC")))&amp;" "&amp;TEXT(LOOKUP(9.99E+307,--MID(SUBSTITUTE(($C837&amp;" "&amp;$D837),CHAR(160)," "),SUMPRODUCT(MIN(FIND({0,1,2,3,4,5,6,7,8,9},SUBSTITUTE(($C837&amp;" "&amp;$D837),CHAR(160)," ")&amp;"0123456789"))),ROW(INDIRECT("1:6")))),"0"),"SIN NUMERO"))</f>
        <v/>
      </c>
      <c r="Q837" t="str">
        <f ca="1">IF($P837="","",IF(LEFT(UPPER($S837),9)="VERIFICAR","VERIFICAR",IF($A837="","SIN ESTADO",IF(AND($A837="Firmada",$H837=""),"FALTA FECHA DE FIRMA",IF(N($T837)=0,IF(AND(ISNUMBER($H837),$H837&gt;=DATE(2024,1,1)),"FALTA EN FIRMADAS","OK"),IF(OR($A837="Pendiente de presentación",$A837="Observado",$A837="En análisis",$A837="En instrucción",$A837="Suspendida",$A837="IT circulando",$A837="Para resolución",$A837="TDC"),"ABIERTA PERO ESTÁ EN FIRMADAS",IF($H837&lt;&gt;INDEX(firmadas!$F:$F,$T837),"FIRMA DISTINTA EN firmadas ("&amp;IF(INDEX(firmadas!$F:$F,$T837)="","vacía",DAY(INDEX(firmadas!$F:$F,$T837))&amp;"/"&amp;MONTH(INDEX(firmadas!$F:$F,$T837))&amp;"/"&amp;YEAR(INDEX(firmadas!$F:$F,$T837)))&amp;")",IF($G837&lt;&gt;INDEX(firmadas!$E:$E,$T837),"INGRESO DISTINTO EN firmadas ("&amp;IF(INDEX(firmadas!$E:$E,$T837)="","vacía",DAY(INDEX(firmadas!$E:$E,$T837))&amp;"/"&amp;MONTH(INDEX(firmadas!$E:$E,$T837))&amp;"/"&amp;YEAR(INDEX(firmadas!$E:$E,$T837)))&amp;")","OK"))))))))</f>
        <v/>
      </c>
      <c r="T837" t="str">
        <f ca="1">IF($P837="","",IFERROR(MATCH($P837,firmadas!$N:$N,0),IFERROR(MATCH("*/"&amp;MID($P837,FIND(" ",$P837)+1,9)&amp;"*",firmadas!$B:$B,0),0)))</f>
        <v/>
      </c>
    </row>
    <row r="838" spans="14:20" ht="15" customHeight="1" x14ac:dyDescent="0.25">
      <c r="N838" s="53" t="str">
        <f t="shared" ca="1" si="13"/>
        <v/>
      </c>
      <c r="P838" t="str">
        <f ca="1">IF(TRIM(SUBSTITUTE(($C838&amp;" "&amp;$D838),CHAR(160)," "))="","",IFERROR(IF(ISNUMBER(SEARCH("INC",($C838&amp;" "&amp;$D838))),"INC",IF(ISNUMBER(SEARCH("OPI",($C838&amp;" "&amp;$D838))),"OPI",IF(ISNUMBER(SEARCH("DP",($C838&amp;" "&amp;$D838))),"DP","CONC")))&amp;" "&amp;TEXT(LOOKUP(9.99E+307,--MID(SUBSTITUTE(($C838&amp;" "&amp;$D838),CHAR(160)," "),SUMPRODUCT(MIN(FIND({0,1,2,3,4,5,6,7,8,9},SUBSTITUTE(($C838&amp;" "&amp;$D838),CHAR(160)," ")&amp;"0123456789"))),ROW(INDIRECT("1:6")))),"0"),"SIN NUMERO"))</f>
        <v/>
      </c>
      <c r="Q838" t="str">
        <f ca="1">IF($P838="","",IF(LEFT(UPPER($S838),9)="VERIFICAR","VERIFICAR",IF($A838="","SIN ESTADO",IF(AND($A838="Firmada",$H838=""),"FALTA FECHA DE FIRMA",IF(N($T838)=0,IF(AND(ISNUMBER($H838),$H838&gt;=DATE(2024,1,1)),"FALTA EN FIRMADAS","OK"),IF(OR($A838="Pendiente de presentación",$A838="Observado",$A838="En análisis",$A838="En instrucción",$A838="Suspendida",$A838="IT circulando",$A838="Para resolución",$A838="TDC"),"ABIERTA PERO ESTÁ EN FIRMADAS",IF($H838&lt;&gt;INDEX(firmadas!$F:$F,$T838),"FIRMA DISTINTA EN firmadas ("&amp;IF(INDEX(firmadas!$F:$F,$T838)="","vacía",DAY(INDEX(firmadas!$F:$F,$T838))&amp;"/"&amp;MONTH(INDEX(firmadas!$F:$F,$T838))&amp;"/"&amp;YEAR(INDEX(firmadas!$F:$F,$T838)))&amp;")",IF($G838&lt;&gt;INDEX(firmadas!$E:$E,$T838),"INGRESO DISTINTO EN firmadas ("&amp;IF(INDEX(firmadas!$E:$E,$T838)="","vacía",DAY(INDEX(firmadas!$E:$E,$T838))&amp;"/"&amp;MONTH(INDEX(firmadas!$E:$E,$T838))&amp;"/"&amp;YEAR(INDEX(firmadas!$E:$E,$T838)))&amp;")","OK"))))))))</f>
        <v/>
      </c>
      <c r="T838" t="str">
        <f ca="1">IF($P838="","",IFERROR(MATCH($P838,firmadas!$N:$N,0),IFERROR(MATCH("*/"&amp;MID($P838,FIND(" ",$P838)+1,9)&amp;"*",firmadas!$B:$B,0),0)))</f>
        <v/>
      </c>
    </row>
    <row r="839" spans="14:20" ht="15" customHeight="1" x14ac:dyDescent="0.25">
      <c r="N839" s="53" t="str">
        <f t="shared" ca="1" si="13"/>
        <v/>
      </c>
      <c r="P839" t="str">
        <f ca="1">IF(TRIM(SUBSTITUTE(($C839&amp;" "&amp;$D839),CHAR(160)," "))="","",IFERROR(IF(ISNUMBER(SEARCH("INC",($C839&amp;" "&amp;$D839))),"INC",IF(ISNUMBER(SEARCH("OPI",($C839&amp;" "&amp;$D839))),"OPI",IF(ISNUMBER(SEARCH("DP",($C839&amp;" "&amp;$D839))),"DP","CONC")))&amp;" "&amp;TEXT(LOOKUP(9.99E+307,--MID(SUBSTITUTE(($C839&amp;" "&amp;$D839),CHAR(160)," "),SUMPRODUCT(MIN(FIND({0,1,2,3,4,5,6,7,8,9},SUBSTITUTE(($C839&amp;" "&amp;$D839),CHAR(160)," ")&amp;"0123456789"))),ROW(INDIRECT("1:6")))),"0"),"SIN NUMERO"))</f>
        <v/>
      </c>
      <c r="Q839" t="str">
        <f ca="1">IF($P839="","",IF(LEFT(UPPER($S839),9)="VERIFICAR","VERIFICAR",IF($A839="","SIN ESTADO",IF(AND($A839="Firmada",$H839=""),"FALTA FECHA DE FIRMA",IF(N($T839)=0,IF(AND(ISNUMBER($H839),$H839&gt;=DATE(2024,1,1)),"FALTA EN FIRMADAS","OK"),IF(OR($A839="Pendiente de presentación",$A839="Observado",$A839="En análisis",$A839="En instrucción",$A839="Suspendida",$A839="IT circulando",$A839="Para resolución",$A839="TDC"),"ABIERTA PERO ESTÁ EN FIRMADAS",IF($H839&lt;&gt;INDEX(firmadas!$F:$F,$T839),"FIRMA DISTINTA EN firmadas ("&amp;IF(INDEX(firmadas!$F:$F,$T839)="","vacía",DAY(INDEX(firmadas!$F:$F,$T839))&amp;"/"&amp;MONTH(INDEX(firmadas!$F:$F,$T839))&amp;"/"&amp;YEAR(INDEX(firmadas!$F:$F,$T839)))&amp;")",IF($G839&lt;&gt;INDEX(firmadas!$E:$E,$T839),"INGRESO DISTINTO EN firmadas ("&amp;IF(INDEX(firmadas!$E:$E,$T839)="","vacía",DAY(INDEX(firmadas!$E:$E,$T839))&amp;"/"&amp;MONTH(INDEX(firmadas!$E:$E,$T839))&amp;"/"&amp;YEAR(INDEX(firmadas!$E:$E,$T839)))&amp;")","OK"))))))))</f>
        <v/>
      </c>
      <c r="T839" t="str">
        <f ca="1">IF($P839="","",IFERROR(MATCH($P839,firmadas!$N:$N,0),IFERROR(MATCH("*/"&amp;MID($P839,FIND(" ",$P839)+1,9)&amp;"*",firmadas!$B:$B,0),0)))</f>
        <v/>
      </c>
    </row>
    <row r="840" spans="14:20" ht="15" customHeight="1" x14ac:dyDescent="0.25">
      <c r="N840" s="53" t="str">
        <f t="shared" ca="1" si="13"/>
        <v/>
      </c>
      <c r="P840" t="str">
        <f ca="1">IF(TRIM(SUBSTITUTE(($C840&amp;" "&amp;$D840),CHAR(160)," "))="","",IFERROR(IF(ISNUMBER(SEARCH("INC",($C840&amp;" "&amp;$D840))),"INC",IF(ISNUMBER(SEARCH("OPI",($C840&amp;" "&amp;$D840))),"OPI",IF(ISNUMBER(SEARCH("DP",($C840&amp;" "&amp;$D840))),"DP","CONC")))&amp;" "&amp;TEXT(LOOKUP(9.99E+307,--MID(SUBSTITUTE(($C840&amp;" "&amp;$D840),CHAR(160)," "),SUMPRODUCT(MIN(FIND({0,1,2,3,4,5,6,7,8,9},SUBSTITUTE(($C840&amp;" "&amp;$D840),CHAR(160)," ")&amp;"0123456789"))),ROW(INDIRECT("1:6")))),"0"),"SIN NUMERO"))</f>
        <v/>
      </c>
      <c r="Q840" t="str">
        <f ca="1">IF($P840="","",IF(LEFT(UPPER($S840),9)="VERIFICAR","VERIFICAR",IF($A840="","SIN ESTADO",IF(AND($A840="Firmada",$H840=""),"FALTA FECHA DE FIRMA",IF(N($T840)=0,IF(AND(ISNUMBER($H840),$H840&gt;=DATE(2024,1,1)),"FALTA EN FIRMADAS","OK"),IF(OR($A840="Pendiente de presentación",$A840="Observado",$A840="En análisis",$A840="En instrucción",$A840="Suspendida",$A840="IT circulando",$A840="Para resolución",$A840="TDC"),"ABIERTA PERO ESTÁ EN FIRMADAS",IF($H840&lt;&gt;INDEX(firmadas!$F:$F,$T840),"FIRMA DISTINTA EN firmadas ("&amp;IF(INDEX(firmadas!$F:$F,$T840)="","vacía",DAY(INDEX(firmadas!$F:$F,$T840))&amp;"/"&amp;MONTH(INDEX(firmadas!$F:$F,$T840))&amp;"/"&amp;YEAR(INDEX(firmadas!$F:$F,$T840)))&amp;")",IF($G840&lt;&gt;INDEX(firmadas!$E:$E,$T840),"INGRESO DISTINTO EN firmadas ("&amp;IF(INDEX(firmadas!$E:$E,$T840)="","vacía",DAY(INDEX(firmadas!$E:$E,$T840))&amp;"/"&amp;MONTH(INDEX(firmadas!$E:$E,$T840))&amp;"/"&amp;YEAR(INDEX(firmadas!$E:$E,$T840)))&amp;")","OK"))))))))</f>
        <v/>
      </c>
      <c r="T840" t="str">
        <f ca="1">IF($P840="","",IFERROR(MATCH($P840,firmadas!$N:$N,0),IFERROR(MATCH("*/"&amp;MID($P840,FIND(" ",$P840)+1,9)&amp;"*",firmadas!$B:$B,0),0)))</f>
        <v/>
      </c>
    </row>
    <row r="841" spans="14:20" ht="15" customHeight="1" x14ac:dyDescent="0.25">
      <c r="N841" s="53" t="str">
        <f t="shared" ca="1" si="13"/>
        <v/>
      </c>
      <c r="P841" t="str">
        <f ca="1">IF(TRIM(SUBSTITUTE(($C841&amp;" "&amp;$D841),CHAR(160)," "))="","",IFERROR(IF(ISNUMBER(SEARCH("INC",($C841&amp;" "&amp;$D841))),"INC",IF(ISNUMBER(SEARCH("OPI",($C841&amp;" "&amp;$D841))),"OPI",IF(ISNUMBER(SEARCH("DP",($C841&amp;" "&amp;$D841))),"DP","CONC")))&amp;" "&amp;TEXT(LOOKUP(9.99E+307,--MID(SUBSTITUTE(($C841&amp;" "&amp;$D841),CHAR(160)," "),SUMPRODUCT(MIN(FIND({0,1,2,3,4,5,6,7,8,9},SUBSTITUTE(($C841&amp;" "&amp;$D841),CHAR(160)," ")&amp;"0123456789"))),ROW(INDIRECT("1:6")))),"0"),"SIN NUMERO"))</f>
        <v/>
      </c>
      <c r="Q841" t="str">
        <f ca="1">IF($P841="","",IF(LEFT(UPPER($S841),9)="VERIFICAR","VERIFICAR",IF($A841="","SIN ESTADO",IF(AND($A841="Firmada",$H841=""),"FALTA FECHA DE FIRMA",IF(N($T841)=0,IF(AND(ISNUMBER($H841),$H841&gt;=DATE(2024,1,1)),"FALTA EN FIRMADAS","OK"),IF(OR($A841="Pendiente de presentación",$A841="Observado",$A841="En análisis",$A841="En instrucción",$A841="Suspendida",$A841="IT circulando",$A841="Para resolución",$A841="TDC"),"ABIERTA PERO ESTÁ EN FIRMADAS",IF($H841&lt;&gt;INDEX(firmadas!$F:$F,$T841),"FIRMA DISTINTA EN firmadas ("&amp;IF(INDEX(firmadas!$F:$F,$T841)="","vacía",DAY(INDEX(firmadas!$F:$F,$T841))&amp;"/"&amp;MONTH(INDEX(firmadas!$F:$F,$T841))&amp;"/"&amp;YEAR(INDEX(firmadas!$F:$F,$T841)))&amp;")",IF($G841&lt;&gt;INDEX(firmadas!$E:$E,$T841),"INGRESO DISTINTO EN firmadas ("&amp;IF(INDEX(firmadas!$E:$E,$T841)="","vacía",DAY(INDEX(firmadas!$E:$E,$T841))&amp;"/"&amp;MONTH(INDEX(firmadas!$E:$E,$T841))&amp;"/"&amp;YEAR(INDEX(firmadas!$E:$E,$T841)))&amp;")","OK"))))))))</f>
        <v/>
      </c>
      <c r="T841" t="str">
        <f ca="1">IF($P841="","",IFERROR(MATCH($P841,firmadas!$N:$N,0),IFERROR(MATCH("*/"&amp;MID($P841,FIND(" ",$P841)+1,9)&amp;"*",firmadas!$B:$B,0),0)))</f>
        <v/>
      </c>
    </row>
    <row r="842" spans="14:20" ht="15" customHeight="1" x14ac:dyDescent="0.25">
      <c r="N842" s="53" t="str">
        <f t="shared" ca="1" si="13"/>
        <v/>
      </c>
      <c r="P842" t="str">
        <f ca="1">IF(TRIM(SUBSTITUTE(($C842&amp;" "&amp;$D842),CHAR(160)," "))="","",IFERROR(IF(ISNUMBER(SEARCH("INC",($C842&amp;" "&amp;$D842))),"INC",IF(ISNUMBER(SEARCH("OPI",($C842&amp;" "&amp;$D842))),"OPI",IF(ISNUMBER(SEARCH("DP",($C842&amp;" "&amp;$D842))),"DP","CONC")))&amp;" "&amp;TEXT(LOOKUP(9.99E+307,--MID(SUBSTITUTE(($C842&amp;" "&amp;$D842),CHAR(160)," "),SUMPRODUCT(MIN(FIND({0,1,2,3,4,5,6,7,8,9},SUBSTITUTE(($C842&amp;" "&amp;$D842),CHAR(160)," ")&amp;"0123456789"))),ROW(INDIRECT("1:6")))),"0"),"SIN NUMERO"))</f>
        <v/>
      </c>
      <c r="Q842" t="str">
        <f ca="1">IF($P842="","",IF(LEFT(UPPER($S842),9)="VERIFICAR","VERIFICAR",IF($A842="","SIN ESTADO",IF(AND($A842="Firmada",$H842=""),"FALTA FECHA DE FIRMA",IF(N($T842)=0,IF(AND(ISNUMBER($H842),$H842&gt;=DATE(2024,1,1)),"FALTA EN FIRMADAS","OK"),IF(OR($A842="Pendiente de presentación",$A842="Observado",$A842="En análisis",$A842="En instrucción",$A842="Suspendida",$A842="IT circulando",$A842="Para resolución",$A842="TDC"),"ABIERTA PERO ESTÁ EN FIRMADAS",IF($H842&lt;&gt;INDEX(firmadas!$F:$F,$T842),"FIRMA DISTINTA EN firmadas ("&amp;IF(INDEX(firmadas!$F:$F,$T842)="","vacía",DAY(INDEX(firmadas!$F:$F,$T842))&amp;"/"&amp;MONTH(INDEX(firmadas!$F:$F,$T842))&amp;"/"&amp;YEAR(INDEX(firmadas!$F:$F,$T842)))&amp;")",IF($G842&lt;&gt;INDEX(firmadas!$E:$E,$T842),"INGRESO DISTINTO EN firmadas ("&amp;IF(INDEX(firmadas!$E:$E,$T842)="","vacía",DAY(INDEX(firmadas!$E:$E,$T842))&amp;"/"&amp;MONTH(INDEX(firmadas!$E:$E,$T842))&amp;"/"&amp;YEAR(INDEX(firmadas!$E:$E,$T842)))&amp;")","OK"))))))))</f>
        <v/>
      </c>
      <c r="T842" t="str">
        <f ca="1">IF($P842="","",IFERROR(MATCH($P842,firmadas!$N:$N,0),IFERROR(MATCH("*/"&amp;MID($P842,FIND(" ",$P842)+1,9)&amp;"*",firmadas!$B:$B,0),0)))</f>
        <v/>
      </c>
    </row>
    <row r="843" spans="14:20" ht="15" customHeight="1" x14ac:dyDescent="0.25">
      <c r="N843" s="53" t="str">
        <f t="shared" ca="1" si="13"/>
        <v/>
      </c>
      <c r="P843" t="str">
        <f ca="1">IF(TRIM(SUBSTITUTE(($C843&amp;" "&amp;$D843),CHAR(160)," "))="","",IFERROR(IF(ISNUMBER(SEARCH("INC",($C843&amp;" "&amp;$D843))),"INC",IF(ISNUMBER(SEARCH("OPI",($C843&amp;" "&amp;$D843))),"OPI",IF(ISNUMBER(SEARCH("DP",($C843&amp;" "&amp;$D843))),"DP","CONC")))&amp;" "&amp;TEXT(LOOKUP(9.99E+307,--MID(SUBSTITUTE(($C843&amp;" "&amp;$D843),CHAR(160)," "),SUMPRODUCT(MIN(FIND({0,1,2,3,4,5,6,7,8,9},SUBSTITUTE(($C843&amp;" "&amp;$D843),CHAR(160)," ")&amp;"0123456789"))),ROW(INDIRECT("1:6")))),"0"),"SIN NUMERO"))</f>
        <v/>
      </c>
      <c r="Q843" t="str">
        <f ca="1">IF($P843="","",IF(LEFT(UPPER($S843),9)="VERIFICAR","VERIFICAR",IF($A843="","SIN ESTADO",IF(AND($A843="Firmada",$H843=""),"FALTA FECHA DE FIRMA",IF(N($T843)=0,IF(AND(ISNUMBER($H843),$H843&gt;=DATE(2024,1,1)),"FALTA EN FIRMADAS","OK"),IF(OR($A843="Pendiente de presentación",$A843="Observado",$A843="En análisis",$A843="En instrucción",$A843="Suspendida",$A843="IT circulando",$A843="Para resolución",$A843="TDC"),"ABIERTA PERO ESTÁ EN FIRMADAS",IF($H843&lt;&gt;INDEX(firmadas!$F:$F,$T843),"FIRMA DISTINTA EN firmadas ("&amp;IF(INDEX(firmadas!$F:$F,$T843)="","vacía",DAY(INDEX(firmadas!$F:$F,$T843))&amp;"/"&amp;MONTH(INDEX(firmadas!$F:$F,$T843))&amp;"/"&amp;YEAR(INDEX(firmadas!$F:$F,$T843)))&amp;")",IF($G843&lt;&gt;INDEX(firmadas!$E:$E,$T843),"INGRESO DISTINTO EN firmadas ("&amp;IF(INDEX(firmadas!$E:$E,$T843)="","vacía",DAY(INDEX(firmadas!$E:$E,$T843))&amp;"/"&amp;MONTH(INDEX(firmadas!$E:$E,$T843))&amp;"/"&amp;YEAR(INDEX(firmadas!$E:$E,$T843)))&amp;")","OK"))))))))</f>
        <v/>
      </c>
      <c r="T843" t="str">
        <f ca="1">IF($P843="","",IFERROR(MATCH($P843,firmadas!$N:$N,0),IFERROR(MATCH("*/"&amp;MID($P843,FIND(" ",$P843)+1,9)&amp;"*",firmadas!$B:$B,0),0)))</f>
        <v/>
      </c>
    </row>
    <row r="844" spans="14:20" ht="15" customHeight="1" x14ac:dyDescent="0.25">
      <c r="N844" s="53" t="str">
        <f t="shared" ca="1" si="13"/>
        <v/>
      </c>
      <c r="P844" t="str">
        <f ca="1">IF(TRIM(SUBSTITUTE(($C844&amp;" "&amp;$D844),CHAR(160)," "))="","",IFERROR(IF(ISNUMBER(SEARCH("INC",($C844&amp;" "&amp;$D844))),"INC",IF(ISNUMBER(SEARCH("OPI",($C844&amp;" "&amp;$D844))),"OPI",IF(ISNUMBER(SEARCH("DP",($C844&amp;" "&amp;$D844))),"DP","CONC")))&amp;" "&amp;TEXT(LOOKUP(9.99E+307,--MID(SUBSTITUTE(($C844&amp;" "&amp;$D844),CHAR(160)," "),SUMPRODUCT(MIN(FIND({0,1,2,3,4,5,6,7,8,9},SUBSTITUTE(($C844&amp;" "&amp;$D844),CHAR(160)," ")&amp;"0123456789"))),ROW(INDIRECT("1:6")))),"0"),"SIN NUMERO"))</f>
        <v/>
      </c>
      <c r="Q844" t="str">
        <f ca="1">IF($P844="","",IF(LEFT(UPPER($S844),9)="VERIFICAR","VERIFICAR",IF($A844="","SIN ESTADO",IF(AND($A844="Firmada",$H844=""),"FALTA FECHA DE FIRMA",IF(N($T844)=0,IF(AND(ISNUMBER($H844),$H844&gt;=DATE(2024,1,1)),"FALTA EN FIRMADAS","OK"),IF(OR($A844="Pendiente de presentación",$A844="Observado",$A844="En análisis",$A844="En instrucción",$A844="Suspendida",$A844="IT circulando",$A844="Para resolución",$A844="TDC"),"ABIERTA PERO ESTÁ EN FIRMADAS",IF($H844&lt;&gt;INDEX(firmadas!$F:$F,$T844),"FIRMA DISTINTA EN firmadas ("&amp;IF(INDEX(firmadas!$F:$F,$T844)="","vacía",DAY(INDEX(firmadas!$F:$F,$T844))&amp;"/"&amp;MONTH(INDEX(firmadas!$F:$F,$T844))&amp;"/"&amp;YEAR(INDEX(firmadas!$F:$F,$T844)))&amp;")",IF($G844&lt;&gt;INDEX(firmadas!$E:$E,$T844),"INGRESO DISTINTO EN firmadas ("&amp;IF(INDEX(firmadas!$E:$E,$T844)="","vacía",DAY(INDEX(firmadas!$E:$E,$T844))&amp;"/"&amp;MONTH(INDEX(firmadas!$E:$E,$T844))&amp;"/"&amp;YEAR(INDEX(firmadas!$E:$E,$T844)))&amp;")","OK"))))))))</f>
        <v/>
      </c>
      <c r="T844" t="str">
        <f ca="1">IF($P844="","",IFERROR(MATCH($P844,firmadas!$N:$N,0),IFERROR(MATCH("*/"&amp;MID($P844,FIND(" ",$P844)+1,9)&amp;"*",firmadas!$B:$B,0),0)))</f>
        <v/>
      </c>
    </row>
    <row r="845" spans="14:20" ht="15" customHeight="1" x14ac:dyDescent="0.25">
      <c r="N845" s="53" t="str">
        <f t="shared" ca="1" si="13"/>
        <v/>
      </c>
      <c r="P845" t="str">
        <f ca="1">IF(TRIM(SUBSTITUTE(($C845&amp;" "&amp;$D845),CHAR(160)," "))="","",IFERROR(IF(ISNUMBER(SEARCH("INC",($C845&amp;" "&amp;$D845))),"INC",IF(ISNUMBER(SEARCH("OPI",($C845&amp;" "&amp;$D845))),"OPI",IF(ISNUMBER(SEARCH("DP",($C845&amp;" "&amp;$D845))),"DP","CONC")))&amp;" "&amp;TEXT(LOOKUP(9.99E+307,--MID(SUBSTITUTE(($C845&amp;" "&amp;$D845),CHAR(160)," "),SUMPRODUCT(MIN(FIND({0,1,2,3,4,5,6,7,8,9},SUBSTITUTE(($C845&amp;" "&amp;$D845),CHAR(160)," ")&amp;"0123456789"))),ROW(INDIRECT("1:6")))),"0"),"SIN NUMERO"))</f>
        <v/>
      </c>
      <c r="Q845" t="str">
        <f ca="1">IF($P845="","",IF(LEFT(UPPER($S845),9)="VERIFICAR","VERIFICAR",IF($A845="","SIN ESTADO",IF(AND($A845="Firmada",$H845=""),"FALTA FECHA DE FIRMA",IF(N($T845)=0,IF(AND(ISNUMBER($H845),$H845&gt;=DATE(2024,1,1)),"FALTA EN FIRMADAS","OK"),IF(OR($A845="Pendiente de presentación",$A845="Observado",$A845="En análisis",$A845="En instrucción",$A845="Suspendida",$A845="IT circulando",$A845="Para resolución",$A845="TDC"),"ABIERTA PERO ESTÁ EN FIRMADAS",IF($H845&lt;&gt;INDEX(firmadas!$F:$F,$T845),"FIRMA DISTINTA EN firmadas ("&amp;IF(INDEX(firmadas!$F:$F,$T845)="","vacía",DAY(INDEX(firmadas!$F:$F,$T845))&amp;"/"&amp;MONTH(INDEX(firmadas!$F:$F,$T845))&amp;"/"&amp;YEAR(INDEX(firmadas!$F:$F,$T845)))&amp;")",IF($G845&lt;&gt;INDEX(firmadas!$E:$E,$T845),"INGRESO DISTINTO EN firmadas ("&amp;IF(INDEX(firmadas!$E:$E,$T845)="","vacía",DAY(INDEX(firmadas!$E:$E,$T845))&amp;"/"&amp;MONTH(INDEX(firmadas!$E:$E,$T845))&amp;"/"&amp;YEAR(INDEX(firmadas!$E:$E,$T845)))&amp;")","OK"))))))))</f>
        <v/>
      </c>
      <c r="T845" t="str">
        <f ca="1">IF($P845="","",IFERROR(MATCH($P845,firmadas!$N:$N,0),IFERROR(MATCH("*/"&amp;MID($P845,FIND(" ",$P845)+1,9)&amp;"*",firmadas!$B:$B,0),0)))</f>
        <v/>
      </c>
    </row>
    <row r="846" spans="14:20" ht="15" customHeight="1" x14ac:dyDescent="0.25">
      <c r="N846" s="53" t="str">
        <f t="shared" ca="1" si="13"/>
        <v/>
      </c>
      <c r="P846" t="str">
        <f ca="1">IF(TRIM(SUBSTITUTE(($C846&amp;" "&amp;$D846),CHAR(160)," "))="","",IFERROR(IF(ISNUMBER(SEARCH("INC",($C846&amp;" "&amp;$D846))),"INC",IF(ISNUMBER(SEARCH("OPI",($C846&amp;" "&amp;$D846))),"OPI",IF(ISNUMBER(SEARCH("DP",($C846&amp;" "&amp;$D846))),"DP","CONC")))&amp;" "&amp;TEXT(LOOKUP(9.99E+307,--MID(SUBSTITUTE(($C846&amp;" "&amp;$D846),CHAR(160)," "),SUMPRODUCT(MIN(FIND({0,1,2,3,4,5,6,7,8,9},SUBSTITUTE(($C846&amp;" "&amp;$D846),CHAR(160)," ")&amp;"0123456789"))),ROW(INDIRECT("1:6")))),"0"),"SIN NUMERO"))</f>
        <v/>
      </c>
      <c r="Q846" t="str">
        <f ca="1">IF($P846="","",IF(LEFT(UPPER($S846),9)="VERIFICAR","VERIFICAR",IF($A846="","SIN ESTADO",IF(AND($A846="Firmada",$H846=""),"FALTA FECHA DE FIRMA",IF(N($T846)=0,IF(AND(ISNUMBER($H846),$H846&gt;=DATE(2024,1,1)),"FALTA EN FIRMADAS","OK"),IF(OR($A846="Pendiente de presentación",$A846="Observado",$A846="En análisis",$A846="En instrucción",$A846="Suspendida",$A846="IT circulando",$A846="Para resolución",$A846="TDC"),"ABIERTA PERO ESTÁ EN FIRMADAS",IF($H846&lt;&gt;INDEX(firmadas!$F:$F,$T846),"FIRMA DISTINTA EN firmadas ("&amp;IF(INDEX(firmadas!$F:$F,$T846)="","vacía",DAY(INDEX(firmadas!$F:$F,$T846))&amp;"/"&amp;MONTH(INDEX(firmadas!$F:$F,$T846))&amp;"/"&amp;YEAR(INDEX(firmadas!$F:$F,$T846)))&amp;")",IF($G846&lt;&gt;INDEX(firmadas!$E:$E,$T846),"INGRESO DISTINTO EN firmadas ("&amp;IF(INDEX(firmadas!$E:$E,$T846)="","vacía",DAY(INDEX(firmadas!$E:$E,$T846))&amp;"/"&amp;MONTH(INDEX(firmadas!$E:$E,$T846))&amp;"/"&amp;YEAR(INDEX(firmadas!$E:$E,$T846)))&amp;")","OK"))))))))</f>
        <v/>
      </c>
      <c r="T846" t="str">
        <f ca="1">IF($P846="","",IFERROR(MATCH($P846,firmadas!$N:$N,0),IFERROR(MATCH("*/"&amp;MID($P846,FIND(" ",$P846)+1,9)&amp;"*",firmadas!$B:$B,0),0)))</f>
        <v/>
      </c>
    </row>
    <row r="847" spans="14:20" ht="15" customHeight="1" x14ac:dyDescent="0.25">
      <c r="N847" s="53" t="str">
        <f t="shared" ca="1" si="13"/>
        <v/>
      </c>
      <c r="P847" t="str">
        <f ca="1">IF(TRIM(SUBSTITUTE(($C847&amp;" "&amp;$D847),CHAR(160)," "))="","",IFERROR(IF(ISNUMBER(SEARCH("INC",($C847&amp;" "&amp;$D847))),"INC",IF(ISNUMBER(SEARCH("OPI",($C847&amp;" "&amp;$D847))),"OPI",IF(ISNUMBER(SEARCH("DP",($C847&amp;" "&amp;$D847))),"DP","CONC")))&amp;" "&amp;TEXT(LOOKUP(9.99E+307,--MID(SUBSTITUTE(($C847&amp;" "&amp;$D847),CHAR(160)," "),SUMPRODUCT(MIN(FIND({0,1,2,3,4,5,6,7,8,9},SUBSTITUTE(($C847&amp;" "&amp;$D847),CHAR(160)," ")&amp;"0123456789"))),ROW(INDIRECT("1:6")))),"0"),"SIN NUMERO"))</f>
        <v/>
      </c>
      <c r="Q847" t="str">
        <f ca="1">IF($P847="","",IF(LEFT(UPPER($S847),9)="VERIFICAR","VERIFICAR",IF($A847="","SIN ESTADO",IF(AND($A847="Firmada",$H847=""),"FALTA FECHA DE FIRMA",IF(N($T847)=0,IF(AND(ISNUMBER($H847),$H847&gt;=DATE(2024,1,1)),"FALTA EN FIRMADAS","OK"),IF(OR($A847="Pendiente de presentación",$A847="Observado",$A847="En análisis",$A847="En instrucción",$A847="Suspendida",$A847="IT circulando",$A847="Para resolución",$A847="TDC"),"ABIERTA PERO ESTÁ EN FIRMADAS",IF($H847&lt;&gt;INDEX(firmadas!$F:$F,$T847),"FIRMA DISTINTA EN firmadas ("&amp;IF(INDEX(firmadas!$F:$F,$T847)="","vacía",DAY(INDEX(firmadas!$F:$F,$T847))&amp;"/"&amp;MONTH(INDEX(firmadas!$F:$F,$T847))&amp;"/"&amp;YEAR(INDEX(firmadas!$F:$F,$T847)))&amp;")",IF($G847&lt;&gt;INDEX(firmadas!$E:$E,$T847),"INGRESO DISTINTO EN firmadas ("&amp;IF(INDEX(firmadas!$E:$E,$T847)="","vacía",DAY(INDEX(firmadas!$E:$E,$T847))&amp;"/"&amp;MONTH(INDEX(firmadas!$E:$E,$T847))&amp;"/"&amp;YEAR(INDEX(firmadas!$E:$E,$T847)))&amp;")","OK"))))))))</f>
        <v/>
      </c>
      <c r="T847" t="str">
        <f ca="1">IF($P847="","",IFERROR(MATCH($P847,firmadas!$N:$N,0),IFERROR(MATCH("*/"&amp;MID($P847,FIND(" ",$P847)+1,9)&amp;"*",firmadas!$B:$B,0),0)))</f>
        <v/>
      </c>
    </row>
    <row r="848" spans="14:20" ht="15" customHeight="1" x14ac:dyDescent="0.25">
      <c r="N848" s="53" t="str">
        <f t="shared" ca="1" si="13"/>
        <v/>
      </c>
      <c r="P848" t="str">
        <f ca="1">IF(TRIM(SUBSTITUTE(($C848&amp;" "&amp;$D848),CHAR(160)," "))="","",IFERROR(IF(ISNUMBER(SEARCH("INC",($C848&amp;" "&amp;$D848))),"INC",IF(ISNUMBER(SEARCH("OPI",($C848&amp;" "&amp;$D848))),"OPI",IF(ISNUMBER(SEARCH("DP",($C848&amp;" "&amp;$D848))),"DP","CONC")))&amp;" "&amp;TEXT(LOOKUP(9.99E+307,--MID(SUBSTITUTE(($C848&amp;" "&amp;$D848),CHAR(160)," "),SUMPRODUCT(MIN(FIND({0,1,2,3,4,5,6,7,8,9},SUBSTITUTE(($C848&amp;" "&amp;$D848),CHAR(160)," ")&amp;"0123456789"))),ROW(INDIRECT("1:6")))),"0"),"SIN NUMERO"))</f>
        <v/>
      </c>
      <c r="Q848" t="str">
        <f ca="1">IF($P848="","",IF(LEFT(UPPER($S848),9)="VERIFICAR","VERIFICAR",IF($A848="","SIN ESTADO",IF(AND($A848="Firmada",$H848=""),"FALTA FECHA DE FIRMA",IF(N($T848)=0,IF(AND(ISNUMBER($H848),$H848&gt;=DATE(2024,1,1)),"FALTA EN FIRMADAS","OK"),IF(OR($A848="Pendiente de presentación",$A848="Observado",$A848="En análisis",$A848="En instrucción",$A848="Suspendida",$A848="IT circulando",$A848="Para resolución",$A848="TDC"),"ABIERTA PERO ESTÁ EN FIRMADAS",IF($H848&lt;&gt;INDEX(firmadas!$F:$F,$T848),"FIRMA DISTINTA EN firmadas ("&amp;IF(INDEX(firmadas!$F:$F,$T848)="","vacía",DAY(INDEX(firmadas!$F:$F,$T848))&amp;"/"&amp;MONTH(INDEX(firmadas!$F:$F,$T848))&amp;"/"&amp;YEAR(INDEX(firmadas!$F:$F,$T848)))&amp;")",IF($G848&lt;&gt;INDEX(firmadas!$E:$E,$T848),"INGRESO DISTINTO EN firmadas ("&amp;IF(INDEX(firmadas!$E:$E,$T848)="","vacía",DAY(INDEX(firmadas!$E:$E,$T848))&amp;"/"&amp;MONTH(INDEX(firmadas!$E:$E,$T848))&amp;"/"&amp;YEAR(INDEX(firmadas!$E:$E,$T848)))&amp;")","OK"))))))))</f>
        <v/>
      </c>
      <c r="T848" t="str">
        <f ca="1">IF($P848="","",IFERROR(MATCH($P848,firmadas!$N:$N,0),IFERROR(MATCH("*/"&amp;MID($P848,FIND(" ",$P848)+1,9)&amp;"*",firmadas!$B:$B,0),0)))</f>
        <v/>
      </c>
    </row>
    <row r="849" spans="14:20" ht="15" customHeight="1" x14ac:dyDescent="0.25">
      <c r="N849" s="53" t="str">
        <f t="shared" ca="1" si="13"/>
        <v/>
      </c>
      <c r="P849" t="str">
        <f ca="1">IF(TRIM(SUBSTITUTE(($C849&amp;" "&amp;$D849),CHAR(160)," "))="","",IFERROR(IF(ISNUMBER(SEARCH("INC",($C849&amp;" "&amp;$D849))),"INC",IF(ISNUMBER(SEARCH("OPI",($C849&amp;" "&amp;$D849))),"OPI",IF(ISNUMBER(SEARCH("DP",($C849&amp;" "&amp;$D849))),"DP","CONC")))&amp;" "&amp;TEXT(LOOKUP(9.99E+307,--MID(SUBSTITUTE(($C849&amp;" "&amp;$D849),CHAR(160)," "),SUMPRODUCT(MIN(FIND({0,1,2,3,4,5,6,7,8,9},SUBSTITUTE(($C849&amp;" "&amp;$D849),CHAR(160)," ")&amp;"0123456789"))),ROW(INDIRECT("1:6")))),"0"),"SIN NUMERO"))</f>
        <v/>
      </c>
      <c r="Q849" t="str">
        <f ca="1">IF($P849="","",IF(LEFT(UPPER($S849),9)="VERIFICAR","VERIFICAR",IF($A849="","SIN ESTADO",IF(AND($A849="Firmada",$H849=""),"FALTA FECHA DE FIRMA",IF(N($T849)=0,IF(AND(ISNUMBER($H849),$H849&gt;=DATE(2024,1,1)),"FALTA EN FIRMADAS","OK"),IF(OR($A849="Pendiente de presentación",$A849="Observado",$A849="En análisis",$A849="En instrucción",$A849="Suspendida",$A849="IT circulando",$A849="Para resolución",$A849="TDC"),"ABIERTA PERO ESTÁ EN FIRMADAS",IF($H849&lt;&gt;INDEX(firmadas!$F:$F,$T849),"FIRMA DISTINTA EN firmadas ("&amp;IF(INDEX(firmadas!$F:$F,$T849)="","vacía",DAY(INDEX(firmadas!$F:$F,$T849))&amp;"/"&amp;MONTH(INDEX(firmadas!$F:$F,$T849))&amp;"/"&amp;YEAR(INDEX(firmadas!$F:$F,$T849)))&amp;")",IF($G849&lt;&gt;INDEX(firmadas!$E:$E,$T849),"INGRESO DISTINTO EN firmadas ("&amp;IF(INDEX(firmadas!$E:$E,$T849)="","vacía",DAY(INDEX(firmadas!$E:$E,$T849))&amp;"/"&amp;MONTH(INDEX(firmadas!$E:$E,$T849))&amp;"/"&amp;YEAR(INDEX(firmadas!$E:$E,$T849)))&amp;")","OK"))))))))</f>
        <v/>
      </c>
      <c r="T849" t="str">
        <f ca="1">IF($P849="","",IFERROR(MATCH($P849,firmadas!$N:$N,0),IFERROR(MATCH("*/"&amp;MID($P849,FIND(" ",$P849)+1,9)&amp;"*",firmadas!$B:$B,0),0)))</f>
        <v/>
      </c>
    </row>
    <row r="850" spans="14:20" ht="15" customHeight="1" x14ac:dyDescent="0.25">
      <c r="N850" s="53" t="str">
        <f t="shared" ca="1" si="13"/>
        <v/>
      </c>
      <c r="P850" t="str">
        <f ca="1">IF(TRIM(SUBSTITUTE(($C850&amp;" "&amp;$D850),CHAR(160)," "))="","",IFERROR(IF(ISNUMBER(SEARCH("INC",($C850&amp;" "&amp;$D850))),"INC",IF(ISNUMBER(SEARCH("OPI",($C850&amp;" "&amp;$D850))),"OPI",IF(ISNUMBER(SEARCH("DP",($C850&amp;" "&amp;$D850))),"DP","CONC")))&amp;" "&amp;TEXT(LOOKUP(9.99E+307,--MID(SUBSTITUTE(($C850&amp;" "&amp;$D850),CHAR(160)," "),SUMPRODUCT(MIN(FIND({0,1,2,3,4,5,6,7,8,9},SUBSTITUTE(($C850&amp;" "&amp;$D850),CHAR(160)," ")&amp;"0123456789"))),ROW(INDIRECT("1:6")))),"0"),"SIN NUMERO"))</f>
        <v/>
      </c>
      <c r="Q850" t="str">
        <f ca="1">IF($P850="","",IF(LEFT(UPPER($S850),9)="VERIFICAR","VERIFICAR",IF($A850="","SIN ESTADO",IF(AND($A850="Firmada",$H850=""),"FALTA FECHA DE FIRMA",IF(N($T850)=0,IF(AND(ISNUMBER($H850),$H850&gt;=DATE(2024,1,1)),"FALTA EN FIRMADAS","OK"),IF(OR($A850="Pendiente de presentación",$A850="Observado",$A850="En análisis",$A850="En instrucción",$A850="Suspendida",$A850="IT circulando",$A850="Para resolución",$A850="TDC"),"ABIERTA PERO ESTÁ EN FIRMADAS",IF($H850&lt;&gt;INDEX(firmadas!$F:$F,$T850),"FIRMA DISTINTA EN firmadas ("&amp;IF(INDEX(firmadas!$F:$F,$T850)="","vacía",DAY(INDEX(firmadas!$F:$F,$T850))&amp;"/"&amp;MONTH(INDEX(firmadas!$F:$F,$T850))&amp;"/"&amp;YEAR(INDEX(firmadas!$F:$F,$T850)))&amp;")",IF($G850&lt;&gt;INDEX(firmadas!$E:$E,$T850),"INGRESO DISTINTO EN firmadas ("&amp;IF(INDEX(firmadas!$E:$E,$T850)="","vacía",DAY(INDEX(firmadas!$E:$E,$T850))&amp;"/"&amp;MONTH(INDEX(firmadas!$E:$E,$T850))&amp;"/"&amp;YEAR(INDEX(firmadas!$E:$E,$T850)))&amp;")","OK"))))))))</f>
        <v/>
      </c>
      <c r="T850" t="str">
        <f ca="1">IF($P850="","",IFERROR(MATCH($P850,firmadas!$N:$N,0),IFERROR(MATCH("*/"&amp;MID($P850,FIND(" ",$P850)+1,9)&amp;"*",firmadas!$B:$B,0),0)))</f>
        <v/>
      </c>
    </row>
    <row r="851" spans="14:20" ht="15" customHeight="1" x14ac:dyDescent="0.25">
      <c r="N851" s="53" t="str">
        <f t="shared" ca="1" si="13"/>
        <v/>
      </c>
      <c r="P851" t="str">
        <f ca="1">IF(TRIM(SUBSTITUTE(($C851&amp;" "&amp;$D851),CHAR(160)," "))="","",IFERROR(IF(ISNUMBER(SEARCH("INC",($C851&amp;" "&amp;$D851))),"INC",IF(ISNUMBER(SEARCH("OPI",($C851&amp;" "&amp;$D851))),"OPI",IF(ISNUMBER(SEARCH("DP",($C851&amp;" "&amp;$D851))),"DP","CONC")))&amp;" "&amp;TEXT(LOOKUP(9.99E+307,--MID(SUBSTITUTE(($C851&amp;" "&amp;$D851),CHAR(160)," "),SUMPRODUCT(MIN(FIND({0,1,2,3,4,5,6,7,8,9},SUBSTITUTE(($C851&amp;" "&amp;$D851),CHAR(160)," ")&amp;"0123456789"))),ROW(INDIRECT("1:6")))),"0"),"SIN NUMERO"))</f>
        <v/>
      </c>
      <c r="Q851" t="str">
        <f ca="1">IF($P851="","",IF(LEFT(UPPER($S851),9)="VERIFICAR","VERIFICAR",IF($A851="","SIN ESTADO",IF(AND($A851="Firmada",$H851=""),"FALTA FECHA DE FIRMA",IF(N($T851)=0,IF(AND(ISNUMBER($H851),$H851&gt;=DATE(2024,1,1)),"FALTA EN FIRMADAS","OK"),IF(OR($A851="Pendiente de presentación",$A851="Observado",$A851="En análisis",$A851="En instrucción",$A851="Suspendida",$A851="IT circulando",$A851="Para resolución",$A851="TDC"),"ABIERTA PERO ESTÁ EN FIRMADAS",IF($H851&lt;&gt;INDEX(firmadas!$F:$F,$T851),"FIRMA DISTINTA EN firmadas ("&amp;IF(INDEX(firmadas!$F:$F,$T851)="","vacía",DAY(INDEX(firmadas!$F:$F,$T851))&amp;"/"&amp;MONTH(INDEX(firmadas!$F:$F,$T851))&amp;"/"&amp;YEAR(INDEX(firmadas!$F:$F,$T851)))&amp;")",IF($G851&lt;&gt;INDEX(firmadas!$E:$E,$T851),"INGRESO DISTINTO EN firmadas ("&amp;IF(INDEX(firmadas!$E:$E,$T851)="","vacía",DAY(INDEX(firmadas!$E:$E,$T851))&amp;"/"&amp;MONTH(INDEX(firmadas!$E:$E,$T851))&amp;"/"&amp;YEAR(INDEX(firmadas!$E:$E,$T851)))&amp;")","OK"))))))))</f>
        <v/>
      </c>
      <c r="T851" t="str">
        <f ca="1">IF($P851="","",IFERROR(MATCH($P851,firmadas!$N:$N,0),IFERROR(MATCH("*/"&amp;MID($P851,FIND(" ",$P851)+1,9)&amp;"*",firmadas!$B:$B,0),0)))</f>
        <v/>
      </c>
    </row>
    <row r="852" spans="14:20" ht="15" customHeight="1" x14ac:dyDescent="0.25">
      <c r="N852" s="53" t="str">
        <f t="shared" ca="1" si="13"/>
        <v/>
      </c>
      <c r="P852" t="str">
        <f ca="1">IF(TRIM(SUBSTITUTE(($C852&amp;" "&amp;$D852),CHAR(160)," "))="","",IFERROR(IF(ISNUMBER(SEARCH("INC",($C852&amp;" "&amp;$D852))),"INC",IF(ISNUMBER(SEARCH("OPI",($C852&amp;" "&amp;$D852))),"OPI",IF(ISNUMBER(SEARCH("DP",($C852&amp;" "&amp;$D852))),"DP","CONC")))&amp;" "&amp;TEXT(LOOKUP(9.99E+307,--MID(SUBSTITUTE(($C852&amp;" "&amp;$D852),CHAR(160)," "),SUMPRODUCT(MIN(FIND({0,1,2,3,4,5,6,7,8,9},SUBSTITUTE(($C852&amp;" "&amp;$D852),CHAR(160)," ")&amp;"0123456789"))),ROW(INDIRECT("1:6")))),"0"),"SIN NUMERO"))</f>
        <v/>
      </c>
      <c r="Q852" t="str">
        <f ca="1">IF($P852="","",IF(LEFT(UPPER($S852),9)="VERIFICAR","VERIFICAR",IF($A852="","SIN ESTADO",IF(AND($A852="Firmada",$H852=""),"FALTA FECHA DE FIRMA",IF(N($T852)=0,IF(AND(ISNUMBER($H852),$H852&gt;=DATE(2024,1,1)),"FALTA EN FIRMADAS","OK"),IF(OR($A852="Pendiente de presentación",$A852="Observado",$A852="En análisis",$A852="En instrucción",$A852="Suspendida",$A852="IT circulando",$A852="Para resolución",$A852="TDC"),"ABIERTA PERO ESTÁ EN FIRMADAS",IF($H852&lt;&gt;INDEX(firmadas!$F:$F,$T852),"FIRMA DISTINTA EN firmadas ("&amp;IF(INDEX(firmadas!$F:$F,$T852)="","vacía",DAY(INDEX(firmadas!$F:$F,$T852))&amp;"/"&amp;MONTH(INDEX(firmadas!$F:$F,$T852))&amp;"/"&amp;YEAR(INDEX(firmadas!$F:$F,$T852)))&amp;")",IF($G852&lt;&gt;INDEX(firmadas!$E:$E,$T852),"INGRESO DISTINTO EN firmadas ("&amp;IF(INDEX(firmadas!$E:$E,$T852)="","vacía",DAY(INDEX(firmadas!$E:$E,$T852))&amp;"/"&amp;MONTH(INDEX(firmadas!$E:$E,$T852))&amp;"/"&amp;YEAR(INDEX(firmadas!$E:$E,$T852)))&amp;")","OK"))))))))</f>
        <v/>
      </c>
      <c r="T852" t="str">
        <f ca="1">IF($P852="","",IFERROR(MATCH($P852,firmadas!$N:$N,0),IFERROR(MATCH("*/"&amp;MID($P852,FIND(" ",$P852)+1,9)&amp;"*",firmadas!$B:$B,0),0)))</f>
        <v/>
      </c>
    </row>
    <row r="853" spans="14:20" ht="15" customHeight="1" x14ac:dyDescent="0.25">
      <c r="N853" s="53" t="str">
        <f t="shared" ca="1" si="13"/>
        <v/>
      </c>
      <c r="P853" t="str">
        <f ca="1">IF(TRIM(SUBSTITUTE(($C853&amp;" "&amp;$D853),CHAR(160)," "))="","",IFERROR(IF(ISNUMBER(SEARCH("INC",($C853&amp;" "&amp;$D853))),"INC",IF(ISNUMBER(SEARCH("OPI",($C853&amp;" "&amp;$D853))),"OPI",IF(ISNUMBER(SEARCH("DP",($C853&amp;" "&amp;$D853))),"DP","CONC")))&amp;" "&amp;TEXT(LOOKUP(9.99E+307,--MID(SUBSTITUTE(($C853&amp;" "&amp;$D853),CHAR(160)," "),SUMPRODUCT(MIN(FIND({0,1,2,3,4,5,6,7,8,9},SUBSTITUTE(($C853&amp;" "&amp;$D853),CHAR(160)," ")&amp;"0123456789"))),ROW(INDIRECT("1:6")))),"0"),"SIN NUMERO"))</f>
        <v/>
      </c>
      <c r="Q853" t="str">
        <f ca="1">IF($P853="","",IF(LEFT(UPPER($S853),9)="VERIFICAR","VERIFICAR",IF($A853="","SIN ESTADO",IF(AND($A853="Firmada",$H853=""),"FALTA FECHA DE FIRMA",IF(N($T853)=0,IF(AND(ISNUMBER($H853),$H853&gt;=DATE(2024,1,1)),"FALTA EN FIRMADAS","OK"),IF(OR($A853="Pendiente de presentación",$A853="Observado",$A853="En análisis",$A853="En instrucción",$A853="Suspendida",$A853="IT circulando",$A853="Para resolución",$A853="TDC"),"ABIERTA PERO ESTÁ EN FIRMADAS",IF($H853&lt;&gt;INDEX(firmadas!$F:$F,$T853),"FIRMA DISTINTA EN firmadas ("&amp;IF(INDEX(firmadas!$F:$F,$T853)="","vacía",DAY(INDEX(firmadas!$F:$F,$T853))&amp;"/"&amp;MONTH(INDEX(firmadas!$F:$F,$T853))&amp;"/"&amp;YEAR(INDEX(firmadas!$F:$F,$T853)))&amp;")",IF($G853&lt;&gt;INDEX(firmadas!$E:$E,$T853),"INGRESO DISTINTO EN firmadas ("&amp;IF(INDEX(firmadas!$E:$E,$T853)="","vacía",DAY(INDEX(firmadas!$E:$E,$T853))&amp;"/"&amp;MONTH(INDEX(firmadas!$E:$E,$T853))&amp;"/"&amp;YEAR(INDEX(firmadas!$E:$E,$T853)))&amp;")","OK"))))))))</f>
        <v/>
      </c>
      <c r="T853" t="str">
        <f ca="1">IF($P853="","",IFERROR(MATCH($P853,firmadas!$N:$N,0),IFERROR(MATCH("*/"&amp;MID($P853,FIND(" ",$P853)+1,9)&amp;"*",firmadas!$B:$B,0),0)))</f>
        <v/>
      </c>
    </row>
    <row r="854" spans="14:20" ht="15" customHeight="1" x14ac:dyDescent="0.25">
      <c r="N854" s="53" t="str">
        <f t="shared" ca="1" si="13"/>
        <v/>
      </c>
      <c r="P854" t="str">
        <f ca="1">IF(TRIM(SUBSTITUTE(($C854&amp;" "&amp;$D854),CHAR(160)," "))="","",IFERROR(IF(ISNUMBER(SEARCH("INC",($C854&amp;" "&amp;$D854))),"INC",IF(ISNUMBER(SEARCH("OPI",($C854&amp;" "&amp;$D854))),"OPI",IF(ISNUMBER(SEARCH("DP",($C854&amp;" "&amp;$D854))),"DP","CONC")))&amp;" "&amp;TEXT(LOOKUP(9.99E+307,--MID(SUBSTITUTE(($C854&amp;" "&amp;$D854),CHAR(160)," "),SUMPRODUCT(MIN(FIND({0,1,2,3,4,5,6,7,8,9},SUBSTITUTE(($C854&amp;" "&amp;$D854),CHAR(160)," ")&amp;"0123456789"))),ROW(INDIRECT("1:6")))),"0"),"SIN NUMERO"))</f>
        <v/>
      </c>
      <c r="Q854" t="str">
        <f ca="1">IF($P854="","",IF(LEFT(UPPER($S854),9)="VERIFICAR","VERIFICAR",IF($A854="","SIN ESTADO",IF(AND($A854="Firmada",$H854=""),"FALTA FECHA DE FIRMA",IF(N($T854)=0,IF(AND(ISNUMBER($H854),$H854&gt;=DATE(2024,1,1)),"FALTA EN FIRMADAS","OK"),IF(OR($A854="Pendiente de presentación",$A854="Observado",$A854="En análisis",$A854="En instrucción",$A854="Suspendida",$A854="IT circulando",$A854="Para resolución",$A854="TDC"),"ABIERTA PERO ESTÁ EN FIRMADAS",IF($H854&lt;&gt;INDEX(firmadas!$F:$F,$T854),"FIRMA DISTINTA EN firmadas ("&amp;IF(INDEX(firmadas!$F:$F,$T854)="","vacía",DAY(INDEX(firmadas!$F:$F,$T854))&amp;"/"&amp;MONTH(INDEX(firmadas!$F:$F,$T854))&amp;"/"&amp;YEAR(INDEX(firmadas!$F:$F,$T854)))&amp;")",IF($G854&lt;&gt;INDEX(firmadas!$E:$E,$T854),"INGRESO DISTINTO EN firmadas ("&amp;IF(INDEX(firmadas!$E:$E,$T854)="","vacía",DAY(INDEX(firmadas!$E:$E,$T854))&amp;"/"&amp;MONTH(INDEX(firmadas!$E:$E,$T854))&amp;"/"&amp;YEAR(INDEX(firmadas!$E:$E,$T854)))&amp;")","OK"))))))))</f>
        <v/>
      </c>
      <c r="T854" t="str">
        <f ca="1">IF($P854="","",IFERROR(MATCH($P854,firmadas!$N:$N,0),IFERROR(MATCH("*/"&amp;MID($P854,FIND(" ",$P854)+1,9)&amp;"*",firmadas!$B:$B,0),0)))</f>
        <v/>
      </c>
    </row>
    <row r="855" spans="14:20" ht="15" customHeight="1" x14ac:dyDescent="0.25">
      <c r="N855" s="53" t="str">
        <f t="shared" ca="1" si="13"/>
        <v/>
      </c>
      <c r="P855" t="str">
        <f ca="1">IF(TRIM(SUBSTITUTE(($C855&amp;" "&amp;$D855),CHAR(160)," "))="","",IFERROR(IF(ISNUMBER(SEARCH("INC",($C855&amp;" "&amp;$D855))),"INC",IF(ISNUMBER(SEARCH("OPI",($C855&amp;" "&amp;$D855))),"OPI",IF(ISNUMBER(SEARCH("DP",($C855&amp;" "&amp;$D855))),"DP","CONC")))&amp;" "&amp;TEXT(LOOKUP(9.99E+307,--MID(SUBSTITUTE(($C855&amp;" "&amp;$D855),CHAR(160)," "),SUMPRODUCT(MIN(FIND({0,1,2,3,4,5,6,7,8,9},SUBSTITUTE(($C855&amp;" "&amp;$D855),CHAR(160)," ")&amp;"0123456789"))),ROW(INDIRECT("1:6")))),"0"),"SIN NUMERO"))</f>
        <v/>
      </c>
      <c r="Q855" t="str">
        <f ca="1">IF($P855="","",IF(LEFT(UPPER($S855),9)="VERIFICAR","VERIFICAR",IF($A855="","SIN ESTADO",IF(AND($A855="Firmada",$H855=""),"FALTA FECHA DE FIRMA",IF(N($T855)=0,IF(AND(ISNUMBER($H855),$H855&gt;=DATE(2024,1,1)),"FALTA EN FIRMADAS","OK"),IF(OR($A855="Pendiente de presentación",$A855="Observado",$A855="En análisis",$A855="En instrucción",$A855="Suspendida",$A855="IT circulando",$A855="Para resolución",$A855="TDC"),"ABIERTA PERO ESTÁ EN FIRMADAS",IF($H855&lt;&gt;INDEX(firmadas!$F:$F,$T855),"FIRMA DISTINTA EN firmadas ("&amp;IF(INDEX(firmadas!$F:$F,$T855)="","vacía",DAY(INDEX(firmadas!$F:$F,$T855))&amp;"/"&amp;MONTH(INDEX(firmadas!$F:$F,$T855))&amp;"/"&amp;YEAR(INDEX(firmadas!$F:$F,$T855)))&amp;")",IF($G855&lt;&gt;INDEX(firmadas!$E:$E,$T855),"INGRESO DISTINTO EN firmadas ("&amp;IF(INDEX(firmadas!$E:$E,$T855)="","vacía",DAY(INDEX(firmadas!$E:$E,$T855))&amp;"/"&amp;MONTH(INDEX(firmadas!$E:$E,$T855))&amp;"/"&amp;YEAR(INDEX(firmadas!$E:$E,$T855)))&amp;")","OK"))))))))</f>
        <v/>
      </c>
      <c r="T855" t="str">
        <f ca="1">IF($P855="","",IFERROR(MATCH($P855,firmadas!$N:$N,0),IFERROR(MATCH("*/"&amp;MID($P855,FIND(" ",$P855)+1,9)&amp;"*",firmadas!$B:$B,0),0)))</f>
        <v/>
      </c>
    </row>
    <row r="856" spans="14:20" ht="15" customHeight="1" x14ac:dyDescent="0.25">
      <c r="N856" s="53" t="str">
        <f t="shared" ca="1" si="13"/>
        <v/>
      </c>
      <c r="P856" t="str">
        <f ca="1">IF(TRIM(SUBSTITUTE(($C856&amp;" "&amp;$D856),CHAR(160)," "))="","",IFERROR(IF(ISNUMBER(SEARCH("INC",($C856&amp;" "&amp;$D856))),"INC",IF(ISNUMBER(SEARCH("OPI",($C856&amp;" "&amp;$D856))),"OPI",IF(ISNUMBER(SEARCH("DP",($C856&amp;" "&amp;$D856))),"DP","CONC")))&amp;" "&amp;TEXT(LOOKUP(9.99E+307,--MID(SUBSTITUTE(($C856&amp;" "&amp;$D856),CHAR(160)," "),SUMPRODUCT(MIN(FIND({0,1,2,3,4,5,6,7,8,9},SUBSTITUTE(($C856&amp;" "&amp;$D856),CHAR(160)," ")&amp;"0123456789"))),ROW(INDIRECT("1:6")))),"0"),"SIN NUMERO"))</f>
        <v/>
      </c>
      <c r="Q856" t="str">
        <f ca="1">IF($P856="","",IF(LEFT(UPPER($S856),9)="VERIFICAR","VERIFICAR",IF($A856="","SIN ESTADO",IF(AND($A856="Firmada",$H856=""),"FALTA FECHA DE FIRMA",IF(N($T856)=0,IF(AND(ISNUMBER($H856),$H856&gt;=DATE(2024,1,1)),"FALTA EN FIRMADAS","OK"),IF(OR($A856="Pendiente de presentación",$A856="Observado",$A856="En análisis",$A856="En instrucción",$A856="Suspendida",$A856="IT circulando",$A856="Para resolución",$A856="TDC"),"ABIERTA PERO ESTÁ EN FIRMADAS",IF($H856&lt;&gt;INDEX(firmadas!$F:$F,$T856),"FIRMA DISTINTA EN firmadas ("&amp;IF(INDEX(firmadas!$F:$F,$T856)="","vacía",DAY(INDEX(firmadas!$F:$F,$T856))&amp;"/"&amp;MONTH(INDEX(firmadas!$F:$F,$T856))&amp;"/"&amp;YEAR(INDEX(firmadas!$F:$F,$T856)))&amp;")",IF($G856&lt;&gt;INDEX(firmadas!$E:$E,$T856),"INGRESO DISTINTO EN firmadas ("&amp;IF(INDEX(firmadas!$E:$E,$T856)="","vacía",DAY(INDEX(firmadas!$E:$E,$T856))&amp;"/"&amp;MONTH(INDEX(firmadas!$E:$E,$T856))&amp;"/"&amp;YEAR(INDEX(firmadas!$E:$E,$T856)))&amp;")","OK"))))))))</f>
        <v/>
      </c>
      <c r="T856" t="str">
        <f ca="1">IF($P856="","",IFERROR(MATCH($P856,firmadas!$N:$N,0),IFERROR(MATCH("*/"&amp;MID($P856,FIND(" ",$P856)+1,9)&amp;"*",firmadas!$B:$B,0),0)))</f>
        <v/>
      </c>
    </row>
    <row r="857" spans="14:20" ht="15" customHeight="1" x14ac:dyDescent="0.25">
      <c r="N857" s="53" t="str">
        <f t="shared" ca="1" si="13"/>
        <v/>
      </c>
      <c r="P857" t="str">
        <f ca="1">IF(TRIM(SUBSTITUTE(($C857&amp;" "&amp;$D857),CHAR(160)," "))="","",IFERROR(IF(ISNUMBER(SEARCH("INC",($C857&amp;" "&amp;$D857))),"INC",IF(ISNUMBER(SEARCH("OPI",($C857&amp;" "&amp;$D857))),"OPI",IF(ISNUMBER(SEARCH("DP",($C857&amp;" "&amp;$D857))),"DP","CONC")))&amp;" "&amp;TEXT(LOOKUP(9.99E+307,--MID(SUBSTITUTE(($C857&amp;" "&amp;$D857),CHAR(160)," "),SUMPRODUCT(MIN(FIND({0,1,2,3,4,5,6,7,8,9},SUBSTITUTE(($C857&amp;" "&amp;$D857),CHAR(160)," ")&amp;"0123456789"))),ROW(INDIRECT("1:6")))),"0"),"SIN NUMERO"))</f>
        <v/>
      </c>
      <c r="Q857" t="str">
        <f ca="1">IF($P857="","",IF(LEFT(UPPER($S857),9)="VERIFICAR","VERIFICAR",IF($A857="","SIN ESTADO",IF(AND($A857="Firmada",$H857=""),"FALTA FECHA DE FIRMA",IF(N($T857)=0,IF(AND(ISNUMBER($H857),$H857&gt;=DATE(2024,1,1)),"FALTA EN FIRMADAS","OK"),IF(OR($A857="Pendiente de presentación",$A857="Observado",$A857="En análisis",$A857="En instrucción",$A857="Suspendida",$A857="IT circulando",$A857="Para resolución",$A857="TDC"),"ABIERTA PERO ESTÁ EN FIRMADAS",IF($H857&lt;&gt;INDEX(firmadas!$F:$F,$T857),"FIRMA DISTINTA EN firmadas ("&amp;IF(INDEX(firmadas!$F:$F,$T857)="","vacía",DAY(INDEX(firmadas!$F:$F,$T857))&amp;"/"&amp;MONTH(INDEX(firmadas!$F:$F,$T857))&amp;"/"&amp;YEAR(INDEX(firmadas!$F:$F,$T857)))&amp;")",IF($G857&lt;&gt;INDEX(firmadas!$E:$E,$T857),"INGRESO DISTINTO EN firmadas ("&amp;IF(INDEX(firmadas!$E:$E,$T857)="","vacía",DAY(INDEX(firmadas!$E:$E,$T857))&amp;"/"&amp;MONTH(INDEX(firmadas!$E:$E,$T857))&amp;"/"&amp;YEAR(INDEX(firmadas!$E:$E,$T857)))&amp;")","OK"))))))))</f>
        <v/>
      </c>
      <c r="T857" t="str">
        <f ca="1">IF($P857="","",IFERROR(MATCH($P857,firmadas!$N:$N,0),IFERROR(MATCH("*/"&amp;MID($P857,FIND(" ",$P857)+1,9)&amp;"*",firmadas!$B:$B,0),0)))</f>
        <v/>
      </c>
    </row>
    <row r="858" spans="14:20" ht="15" customHeight="1" x14ac:dyDescent="0.25">
      <c r="N858" s="53" t="str">
        <f t="shared" ca="1" si="13"/>
        <v/>
      </c>
      <c r="P858" t="str">
        <f ca="1">IF(TRIM(SUBSTITUTE(($C858&amp;" "&amp;$D858),CHAR(160)," "))="","",IFERROR(IF(ISNUMBER(SEARCH("INC",($C858&amp;" "&amp;$D858))),"INC",IF(ISNUMBER(SEARCH("OPI",($C858&amp;" "&amp;$D858))),"OPI",IF(ISNUMBER(SEARCH("DP",($C858&amp;" "&amp;$D858))),"DP","CONC")))&amp;" "&amp;TEXT(LOOKUP(9.99E+307,--MID(SUBSTITUTE(($C858&amp;" "&amp;$D858),CHAR(160)," "),SUMPRODUCT(MIN(FIND({0,1,2,3,4,5,6,7,8,9},SUBSTITUTE(($C858&amp;" "&amp;$D858),CHAR(160)," ")&amp;"0123456789"))),ROW(INDIRECT("1:6")))),"0"),"SIN NUMERO"))</f>
        <v/>
      </c>
      <c r="Q858" t="str">
        <f ca="1">IF($P858="","",IF(LEFT(UPPER($S858),9)="VERIFICAR","VERIFICAR",IF($A858="","SIN ESTADO",IF(AND($A858="Firmada",$H858=""),"FALTA FECHA DE FIRMA",IF(N($T858)=0,IF(AND(ISNUMBER($H858),$H858&gt;=DATE(2024,1,1)),"FALTA EN FIRMADAS","OK"),IF(OR($A858="Pendiente de presentación",$A858="Observado",$A858="En análisis",$A858="En instrucción",$A858="Suspendida",$A858="IT circulando",$A858="Para resolución",$A858="TDC"),"ABIERTA PERO ESTÁ EN FIRMADAS",IF($H858&lt;&gt;INDEX(firmadas!$F:$F,$T858),"FIRMA DISTINTA EN firmadas ("&amp;IF(INDEX(firmadas!$F:$F,$T858)="","vacía",DAY(INDEX(firmadas!$F:$F,$T858))&amp;"/"&amp;MONTH(INDEX(firmadas!$F:$F,$T858))&amp;"/"&amp;YEAR(INDEX(firmadas!$F:$F,$T858)))&amp;")",IF($G858&lt;&gt;INDEX(firmadas!$E:$E,$T858),"INGRESO DISTINTO EN firmadas ("&amp;IF(INDEX(firmadas!$E:$E,$T858)="","vacía",DAY(INDEX(firmadas!$E:$E,$T858))&amp;"/"&amp;MONTH(INDEX(firmadas!$E:$E,$T858))&amp;"/"&amp;YEAR(INDEX(firmadas!$E:$E,$T858)))&amp;")","OK"))))))))</f>
        <v/>
      </c>
      <c r="T858" t="str">
        <f ca="1">IF($P858="","",IFERROR(MATCH($P858,firmadas!$N:$N,0),IFERROR(MATCH("*/"&amp;MID($P858,FIND(" ",$P858)+1,9)&amp;"*",firmadas!$B:$B,0),0)))</f>
        <v/>
      </c>
    </row>
    <row r="859" spans="14:20" ht="15" customHeight="1" x14ac:dyDescent="0.25">
      <c r="N859" s="53" t="str">
        <f t="shared" ca="1" si="13"/>
        <v/>
      </c>
      <c r="P859" t="str">
        <f ca="1">IF(TRIM(SUBSTITUTE(($C859&amp;" "&amp;$D859),CHAR(160)," "))="","",IFERROR(IF(ISNUMBER(SEARCH("INC",($C859&amp;" "&amp;$D859))),"INC",IF(ISNUMBER(SEARCH("OPI",($C859&amp;" "&amp;$D859))),"OPI",IF(ISNUMBER(SEARCH("DP",($C859&amp;" "&amp;$D859))),"DP","CONC")))&amp;" "&amp;TEXT(LOOKUP(9.99E+307,--MID(SUBSTITUTE(($C859&amp;" "&amp;$D859),CHAR(160)," "),SUMPRODUCT(MIN(FIND({0,1,2,3,4,5,6,7,8,9},SUBSTITUTE(($C859&amp;" "&amp;$D859),CHAR(160)," ")&amp;"0123456789"))),ROW(INDIRECT("1:6")))),"0"),"SIN NUMERO"))</f>
        <v/>
      </c>
      <c r="Q859" t="str">
        <f ca="1">IF($P859="","",IF(LEFT(UPPER($S859),9)="VERIFICAR","VERIFICAR",IF($A859="","SIN ESTADO",IF(AND($A859="Firmada",$H859=""),"FALTA FECHA DE FIRMA",IF(N($T859)=0,IF(AND(ISNUMBER($H859),$H859&gt;=DATE(2024,1,1)),"FALTA EN FIRMADAS","OK"),IF(OR($A859="Pendiente de presentación",$A859="Observado",$A859="En análisis",$A859="En instrucción",$A859="Suspendida",$A859="IT circulando",$A859="Para resolución",$A859="TDC"),"ABIERTA PERO ESTÁ EN FIRMADAS",IF($H859&lt;&gt;INDEX(firmadas!$F:$F,$T859),"FIRMA DISTINTA EN firmadas ("&amp;IF(INDEX(firmadas!$F:$F,$T859)="","vacía",DAY(INDEX(firmadas!$F:$F,$T859))&amp;"/"&amp;MONTH(INDEX(firmadas!$F:$F,$T859))&amp;"/"&amp;YEAR(INDEX(firmadas!$F:$F,$T859)))&amp;")",IF($G859&lt;&gt;INDEX(firmadas!$E:$E,$T859),"INGRESO DISTINTO EN firmadas ("&amp;IF(INDEX(firmadas!$E:$E,$T859)="","vacía",DAY(INDEX(firmadas!$E:$E,$T859))&amp;"/"&amp;MONTH(INDEX(firmadas!$E:$E,$T859))&amp;"/"&amp;YEAR(INDEX(firmadas!$E:$E,$T859)))&amp;")","OK"))))))))</f>
        <v/>
      </c>
      <c r="T859" t="str">
        <f ca="1">IF($P859="","",IFERROR(MATCH($P859,firmadas!$N:$N,0),IFERROR(MATCH("*/"&amp;MID($P859,FIND(" ",$P859)+1,9)&amp;"*",firmadas!$B:$B,0),0)))</f>
        <v/>
      </c>
    </row>
    <row r="860" spans="14:20" ht="15" customHeight="1" x14ac:dyDescent="0.25">
      <c r="N860" s="53" t="str">
        <f t="shared" ca="1" si="13"/>
        <v/>
      </c>
      <c r="P860" t="str">
        <f ca="1">IF(TRIM(SUBSTITUTE(($C860&amp;" "&amp;$D860),CHAR(160)," "))="","",IFERROR(IF(ISNUMBER(SEARCH("INC",($C860&amp;" "&amp;$D860))),"INC",IF(ISNUMBER(SEARCH("OPI",($C860&amp;" "&amp;$D860))),"OPI",IF(ISNUMBER(SEARCH("DP",($C860&amp;" "&amp;$D860))),"DP","CONC")))&amp;" "&amp;TEXT(LOOKUP(9.99E+307,--MID(SUBSTITUTE(($C860&amp;" "&amp;$D860),CHAR(160)," "),SUMPRODUCT(MIN(FIND({0,1,2,3,4,5,6,7,8,9},SUBSTITUTE(($C860&amp;" "&amp;$D860),CHAR(160)," ")&amp;"0123456789"))),ROW(INDIRECT("1:6")))),"0"),"SIN NUMERO"))</f>
        <v/>
      </c>
      <c r="Q860" t="str">
        <f ca="1">IF($P860="","",IF(LEFT(UPPER($S860),9)="VERIFICAR","VERIFICAR",IF($A860="","SIN ESTADO",IF(AND($A860="Firmada",$H860=""),"FALTA FECHA DE FIRMA",IF(N($T860)=0,IF(AND(ISNUMBER($H860),$H860&gt;=DATE(2024,1,1)),"FALTA EN FIRMADAS","OK"),IF(OR($A860="Pendiente de presentación",$A860="Observado",$A860="En análisis",$A860="En instrucción",$A860="Suspendida",$A860="IT circulando",$A860="Para resolución",$A860="TDC"),"ABIERTA PERO ESTÁ EN FIRMADAS",IF($H860&lt;&gt;INDEX(firmadas!$F:$F,$T860),"FIRMA DISTINTA EN firmadas ("&amp;IF(INDEX(firmadas!$F:$F,$T860)="","vacía",DAY(INDEX(firmadas!$F:$F,$T860))&amp;"/"&amp;MONTH(INDEX(firmadas!$F:$F,$T860))&amp;"/"&amp;YEAR(INDEX(firmadas!$F:$F,$T860)))&amp;")",IF($G860&lt;&gt;INDEX(firmadas!$E:$E,$T860),"INGRESO DISTINTO EN firmadas ("&amp;IF(INDEX(firmadas!$E:$E,$T860)="","vacía",DAY(INDEX(firmadas!$E:$E,$T860))&amp;"/"&amp;MONTH(INDEX(firmadas!$E:$E,$T860))&amp;"/"&amp;YEAR(INDEX(firmadas!$E:$E,$T860)))&amp;")","OK"))))))))</f>
        <v/>
      </c>
      <c r="T860" t="str">
        <f ca="1">IF($P860="","",IFERROR(MATCH($P860,firmadas!$N:$N,0),IFERROR(MATCH("*/"&amp;MID($P860,FIND(" ",$P860)+1,9)&amp;"*",firmadas!$B:$B,0),0)))</f>
        <v/>
      </c>
    </row>
    <row r="861" spans="14:20" ht="15" customHeight="1" x14ac:dyDescent="0.25">
      <c r="N861" s="53" t="str">
        <f t="shared" ca="1" si="13"/>
        <v/>
      </c>
      <c r="P861" t="str">
        <f ca="1">IF(TRIM(SUBSTITUTE(($C861&amp;" "&amp;$D861),CHAR(160)," "))="","",IFERROR(IF(ISNUMBER(SEARCH("INC",($C861&amp;" "&amp;$D861))),"INC",IF(ISNUMBER(SEARCH("OPI",($C861&amp;" "&amp;$D861))),"OPI",IF(ISNUMBER(SEARCH("DP",($C861&amp;" "&amp;$D861))),"DP","CONC")))&amp;" "&amp;TEXT(LOOKUP(9.99E+307,--MID(SUBSTITUTE(($C861&amp;" "&amp;$D861),CHAR(160)," "),SUMPRODUCT(MIN(FIND({0,1,2,3,4,5,6,7,8,9},SUBSTITUTE(($C861&amp;" "&amp;$D861),CHAR(160)," ")&amp;"0123456789"))),ROW(INDIRECT("1:6")))),"0"),"SIN NUMERO"))</f>
        <v/>
      </c>
      <c r="Q861" t="str">
        <f ca="1">IF($P861="","",IF(LEFT(UPPER($S861),9)="VERIFICAR","VERIFICAR",IF($A861="","SIN ESTADO",IF(AND($A861="Firmada",$H861=""),"FALTA FECHA DE FIRMA",IF(N($T861)=0,IF(AND(ISNUMBER($H861),$H861&gt;=DATE(2024,1,1)),"FALTA EN FIRMADAS","OK"),IF(OR($A861="Pendiente de presentación",$A861="Observado",$A861="En análisis",$A861="En instrucción",$A861="Suspendida",$A861="IT circulando",$A861="Para resolución",$A861="TDC"),"ABIERTA PERO ESTÁ EN FIRMADAS",IF($H861&lt;&gt;INDEX(firmadas!$F:$F,$T861),"FIRMA DISTINTA EN firmadas ("&amp;IF(INDEX(firmadas!$F:$F,$T861)="","vacía",DAY(INDEX(firmadas!$F:$F,$T861))&amp;"/"&amp;MONTH(INDEX(firmadas!$F:$F,$T861))&amp;"/"&amp;YEAR(INDEX(firmadas!$F:$F,$T861)))&amp;")",IF($G861&lt;&gt;INDEX(firmadas!$E:$E,$T861),"INGRESO DISTINTO EN firmadas ("&amp;IF(INDEX(firmadas!$E:$E,$T861)="","vacía",DAY(INDEX(firmadas!$E:$E,$T861))&amp;"/"&amp;MONTH(INDEX(firmadas!$E:$E,$T861))&amp;"/"&amp;YEAR(INDEX(firmadas!$E:$E,$T861)))&amp;")","OK"))))))))</f>
        <v/>
      </c>
      <c r="T861" t="str">
        <f ca="1">IF($P861="","",IFERROR(MATCH($P861,firmadas!$N:$N,0),IFERROR(MATCH("*/"&amp;MID($P861,FIND(" ",$P861)+1,9)&amp;"*",firmadas!$B:$B,0),0)))</f>
        <v/>
      </c>
    </row>
    <row r="862" spans="14:20" ht="15" customHeight="1" x14ac:dyDescent="0.25">
      <c r="N862" s="53" t="str">
        <f t="shared" ca="1" si="13"/>
        <v/>
      </c>
      <c r="P862" t="str">
        <f ca="1">IF(TRIM(SUBSTITUTE(($C862&amp;" "&amp;$D862),CHAR(160)," "))="","",IFERROR(IF(ISNUMBER(SEARCH("INC",($C862&amp;" "&amp;$D862))),"INC",IF(ISNUMBER(SEARCH("OPI",($C862&amp;" "&amp;$D862))),"OPI",IF(ISNUMBER(SEARCH("DP",($C862&amp;" "&amp;$D862))),"DP","CONC")))&amp;" "&amp;TEXT(LOOKUP(9.99E+307,--MID(SUBSTITUTE(($C862&amp;" "&amp;$D862),CHAR(160)," "),SUMPRODUCT(MIN(FIND({0,1,2,3,4,5,6,7,8,9},SUBSTITUTE(($C862&amp;" "&amp;$D862),CHAR(160)," ")&amp;"0123456789"))),ROW(INDIRECT("1:6")))),"0"),"SIN NUMERO"))</f>
        <v/>
      </c>
      <c r="Q862" t="str">
        <f ca="1">IF($P862="","",IF(LEFT(UPPER($S862),9)="VERIFICAR","VERIFICAR",IF($A862="","SIN ESTADO",IF(AND($A862="Firmada",$H862=""),"FALTA FECHA DE FIRMA",IF(N($T862)=0,IF(AND(ISNUMBER($H862),$H862&gt;=DATE(2024,1,1)),"FALTA EN FIRMADAS","OK"),IF(OR($A862="Pendiente de presentación",$A862="Observado",$A862="En análisis",$A862="En instrucción",$A862="Suspendida",$A862="IT circulando",$A862="Para resolución",$A862="TDC"),"ABIERTA PERO ESTÁ EN FIRMADAS",IF($H862&lt;&gt;INDEX(firmadas!$F:$F,$T862),"FIRMA DISTINTA EN firmadas ("&amp;IF(INDEX(firmadas!$F:$F,$T862)="","vacía",DAY(INDEX(firmadas!$F:$F,$T862))&amp;"/"&amp;MONTH(INDEX(firmadas!$F:$F,$T862))&amp;"/"&amp;YEAR(INDEX(firmadas!$F:$F,$T862)))&amp;")",IF($G862&lt;&gt;INDEX(firmadas!$E:$E,$T862),"INGRESO DISTINTO EN firmadas ("&amp;IF(INDEX(firmadas!$E:$E,$T862)="","vacía",DAY(INDEX(firmadas!$E:$E,$T862))&amp;"/"&amp;MONTH(INDEX(firmadas!$E:$E,$T862))&amp;"/"&amp;YEAR(INDEX(firmadas!$E:$E,$T862)))&amp;")","OK"))))))))</f>
        <v/>
      </c>
      <c r="T862" t="str">
        <f ca="1">IF($P862="","",IFERROR(MATCH($P862,firmadas!$N:$N,0),IFERROR(MATCH("*/"&amp;MID($P862,FIND(" ",$P862)+1,9)&amp;"*",firmadas!$B:$B,0),0)))</f>
        <v/>
      </c>
    </row>
    <row r="863" spans="14:20" ht="15" customHeight="1" x14ac:dyDescent="0.25">
      <c r="N863" s="53" t="str">
        <f t="shared" ca="1" si="13"/>
        <v/>
      </c>
      <c r="P863" t="str">
        <f ca="1">IF(TRIM(SUBSTITUTE(($C863&amp;" "&amp;$D863),CHAR(160)," "))="","",IFERROR(IF(ISNUMBER(SEARCH("INC",($C863&amp;" "&amp;$D863))),"INC",IF(ISNUMBER(SEARCH("OPI",($C863&amp;" "&amp;$D863))),"OPI",IF(ISNUMBER(SEARCH("DP",($C863&amp;" "&amp;$D863))),"DP","CONC")))&amp;" "&amp;TEXT(LOOKUP(9.99E+307,--MID(SUBSTITUTE(($C863&amp;" "&amp;$D863),CHAR(160)," "),SUMPRODUCT(MIN(FIND({0,1,2,3,4,5,6,7,8,9},SUBSTITUTE(($C863&amp;" "&amp;$D863),CHAR(160)," ")&amp;"0123456789"))),ROW(INDIRECT("1:6")))),"0"),"SIN NUMERO"))</f>
        <v/>
      </c>
      <c r="Q863" t="str">
        <f ca="1">IF($P863="","",IF(LEFT(UPPER($S863),9)="VERIFICAR","VERIFICAR",IF($A863="","SIN ESTADO",IF(AND($A863="Firmada",$H863=""),"FALTA FECHA DE FIRMA",IF(N($T863)=0,IF(AND(ISNUMBER($H863),$H863&gt;=DATE(2024,1,1)),"FALTA EN FIRMADAS","OK"),IF(OR($A863="Pendiente de presentación",$A863="Observado",$A863="En análisis",$A863="En instrucción",$A863="Suspendida",$A863="IT circulando",$A863="Para resolución",$A863="TDC"),"ABIERTA PERO ESTÁ EN FIRMADAS",IF($H863&lt;&gt;INDEX(firmadas!$F:$F,$T863),"FIRMA DISTINTA EN firmadas ("&amp;IF(INDEX(firmadas!$F:$F,$T863)="","vacía",DAY(INDEX(firmadas!$F:$F,$T863))&amp;"/"&amp;MONTH(INDEX(firmadas!$F:$F,$T863))&amp;"/"&amp;YEAR(INDEX(firmadas!$F:$F,$T863)))&amp;")",IF($G863&lt;&gt;INDEX(firmadas!$E:$E,$T863),"INGRESO DISTINTO EN firmadas ("&amp;IF(INDEX(firmadas!$E:$E,$T863)="","vacía",DAY(INDEX(firmadas!$E:$E,$T863))&amp;"/"&amp;MONTH(INDEX(firmadas!$E:$E,$T863))&amp;"/"&amp;YEAR(INDEX(firmadas!$E:$E,$T863)))&amp;")","OK"))))))))</f>
        <v/>
      </c>
      <c r="T863" t="str">
        <f ca="1">IF($P863="","",IFERROR(MATCH($P863,firmadas!$N:$N,0),IFERROR(MATCH("*/"&amp;MID($P863,FIND(" ",$P863)+1,9)&amp;"*",firmadas!$B:$B,0),0)))</f>
        <v/>
      </c>
    </row>
    <row r="864" spans="14:20" ht="15" customHeight="1" x14ac:dyDescent="0.25">
      <c r="N864" s="53" t="str">
        <f t="shared" ca="1" si="13"/>
        <v/>
      </c>
      <c r="P864" t="str">
        <f ca="1">IF(TRIM(SUBSTITUTE(($C864&amp;" "&amp;$D864),CHAR(160)," "))="","",IFERROR(IF(ISNUMBER(SEARCH("INC",($C864&amp;" "&amp;$D864))),"INC",IF(ISNUMBER(SEARCH("OPI",($C864&amp;" "&amp;$D864))),"OPI",IF(ISNUMBER(SEARCH("DP",($C864&amp;" "&amp;$D864))),"DP","CONC")))&amp;" "&amp;TEXT(LOOKUP(9.99E+307,--MID(SUBSTITUTE(($C864&amp;" "&amp;$D864),CHAR(160)," "),SUMPRODUCT(MIN(FIND({0,1,2,3,4,5,6,7,8,9},SUBSTITUTE(($C864&amp;" "&amp;$D864),CHAR(160)," ")&amp;"0123456789"))),ROW(INDIRECT("1:6")))),"0"),"SIN NUMERO"))</f>
        <v/>
      </c>
      <c r="Q864" t="str">
        <f ca="1">IF($P864="","",IF(LEFT(UPPER($S864),9)="VERIFICAR","VERIFICAR",IF($A864="","SIN ESTADO",IF(AND($A864="Firmada",$H864=""),"FALTA FECHA DE FIRMA",IF(N($T864)=0,IF(AND(ISNUMBER($H864),$H864&gt;=DATE(2024,1,1)),"FALTA EN FIRMADAS","OK"),IF(OR($A864="Pendiente de presentación",$A864="Observado",$A864="En análisis",$A864="En instrucción",$A864="Suspendida",$A864="IT circulando",$A864="Para resolución",$A864="TDC"),"ABIERTA PERO ESTÁ EN FIRMADAS",IF($H864&lt;&gt;INDEX(firmadas!$F:$F,$T864),"FIRMA DISTINTA EN firmadas ("&amp;IF(INDEX(firmadas!$F:$F,$T864)="","vacía",DAY(INDEX(firmadas!$F:$F,$T864))&amp;"/"&amp;MONTH(INDEX(firmadas!$F:$F,$T864))&amp;"/"&amp;YEAR(INDEX(firmadas!$F:$F,$T864)))&amp;")",IF($G864&lt;&gt;INDEX(firmadas!$E:$E,$T864),"INGRESO DISTINTO EN firmadas ("&amp;IF(INDEX(firmadas!$E:$E,$T864)="","vacía",DAY(INDEX(firmadas!$E:$E,$T864))&amp;"/"&amp;MONTH(INDEX(firmadas!$E:$E,$T864))&amp;"/"&amp;YEAR(INDEX(firmadas!$E:$E,$T864)))&amp;")","OK"))))))))</f>
        <v/>
      </c>
      <c r="T864" t="str">
        <f ca="1">IF($P864="","",IFERROR(MATCH($P864,firmadas!$N:$N,0),IFERROR(MATCH("*/"&amp;MID($P864,FIND(" ",$P864)+1,9)&amp;"*",firmadas!$B:$B,0),0)))</f>
        <v/>
      </c>
    </row>
    <row r="865" spans="14:20" ht="15" customHeight="1" x14ac:dyDescent="0.25">
      <c r="N865" s="53" t="str">
        <f t="shared" ca="1" si="13"/>
        <v/>
      </c>
      <c r="P865" t="str">
        <f ca="1">IF(TRIM(SUBSTITUTE(($C865&amp;" "&amp;$D865),CHAR(160)," "))="","",IFERROR(IF(ISNUMBER(SEARCH("INC",($C865&amp;" "&amp;$D865))),"INC",IF(ISNUMBER(SEARCH("OPI",($C865&amp;" "&amp;$D865))),"OPI",IF(ISNUMBER(SEARCH("DP",($C865&amp;" "&amp;$D865))),"DP","CONC")))&amp;" "&amp;TEXT(LOOKUP(9.99E+307,--MID(SUBSTITUTE(($C865&amp;" "&amp;$D865),CHAR(160)," "),SUMPRODUCT(MIN(FIND({0,1,2,3,4,5,6,7,8,9},SUBSTITUTE(($C865&amp;" "&amp;$D865),CHAR(160)," ")&amp;"0123456789"))),ROW(INDIRECT("1:6")))),"0"),"SIN NUMERO"))</f>
        <v/>
      </c>
      <c r="Q865" t="str">
        <f ca="1">IF($P865="","",IF(LEFT(UPPER($S865),9)="VERIFICAR","VERIFICAR",IF($A865="","SIN ESTADO",IF(AND($A865="Firmada",$H865=""),"FALTA FECHA DE FIRMA",IF(N($T865)=0,IF(AND(ISNUMBER($H865),$H865&gt;=DATE(2024,1,1)),"FALTA EN FIRMADAS","OK"),IF(OR($A865="Pendiente de presentación",$A865="Observado",$A865="En análisis",$A865="En instrucción",$A865="Suspendida",$A865="IT circulando",$A865="Para resolución",$A865="TDC"),"ABIERTA PERO ESTÁ EN FIRMADAS",IF($H865&lt;&gt;INDEX(firmadas!$F:$F,$T865),"FIRMA DISTINTA EN firmadas ("&amp;IF(INDEX(firmadas!$F:$F,$T865)="","vacía",DAY(INDEX(firmadas!$F:$F,$T865))&amp;"/"&amp;MONTH(INDEX(firmadas!$F:$F,$T865))&amp;"/"&amp;YEAR(INDEX(firmadas!$F:$F,$T865)))&amp;")",IF($G865&lt;&gt;INDEX(firmadas!$E:$E,$T865),"INGRESO DISTINTO EN firmadas ("&amp;IF(INDEX(firmadas!$E:$E,$T865)="","vacía",DAY(INDEX(firmadas!$E:$E,$T865))&amp;"/"&amp;MONTH(INDEX(firmadas!$E:$E,$T865))&amp;"/"&amp;YEAR(INDEX(firmadas!$E:$E,$T865)))&amp;")","OK"))))))))</f>
        <v/>
      </c>
      <c r="T865" t="str">
        <f ca="1">IF($P865="","",IFERROR(MATCH($P865,firmadas!$N:$N,0),IFERROR(MATCH("*/"&amp;MID($P865,FIND(" ",$P865)+1,9)&amp;"*",firmadas!$B:$B,0),0)))</f>
        <v/>
      </c>
    </row>
    <row r="866" spans="14:20" ht="15" customHeight="1" x14ac:dyDescent="0.25">
      <c r="N866" s="53" t="str">
        <f t="shared" ca="1" si="13"/>
        <v/>
      </c>
      <c r="P866" t="str">
        <f ca="1">IF(TRIM(SUBSTITUTE(($C866&amp;" "&amp;$D866),CHAR(160)," "))="","",IFERROR(IF(ISNUMBER(SEARCH("INC",($C866&amp;" "&amp;$D866))),"INC",IF(ISNUMBER(SEARCH("OPI",($C866&amp;" "&amp;$D866))),"OPI",IF(ISNUMBER(SEARCH("DP",($C866&amp;" "&amp;$D866))),"DP","CONC")))&amp;" "&amp;TEXT(LOOKUP(9.99E+307,--MID(SUBSTITUTE(($C866&amp;" "&amp;$D866),CHAR(160)," "),SUMPRODUCT(MIN(FIND({0,1,2,3,4,5,6,7,8,9},SUBSTITUTE(($C866&amp;" "&amp;$D866),CHAR(160)," ")&amp;"0123456789"))),ROW(INDIRECT("1:6")))),"0"),"SIN NUMERO"))</f>
        <v/>
      </c>
      <c r="Q866" t="str">
        <f ca="1">IF($P866="","",IF(LEFT(UPPER($S866),9)="VERIFICAR","VERIFICAR",IF($A866="","SIN ESTADO",IF(AND($A866="Firmada",$H866=""),"FALTA FECHA DE FIRMA",IF(N($T866)=0,IF(AND(ISNUMBER($H866),$H866&gt;=DATE(2024,1,1)),"FALTA EN FIRMADAS","OK"),IF(OR($A866="Pendiente de presentación",$A866="Observado",$A866="En análisis",$A866="En instrucción",$A866="Suspendida",$A866="IT circulando",$A866="Para resolución",$A866="TDC"),"ABIERTA PERO ESTÁ EN FIRMADAS",IF($H866&lt;&gt;INDEX(firmadas!$F:$F,$T866),"FIRMA DISTINTA EN firmadas ("&amp;IF(INDEX(firmadas!$F:$F,$T866)="","vacía",DAY(INDEX(firmadas!$F:$F,$T866))&amp;"/"&amp;MONTH(INDEX(firmadas!$F:$F,$T866))&amp;"/"&amp;YEAR(INDEX(firmadas!$F:$F,$T866)))&amp;")",IF($G866&lt;&gt;INDEX(firmadas!$E:$E,$T866),"INGRESO DISTINTO EN firmadas ("&amp;IF(INDEX(firmadas!$E:$E,$T866)="","vacía",DAY(INDEX(firmadas!$E:$E,$T866))&amp;"/"&amp;MONTH(INDEX(firmadas!$E:$E,$T866))&amp;"/"&amp;YEAR(INDEX(firmadas!$E:$E,$T866)))&amp;")","OK"))))))))</f>
        <v/>
      </c>
      <c r="T866" t="str">
        <f ca="1">IF($P866="","",IFERROR(MATCH($P866,firmadas!$N:$N,0),IFERROR(MATCH("*/"&amp;MID($P866,FIND(" ",$P866)+1,9)&amp;"*",firmadas!$B:$B,0),0)))</f>
        <v/>
      </c>
    </row>
    <row r="867" spans="14:20" ht="15" customHeight="1" x14ac:dyDescent="0.25">
      <c r="N867" s="53" t="str">
        <f t="shared" ca="1" si="13"/>
        <v/>
      </c>
      <c r="P867" t="str">
        <f ca="1">IF(TRIM(SUBSTITUTE(($C867&amp;" "&amp;$D867),CHAR(160)," "))="","",IFERROR(IF(ISNUMBER(SEARCH("INC",($C867&amp;" "&amp;$D867))),"INC",IF(ISNUMBER(SEARCH("OPI",($C867&amp;" "&amp;$D867))),"OPI",IF(ISNUMBER(SEARCH("DP",($C867&amp;" "&amp;$D867))),"DP","CONC")))&amp;" "&amp;TEXT(LOOKUP(9.99E+307,--MID(SUBSTITUTE(($C867&amp;" "&amp;$D867),CHAR(160)," "),SUMPRODUCT(MIN(FIND({0,1,2,3,4,5,6,7,8,9},SUBSTITUTE(($C867&amp;" "&amp;$D867),CHAR(160)," ")&amp;"0123456789"))),ROW(INDIRECT("1:6")))),"0"),"SIN NUMERO"))</f>
        <v/>
      </c>
      <c r="Q867" t="str">
        <f ca="1">IF($P867="","",IF(LEFT(UPPER($S867),9)="VERIFICAR","VERIFICAR",IF($A867="","SIN ESTADO",IF(AND($A867="Firmada",$H867=""),"FALTA FECHA DE FIRMA",IF(N($T867)=0,IF(AND(ISNUMBER($H867),$H867&gt;=DATE(2024,1,1)),"FALTA EN FIRMADAS","OK"),IF(OR($A867="Pendiente de presentación",$A867="Observado",$A867="En análisis",$A867="En instrucción",$A867="Suspendida",$A867="IT circulando",$A867="Para resolución",$A867="TDC"),"ABIERTA PERO ESTÁ EN FIRMADAS",IF($H867&lt;&gt;INDEX(firmadas!$F:$F,$T867),"FIRMA DISTINTA EN firmadas ("&amp;IF(INDEX(firmadas!$F:$F,$T867)="","vacía",DAY(INDEX(firmadas!$F:$F,$T867))&amp;"/"&amp;MONTH(INDEX(firmadas!$F:$F,$T867))&amp;"/"&amp;YEAR(INDEX(firmadas!$F:$F,$T867)))&amp;")",IF($G867&lt;&gt;INDEX(firmadas!$E:$E,$T867),"INGRESO DISTINTO EN firmadas ("&amp;IF(INDEX(firmadas!$E:$E,$T867)="","vacía",DAY(INDEX(firmadas!$E:$E,$T867))&amp;"/"&amp;MONTH(INDEX(firmadas!$E:$E,$T867))&amp;"/"&amp;YEAR(INDEX(firmadas!$E:$E,$T867)))&amp;")","OK"))))))))</f>
        <v/>
      </c>
      <c r="T867" t="str">
        <f ca="1">IF($P867="","",IFERROR(MATCH($P867,firmadas!$N:$N,0),IFERROR(MATCH("*/"&amp;MID($P867,FIND(" ",$P867)+1,9)&amp;"*",firmadas!$B:$B,0),0)))</f>
        <v/>
      </c>
    </row>
    <row r="868" spans="14:20" ht="15" customHeight="1" x14ac:dyDescent="0.25">
      <c r="N868" s="53" t="str">
        <f t="shared" ca="1" si="13"/>
        <v/>
      </c>
      <c r="P868" t="str">
        <f ca="1">IF(TRIM(SUBSTITUTE(($C868&amp;" "&amp;$D868),CHAR(160)," "))="","",IFERROR(IF(ISNUMBER(SEARCH("INC",($C868&amp;" "&amp;$D868))),"INC",IF(ISNUMBER(SEARCH("OPI",($C868&amp;" "&amp;$D868))),"OPI",IF(ISNUMBER(SEARCH("DP",($C868&amp;" "&amp;$D868))),"DP","CONC")))&amp;" "&amp;TEXT(LOOKUP(9.99E+307,--MID(SUBSTITUTE(($C868&amp;" "&amp;$D868),CHAR(160)," "),SUMPRODUCT(MIN(FIND({0,1,2,3,4,5,6,7,8,9},SUBSTITUTE(($C868&amp;" "&amp;$D868),CHAR(160)," ")&amp;"0123456789"))),ROW(INDIRECT("1:6")))),"0"),"SIN NUMERO"))</f>
        <v/>
      </c>
      <c r="Q868" t="str">
        <f ca="1">IF($P868="","",IF(LEFT(UPPER($S868),9)="VERIFICAR","VERIFICAR",IF($A868="","SIN ESTADO",IF(AND($A868="Firmada",$H868=""),"FALTA FECHA DE FIRMA",IF(N($T868)=0,IF(AND(ISNUMBER($H868),$H868&gt;=DATE(2024,1,1)),"FALTA EN FIRMADAS","OK"),IF(OR($A868="Pendiente de presentación",$A868="Observado",$A868="En análisis",$A868="En instrucción",$A868="Suspendida",$A868="IT circulando",$A868="Para resolución",$A868="TDC"),"ABIERTA PERO ESTÁ EN FIRMADAS",IF($H868&lt;&gt;INDEX(firmadas!$F:$F,$T868),"FIRMA DISTINTA EN firmadas ("&amp;IF(INDEX(firmadas!$F:$F,$T868)="","vacía",DAY(INDEX(firmadas!$F:$F,$T868))&amp;"/"&amp;MONTH(INDEX(firmadas!$F:$F,$T868))&amp;"/"&amp;YEAR(INDEX(firmadas!$F:$F,$T868)))&amp;")",IF($G868&lt;&gt;INDEX(firmadas!$E:$E,$T868),"INGRESO DISTINTO EN firmadas ("&amp;IF(INDEX(firmadas!$E:$E,$T868)="","vacía",DAY(INDEX(firmadas!$E:$E,$T868))&amp;"/"&amp;MONTH(INDEX(firmadas!$E:$E,$T868))&amp;"/"&amp;YEAR(INDEX(firmadas!$E:$E,$T868)))&amp;")","OK"))))))))</f>
        <v/>
      </c>
      <c r="T868" t="str">
        <f ca="1">IF($P868="","",IFERROR(MATCH($P868,firmadas!$N:$N,0),IFERROR(MATCH("*/"&amp;MID($P868,FIND(" ",$P868)+1,9)&amp;"*",firmadas!$B:$B,0),0)))</f>
        <v/>
      </c>
    </row>
    <row r="869" spans="14:20" ht="15" customHeight="1" x14ac:dyDescent="0.25">
      <c r="N869" s="53" t="str">
        <f t="shared" ca="1" si="13"/>
        <v/>
      </c>
      <c r="P869" t="str">
        <f ca="1">IF(TRIM(SUBSTITUTE(($C869&amp;" "&amp;$D869),CHAR(160)," "))="","",IFERROR(IF(ISNUMBER(SEARCH("INC",($C869&amp;" "&amp;$D869))),"INC",IF(ISNUMBER(SEARCH("OPI",($C869&amp;" "&amp;$D869))),"OPI",IF(ISNUMBER(SEARCH("DP",($C869&amp;" "&amp;$D869))),"DP","CONC")))&amp;" "&amp;TEXT(LOOKUP(9.99E+307,--MID(SUBSTITUTE(($C869&amp;" "&amp;$D869),CHAR(160)," "),SUMPRODUCT(MIN(FIND({0,1,2,3,4,5,6,7,8,9},SUBSTITUTE(($C869&amp;" "&amp;$D869),CHAR(160)," ")&amp;"0123456789"))),ROW(INDIRECT("1:6")))),"0"),"SIN NUMERO"))</f>
        <v/>
      </c>
      <c r="Q869" t="str">
        <f ca="1">IF($P869="","",IF(LEFT(UPPER($S869),9)="VERIFICAR","VERIFICAR",IF($A869="","SIN ESTADO",IF(AND($A869="Firmada",$H869=""),"FALTA FECHA DE FIRMA",IF(N($T869)=0,IF(AND(ISNUMBER($H869),$H869&gt;=DATE(2024,1,1)),"FALTA EN FIRMADAS","OK"),IF(OR($A869="Pendiente de presentación",$A869="Observado",$A869="En análisis",$A869="En instrucción",$A869="Suspendida",$A869="IT circulando",$A869="Para resolución",$A869="TDC"),"ABIERTA PERO ESTÁ EN FIRMADAS",IF($H869&lt;&gt;INDEX(firmadas!$F:$F,$T869),"FIRMA DISTINTA EN firmadas ("&amp;IF(INDEX(firmadas!$F:$F,$T869)="","vacía",DAY(INDEX(firmadas!$F:$F,$T869))&amp;"/"&amp;MONTH(INDEX(firmadas!$F:$F,$T869))&amp;"/"&amp;YEAR(INDEX(firmadas!$F:$F,$T869)))&amp;")",IF($G869&lt;&gt;INDEX(firmadas!$E:$E,$T869),"INGRESO DISTINTO EN firmadas ("&amp;IF(INDEX(firmadas!$E:$E,$T869)="","vacía",DAY(INDEX(firmadas!$E:$E,$T869))&amp;"/"&amp;MONTH(INDEX(firmadas!$E:$E,$T869))&amp;"/"&amp;YEAR(INDEX(firmadas!$E:$E,$T869)))&amp;")","OK"))))))))</f>
        <v/>
      </c>
      <c r="T869" t="str">
        <f ca="1">IF($P869="","",IFERROR(MATCH($P869,firmadas!$N:$N,0),IFERROR(MATCH("*/"&amp;MID($P869,FIND(" ",$P869)+1,9)&amp;"*",firmadas!$B:$B,0),0)))</f>
        <v/>
      </c>
    </row>
    <row r="870" spans="14:20" ht="15" customHeight="1" x14ac:dyDescent="0.25">
      <c r="N870" s="53" t="str">
        <f t="shared" ca="1" si="13"/>
        <v/>
      </c>
      <c r="P870" t="str">
        <f ca="1">IF(TRIM(SUBSTITUTE(($C870&amp;" "&amp;$D870),CHAR(160)," "))="","",IFERROR(IF(ISNUMBER(SEARCH("INC",($C870&amp;" "&amp;$D870))),"INC",IF(ISNUMBER(SEARCH("OPI",($C870&amp;" "&amp;$D870))),"OPI",IF(ISNUMBER(SEARCH("DP",($C870&amp;" "&amp;$D870))),"DP","CONC")))&amp;" "&amp;TEXT(LOOKUP(9.99E+307,--MID(SUBSTITUTE(($C870&amp;" "&amp;$D870),CHAR(160)," "),SUMPRODUCT(MIN(FIND({0,1,2,3,4,5,6,7,8,9},SUBSTITUTE(($C870&amp;" "&amp;$D870),CHAR(160)," ")&amp;"0123456789"))),ROW(INDIRECT("1:6")))),"0"),"SIN NUMERO"))</f>
        <v/>
      </c>
      <c r="Q870" t="str">
        <f ca="1">IF($P870="","",IF(LEFT(UPPER($S870),9)="VERIFICAR","VERIFICAR",IF($A870="","SIN ESTADO",IF(AND($A870="Firmada",$H870=""),"FALTA FECHA DE FIRMA",IF(N($T870)=0,IF(AND(ISNUMBER($H870),$H870&gt;=DATE(2024,1,1)),"FALTA EN FIRMADAS","OK"),IF(OR($A870="Pendiente de presentación",$A870="Observado",$A870="En análisis",$A870="En instrucción",$A870="Suspendida",$A870="IT circulando",$A870="Para resolución",$A870="TDC"),"ABIERTA PERO ESTÁ EN FIRMADAS",IF($H870&lt;&gt;INDEX(firmadas!$F:$F,$T870),"FIRMA DISTINTA EN firmadas ("&amp;IF(INDEX(firmadas!$F:$F,$T870)="","vacía",DAY(INDEX(firmadas!$F:$F,$T870))&amp;"/"&amp;MONTH(INDEX(firmadas!$F:$F,$T870))&amp;"/"&amp;YEAR(INDEX(firmadas!$F:$F,$T870)))&amp;")",IF($G870&lt;&gt;INDEX(firmadas!$E:$E,$T870),"INGRESO DISTINTO EN firmadas ("&amp;IF(INDEX(firmadas!$E:$E,$T870)="","vacía",DAY(INDEX(firmadas!$E:$E,$T870))&amp;"/"&amp;MONTH(INDEX(firmadas!$E:$E,$T870))&amp;"/"&amp;YEAR(INDEX(firmadas!$E:$E,$T870)))&amp;")","OK"))))))))</f>
        <v/>
      </c>
      <c r="T870" t="str">
        <f ca="1">IF($P870="","",IFERROR(MATCH($P870,firmadas!$N:$N,0),IFERROR(MATCH("*/"&amp;MID($P870,FIND(" ",$P870)+1,9)&amp;"*",firmadas!$B:$B,0),0)))</f>
        <v/>
      </c>
    </row>
    <row r="871" spans="14:20" ht="15" customHeight="1" x14ac:dyDescent="0.25">
      <c r="N871" s="53" t="str">
        <f t="shared" ca="1" si="13"/>
        <v/>
      </c>
      <c r="P871" t="str">
        <f ca="1">IF(TRIM(SUBSTITUTE(($C871&amp;" "&amp;$D871),CHAR(160)," "))="","",IFERROR(IF(ISNUMBER(SEARCH("INC",($C871&amp;" "&amp;$D871))),"INC",IF(ISNUMBER(SEARCH("OPI",($C871&amp;" "&amp;$D871))),"OPI",IF(ISNUMBER(SEARCH("DP",($C871&amp;" "&amp;$D871))),"DP","CONC")))&amp;" "&amp;TEXT(LOOKUP(9.99E+307,--MID(SUBSTITUTE(($C871&amp;" "&amp;$D871),CHAR(160)," "),SUMPRODUCT(MIN(FIND({0,1,2,3,4,5,6,7,8,9},SUBSTITUTE(($C871&amp;" "&amp;$D871),CHAR(160)," ")&amp;"0123456789"))),ROW(INDIRECT("1:6")))),"0"),"SIN NUMERO"))</f>
        <v/>
      </c>
      <c r="Q871" t="str">
        <f ca="1">IF($P871="","",IF(LEFT(UPPER($S871),9)="VERIFICAR","VERIFICAR",IF($A871="","SIN ESTADO",IF(AND($A871="Firmada",$H871=""),"FALTA FECHA DE FIRMA",IF(N($T871)=0,IF(AND(ISNUMBER($H871),$H871&gt;=DATE(2024,1,1)),"FALTA EN FIRMADAS","OK"),IF(OR($A871="Pendiente de presentación",$A871="Observado",$A871="En análisis",$A871="En instrucción",$A871="Suspendida",$A871="IT circulando",$A871="Para resolución",$A871="TDC"),"ABIERTA PERO ESTÁ EN FIRMADAS",IF($H871&lt;&gt;INDEX(firmadas!$F:$F,$T871),"FIRMA DISTINTA EN firmadas ("&amp;IF(INDEX(firmadas!$F:$F,$T871)="","vacía",DAY(INDEX(firmadas!$F:$F,$T871))&amp;"/"&amp;MONTH(INDEX(firmadas!$F:$F,$T871))&amp;"/"&amp;YEAR(INDEX(firmadas!$F:$F,$T871)))&amp;")",IF($G871&lt;&gt;INDEX(firmadas!$E:$E,$T871),"INGRESO DISTINTO EN firmadas ("&amp;IF(INDEX(firmadas!$E:$E,$T871)="","vacía",DAY(INDEX(firmadas!$E:$E,$T871))&amp;"/"&amp;MONTH(INDEX(firmadas!$E:$E,$T871))&amp;"/"&amp;YEAR(INDEX(firmadas!$E:$E,$T871)))&amp;")","OK"))))))))</f>
        <v/>
      </c>
      <c r="T871" t="str">
        <f ca="1">IF($P871="","",IFERROR(MATCH($P871,firmadas!$N:$N,0),IFERROR(MATCH("*/"&amp;MID($P871,FIND(" ",$P871)+1,9)&amp;"*",firmadas!$B:$B,0),0)))</f>
        <v/>
      </c>
    </row>
    <row r="872" spans="14:20" ht="15" customHeight="1" x14ac:dyDescent="0.25">
      <c r="N872" s="53" t="str">
        <f t="shared" ca="1" si="13"/>
        <v/>
      </c>
      <c r="P872" t="str">
        <f ca="1">IF(TRIM(SUBSTITUTE(($C872&amp;" "&amp;$D872),CHAR(160)," "))="","",IFERROR(IF(ISNUMBER(SEARCH("INC",($C872&amp;" "&amp;$D872))),"INC",IF(ISNUMBER(SEARCH("OPI",($C872&amp;" "&amp;$D872))),"OPI",IF(ISNUMBER(SEARCH("DP",($C872&amp;" "&amp;$D872))),"DP","CONC")))&amp;" "&amp;TEXT(LOOKUP(9.99E+307,--MID(SUBSTITUTE(($C872&amp;" "&amp;$D872),CHAR(160)," "),SUMPRODUCT(MIN(FIND({0,1,2,3,4,5,6,7,8,9},SUBSTITUTE(($C872&amp;" "&amp;$D872),CHAR(160)," ")&amp;"0123456789"))),ROW(INDIRECT("1:6")))),"0"),"SIN NUMERO"))</f>
        <v/>
      </c>
      <c r="Q872" t="str">
        <f ca="1">IF($P872="","",IF(LEFT(UPPER($S872),9)="VERIFICAR","VERIFICAR",IF($A872="","SIN ESTADO",IF(AND($A872="Firmada",$H872=""),"FALTA FECHA DE FIRMA",IF(N($T872)=0,IF(AND(ISNUMBER($H872),$H872&gt;=DATE(2024,1,1)),"FALTA EN FIRMADAS","OK"),IF(OR($A872="Pendiente de presentación",$A872="Observado",$A872="En análisis",$A872="En instrucción",$A872="Suspendida",$A872="IT circulando",$A872="Para resolución",$A872="TDC"),"ABIERTA PERO ESTÁ EN FIRMADAS",IF($H872&lt;&gt;INDEX(firmadas!$F:$F,$T872),"FIRMA DISTINTA EN firmadas ("&amp;IF(INDEX(firmadas!$F:$F,$T872)="","vacía",DAY(INDEX(firmadas!$F:$F,$T872))&amp;"/"&amp;MONTH(INDEX(firmadas!$F:$F,$T872))&amp;"/"&amp;YEAR(INDEX(firmadas!$F:$F,$T872)))&amp;")",IF($G872&lt;&gt;INDEX(firmadas!$E:$E,$T872),"INGRESO DISTINTO EN firmadas ("&amp;IF(INDEX(firmadas!$E:$E,$T872)="","vacía",DAY(INDEX(firmadas!$E:$E,$T872))&amp;"/"&amp;MONTH(INDEX(firmadas!$E:$E,$T872))&amp;"/"&amp;YEAR(INDEX(firmadas!$E:$E,$T872)))&amp;")","OK"))))))))</f>
        <v/>
      </c>
      <c r="T872" t="str">
        <f ca="1">IF($P872="","",IFERROR(MATCH($P872,firmadas!$N:$N,0),IFERROR(MATCH("*/"&amp;MID($P872,FIND(" ",$P872)+1,9)&amp;"*",firmadas!$B:$B,0),0)))</f>
        <v/>
      </c>
    </row>
    <row r="873" spans="14:20" ht="15" customHeight="1" x14ac:dyDescent="0.25">
      <c r="N873" s="53" t="str">
        <f t="shared" ca="1" si="13"/>
        <v/>
      </c>
      <c r="P873" t="str">
        <f ca="1">IF(TRIM(SUBSTITUTE(($C873&amp;" "&amp;$D873),CHAR(160)," "))="","",IFERROR(IF(ISNUMBER(SEARCH("INC",($C873&amp;" "&amp;$D873))),"INC",IF(ISNUMBER(SEARCH("OPI",($C873&amp;" "&amp;$D873))),"OPI",IF(ISNUMBER(SEARCH("DP",($C873&amp;" "&amp;$D873))),"DP","CONC")))&amp;" "&amp;TEXT(LOOKUP(9.99E+307,--MID(SUBSTITUTE(($C873&amp;" "&amp;$D873),CHAR(160)," "),SUMPRODUCT(MIN(FIND({0,1,2,3,4,5,6,7,8,9},SUBSTITUTE(($C873&amp;" "&amp;$D873),CHAR(160)," ")&amp;"0123456789"))),ROW(INDIRECT("1:6")))),"0"),"SIN NUMERO"))</f>
        <v/>
      </c>
      <c r="Q873" t="str">
        <f ca="1">IF($P873="","",IF(LEFT(UPPER($S873),9)="VERIFICAR","VERIFICAR",IF($A873="","SIN ESTADO",IF(AND($A873="Firmada",$H873=""),"FALTA FECHA DE FIRMA",IF(N($T873)=0,IF(AND(ISNUMBER($H873),$H873&gt;=DATE(2024,1,1)),"FALTA EN FIRMADAS","OK"),IF(OR($A873="Pendiente de presentación",$A873="Observado",$A873="En análisis",$A873="En instrucción",$A873="Suspendida",$A873="IT circulando",$A873="Para resolución",$A873="TDC"),"ABIERTA PERO ESTÁ EN FIRMADAS",IF($H873&lt;&gt;INDEX(firmadas!$F:$F,$T873),"FIRMA DISTINTA EN firmadas ("&amp;IF(INDEX(firmadas!$F:$F,$T873)="","vacía",DAY(INDEX(firmadas!$F:$F,$T873))&amp;"/"&amp;MONTH(INDEX(firmadas!$F:$F,$T873))&amp;"/"&amp;YEAR(INDEX(firmadas!$F:$F,$T873)))&amp;")",IF($G873&lt;&gt;INDEX(firmadas!$E:$E,$T873),"INGRESO DISTINTO EN firmadas ("&amp;IF(INDEX(firmadas!$E:$E,$T873)="","vacía",DAY(INDEX(firmadas!$E:$E,$T873))&amp;"/"&amp;MONTH(INDEX(firmadas!$E:$E,$T873))&amp;"/"&amp;YEAR(INDEX(firmadas!$E:$E,$T873)))&amp;")","OK"))))))))</f>
        <v/>
      </c>
      <c r="T873" t="str">
        <f ca="1">IF($P873="","",IFERROR(MATCH($P873,firmadas!$N:$N,0),IFERROR(MATCH("*/"&amp;MID($P873,FIND(" ",$P873)+1,9)&amp;"*",firmadas!$B:$B,0),0)))</f>
        <v/>
      </c>
    </row>
    <row r="874" spans="14:20" ht="15" customHeight="1" x14ac:dyDescent="0.25">
      <c r="N874" s="53" t="str">
        <f t="shared" ca="1" si="13"/>
        <v/>
      </c>
      <c r="P874" t="str">
        <f ca="1">IF(TRIM(SUBSTITUTE(($C874&amp;" "&amp;$D874),CHAR(160)," "))="","",IFERROR(IF(ISNUMBER(SEARCH("INC",($C874&amp;" "&amp;$D874))),"INC",IF(ISNUMBER(SEARCH("OPI",($C874&amp;" "&amp;$D874))),"OPI",IF(ISNUMBER(SEARCH("DP",($C874&amp;" "&amp;$D874))),"DP","CONC")))&amp;" "&amp;TEXT(LOOKUP(9.99E+307,--MID(SUBSTITUTE(($C874&amp;" "&amp;$D874),CHAR(160)," "),SUMPRODUCT(MIN(FIND({0,1,2,3,4,5,6,7,8,9},SUBSTITUTE(($C874&amp;" "&amp;$D874),CHAR(160)," ")&amp;"0123456789"))),ROW(INDIRECT("1:6")))),"0"),"SIN NUMERO"))</f>
        <v/>
      </c>
      <c r="Q874" t="str">
        <f ca="1">IF($P874="","",IF(LEFT(UPPER($S874),9)="VERIFICAR","VERIFICAR",IF($A874="","SIN ESTADO",IF(AND($A874="Firmada",$H874=""),"FALTA FECHA DE FIRMA",IF(N($T874)=0,IF(AND(ISNUMBER($H874),$H874&gt;=DATE(2024,1,1)),"FALTA EN FIRMADAS","OK"),IF(OR($A874="Pendiente de presentación",$A874="Observado",$A874="En análisis",$A874="En instrucción",$A874="Suspendida",$A874="IT circulando",$A874="Para resolución",$A874="TDC"),"ABIERTA PERO ESTÁ EN FIRMADAS",IF($H874&lt;&gt;INDEX(firmadas!$F:$F,$T874),"FIRMA DISTINTA EN firmadas ("&amp;IF(INDEX(firmadas!$F:$F,$T874)="","vacía",DAY(INDEX(firmadas!$F:$F,$T874))&amp;"/"&amp;MONTH(INDEX(firmadas!$F:$F,$T874))&amp;"/"&amp;YEAR(INDEX(firmadas!$F:$F,$T874)))&amp;")",IF($G874&lt;&gt;INDEX(firmadas!$E:$E,$T874),"INGRESO DISTINTO EN firmadas ("&amp;IF(INDEX(firmadas!$E:$E,$T874)="","vacía",DAY(INDEX(firmadas!$E:$E,$T874))&amp;"/"&amp;MONTH(INDEX(firmadas!$E:$E,$T874))&amp;"/"&amp;YEAR(INDEX(firmadas!$E:$E,$T874)))&amp;")","OK"))))))))</f>
        <v/>
      </c>
      <c r="T874" t="str">
        <f ca="1">IF($P874="","",IFERROR(MATCH($P874,firmadas!$N:$N,0),IFERROR(MATCH("*/"&amp;MID($P874,FIND(" ",$P874)+1,9)&amp;"*",firmadas!$B:$B,0),0)))</f>
        <v/>
      </c>
    </row>
    <row r="875" spans="14:20" ht="15" customHeight="1" x14ac:dyDescent="0.25">
      <c r="N875" s="53" t="str">
        <f t="shared" ca="1" si="13"/>
        <v/>
      </c>
      <c r="P875" t="str">
        <f ca="1">IF(TRIM(SUBSTITUTE(($C875&amp;" "&amp;$D875),CHAR(160)," "))="","",IFERROR(IF(ISNUMBER(SEARCH("INC",($C875&amp;" "&amp;$D875))),"INC",IF(ISNUMBER(SEARCH("OPI",($C875&amp;" "&amp;$D875))),"OPI",IF(ISNUMBER(SEARCH("DP",($C875&amp;" "&amp;$D875))),"DP","CONC")))&amp;" "&amp;TEXT(LOOKUP(9.99E+307,--MID(SUBSTITUTE(($C875&amp;" "&amp;$D875),CHAR(160)," "),SUMPRODUCT(MIN(FIND({0,1,2,3,4,5,6,7,8,9},SUBSTITUTE(($C875&amp;" "&amp;$D875),CHAR(160)," ")&amp;"0123456789"))),ROW(INDIRECT("1:6")))),"0"),"SIN NUMERO"))</f>
        <v/>
      </c>
      <c r="Q875" t="str">
        <f ca="1">IF($P875="","",IF(LEFT(UPPER($S875),9)="VERIFICAR","VERIFICAR",IF($A875="","SIN ESTADO",IF(AND($A875="Firmada",$H875=""),"FALTA FECHA DE FIRMA",IF(N($T875)=0,IF(AND(ISNUMBER($H875),$H875&gt;=DATE(2024,1,1)),"FALTA EN FIRMADAS","OK"),IF(OR($A875="Pendiente de presentación",$A875="Observado",$A875="En análisis",$A875="En instrucción",$A875="Suspendida",$A875="IT circulando",$A875="Para resolución",$A875="TDC"),"ABIERTA PERO ESTÁ EN FIRMADAS",IF($H875&lt;&gt;INDEX(firmadas!$F:$F,$T875),"FIRMA DISTINTA EN firmadas ("&amp;IF(INDEX(firmadas!$F:$F,$T875)="","vacía",DAY(INDEX(firmadas!$F:$F,$T875))&amp;"/"&amp;MONTH(INDEX(firmadas!$F:$F,$T875))&amp;"/"&amp;YEAR(INDEX(firmadas!$F:$F,$T875)))&amp;")",IF($G875&lt;&gt;INDEX(firmadas!$E:$E,$T875),"INGRESO DISTINTO EN firmadas ("&amp;IF(INDEX(firmadas!$E:$E,$T875)="","vacía",DAY(INDEX(firmadas!$E:$E,$T875))&amp;"/"&amp;MONTH(INDEX(firmadas!$E:$E,$T875))&amp;"/"&amp;YEAR(INDEX(firmadas!$E:$E,$T875)))&amp;")","OK"))))))))</f>
        <v/>
      </c>
      <c r="T875" t="str">
        <f ca="1">IF($P875="","",IFERROR(MATCH($P875,firmadas!$N:$N,0),IFERROR(MATCH("*/"&amp;MID($P875,FIND(" ",$P875)+1,9)&amp;"*",firmadas!$B:$B,0),0)))</f>
        <v/>
      </c>
    </row>
    <row r="876" spans="14:20" ht="15" customHeight="1" x14ac:dyDescent="0.25">
      <c r="N876" s="53" t="str">
        <f t="shared" ca="1" si="13"/>
        <v/>
      </c>
      <c r="P876" t="str">
        <f ca="1">IF(TRIM(SUBSTITUTE(($C876&amp;" "&amp;$D876),CHAR(160)," "))="","",IFERROR(IF(ISNUMBER(SEARCH("INC",($C876&amp;" "&amp;$D876))),"INC",IF(ISNUMBER(SEARCH("OPI",($C876&amp;" "&amp;$D876))),"OPI",IF(ISNUMBER(SEARCH("DP",($C876&amp;" "&amp;$D876))),"DP","CONC")))&amp;" "&amp;TEXT(LOOKUP(9.99E+307,--MID(SUBSTITUTE(($C876&amp;" "&amp;$D876),CHAR(160)," "),SUMPRODUCT(MIN(FIND({0,1,2,3,4,5,6,7,8,9},SUBSTITUTE(($C876&amp;" "&amp;$D876),CHAR(160)," ")&amp;"0123456789"))),ROW(INDIRECT("1:6")))),"0"),"SIN NUMERO"))</f>
        <v/>
      </c>
      <c r="Q876" t="str">
        <f ca="1">IF($P876="","",IF(LEFT(UPPER($S876),9)="VERIFICAR","VERIFICAR",IF($A876="","SIN ESTADO",IF(AND($A876="Firmada",$H876=""),"FALTA FECHA DE FIRMA",IF(N($T876)=0,IF(AND(ISNUMBER($H876),$H876&gt;=DATE(2024,1,1)),"FALTA EN FIRMADAS","OK"),IF(OR($A876="Pendiente de presentación",$A876="Observado",$A876="En análisis",$A876="En instrucción",$A876="Suspendida",$A876="IT circulando",$A876="Para resolución",$A876="TDC"),"ABIERTA PERO ESTÁ EN FIRMADAS",IF($H876&lt;&gt;INDEX(firmadas!$F:$F,$T876),"FIRMA DISTINTA EN firmadas ("&amp;IF(INDEX(firmadas!$F:$F,$T876)="","vacía",DAY(INDEX(firmadas!$F:$F,$T876))&amp;"/"&amp;MONTH(INDEX(firmadas!$F:$F,$T876))&amp;"/"&amp;YEAR(INDEX(firmadas!$F:$F,$T876)))&amp;")",IF($G876&lt;&gt;INDEX(firmadas!$E:$E,$T876),"INGRESO DISTINTO EN firmadas ("&amp;IF(INDEX(firmadas!$E:$E,$T876)="","vacía",DAY(INDEX(firmadas!$E:$E,$T876))&amp;"/"&amp;MONTH(INDEX(firmadas!$E:$E,$T876))&amp;"/"&amp;YEAR(INDEX(firmadas!$E:$E,$T876)))&amp;")","OK"))))))))</f>
        <v/>
      </c>
      <c r="T876" t="str">
        <f ca="1">IF($P876="","",IFERROR(MATCH($P876,firmadas!$N:$N,0),IFERROR(MATCH("*/"&amp;MID($P876,FIND(" ",$P876)+1,9)&amp;"*",firmadas!$B:$B,0),0)))</f>
        <v/>
      </c>
    </row>
    <row r="877" spans="14:20" ht="15" customHeight="1" x14ac:dyDescent="0.25">
      <c r="N877" s="53" t="str">
        <f t="shared" ca="1" si="13"/>
        <v/>
      </c>
      <c r="P877" t="str">
        <f ca="1">IF(TRIM(SUBSTITUTE(($C877&amp;" "&amp;$D877),CHAR(160)," "))="","",IFERROR(IF(ISNUMBER(SEARCH("INC",($C877&amp;" "&amp;$D877))),"INC",IF(ISNUMBER(SEARCH("OPI",($C877&amp;" "&amp;$D877))),"OPI",IF(ISNUMBER(SEARCH("DP",($C877&amp;" "&amp;$D877))),"DP","CONC")))&amp;" "&amp;TEXT(LOOKUP(9.99E+307,--MID(SUBSTITUTE(($C877&amp;" "&amp;$D877),CHAR(160)," "),SUMPRODUCT(MIN(FIND({0,1,2,3,4,5,6,7,8,9},SUBSTITUTE(($C877&amp;" "&amp;$D877),CHAR(160)," ")&amp;"0123456789"))),ROW(INDIRECT("1:6")))),"0"),"SIN NUMERO"))</f>
        <v/>
      </c>
      <c r="Q877" t="str">
        <f ca="1">IF($P877="","",IF(LEFT(UPPER($S877),9)="VERIFICAR","VERIFICAR",IF($A877="","SIN ESTADO",IF(AND($A877="Firmada",$H877=""),"FALTA FECHA DE FIRMA",IF(N($T877)=0,IF(AND(ISNUMBER($H877),$H877&gt;=DATE(2024,1,1)),"FALTA EN FIRMADAS","OK"),IF(OR($A877="Pendiente de presentación",$A877="Observado",$A877="En análisis",$A877="En instrucción",$A877="Suspendida",$A877="IT circulando",$A877="Para resolución",$A877="TDC"),"ABIERTA PERO ESTÁ EN FIRMADAS",IF($H877&lt;&gt;INDEX(firmadas!$F:$F,$T877),"FIRMA DISTINTA EN firmadas ("&amp;IF(INDEX(firmadas!$F:$F,$T877)="","vacía",DAY(INDEX(firmadas!$F:$F,$T877))&amp;"/"&amp;MONTH(INDEX(firmadas!$F:$F,$T877))&amp;"/"&amp;YEAR(INDEX(firmadas!$F:$F,$T877)))&amp;")",IF($G877&lt;&gt;INDEX(firmadas!$E:$E,$T877),"INGRESO DISTINTO EN firmadas ("&amp;IF(INDEX(firmadas!$E:$E,$T877)="","vacía",DAY(INDEX(firmadas!$E:$E,$T877))&amp;"/"&amp;MONTH(INDEX(firmadas!$E:$E,$T877))&amp;"/"&amp;YEAR(INDEX(firmadas!$E:$E,$T877)))&amp;")","OK"))))))))</f>
        <v/>
      </c>
      <c r="T877" t="str">
        <f ca="1">IF($P877="","",IFERROR(MATCH($P877,firmadas!$N:$N,0),IFERROR(MATCH("*/"&amp;MID($P877,FIND(" ",$P877)+1,9)&amp;"*",firmadas!$B:$B,0),0)))</f>
        <v/>
      </c>
    </row>
    <row r="878" spans="14:20" ht="15" customHeight="1" x14ac:dyDescent="0.25">
      <c r="N878" s="53" t="str">
        <f t="shared" ca="1" si="13"/>
        <v/>
      </c>
      <c r="P878" t="str">
        <f ca="1">IF(TRIM(SUBSTITUTE(($C878&amp;" "&amp;$D878),CHAR(160)," "))="","",IFERROR(IF(ISNUMBER(SEARCH("INC",($C878&amp;" "&amp;$D878))),"INC",IF(ISNUMBER(SEARCH("OPI",($C878&amp;" "&amp;$D878))),"OPI",IF(ISNUMBER(SEARCH("DP",($C878&amp;" "&amp;$D878))),"DP","CONC")))&amp;" "&amp;TEXT(LOOKUP(9.99E+307,--MID(SUBSTITUTE(($C878&amp;" "&amp;$D878),CHAR(160)," "),SUMPRODUCT(MIN(FIND({0,1,2,3,4,5,6,7,8,9},SUBSTITUTE(($C878&amp;" "&amp;$D878),CHAR(160)," ")&amp;"0123456789"))),ROW(INDIRECT("1:6")))),"0"),"SIN NUMERO"))</f>
        <v/>
      </c>
      <c r="Q878" t="str">
        <f ca="1">IF($P878="","",IF(LEFT(UPPER($S878),9)="VERIFICAR","VERIFICAR",IF($A878="","SIN ESTADO",IF(AND($A878="Firmada",$H878=""),"FALTA FECHA DE FIRMA",IF(N($T878)=0,IF(AND(ISNUMBER($H878),$H878&gt;=DATE(2024,1,1)),"FALTA EN FIRMADAS","OK"),IF(OR($A878="Pendiente de presentación",$A878="Observado",$A878="En análisis",$A878="En instrucción",$A878="Suspendida",$A878="IT circulando",$A878="Para resolución",$A878="TDC"),"ABIERTA PERO ESTÁ EN FIRMADAS",IF($H878&lt;&gt;INDEX(firmadas!$F:$F,$T878),"FIRMA DISTINTA EN firmadas ("&amp;IF(INDEX(firmadas!$F:$F,$T878)="","vacía",DAY(INDEX(firmadas!$F:$F,$T878))&amp;"/"&amp;MONTH(INDEX(firmadas!$F:$F,$T878))&amp;"/"&amp;YEAR(INDEX(firmadas!$F:$F,$T878)))&amp;")",IF($G878&lt;&gt;INDEX(firmadas!$E:$E,$T878),"INGRESO DISTINTO EN firmadas ("&amp;IF(INDEX(firmadas!$E:$E,$T878)="","vacía",DAY(INDEX(firmadas!$E:$E,$T878))&amp;"/"&amp;MONTH(INDEX(firmadas!$E:$E,$T878))&amp;"/"&amp;YEAR(INDEX(firmadas!$E:$E,$T878)))&amp;")","OK"))))))))</f>
        <v/>
      </c>
      <c r="T878" t="str">
        <f ca="1">IF($P878="","",IFERROR(MATCH($P878,firmadas!$N:$N,0),IFERROR(MATCH("*/"&amp;MID($P878,FIND(" ",$P878)+1,9)&amp;"*",firmadas!$B:$B,0),0)))</f>
        <v/>
      </c>
    </row>
    <row r="879" spans="14:20" ht="15" customHeight="1" x14ac:dyDescent="0.25">
      <c r="N879" s="53" t="str">
        <f t="shared" ca="1" si="13"/>
        <v/>
      </c>
      <c r="P879" t="str">
        <f ca="1">IF(TRIM(SUBSTITUTE(($C879&amp;" "&amp;$D879),CHAR(160)," "))="","",IFERROR(IF(ISNUMBER(SEARCH("INC",($C879&amp;" "&amp;$D879))),"INC",IF(ISNUMBER(SEARCH("OPI",($C879&amp;" "&amp;$D879))),"OPI",IF(ISNUMBER(SEARCH("DP",($C879&amp;" "&amp;$D879))),"DP","CONC")))&amp;" "&amp;TEXT(LOOKUP(9.99E+307,--MID(SUBSTITUTE(($C879&amp;" "&amp;$D879),CHAR(160)," "),SUMPRODUCT(MIN(FIND({0,1,2,3,4,5,6,7,8,9},SUBSTITUTE(($C879&amp;" "&amp;$D879),CHAR(160)," ")&amp;"0123456789"))),ROW(INDIRECT("1:6")))),"0"),"SIN NUMERO"))</f>
        <v/>
      </c>
      <c r="Q879" t="str">
        <f ca="1">IF($P879="","",IF(LEFT(UPPER($S879),9)="VERIFICAR","VERIFICAR",IF($A879="","SIN ESTADO",IF(AND($A879="Firmada",$H879=""),"FALTA FECHA DE FIRMA",IF(N($T879)=0,IF(AND(ISNUMBER($H879),$H879&gt;=DATE(2024,1,1)),"FALTA EN FIRMADAS","OK"),IF(OR($A879="Pendiente de presentación",$A879="Observado",$A879="En análisis",$A879="En instrucción",$A879="Suspendida",$A879="IT circulando",$A879="Para resolución",$A879="TDC"),"ABIERTA PERO ESTÁ EN FIRMADAS",IF($H879&lt;&gt;INDEX(firmadas!$F:$F,$T879),"FIRMA DISTINTA EN firmadas ("&amp;IF(INDEX(firmadas!$F:$F,$T879)="","vacía",DAY(INDEX(firmadas!$F:$F,$T879))&amp;"/"&amp;MONTH(INDEX(firmadas!$F:$F,$T879))&amp;"/"&amp;YEAR(INDEX(firmadas!$F:$F,$T879)))&amp;")",IF($G879&lt;&gt;INDEX(firmadas!$E:$E,$T879),"INGRESO DISTINTO EN firmadas ("&amp;IF(INDEX(firmadas!$E:$E,$T879)="","vacía",DAY(INDEX(firmadas!$E:$E,$T879))&amp;"/"&amp;MONTH(INDEX(firmadas!$E:$E,$T879))&amp;"/"&amp;YEAR(INDEX(firmadas!$E:$E,$T879)))&amp;")","OK"))))))))</f>
        <v/>
      </c>
      <c r="T879" t="str">
        <f ca="1">IF($P879="","",IFERROR(MATCH($P879,firmadas!$N:$N,0),IFERROR(MATCH("*/"&amp;MID($P879,FIND(" ",$P879)+1,9)&amp;"*",firmadas!$B:$B,0),0)))</f>
        <v/>
      </c>
    </row>
    <row r="880" spans="14:20" ht="15" customHeight="1" x14ac:dyDescent="0.25">
      <c r="N880" s="53" t="str">
        <f t="shared" ca="1" si="13"/>
        <v/>
      </c>
      <c r="P880" t="str">
        <f ca="1">IF(TRIM(SUBSTITUTE(($C880&amp;" "&amp;$D880),CHAR(160)," "))="","",IFERROR(IF(ISNUMBER(SEARCH("INC",($C880&amp;" "&amp;$D880))),"INC",IF(ISNUMBER(SEARCH("OPI",($C880&amp;" "&amp;$D880))),"OPI",IF(ISNUMBER(SEARCH("DP",($C880&amp;" "&amp;$D880))),"DP","CONC")))&amp;" "&amp;TEXT(LOOKUP(9.99E+307,--MID(SUBSTITUTE(($C880&amp;" "&amp;$D880),CHAR(160)," "),SUMPRODUCT(MIN(FIND({0,1,2,3,4,5,6,7,8,9},SUBSTITUTE(($C880&amp;" "&amp;$D880),CHAR(160)," ")&amp;"0123456789"))),ROW(INDIRECT("1:6")))),"0"),"SIN NUMERO"))</f>
        <v/>
      </c>
      <c r="Q880" t="str">
        <f ca="1">IF($P880="","",IF(LEFT(UPPER($S880),9)="VERIFICAR","VERIFICAR",IF($A880="","SIN ESTADO",IF(AND($A880="Firmada",$H880=""),"FALTA FECHA DE FIRMA",IF(N($T880)=0,IF(AND(ISNUMBER($H880),$H880&gt;=DATE(2024,1,1)),"FALTA EN FIRMADAS","OK"),IF(OR($A880="Pendiente de presentación",$A880="Observado",$A880="En análisis",$A880="En instrucción",$A880="Suspendida",$A880="IT circulando",$A880="Para resolución",$A880="TDC"),"ABIERTA PERO ESTÁ EN FIRMADAS",IF($H880&lt;&gt;INDEX(firmadas!$F:$F,$T880),"FIRMA DISTINTA EN firmadas ("&amp;IF(INDEX(firmadas!$F:$F,$T880)="","vacía",DAY(INDEX(firmadas!$F:$F,$T880))&amp;"/"&amp;MONTH(INDEX(firmadas!$F:$F,$T880))&amp;"/"&amp;YEAR(INDEX(firmadas!$F:$F,$T880)))&amp;")",IF($G880&lt;&gt;INDEX(firmadas!$E:$E,$T880),"INGRESO DISTINTO EN firmadas ("&amp;IF(INDEX(firmadas!$E:$E,$T880)="","vacía",DAY(INDEX(firmadas!$E:$E,$T880))&amp;"/"&amp;MONTH(INDEX(firmadas!$E:$E,$T880))&amp;"/"&amp;YEAR(INDEX(firmadas!$E:$E,$T880)))&amp;")","OK"))))))))</f>
        <v/>
      </c>
      <c r="T880" t="str">
        <f ca="1">IF($P880="","",IFERROR(MATCH($P880,firmadas!$N:$N,0),IFERROR(MATCH("*/"&amp;MID($P880,FIND(" ",$P880)+1,9)&amp;"*",firmadas!$B:$B,0),0)))</f>
        <v/>
      </c>
    </row>
    <row r="881" spans="14:20" ht="15" customHeight="1" x14ac:dyDescent="0.25">
      <c r="N881" s="53" t="str">
        <f t="shared" ca="1" si="13"/>
        <v/>
      </c>
      <c r="P881" t="str">
        <f ca="1">IF(TRIM(SUBSTITUTE(($C881&amp;" "&amp;$D881),CHAR(160)," "))="","",IFERROR(IF(ISNUMBER(SEARCH("INC",($C881&amp;" "&amp;$D881))),"INC",IF(ISNUMBER(SEARCH("OPI",($C881&amp;" "&amp;$D881))),"OPI",IF(ISNUMBER(SEARCH("DP",($C881&amp;" "&amp;$D881))),"DP","CONC")))&amp;" "&amp;TEXT(LOOKUP(9.99E+307,--MID(SUBSTITUTE(($C881&amp;" "&amp;$D881),CHAR(160)," "),SUMPRODUCT(MIN(FIND({0,1,2,3,4,5,6,7,8,9},SUBSTITUTE(($C881&amp;" "&amp;$D881),CHAR(160)," ")&amp;"0123456789"))),ROW(INDIRECT("1:6")))),"0"),"SIN NUMERO"))</f>
        <v/>
      </c>
      <c r="Q881" t="str">
        <f ca="1">IF($P881="","",IF(LEFT(UPPER($S881),9)="VERIFICAR","VERIFICAR",IF($A881="","SIN ESTADO",IF(AND($A881="Firmada",$H881=""),"FALTA FECHA DE FIRMA",IF(N($T881)=0,IF(AND(ISNUMBER($H881),$H881&gt;=DATE(2024,1,1)),"FALTA EN FIRMADAS","OK"),IF(OR($A881="Pendiente de presentación",$A881="Observado",$A881="En análisis",$A881="En instrucción",$A881="Suspendida",$A881="IT circulando",$A881="Para resolución",$A881="TDC"),"ABIERTA PERO ESTÁ EN FIRMADAS",IF($H881&lt;&gt;INDEX(firmadas!$F:$F,$T881),"FIRMA DISTINTA EN firmadas ("&amp;IF(INDEX(firmadas!$F:$F,$T881)="","vacía",DAY(INDEX(firmadas!$F:$F,$T881))&amp;"/"&amp;MONTH(INDEX(firmadas!$F:$F,$T881))&amp;"/"&amp;YEAR(INDEX(firmadas!$F:$F,$T881)))&amp;")",IF($G881&lt;&gt;INDEX(firmadas!$E:$E,$T881),"INGRESO DISTINTO EN firmadas ("&amp;IF(INDEX(firmadas!$E:$E,$T881)="","vacía",DAY(INDEX(firmadas!$E:$E,$T881))&amp;"/"&amp;MONTH(INDEX(firmadas!$E:$E,$T881))&amp;"/"&amp;YEAR(INDEX(firmadas!$E:$E,$T881)))&amp;")","OK"))))))))</f>
        <v/>
      </c>
      <c r="T881" t="str">
        <f ca="1">IF($P881="","",IFERROR(MATCH($P881,firmadas!$N:$N,0),IFERROR(MATCH("*/"&amp;MID($P881,FIND(" ",$P881)+1,9)&amp;"*",firmadas!$B:$B,0),0)))</f>
        <v/>
      </c>
    </row>
    <row r="882" spans="14:20" ht="15" customHeight="1" x14ac:dyDescent="0.25">
      <c r="N882" s="53" t="str">
        <f t="shared" ca="1" si="13"/>
        <v/>
      </c>
      <c r="P882" t="str">
        <f ca="1">IF(TRIM(SUBSTITUTE(($C882&amp;" "&amp;$D882),CHAR(160)," "))="","",IFERROR(IF(ISNUMBER(SEARCH("INC",($C882&amp;" "&amp;$D882))),"INC",IF(ISNUMBER(SEARCH("OPI",($C882&amp;" "&amp;$D882))),"OPI",IF(ISNUMBER(SEARCH("DP",($C882&amp;" "&amp;$D882))),"DP","CONC")))&amp;" "&amp;TEXT(LOOKUP(9.99E+307,--MID(SUBSTITUTE(($C882&amp;" "&amp;$D882),CHAR(160)," "),SUMPRODUCT(MIN(FIND({0,1,2,3,4,5,6,7,8,9},SUBSTITUTE(($C882&amp;" "&amp;$D882),CHAR(160)," ")&amp;"0123456789"))),ROW(INDIRECT("1:6")))),"0"),"SIN NUMERO"))</f>
        <v/>
      </c>
      <c r="Q882" t="str">
        <f ca="1">IF($P882="","",IF(LEFT(UPPER($S882),9)="VERIFICAR","VERIFICAR",IF($A882="","SIN ESTADO",IF(AND($A882="Firmada",$H882=""),"FALTA FECHA DE FIRMA",IF(N($T882)=0,IF(AND(ISNUMBER($H882),$H882&gt;=DATE(2024,1,1)),"FALTA EN FIRMADAS","OK"),IF(OR($A882="Pendiente de presentación",$A882="Observado",$A882="En análisis",$A882="En instrucción",$A882="Suspendida",$A882="IT circulando",$A882="Para resolución",$A882="TDC"),"ABIERTA PERO ESTÁ EN FIRMADAS",IF($H882&lt;&gt;INDEX(firmadas!$F:$F,$T882),"FIRMA DISTINTA EN firmadas ("&amp;IF(INDEX(firmadas!$F:$F,$T882)="","vacía",DAY(INDEX(firmadas!$F:$F,$T882))&amp;"/"&amp;MONTH(INDEX(firmadas!$F:$F,$T882))&amp;"/"&amp;YEAR(INDEX(firmadas!$F:$F,$T882)))&amp;")",IF($G882&lt;&gt;INDEX(firmadas!$E:$E,$T882),"INGRESO DISTINTO EN firmadas ("&amp;IF(INDEX(firmadas!$E:$E,$T882)="","vacía",DAY(INDEX(firmadas!$E:$E,$T882))&amp;"/"&amp;MONTH(INDEX(firmadas!$E:$E,$T882))&amp;"/"&amp;YEAR(INDEX(firmadas!$E:$E,$T882)))&amp;")","OK"))))))))</f>
        <v/>
      </c>
      <c r="T882" t="str">
        <f ca="1">IF($P882="","",IFERROR(MATCH($P882,firmadas!$N:$N,0),IFERROR(MATCH("*/"&amp;MID($P882,FIND(" ",$P882)+1,9)&amp;"*",firmadas!$B:$B,0),0)))</f>
        <v/>
      </c>
    </row>
    <row r="883" spans="14:20" ht="15" customHeight="1" x14ac:dyDescent="0.25">
      <c r="N883" s="53" t="str">
        <f t="shared" ca="1" si="13"/>
        <v/>
      </c>
      <c r="P883" t="str">
        <f ca="1">IF(TRIM(SUBSTITUTE(($C883&amp;" "&amp;$D883),CHAR(160)," "))="","",IFERROR(IF(ISNUMBER(SEARCH("INC",($C883&amp;" "&amp;$D883))),"INC",IF(ISNUMBER(SEARCH("OPI",($C883&amp;" "&amp;$D883))),"OPI",IF(ISNUMBER(SEARCH("DP",($C883&amp;" "&amp;$D883))),"DP","CONC")))&amp;" "&amp;TEXT(LOOKUP(9.99E+307,--MID(SUBSTITUTE(($C883&amp;" "&amp;$D883),CHAR(160)," "),SUMPRODUCT(MIN(FIND({0,1,2,3,4,5,6,7,8,9},SUBSTITUTE(($C883&amp;" "&amp;$D883),CHAR(160)," ")&amp;"0123456789"))),ROW(INDIRECT("1:6")))),"0"),"SIN NUMERO"))</f>
        <v/>
      </c>
      <c r="Q883" t="str">
        <f ca="1">IF($P883="","",IF(LEFT(UPPER($S883),9)="VERIFICAR","VERIFICAR",IF($A883="","SIN ESTADO",IF(AND($A883="Firmada",$H883=""),"FALTA FECHA DE FIRMA",IF(N($T883)=0,IF(AND(ISNUMBER($H883),$H883&gt;=DATE(2024,1,1)),"FALTA EN FIRMADAS","OK"),IF(OR($A883="Pendiente de presentación",$A883="Observado",$A883="En análisis",$A883="En instrucción",$A883="Suspendida",$A883="IT circulando",$A883="Para resolución",$A883="TDC"),"ABIERTA PERO ESTÁ EN FIRMADAS",IF($H883&lt;&gt;INDEX(firmadas!$F:$F,$T883),"FIRMA DISTINTA EN firmadas ("&amp;IF(INDEX(firmadas!$F:$F,$T883)="","vacía",DAY(INDEX(firmadas!$F:$F,$T883))&amp;"/"&amp;MONTH(INDEX(firmadas!$F:$F,$T883))&amp;"/"&amp;YEAR(INDEX(firmadas!$F:$F,$T883)))&amp;")",IF($G883&lt;&gt;INDEX(firmadas!$E:$E,$T883),"INGRESO DISTINTO EN firmadas ("&amp;IF(INDEX(firmadas!$E:$E,$T883)="","vacía",DAY(INDEX(firmadas!$E:$E,$T883))&amp;"/"&amp;MONTH(INDEX(firmadas!$E:$E,$T883))&amp;"/"&amp;YEAR(INDEX(firmadas!$E:$E,$T883)))&amp;")","OK"))))))))</f>
        <v/>
      </c>
      <c r="T883" t="str">
        <f ca="1">IF($P883="","",IFERROR(MATCH($P883,firmadas!$N:$N,0),IFERROR(MATCH("*/"&amp;MID($P883,FIND(" ",$P883)+1,9)&amp;"*",firmadas!$B:$B,0),0)))</f>
        <v/>
      </c>
    </row>
    <row r="884" spans="14:20" ht="15" customHeight="1" x14ac:dyDescent="0.25">
      <c r="N884" s="53" t="str">
        <f t="shared" ca="1" si="13"/>
        <v/>
      </c>
      <c r="P884" t="str">
        <f ca="1">IF(TRIM(SUBSTITUTE(($C884&amp;" "&amp;$D884),CHAR(160)," "))="","",IFERROR(IF(ISNUMBER(SEARCH("INC",($C884&amp;" "&amp;$D884))),"INC",IF(ISNUMBER(SEARCH("OPI",($C884&amp;" "&amp;$D884))),"OPI",IF(ISNUMBER(SEARCH("DP",($C884&amp;" "&amp;$D884))),"DP","CONC")))&amp;" "&amp;TEXT(LOOKUP(9.99E+307,--MID(SUBSTITUTE(($C884&amp;" "&amp;$D884),CHAR(160)," "),SUMPRODUCT(MIN(FIND({0,1,2,3,4,5,6,7,8,9},SUBSTITUTE(($C884&amp;" "&amp;$D884),CHAR(160)," ")&amp;"0123456789"))),ROW(INDIRECT("1:6")))),"0"),"SIN NUMERO"))</f>
        <v/>
      </c>
      <c r="Q884" t="str">
        <f ca="1">IF($P884="","",IF(LEFT(UPPER($S884),9)="VERIFICAR","VERIFICAR",IF($A884="","SIN ESTADO",IF(AND($A884="Firmada",$H884=""),"FALTA FECHA DE FIRMA",IF(N($T884)=0,IF(AND(ISNUMBER($H884),$H884&gt;=DATE(2024,1,1)),"FALTA EN FIRMADAS","OK"),IF(OR($A884="Pendiente de presentación",$A884="Observado",$A884="En análisis",$A884="En instrucción",$A884="Suspendida",$A884="IT circulando",$A884="Para resolución",$A884="TDC"),"ABIERTA PERO ESTÁ EN FIRMADAS",IF($H884&lt;&gt;INDEX(firmadas!$F:$F,$T884),"FIRMA DISTINTA EN firmadas ("&amp;IF(INDEX(firmadas!$F:$F,$T884)="","vacía",DAY(INDEX(firmadas!$F:$F,$T884))&amp;"/"&amp;MONTH(INDEX(firmadas!$F:$F,$T884))&amp;"/"&amp;YEAR(INDEX(firmadas!$F:$F,$T884)))&amp;")",IF($G884&lt;&gt;INDEX(firmadas!$E:$E,$T884),"INGRESO DISTINTO EN firmadas ("&amp;IF(INDEX(firmadas!$E:$E,$T884)="","vacía",DAY(INDEX(firmadas!$E:$E,$T884))&amp;"/"&amp;MONTH(INDEX(firmadas!$E:$E,$T884))&amp;"/"&amp;YEAR(INDEX(firmadas!$E:$E,$T884)))&amp;")","OK"))))))))</f>
        <v/>
      </c>
      <c r="T884" t="str">
        <f ca="1">IF($P884="","",IFERROR(MATCH($P884,firmadas!$N:$N,0),IFERROR(MATCH("*/"&amp;MID($P884,FIND(" ",$P884)+1,9)&amp;"*",firmadas!$B:$B,0),0)))</f>
        <v/>
      </c>
    </row>
    <row r="885" spans="14:20" ht="15" customHeight="1" x14ac:dyDescent="0.25">
      <c r="N885" s="53" t="str">
        <f t="shared" ca="1" si="13"/>
        <v/>
      </c>
      <c r="P885" t="str">
        <f ca="1">IF(TRIM(SUBSTITUTE(($C885&amp;" "&amp;$D885),CHAR(160)," "))="","",IFERROR(IF(ISNUMBER(SEARCH("INC",($C885&amp;" "&amp;$D885))),"INC",IF(ISNUMBER(SEARCH("OPI",($C885&amp;" "&amp;$D885))),"OPI",IF(ISNUMBER(SEARCH("DP",($C885&amp;" "&amp;$D885))),"DP","CONC")))&amp;" "&amp;TEXT(LOOKUP(9.99E+307,--MID(SUBSTITUTE(($C885&amp;" "&amp;$D885),CHAR(160)," "),SUMPRODUCT(MIN(FIND({0,1,2,3,4,5,6,7,8,9},SUBSTITUTE(($C885&amp;" "&amp;$D885),CHAR(160)," ")&amp;"0123456789"))),ROW(INDIRECT("1:6")))),"0"),"SIN NUMERO"))</f>
        <v/>
      </c>
      <c r="Q885" t="str">
        <f ca="1">IF($P885="","",IF(LEFT(UPPER($S885),9)="VERIFICAR","VERIFICAR",IF($A885="","SIN ESTADO",IF(AND($A885="Firmada",$H885=""),"FALTA FECHA DE FIRMA",IF(N($T885)=0,IF(AND(ISNUMBER($H885),$H885&gt;=DATE(2024,1,1)),"FALTA EN FIRMADAS","OK"),IF(OR($A885="Pendiente de presentación",$A885="Observado",$A885="En análisis",$A885="En instrucción",$A885="Suspendida",$A885="IT circulando",$A885="Para resolución",$A885="TDC"),"ABIERTA PERO ESTÁ EN FIRMADAS",IF($H885&lt;&gt;INDEX(firmadas!$F:$F,$T885),"FIRMA DISTINTA EN firmadas ("&amp;IF(INDEX(firmadas!$F:$F,$T885)="","vacía",DAY(INDEX(firmadas!$F:$F,$T885))&amp;"/"&amp;MONTH(INDEX(firmadas!$F:$F,$T885))&amp;"/"&amp;YEAR(INDEX(firmadas!$F:$F,$T885)))&amp;")",IF($G885&lt;&gt;INDEX(firmadas!$E:$E,$T885),"INGRESO DISTINTO EN firmadas ("&amp;IF(INDEX(firmadas!$E:$E,$T885)="","vacía",DAY(INDEX(firmadas!$E:$E,$T885))&amp;"/"&amp;MONTH(INDEX(firmadas!$E:$E,$T885))&amp;"/"&amp;YEAR(INDEX(firmadas!$E:$E,$T885)))&amp;")","OK"))))))))</f>
        <v/>
      </c>
      <c r="T885" t="str">
        <f ca="1">IF($P885="","",IFERROR(MATCH($P885,firmadas!$N:$N,0),IFERROR(MATCH("*/"&amp;MID($P885,FIND(" ",$P885)+1,9)&amp;"*",firmadas!$B:$B,0),0)))</f>
        <v/>
      </c>
    </row>
    <row r="886" spans="14:20" ht="15" customHeight="1" x14ac:dyDescent="0.25">
      <c r="N886" s="53" t="str">
        <f t="shared" ca="1" si="13"/>
        <v/>
      </c>
      <c r="P886" t="str">
        <f ca="1">IF(TRIM(SUBSTITUTE(($C886&amp;" "&amp;$D886),CHAR(160)," "))="","",IFERROR(IF(ISNUMBER(SEARCH("INC",($C886&amp;" "&amp;$D886))),"INC",IF(ISNUMBER(SEARCH("OPI",($C886&amp;" "&amp;$D886))),"OPI",IF(ISNUMBER(SEARCH("DP",($C886&amp;" "&amp;$D886))),"DP","CONC")))&amp;" "&amp;TEXT(LOOKUP(9.99E+307,--MID(SUBSTITUTE(($C886&amp;" "&amp;$D886),CHAR(160)," "),SUMPRODUCT(MIN(FIND({0,1,2,3,4,5,6,7,8,9},SUBSTITUTE(($C886&amp;" "&amp;$D886),CHAR(160)," ")&amp;"0123456789"))),ROW(INDIRECT("1:6")))),"0"),"SIN NUMERO"))</f>
        <v/>
      </c>
      <c r="Q886" t="str">
        <f ca="1">IF($P886="","",IF(LEFT(UPPER($S886),9)="VERIFICAR","VERIFICAR",IF($A886="","SIN ESTADO",IF(AND($A886="Firmada",$H886=""),"FALTA FECHA DE FIRMA",IF(N($T886)=0,IF(AND(ISNUMBER($H886),$H886&gt;=DATE(2024,1,1)),"FALTA EN FIRMADAS","OK"),IF(OR($A886="Pendiente de presentación",$A886="Observado",$A886="En análisis",$A886="En instrucción",$A886="Suspendida",$A886="IT circulando",$A886="Para resolución",$A886="TDC"),"ABIERTA PERO ESTÁ EN FIRMADAS",IF($H886&lt;&gt;INDEX(firmadas!$F:$F,$T886),"FIRMA DISTINTA EN firmadas ("&amp;IF(INDEX(firmadas!$F:$F,$T886)="","vacía",DAY(INDEX(firmadas!$F:$F,$T886))&amp;"/"&amp;MONTH(INDEX(firmadas!$F:$F,$T886))&amp;"/"&amp;YEAR(INDEX(firmadas!$F:$F,$T886)))&amp;")",IF($G886&lt;&gt;INDEX(firmadas!$E:$E,$T886),"INGRESO DISTINTO EN firmadas ("&amp;IF(INDEX(firmadas!$E:$E,$T886)="","vacía",DAY(INDEX(firmadas!$E:$E,$T886))&amp;"/"&amp;MONTH(INDEX(firmadas!$E:$E,$T886))&amp;"/"&amp;YEAR(INDEX(firmadas!$E:$E,$T886)))&amp;")","OK"))))))))</f>
        <v/>
      </c>
      <c r="T886" t="str">
        <f ca="1">IF($P886="","",IFERROR(MATCH($P886,firmadas!$N:$N,0),IFERROR(MATCH("*/"&amp;MID($P886,FIND(" ",$P886)+1,9)&amp;"*",firmadas!$B:$B,0),0)))</f>
        <v/>
      </c>
    </row>
    <row r="887" spans="14:20" ht="15" customHeight="1" x14ac:dyDescent="0.25">
      <c r="N887" s="53" t="str">
        <f t="shared" ca="1" si="13"/>
        <v/>
      </c>
      <c r="P887" t="str">
        <f ca="1">IF(TRIM(SUBSTITUTE(($C887&amp;" "&amp;$D887),CHAR(160)," "))="","",IFERROR(IF(ISNUMBER(SEARCH("INC",($C887&amp;" "&amp;$D887))),"INC",IF(ISNUMBER(SEARCH("OPI",($C887&amp;" "&amp;$D887))),"OPI",IF(ISNUMBER(SEARCH("DP",($C887&amp;" "&amp;$D887))),"DP","CONC")))&amp;" "&amp;TEXT(LOOKUP(9.99E+307,--MID(SUBSTITUTE(($C887&amp;" "&amp;$D887),CHAR(160)," "),SUMPRODUCT(MIN(FIND({0,1,2,3,4,5,6,7,8,9},SUBSTITUTE(($C887&amp;" "&amp;$D887),CHAR(160)," ")&amp;"0123456789"))),ROW(INDIRECT("1:6")))),"0"),"SIN NUMERO"))</f>
        <v/>
      </c>
      <c r="Q887" t="str">
        <f ca="1">IF($P887="","",IF(LEFT(UPPER($S887),9)="VERIFICAR","VERIFICAR",IF($A887="","SIN ESTADO",IF(AND($A887="Firmada",$H887=""),"FALTA FECHA DE FIRMA",IF(N($T887)=0,IF(AND(ISNUMBER($H887),$H887&gt;=DATE(2024,1,1)),"FALTA EN FIRMADAS","OK"),IF(OR($A887="Pendiente de presentación",$A887="Observado",$A887="En análisis",$A887="En instrucción",$A887="Suspendida",$A887="IT circulando",$A887="Para resolución",$A887="TDC"),"ABIERTA PERO ESTÁ EN FIRMADAS",IF($H887&lt;&gt;INDEX(firmadas!$F:$F,$T887),"FIRMA DISTINTA EN firmadas ("&amp;IF(INDEX(firmadas!$F:$F,$T887)="","vacía",DAY(INDEX(firmadas!$F:$F,$T887))&amp;"/"&amp;MONTH(INDEX(firmadas!$F:$F,$T887))&amp;"/"&amp;YEAR(INDEX(firmadas!$F:$F,$T887)))&amp;")",IF($G887&lt;&gt;INDEX(firmadas!$E:$E,$T887),"INGRESO DISTINTO EN firmadas ("&amp;IF(INDEX(firmadas!$E:$E,$T887)="","vacía",DAY(INDEX(firmadas!$E:$E,$T887))&amp;"/"&amp;MONTH(INDEX(firmadas!$E:$E,$T887))&amp;"/"&amp;YEAR(INDEX(firmadas!$E:$E,$T887)))&amp;")","OK"))))))))</f>
        <v/>
      </c>
      <c r="T887" t="str">
        <f ca="1">IF($P887="","",IFERROR(MATCH($P887,firmadas!$N:$N,0),IFERROR(MATCH("*/"&amp;MID($P887,FIND(" ",$P887)+1,9)&amp;"*",firmadas!$B:$B,0),0)))</f>
        <v/>
      </c>
    </row>
    <row r="888" spans="14:20" ht="15" customHeight="1" x14ac:dyDescent="0.25">
      <c r="N888" s="53" t="str">
        <f t="shared" ca="1" si="13"/>
        <v/>
      </c>
      <c r="P888" t="str">
        <f ca="1">IF(TRIM(SUBSTITUTE(($C888&amp;" "&amp;$D888),CHAR(160)," "))="","",IFERROR(IF(ISNUMBER(SEARCH("INC",($C888&amp;" "&amp;$D888))),"INC",IF(ISNUMBER(SEARCH("OPI",($C888&amp;" "&amp;$D888))),"OPI",IF(ISNUMBER(SEARCH("DP",($C888&amp;" "&amp;$D888))),"DP","CONC")))&amp;" "&amp;TEXT(LOOKUP(9.99E+307,--MID(SUBSTITUTE(($C888&amp;" "&amp;$D888),CHAR(160)," "),SUMPRODUCT(MIN(FIND({0,1,2,3,4,5,6,7,8,9},SUBSTITUTE(($C888&amp;" "&amp;$D888),CHAR(160)," ")&amp;"0123456789"))),ROW(INDIRECT("1:6")))),"0"),"SIN NUMERO"))</f>
        <v/>
      </c>
      <c r="Q888" t="str">
        <f ca="1">IF($P888="","",IF(LEFT(UPPER($S888),9)="VERIFICAR","VERIFICAR",IF($A888="","SIN ESTADO",IF(AND($A888="Firmada",$H888=""),"FALTA FECHA DE FIRMA",IF(N($T888)=0,IF(AND(ISNUMBER($H888),$H888&gt;=DATE(2024,1,1)),"FALTA EN FIRMADAS","OK"),IF(OR($A888="Pendiente de presentación",$A888="Observado",$A888="En análisis",$A888="En instrucción",$A888="Suspendida",$A888="IT circulando",$A888="Para resolución",$A888="TDC"),"ABIERTA PERO ESTÁ EN FIRMADAS",IF($H888&lt;&gt;INDEX(firmadas!$F:$F,$T888),"FIRMA DISTINTA EN firmadas ("&amp;IF(INDEX(firmadas!$F:$F,$T888)="","vacía",DAY(INDEX(firmadas!$F:$F,$T888))&amp;"/"&amp;MONTH(INDEX(firmadas!$F:$F,$T888))&amp;"/"&amp;YEAR(INDEX(firmadas!$F:$F,$T888)))&amp;")",IF($G888&lt;&gt;INDEX(firmadas!$E:$E,$T888),"INGRESO DISTINTO EN firmadas ("&amp;IF(INDEX(firmadas!$E:$E,$T888)="","vacía",DAY(INDEX(firmadas!$E:$E,$T888))&amp;"/"&amp;MONTH(INDEX(firmadas!$E:$E,$T888))&amp;"/"&amp;YEAR(INDEX(firmadas!$E:$E,$T888)))&amp;")","OK"))))))))</f>
        <v/>
      </c>
      <c r="T888" t="str">
        <f ca="1">IF($P888="","",IFERROR(MATCH($P888,firmadas!$N:$N,0),IFERROR(MATCH("*/"&amp;MID($P888,FIND(" ",$P888)+1,9)&amp;"*",firmadas!$B:$B,0),0)))</f>
        <v/>
      </c>
    </row>
    <row r="889" spans="14:20" ht="15" customHeight="1" x14ac:dyDescent="0.25">
      <c r="N889" s="53" t="str">
        <f t="shared" ca="1" si="13"/>
        <v/>
      </c>
      <c r="P889" t="str">
        <f ca="1">IF(TRIM(SUBSTITUTE(($C889&amp;" "&amp;$D889),CHAR(160)," "))="","",IFERROR(IF(ISNUMBER(SEARCH("INC",($C889&amp;" "&amp;$D889))),"INC",IF(ISNUMBER(SEARCH("OPI",($C889&amp;" "&amp;$D889))),"OPI",IF(ISNUMBER(SEARCH("DP",($C889&amp;" "&amp;$D889))),"DP","CONC")))&amp;" "&amp;TEXT(LOOKUP(9.99E+307,--MID(SUBSTITUTE(($C889&amp;" "&amp;$D889),CHAR(160)," "),SUMPRODUCT(MIN(FIND({0,1,2,3,4,5,6,7,8,9},SUBSTITUTE(($C889&amp;" "&amp;$D889),CHAR(160)," ")&amp;"0123456789"))),ROW(INDIRECT("1:6")))),"0"),"SIN NUMERO"))</f>
        <v/>
      </c>
      <c r="Q889" t="str">
        <f ca="1">IF($P889="","",IF(LEFT(UPPER($S889),9)="VERIFICAR","VERIFICAR",IF($A889="","SIN ESTADO",IF(AND($A889="Firmada",$H889=""),"FALTA FECHA DE FIRMA",IF(N($T889)=0,IF(AND(ISNUMBER($H889),$H889&gt;=DATE(2024,1,1)),"FALTA EN FIRMADAS","OK"),IF(OR($A889="Pendiente de presentación",$A889="Observado",$A889="En análisis",$A889="En instrucción",$A889="Suspendida",$A889="IT circulando",$A889="Para resolución",$A889="TDC"),"ABIERTA PERO ESTÁ EN FIRMADAS",IF($H889&lt;&gt;INDEX(firmadas!$F:$F,$T889),"FIRMA DISTINTA EN firmadas ("&amp;IF(INDEX(firmadas!$F:$F,$T889)="","vacía",DAY(INDEX(firmadas!$F:$F,$T889))&amp;"/"&amp;MONTH(INDEX(firmadas!$F:$F,$T889))&amp;"/"&amp;YEAR(INDEX(firmadas!$F:$F,$T889)))&amp;")",IF($G889&lt;&gt;INDEX(firmadas!$E:$E,$T889),"INGRESO DISTINTO EN firmadas ("&amp;IF(INDEX(firmadas!$E:$E,$T889)="","vacía",DAY(INDEX(firmadas!$E:$E,$T889))&amp;"/"&amp;MONTH(INDEX(firmadas!$E:$E,$T889))&amp;"/"&amp;YEAR(INDEX(firmadas!$E:$E,$T889)))&amp;")","OK"))))))))</f>
        <v/>
      </c>
      <c r="T889" t="str">
        <f ca="1">IF($P889="","",IFERROR(MATCH($P889,firmadas!$N:$N,0),IFERROR(MATCH("*/"&amp;MID($P889,FIND(" ",$P889)+1,9)&amp;"*",firmadas!$B:$B,0),0)))</f>
        <v/>
      </c>
    </row>
    <row r="890" spans="14:20" ht="15" customHeight="1" x14ac:dyDescent="0.25">
      <c r="N890" s="53" t="str">
        <f t="shared" ca="1" si="13"/>
        <v/>
      </c>
      <c r="P890" t="str">
        <f ca="1">IF(TRIM(SUBSTITUTE(($C890&amp;" "&amp;$D890),CHAR(160)," "))="","",IFERROR(IF(ISNUMBER(SEARCH("INC",($C890&amp;" "&amp;$D890))),"INC",IF(ISNUMBER(SEARCH("OPI",($C890&amp;" "&amp;$D890))),"OPI",IF(ISNUMBER(SEARCH("DP",($C890&amp;" "&amp;$D890))),"DP","CONC")))&amp;" "&amp;TEXT(LOOKUP(9.99E+307,--MID(SUBSTITUTE(($C890&amp;" "&amp;$D890),CHAR(160)," "),SUMPRODUCT(MIN(FIND({0,1,2,3,4,5,6,7,8,9},SUBSTITUTE(($C890&amp;" "&amp;$D890),CHAR(160)," ")&amp;"0123456789"))),ROW(INDIRECT("1:6")))),"0"),"SIN NUMERO"))</f>
        <v/>
      </c>
      <c r="Q890" t="str">
        <f ca="1">IF($P890="","",IF(LEFT(UPPER($S890),9)="VERIFICAR","VERIFICAR",IF($A890="","SIN ESTADO",IF(AND($A890="Firmada",$H890=""),"FALTA FECHA DE FIRMA",IF(N($T890)=0,IF(AND(ISNUMBER($H890),$H890&gt;=DATE(2024,1,1)),"FALTA EN FIRMADAS","OK"),IF(OR($A890="Pendiente de presentación",$A890="Observado",$A890="En análisis",$A890="En instrucción",$A890="Suspendida",$A890="IT circulando",$A890="Para resolución",$A890="TDC"),"ABIERTA PERO ESTÁ EN FIRMADAS",IF($H890&lt;&gt;INDEX(firmadas!$F:$F,$T890),"FIRMA DISTINTA EN firmadas ("&amp;IF(INDEX(firmadas!$F:$F,$T890)="","vacía",DAY(INDEX(firmadas!$F:$F,$T890))&amp;"/"&amp;MONTH(INDEX(firmadas!$F:$F,$T890))&amp;"/"&amp;YEAR(INDEX(firmadas!$F:$F,$T890)))&amp;")",IF($G890&lt;&gt;INDEX(firmadas!$E:$E,$T890),"INGRESO DISTINTO EN firmadas ("&amp;IF(INDEX(firmadas!$E:$E,$T890)="","vacía",DAY(INDEX(firmadas!$E:$E,$T890))&amp;"/"&amp;MONTH(INDEX(firmadas!$E:$E,$T890))&amp;"/"&amp;YEAR(INDEX(firmadas!$E:$E,$T890)))&amp;")","OK"))))))))</f>
        <v/>
      </c>
      <c r="T890" t="str">
        <f ca="1">IF($P890="","",IFERROR(MATCH($P890,firmadas!$N:$N,0),IFERROR(MATCH("*/"&amp;MID($P890,FIND(" ",$P890)+1,9)&amp;"*",firmadas!$B:$B,0),0)))</f>
        <v/>
      </c>
    </row>
    <row r="891" spans="14:20" ht="15" customHeight="1" x14ac:dyDescent="0.25">
      <c r="N891" s="53" t="str">
        <f t="shared" ca="1" si="13"/>
        <v/>
      </c>
      <c r="P891" t="str">
        <f ca="1">IF(TRIM(SUBSTITUTE(($C891&amp;" "&amp;$D891),CHAR(160)," "))="","",IFERROR(IF(ISNUMBER(SEARCH("INC",($C891&amp;" "&amp;$D891))),"INC",IF(ISNUMBER(SEARCH("OPI",($C891&amp;" "&amp;$D891))),"OPI",IF(ISNUMBER(SEARCH("DP",($C891&amp;" "&amp;$D891))),"DP","CONC")))&amp;" "&amp;TEXT(LOOKUP(9.99E+307,--MID(SUBSTITUTE(($C891&amp;" "&amp;$D891),CHAR(160)," "),SUMPRODUCT(MIN(FIND({0,1,2,3,4,5,6,7,8,9},SUBSTITUTE(($C891&amp;" "&amp;$D891),CHAR(160)," ")&amp;"0123456789"))),ROW(INDIRECT("1:6")))),"0"),"SIN NUMERO"))</f>
        <v/>
      </c>
      <c r="Q891" t="str">
        <f ca="1">IF($P891="","",IF(LEFT(UPPER($S891),9)="VERIFICAR","VERIFICAR",IF($A891="","SIN ESTADO",IF(AND($A891="Firmada",$H891=""),"FALTA FECHA DE FIRMA",IF(N($T891)=0,IF(AND(ISNUMBER($H891),$H891&gt;=DATE(2024,1,1)),"FALTA EN FIRMADAS","OK"),IF(OR($A891="Pendiente de presentación",$A891="Observado",$A891="En análisis",$A891="En instrucción",$A891="Suspendida",$A891="IT circulando",$A891="Para resolución",$A891="TDC"),"ABIERTA PERO ESTÁ EN FIRMADAS",IF($H891&lt;&gt;INDEX(firmadas!$F:$F,$T891),"FIRMA DISTINTA EN firmadas ("&amp;IF(INDEX(firmadas!$F:$F,$T891)="","vacía",DAY(INDEX(firmadas!$F:$F,$T891))&amp;"/"&amp;MONTH(INDEX(firmadas!$F:$F,$T891))&amp;"/"&amp;YEAR(INDEX(firmadas!$F:$F,$T891)))&amp;")",IF($G891&lt;&gt;INDEX(firmadas!$E:$E,$T891),"INGRESO DISTINTO EN firmadas ("&amp;IF(INDEX(firmadas!$E:$E,$T891)="","vacía",DAY(INDEX(firmadas!$E:$E,$T891))&amp;"/"&amp;MONTH(INDEX(firmadas!$E:$E,$T891))&amp;"/"&amp;YEAR(INDEX(firmadas!$E:$E,$T891)))&amp;")","OK"))))))))</f>
        <v/>
      </c>
      <c r="T891" t="str">
        <f ca="1">IF($P891="","",IFERROR(MATCH($P891,firmadas!$N:$N,0),IFERROR(MATCH("*/"&amp;MID($P891,FIND(" ",$P891)+1,9)&amp;"*",firmadas!$B:$B,0),0)))</f>
        <v/>
      </c>
    </row>
    <row r="892" spans="14:20" ht="15" customHeight="1" x14ac:dyDescent="0.25">
      <c r="N892" s="53" t="str">
        <f t="shared" ca="1" si="13"/>
        <v/>
      </c>
      <c r="P892" t="str">
        <f ca="1">IF(TRIM(SUBSTITUTE(($C892&amp;" "&amp;$D892),CHAR(160)," "))="","",IFERROR(IF(ISNUMBER(SEARCH("INC",($C892&amp;" "&amp;$D892))),"INC",IF(ISNUMBER(SEARCH("OPI",($C892&amp;" "&amp;$D892))),"OPI",IF(ISNUMBER(SEARCH("DP",($C892&amp;" "&amp;$D892))),"DP","CONC")))&amp;" "&amp;TEXT(LOOKUP(9.99E+307,--MID(SUBSTITUTE(($C892&amp;" "&amp;$D892),CHAR(160)," "),SUMPRODUCT(MIN(FIND({0,1,2,3,4,5,6,7,8,9},SUBSTITUTE(($C892&amp;" "&amp;$D892),CHAR(160)," ")&amp;"0123456789"))),ROW(INDIRECT("1:6")))),"0"),"SIN NUMERO"))</f>
        <v/>
      </c>
      <c r="Q892" t="str">
        <f ca="1">IF($P892="","",IF(LEFT(UPPER($S892),9)="VERIFICAR","VERIFICAR",IF($A892="","SIN ESTADO",IF(AND($A892="Firmada",$H892=""),"FALTA FECHA DE FIRMA",IF(N($T892)=0,IF(AND(ISNUMBER($H892),$H892&gt;=DATE(2024,1,1)),"FALTA EN FIRMADAS","OK"),IF(OR($A892="Pendiente de presentación",$A892="Observado",$A892="En análisis",$A892="En instrucción",$A892="Suspendida",$A892="IT circulando",$A892="Para resolución",$A892="TDC"),"ABIERTA PERO ESTÁ EN FIRMADAS",IF($H892&lt;&gt;INDEX(firmadas!$F:$F,$T892),"FIRMA DISTINTA EN firmadas ("&amp;IF(INDEX(firmadas!$F:$F,$T892)="","vacía",DAY(INDEX(firmadas!$F:$F,$T892))&amp;"/"&amp;MONTH(INDEX(firmadas!$F:$F,$T892))&amp;"/"&amp;YEAR(INDEX(firmadas!$F:$F,$T892)))&amp;")",IF($G892&lt;&gt;INDEX(firmadas!$E:$E,$T892),"INGRESO DISTINTO EN firmadas ("&amp;IF(INDEX(firmadas!$E:$E,$T892)="","vacía",DAY(INDEX(firmadas!$E:$E,$T892))&amp;"/"&amp;MONTH(INDEX(firmadas!$E:$E,$T892))&amp;"/"&amp;YEAR(INDEX(firmadas!$E:$E,$T892)))&amp;")","OK"))))))))</f>
        <v/>
      </c>
      <c r="T892" t="str">
        <f ca="1">IF($P892="","",IFERROR(MATCH($P892,firmadas!$N:$N,0),IFERROR(MATCH("*/"&amp;MID($P892,FIND(" ",$P892)+1,9)&amp;"*",firmadas!$B:$B,0),0)))</f>
        <v/>
      </c>
    </row>
    <row r="893" spans="14:20" ht="15" customHeight="1" x14ac:dyDescent="0.25">
      <c r="N893" s="53" t="str">
        <f t="shared" ca="1" si="13"/>
        <v/>
      </c>
      <c r="P893" t="str">
        <f ca="1">IF(TRIM(SUBSTITUTE(($C893&amp;" "&amp;$D893),CHAR(160)," "))="","",IFERROR(IF(ISNUMBER(SEARCH("INC",($C893&amp;" "&amp;$D893))),"INC",IF(ISNUMBER(SEARCH("OPI",($C893&amp;" "&amp;$D893))),"OPI",IF(ISNUMBER(SEARCH("DP",($C893&amp;" "&amp;$D893))),"DP","CONC")))&amp;" "&amp;TEXT(LOOKUP(9.99E+307,--MID(SUBSTITUTE(($C893&amp;" "&amp;$D893),CHAR(160)," "),SUMPRODUCT(MIN(FIND({0,1,2,3,4,5,6,7,8,9},SUBSTITUTE(($C893&amp;" "&amp;$D893),CHAR(160)," ")&amp;"0123456789"))),ROW(INDIRECT("1:6")))),"0"),"SIN NUMERO"))</f>
        <v/>
      </c>
      <c r="Q893" t="str">
        <f ca="1">IF($P893="","",IF(LEFT(UPPER($S893),9)="VERIFICAR","VERIFICAR",IF($A893="","SIN ESTADO",IF(AND($A893="Firmada",$H893=""),"FALTA FECHA DE FIRMA",IF(N($T893)=0,IF(AND(ISNUMBER($H893),$H893&gt;=DATE(2024,1,1)),"FALTA EN FIRMADAS","OK"),IF(OR($A893="Pendiente de presentación",$A893="Observado",$A893="En análisis",$A893="En instrucción",$A893="Suspendida",$A893="IT circulando",$A893="Para resolución",$A893="TDC"),"ABIERTA PERO ESTÁ EN FIRMADAS",IF($H893&lt;&gt;INDEX(firmadas!$F:$F,$T893),"FIRMA DISTINTA EN firmadas ("&amp;IF(INDEX(firmadas!$F:$F,$T893)="","vacía",DAY(INDEX(firmadas!$F:$F,$T893))&amp;"/"&amp;MONTH(INDEX(firmadas!$F:$F,$T893))&amp;"/"&amp;YEAR(INDEX(firmadas!$F:$F,$T893)))&amp;")",IF($G893&lt;&gt;INDEX(firmadas!$E:$E,$T893),"INGRESO DISTINTO EN firmadas ("&amp;IF(INDEX(firmadas!$E:$E,$T893)="","vacía",DAY(INDEX(firmadas!$E:$E,$T893))&amp;"/"&amp;MONTH(INDEX(firmadas!$E:$E,$T893))&amp;"/"&amp;YEAR(INDEX(firmadas!$E:$E,$T893)))&amp;")","OK"))))))))</f>
        <v/>
      </c>
      <c r="T893" t="str">
        <f ca="1">IF($P893="","",IFERROR(MATCH($P893,firmadas!$N:$N,0),IFERROR(MATCH("*/"&amp;MID($P893,FIND(" ",$P893)+1,9)&amp;"*",firmadas!$B:$B,0),0)))</f>
        <v/>
      </c>
    </row>
    <row r="894" spans="14:20" ht="15" customHeight="1" x14ac:dyDescent="0.25">
      <c r="N894" s="53" t="str">
        <f t="shared" ca="1" si="13"/>
        <v/>
      </c>
      <c r="P894" t="str">
        <f ca="1">IF(TRIM(SUBSTITUTE(($C894&amp;" "&amp;$D894),CHAR(160)," "))="","",IFERROR(IF(ISNUMBER(SEARCH("INC",($C894&amp;" "&amp;$D894))),"INC",IF(ISNUMBER(SEARCH("OPI",($C894&amp;" "&amp;$D894))),"OPI",IF(ISNUMBER(SEARCH("DP",($C894&amp;" "&amp;$D894))),"DP","CONC")))&amp;" "&amp;TEXT(LOOKUP(9.99E+307,--MID(SUBSTITUTE(($C894&amp;" "&amp;$D894),CHAR(160)," "),SUMPRODUCT(MIN(FIND({0,1,2,3,4,5,6,7,8,9},SUBSTITUTE(($C894&amp;" "&amp;$D894),CHAR(160)," ")&amp;"0123456789"))),ROW(INDIRECT("1:6")))),"0"),"SIN NUMERO"))</f>
        <v/>
      </c>
      <c r="Q894" t="str">
        <f ca="1">IF($P894="","",IF(LEFT(UPPER($S894),9)="VERIFICAR","VERIFICAR",IF($A894="","SIN ESTADO",IF(AND($A894="Firmada",$H894=""),"FALTA FECHA DE FIRMA",IF(N($T894)=0,IF(AND(ISNUMBER($H894),$H894&gt;=DATE(2024,1,1)),"FALTA EN FIRMADAS","OK"),IF(OR($A894="Pendiente de presentación",$A894="Observado",$A894="En análisis",$A894="En instrucción",$A894="Suspendida",$A894="IT circulando",$A894="Para resolución",$A894="TDC"),"ABIERTA PERO ESTÁ EN FIRMADAS",IF($H894&lt;&gt;INDEX(firmadas!$F:$F,$T894),"FIRMA DISTINTA EN firmadas ("&amp;IF(INDEX(firmadas!$F:$F,$T894)="","vacía",DAY(INDEX(firmadas!$F:$F,$T894))&amp;"/"&amp;MONTH(INDEX(firmadas!$F:$F,$T894))&amp;"/"&amp;YEAR(INDEX(firmadas!$F:$F,$T894)))&amp;")",IF($G894&lt;&gt;INDEX(firmadas!$E:$E,$T894),"INGRESO DISTINTO EN firmadas ("&amp;IF(INDEX(firmadas!$E:$E,$T894)="","vacía",DAY(INDEX(firmadas!$E:$E,$T894))&amp;"/"&amp;MONTH(INDEX(firmadas!$E:$E,$T894))&amp;"/"&amp;YEAR(INDEX(firmadas!$E:$E,$T894)))&amp;")","OK"))))))))</f>
        <v/>
      </c>
      <c r="T894" t="str">
        <f ca="1">IF($P894="","",IFERROR(MATCH($P894,firmadas!$N:$N,0),IFERROR(MATCH("*/"&amp;MID($P894,FIND(" ",$P894)+1,9)&amp;"*",firmadas!$B:$B,0),0)))</f>
        <v/>
      </c>
    </row>
    <row r="895" spans="14:20" ht="15" customHeight="1" x14ac:dyDescent="0.25">
      <c r="N895" s="53" t="str">
        <f t="shared" ca="1" si="13"/>
        <v/>
      </c>
      <c r="P895" t="str">
        <f ca="1">IF(TRIM(SUBSTITUTE(($C895&amp;" "&amp;$D895),CHAR(160)," "))="","",IFERROR(IF(ISNUMBER(SEARCH("INC",($C895&amp;" "&amp;$D895))),"INC",IF(ISNUMBER(SEARCH("OPI",($C895&amp;" "&amp;$D895))),"OPI",IF(ISNUMBER(SEARCH("DP",($C895&amp;" "&amp;$D895))),"DP","CONC")))&amp;" "&amp;TEXT(LOOKUP(9.99E+307,--MID(SUBSTITUTE(($C895&amp;" "&amp;$D895),CHAR(160)," "),SUMPRODUCT(MIN(FIND({0,1,2,3,4,5,6,7,8,9},SUBSTITUTE(($C895&amp;" "&amp;$D895),CHAR(160)," ")&amp;"0123456789"))),ROW(INDIRECT("1:6")))),"0"),"SIN NUMERO"))</f>
        <v/>
      </c>
      <c r="Q895" t="str">
        <f ca="1">IF($P895="","",IF(LEFT(UPPER($S895),9)="VERIFICAR","VERIFICAR",IF($A895="","SIN ESTADO",IF(AND($A895="Firmada",$H895=""),"FALTA FECHA DE FIRMA",IF(N($T895)=0,IF(AND(ISNUMBER($H895),$H895&gt;=DATE(2024,1,1)),"FALTA EN FIRMADAS","OK"),IF(OR($A895="Pendiente de presentación",$A895="Observado",$A895="En análisis",$A895="En instrucción",$A895="Suspendida",$A895="IT circulando",$A895="Para resolución",$A895="TDC"),"ABIERTA PERO ESTÁ EN FIRMADAS",IF($H895&lt;&gt;INDEX(firmadas!$F:$F,$T895),"FIRMA DISTINTA EN firmadas ("&amp;IF(INDEX(firmadas!$F:$F,$T895)="","vacía",DAY(INDEX(firmadas!$F:$F,$T895))&amp;"/"&amp;MONTH(INDEX(firmadas!$F:$F,$T895))&amp;"/"&amp;YEAR(INDEX(firmadas!$F:$F,$T895)))&amp;")",IF($G895&lt;&gt;INDEX(firmadas!$E:$E,$T895),"INGRESO DISTINTO EN firmadas ("&amp;IF(INDEX(firmadas!$E:$E,$T895)="","vacía",DAY(INDEX(firmadas!$E:$E,$T895))&amp;"/"&amp;MONTH(INDEX(firmadas!$E:$E,$T895))&amp;"/"&amp;YEAR(INDEX(firmadas!$E:$E,$T895)))&amp;")","OK"))))))))</f>
        <v/>
      </c>
      <c r="T895" t="str">
        <f ca="1">IF($P895="","",IFERROR(MATCH($P895,firmadas!$N:$N,0),IFERROR(MATCH("*/"&amp;MID($P895,FIND(" ",$P895)+1,9)&amp;"*",firmadas!$B:$B,0),0)))</f>
        <v/>
      </c>
    </row>
    <row r="896" spans="14:20" ht="15" customHeight="1" x14ac:dyDescent="0.25">
      <c r="N896" s="53" t="str">
        <f t="shared" ca="1" si="13"/>
        <v/>
      </c>
      <c r="P896" t="str">
        <f ca="1">IF(TRIM(SUBSTITUTE(($C896&amp;" "&amp;$D896),CHAR(160)," "))="","",IFERROR(IF(ISNUMBER(SEARCH("INC",($C896&amp;" "&amp;$D896))),"INC",IF(ISNUMBER(SEARCH("OPI",($C896&amp;" "&amp;$D896))),"OPI",IF(ISNUMBER(SEARCH("DP",($C896&amp;" "&amp;$D896))),"DP","CONC")))&amp;" "&amp;TEXT(LOOKUP(9.99E+307,--MID(SUBSTITUTE(($C896&amp;" "&amp;$D896),CHAR(160)," "),SUMPRODUCT(MIN(FIND({0,1,2,3,4,5,6,7,8,9},SUBSTITUTE(($C896&amp;" "&amp;$D896),CHAR(160)," ")&amp;"0123456789"))),ROW(INDIRECT("1:6")))),"0"),"SIN NUMERO"))</f>
        <v/>
      </c>
      <c r="Q896" t="str">
        <f ca="1">IF($P896="","",IF(LEFT(UPPER($S896),9)="VERIFICAR","VERIFICAR",IF($A896="","SIN ESTADO",IF(AND($A896="Firmada",$H896=""),"FALTA FECHA DE FIRMA",IF(N($T896)=0,IF(AND(ISNUMBER($H896),$H896&gt;=DATE(2024,1,1)),"FALTA EN FIRMADAS","OK"),IF(OR($A896="Pendiente de presentación",$A896="Observado",$A896="En análisis",$A896="En instrucción",$A896="Suspendida",$A896="IT circulando",$A896="Para resolución",$A896="TDC"),"ABIERTA PERO ESTÁ EN FIRMADAS",IF($H896&lt;&gt;INDEX(firmadas!$F:$F,$T896),"FIRMA DISTINTA EN firmadas ("&amp;IF(INDEX(firmadas!$F:$F,$T896)="","vacía",DAY(INDEX(firmadas!$F:$F,$T896))&amp;"/"&amp;MONTH(INDEX(firmadas!$F:$F,$T896))&amp;"/"&amp;YEAR(INDEX(firmadas!$F:$F,$T896)))&amp;")",IF($G896&lt;&gt;INDEX(firmadas!$E:$E,$T896),"INGRESO DISTINTO EN firmadas ("&amp;IF(INDEX(firmadas!$E:$E,$T896)="","vacía",DAY(INDEX(firmadas!$E:$E,$T896))&amp;"/"&amp;MONTH(INDEX(firmadas!$E:$E,$T896))&amp;"/"&amp;YEAR(INDEX(firmadas!$E:$E,$T896)))&amp;")","OK"))))))))</f>
        <v/>
      </c>
      <c r="T896" t="str">
        <f ca="1">IF($P896="","",IFERROR(MATCH($P896,firmadas!$N:$N,0),IFERROR(MATCH("*/"&amp;MID($P896,FIND(" ",$P896)+1,9)&amp;"*",firmadas!$B:$B,0),0)))</f>
        <v/>
      </c>
    </row>
    <row r="897" spans="14:20" ht="15" customHeight="1" x14ac:dyDescent="0.25">
      <c r="N897" s="53" t="str">
        <f t="shared" ca="1" si="13"/>
        <v/>
      </c>
      <c r="P897" t="str">
        <f ca="1">IF(TRIM(SUBSTITUTE(($C897&amp;" "&amp;$D897),CHAR(160)," "))="","",IFERROR(IF(ISNUMBER(SEARCH("INC",($C897&amp;" "&amp;$D897))),"INC",IF(ISNUMBER(SEARCH("OPI",($C897&amp;" "&amp;$D897))),"OPI",IF(ISNUMBER(SEARCH("DP",($C897&amp;" "&amp;$D897))),"DP","CONC")))&amp;" "&amp;TEXT(LOOKUP(9.99E+307,--MID(SUBSTITUTE(($C897&amp;" "&amp;$D897),CHAR(160)," "),SUMPRODUCT(MIN(FIND({0,1,2,3,4,5,6,7,8,9},SUBSTITUTE(($C897&amp;" "&amp;$D897),CHAR(160)," ")&amp;"0123456789"))),ROW(INDIRECT("1:6")))),"0"),"SIN NUMERO"))</f>
        <v/>
      </c>
      <c r="Q897" t="str">
        <f ca="1">IF($P897="","",IF(LEFT(UPPER($S897),9)="VERIFICAR","VERIFICAR",IF($A897="","SIN ESTADO",IF(AND($A897="Firmada",$H897=""),"FALTA FECHA DE FIRMA",IF(N($T897)=0,IF(AND(ISNUMBER($H897),$H897&gt;=DATE(2024,1,1)),"FALTA EN FIRMADAS","OK"),IF(OR($A897="Pendiente de presentación",$A897="Observado",$A897="En análisis",$A897="En instrucción",$A897="Suspendida",$A897="IT circulando",$A897="Para resolución",$A897="TDC"),"ABIERTA PERO ESTÁ EN FIRMADAS",IF($H897&lt;&gt;INDEX(firmadas!$F:$F,$T897),"FIRMA DISTINTA EN firmadas ("&amp;IF(INDEX(firmadas!$F:$F,$T897)="","vacía",DAY(INDEX(firmadas!$F:$F,$T897))&amp;"/"&amp;MONTH(INDEX(firmadas!$F:$F,$T897))&amp;"/"&amp;YEAR(INDEX(firmadas!$F:$F,$T897)))&amp;")",IF($G897&lt;&gt;INDEX(firmadas!$E:$E,$T897),"INGRESO DISTINTO EN firmadas ("&amp;IF(INDEX(firmadas!$E:$E,$T897)="","vacía",DAY(INDEX(firmadas!$E:$E,$T897))&amp;"/"&amp;MONTH(INDEX(firmadas!$E:$E,$T897))&amp;"/"&amp;YEAR(INDEX(firmadas!$E:$E,$T897)))&amp;")","OK"))))))))</f>
        <v/>
      </c>
      <c r="T897" t="str">
        <f ca="1">IF($P897="","",IFERROR(MATCH($P897,firmadas!$N:$N,0),IFERROR(MATCH("*/"&amp;MID($P897,FIND(" ",$P897)+1,9)&amp;"*",firmadas!$B:$B,0),0)))</f>
        <v/>
      </c>
    </row>
    <row r="898" spans="14:20" ht="15" customHeight="1" x14ac:dyDescent="0.25">
      <c r="N898" s="53" t="str">
        <f t="shared" ref="N898:N961" ca="1" si="14">IF($G898="","",(IF($H898="",TODAY(),$H898)-$G898)/30)</f>
        <v/>
      </c>
      <c r="P898" t="str">
        <f ca="1">IF(TRIM(SUBSTITUTE(($C898&amp;" "&amp;$D898),CHAR(160)," "))="","",IFERROR(IF(ISNUMBER(SEARCH("INC",($C898&amp;" "&amp;$D898))),"INC",IF(ISNUMBER(SEARCH("OPI",($C898&amp;" "&amp;$D898))),"OPI",IF(ISNUMBER(SEARCH("DP",($C898&amp;" "&amp;$D898))),"DP","CONC")))&amp;" "&amp;TEXT(LOOKUP(9.99E+307,--MID(SUBSTITUTE(($C898&amp;" "&amp;$D898),CHAR(160)," "),SUMPRODUCT(MIN(FIND({0,1,2,3,4,5,6,7,8,9},SUBSTITUTE(($C898&amp;" "&amp;$D898),CHAR(160)," ")&amp;"0123456789"))),ROW(INDIRECT("1:6")))),"0"),"SIN NUMERO"))</f>
        <v/>
      </c>
      <c r="Q898" t="str">
        <f ca="1">IF($P898="","",IF(LEFT(UPPER($S898),9)="VERIFICAR","VERIFICAR",IF($A898="","SIN ESTADO",IF(AND($A898="Firmada",$H898=""),"FALTA FECHA DE FIRMA",IF(N($T898)=0,IF(AND(ISNUMBER($H898),$H898&gt;=DATE(2024,1,1)),"FALTA EN FIRMADAS","OK"),IF(OR($A898="Pendiente de presentación",$A898="Observado",$A898="En análisis",$A898="En instrucción",$A898="Suspendida",$A898="IT circulando",$A898="Para resolución",$A898="TDC"),"ABIERTA PERO ESTÁ EN FIRMADAS",IF($H898&lt;&gt;INDEX(firmadas!$F:$F,$T898),"FIRMA DISTINTA EN firmadas ("&amp;IF(INDEX(firmadas!$F:$F,$T898)="","vacía",DAY(INDEX(firmadas!$F:$F,$T898))&amp;"/"&amp;MONTH(INDEX(firmadas!$F:$F,$T898))&amp;"/"&amp;YEAR(INDEX(firmadas!$F:$F,$T898)))&amp;")",IF($G898&lt;&gt;INDEX(firmadas!$E:$E,$T898),"INGRESO DISTINTO EN firmadas ("&amp;IF(INDEX(firmadas!$E:$E,$T898)="","vacía",DAY(INDEX(firmadas!$E:$E,$T898))&amp;"/"&amp;MONTH(INDEX(firmadas!$E:$E,$T898))&amp;"/"&amp;YEAR(INDEX(firmadas!$E:$E,$T898)))&amp;")","OK"))))))))</f>
        <v/>
      </c>
      <c r="T898" t="str">
        <f ca="1">IF($P898="","",IFERROR(MATCH($P898,firmadas!$N:$N,0),IFERROR(MATCH("*/"&amp;MID($P898,FIND(" ",$P898)+1,9)&amp;"*",firmadas!$B:$B,0),0)))</f>
        <v/>
      </c>
    </row>
    <row r="899" spans="14:20" ht="15" customHeight="1" x14ac:dyDescent="0.25">
      <c r="N899" s="53" t="str">
        <f t="shared" ca="1" si="14"/>
        <v/>
      </c>
      <c r="P899" t="str">
        <f ca="1">IF(TRIM(SUBSTITUTE(($C899&amp;" "&amp;$D899),CHAR(160)," "))="","",IFERROR(IF(ISNUMBER(SEARCH("INC",($C899&amp;" "&amp;$D899))),"INC",IF(ISNUMBER(SEARCH("OPI",($C899&amp;" "&amp;$D899))),"OPI",IF(ISNUMBER(SEARCH("DP",($C899&amp;" "&amp;$D899))),"DP","CONC")))&amp;" "&amp;TEXT(LOOKUP(9.99E+307,--MID(SUBSTITUTE(($C899&amp;" "&amp;$D899),CHAR(160)," "),SUMPRODUCT(MIN(FIND({0,1,2,3,4,5,6,7,8,9},SUBSTITUTE(($C899&amp;" "&amp;$D899),CHAR(160)," ")&amp;"0123456789"))),ROW(INDIRECT("1:6")))),"0"),"SIN NUMERO"))</f>
        <v/>
      </c>
      <c r="Q899" t="str">
        <f ca="1">IF($P899="","",IF(LEFT(UPPER($S899),9)="VERIFICAR","VERIFICAR",IF($A899="","SIN ESTADO",IF(AND($A899="Firmada",$H899=""),"FALTA FECHA DE FIRMA",IF(N($T899)=0,IF(AND(ISNUMBER($H899),$H899&gt;=DATE(2024,1,1)),"FALTA EN FIRMADAS","OK"),IF(OR($A899="Pendiente de presentación",$A899="Observado",$A899="En análisis",$A899="En instrucción",$A899="Suspendida",$A899="IT circulando",$A899="Para resolución",$A899="TDC"),"ABIERTA PERO ESTÁ EN FIRMADAS",IF($H899&lt;&gt;INDEX(firmadas!$F:$F,$T899),"FIRMA DISTINTA EN firmadas ("&amp;IF(INDEX(firmadas!$F:$F,$T899)="","vacía",DAY(INDEX(firmadas!$F:$F,$T899))&amp;"/"&amp;MONTH(INDEX(firmadas!$F:$F,$T899))&amp;"/"&amp;YEAR(INDEX(firmadas!$F:$F,$T899)))&amp;")",IF($G899&lt;&gt;INDEX(firmadas!$E:$E,$T899),"INGRESO DISTINTO EN firmadas ("&amp;IF(INDEX(firmadas!$E:$E,$T899)="","vacía",DAY(INDEX(firmadas!$E:$E,$T899))&amp;"/"&amp;MONTH(INDEX(firmadas!$E:$E,$T899))&amp;"/"&amp;YEAR(INDEX(firmadas!$E:$E,$T899)))&amp;")","OK"))))))))</f>
        <v/>
      </c>
      <c r="T899" t="str">
        <f ca="1">IF($P899="","",IFERROR(MATCH($P899,firmadas!$N:$N,0),IFERROR(MATCH("*/"&amp;MID($P899,FIND(" ",$P899)+1,9)&amp;"*",firmadas!$B:$B,0),0)))</f>
        <v/>
      </c>
    </row>
    <row r="900" spans="14:20" ht="15" customHeight="1" x14ac:dyDescent="0.25">
      <c r="N900" s="53" t="str">
        <f t="shared" ca="1" si="14"/>
        <v/>
      </c>
      <c r="P900" t="str">
        <f ca="1">IF(TRIM(SUBSTITUTE(($C900&amp;" "&amp;$D900),CHAR(160)," "))="","",IFERROR(IF(ISNUMBER(SEARCH("INC",($C900&amp;" "&amp;$D900))),"INC",IF(ISNUMBER(SEARCH("OPI",($C900&amp;" "&amp;$D900))),"OPI",IF(ISNUMBER(SEARCH("DP",($C900&amp;" "&amp;$D900))),"DP","CONC")))&amp;" "&amp;TEXT(LOOKUP(9.99E+307,--MID(SUBSTITUTE(($C900&amp;" "&amp;$D900),CHAR(160)," "),SUMPRODUCT(MIN(FIND({0,1,2,3,4,5,6,7,8,9},SUBSTITUTE(($C900&amp;" "&amp;$D900),CHAR(160)," ")&amp;"0123456789"))),ROW(INDIRECT("1:6")))),"0"),"SIN NUMERO"))</f>
        <v/>
      </c>
      <c r="Q900" t="str">
        <f ca="1">IF($P900="","",IF(LEFT(UPPER($S900),9)="VERIFICAR","VERIFICAR",IF($A900="","SIN ESTADO",IF(AND($A900="Firmada",$H900=""),"FALTA FECHA DE FIRMA",IF(N($T900)=0,IF(AND(ISNUMBER($H900),$H900&gt;=DATE(2024,1,1)),"FALTA EN FIRMADAS","OK"),IF(OR($A900="Pendiente de presentación",$A900="Observado",$A900="En análisis",$A900="En instrucción",$A900="Suspendida",$A900="IT circulando",$A900="Para resolución",$A900="TDC"),"ABIERTA PERO ESTÁ EN FIRMADAS",IF($H900&lt;&gt;INDEX(firmadas!$F:$F,$T900),"FIRMA DISTINTA EN firmadas ("&amp;IF(INDEX(firmadas!$F:$F,$T900)="","vacía",DAY(INDEX(firmadas!$F:$F,$T900))&amp;"/"&amp;MONTH(INDEX(firmadas!$F:$F,$T900))&amp;"/"&amp;YEAR(INDEX(firmadas!$F:$F,$T900)))&amp;")",IF($G900&lt;&gt;INDEX(firmadas!$E:$E,$T900),"INGRESO DISTINTO EN firmadas ("&amp;IF(INDEX(firmadas!$E:$E,$T900)="","vacía",DAY(INDEX(firmadas!$E:$E,$T900))&amp;"/"&amp;MONTH(INDEX(firmadas!$E:$E,$T900))&amp;"/"&amp;YEAR(INDEX(firmadas!$E:$E,$T900)))&amp;")","OK"))))))))</f>
        <v/>
      </c>
      <c r="T900" t="str">
        <f ca="1">IF($P900="","",IFERROR(MATCH($P900,firmadas!$N:$N,0),IFERROR(MATCH("*/"&amp;MID($P900,FIND(" ",$P900)+1,9)&amp;"*",firmadas!$B:$B,0),0)))</f>
        <v/>
      </c>
    </row>
    <row r="901" spans="14:20" ht="15" customHeight="1" x14ac:dyDescent="0.25">
      <c r="N901" s="53" t="str">
        <f t="shared" ca="1" si="14"/>
        <v/>
      </c>
      <c r="P901" t="str">
        <f ca="1">IF(TRIM(SUBSTITUTE(($C901&amp;" "&amp;$D901),CHAR(160)," "))="","",IFERROR(IF(ISNUMBER(SEARCH("INC",($C901&amp;" "&amp;$D901))),"INC",IF(ISNUMBER(SEARCH("OPI",($C901&amp;" "&amp;$D901))),"OPI",IF(ISNUMBER(SEARCH("DP",($C901&amp;" "&amp;$D901))),"DP","CONC")))&amp;" "&amp;TEXT(LOOKUP(9.99E+307,--MID(SUBSTITUTE(($C901&amp;" "&amp;$D901),CHAR(160)," "),SUMPRODUCT(MIN(FIND({0,1,2,3,4,5,6,7,8,9},SUBSTITUTE(($C901&amp;" "&amp;$D901),CHAR(160)," ")&amp;"0123456789"))),ROW(INDIRECT("1:6")))),"0"),"SIN NUMERO"))</f>
        <v/>
      </c>
      <c r="Q901" t="str">
        <f ca="1">IF($P901="","",IF(LEFT(UPPER($S901),9)="VERIFICAR","VERIFICAR",IF($A901="","SIN ESTADO",IF(AND($A901="Firmada",$H901=""),"FALTA FECHA DE FIRMA",IF(N($T901)=0,IF(AND(ISNUMBER($H901),$H901&gt;=DATE(2024,1,1)),"FALTA EN FIRMADAS","OK"),IF(OR($A901="Pendiente de presentación",$A901="Observado",$A901="En análisis",$A901="En instrucción",$A901="Suspendida",$A901="IT circulando",$A901="Para resolución",$A901="TDC"),"ABIERTA PERO ESTÁ EN FIRMADAS",IF($H901&lt;&gt;INDEX(firmadas!$F:$F,$T901),"FIRMA DISTINTA EN firmadas ("&amp;IF(INDEX(firmadas!$F:$F,$T901)="","vacía",DAY(INDEX(firmadas!$F:$F,$T901))&amp;"/"&amp;MONTH(INDEX(firmadas!$F:$F,$T901))&amp;"/"&amp;YEAR(INDEX(firmadas!$F:$F,$T901)))&amp;")",IF($G901&lt;&gt;INDEX(firmadas!$E:$E,$T901),"INGRESO DISTINTO EN firmadas ("&amp;IF(INDEX(firmadas!$E:$E,$T901)="","vacía",DAY(INDEX(firmadas!$E:$E,$T901))&amp;"/"&amp;MONTH(INDEX(firmadas!$E:$E,$T901))&amp;"/"&amp;YEAR(INDEX(firmadas!$E:$E,$T901)))&amp;")","OK"))))))))</f>
        <v/>
      </c>
      <c r="T901" t="str">
        <f ca="1">IF($P901="","",IFERROR(MATCH($P901,firmadas!$N:$N,0),IFERROR(MATCH("*/"&amp;MID($P901,FIND(" ",$P901)+1,9)&amp;"*",firmadas!$B:$B,0),0)))</f>
        <v/>
      </c>
    </row>
    <row r="902" spans="14:20" ht="15" customHeight="1" x14ac:dyDescent="0.25">
      <c r="N902" s="53" t="str">
        <f t="shared" ca="1" si="14"/>
        <v/>
      </c>
      <c r="P902" t="str">
        <f ca="1">IF(TRIM(SUBSTITUTE(($C902&amp;" "&amp;$D902),CHAR(160)," "))="","",IFERROR(IF(ISNUMBER(SEARCH("INC",($C902&amp;" "&amp;$D902))),"INC",IF(ISNUMBER(SEARCH("OPI",($C902&amp;" "&amp;$D902))),"OPI",IF(ISNUMBER(SEARCH("DP",($C902&amp;" "&amp;$D902))),"DP","CONC")))&amp;" "&amp;TEXT(LOOKUP(9.99E+307,--MID(SUBSTITUTE(($C902&amp;" "&amp;$D902),CHAR(160)," "),SUMPRODUCT(MIN(FIND({0,1,2,3,4,5,6,7,8,9},SUBSTITUTE(($C902&amp;" "&amp;$D902),CHAR(160)," ")&amp;"0123456789"))),ROW(INDIRECT("1:6")))),"0"),"SIN NUMERO"))</f>
        <v/>
      </c>
      <c r="Q902" t="str">
        <f ca="1">IF($P902="","",IF(LEFT(UPPER($S902),9)="VERIFICAR","VERIFICAR",IF($A902="","SIN ESTADO",IF(AND($A902="Firmada",$H902=""),"FALTA FECHA DE FIRMA",IF(N($T902)=0,IF(AND(ISNUMBER($H902),$H902&gt;=DATE(2024,1,1)),"FALTA EN FIRMADAS","OK"),IF(OR($A902="Pendiente de presentación",$A902="Observado",$A902="En análisis",$A902="En instrucción",$A902="Suspendida",$A902="IT circulando",$A902="Para resolución",$A902="TDC"),"ABIERTA PERO ESTÁ EN FIRMADAS",IF($H902&lt;&gt;INDEX(firmadas!$F:$F,$T902),"FIRMA DISTINTA EN firmadas ("&amp;IF(INDEX(firmadas!$F:$F,$T902)="","vacía",DAY(INDEX(firmadas!$F:$F,$T902))&amp;"/"&amp;MONTH(INDEX(firmadas!$F:$F,$T902))&amp;"/"&amp;YEAR(INDEX(firmadas!$F:$F,$T902)))&amp;")",IF($G902&lt;&gt;INDEX(firmadas!$E:$E,$T902),"INGRESO DISTINTO EN firmadas ("&amp;IF(INDEX(firmadas!$E:$E,$T902)="","vacía",DAY(INDEX(firmadas!$E:$E,$T902))&amp;"/"&amp;MONTH(INDEX(firmadas!$E:$E,$T902))&amp;"/"&amp;YEAR(INDEX(firmadas!$E:$E,$T902)))&amp;")","OK"))))))))</f>
        <v/>
      </c>
      <c r="T902" t="str">
        <f ca="1">IF($P902="","",IFERROR(MATCH($P902,firmadas!$N:$N,0),IFERROR(MATCH("*/"&amp;MID($P902,FIND(" ",$P902)+1,9)&amp;"*",firmadas!$B:$B,0),0)))</f>
        <v/>
      </c>
    </row>
    <row r="903" spans="14:20" ht="15" customHeight="1" x14ac:dyDescent="0.25">
      <c r="N903" s="53" t="str">
        <f t="shared" ca="1" si="14"/>
        <v/>
      </c>
      <c r="P903" t="str">
        <f ca="1">IF(TRIM(SUBSTITUTE(($C903&amp;" "&amp;$D903),CHAR(160)," "))="","",IFERROR(IF(ISNUMBER(SEARCH("INC",($C903&amp;" "&amp;$D903))),"INC",IF(ISNUMBER(SEARCH("OPI",($C903&amp;" "&amp;$D903))),"OPI",IF(ISNUMBER(SEARCH("DP",($C903&amp;" "&amp;$D903))),"DP","CONC")))&amp;" "&amp;TEXT(LOOKUP(9.99E+307,--MID(SUBSTITUTE(($C903&amp;" "&amp;$D903),CHAR(160)," "),SUMPRODUCT(MIN(FIND({0,1,2,3,4,5,6,7,8,9},SUBSTITUTE(($C903&amp;" "&amp;$D903),CHAR(160)," ")&amp;"0123456789"))),ROW(INDIRECT("1:6")))),"0"),"SIN NUMERO"))</f>
        <v/>
      </c>
      <c r="Q903" t="str">
        <f ca="1">IF($P903="","",IF(LEFT(UPPER($S903),9)="VERIFICAR","VERIFICAR",IF($A903="","SIN ESTADO",IF(AND($A903="Firmada",$H903=""),"FALTA FECHA DE FIRMA",IF(N($T903)=0,IF(AND(ISNUMBER($H903),$H903&gt;=DATE(2024,1,1)),"FALTA EN FIRMADAS","OK"),IF(OR($A903="Pendiente de presentación",$A903="Observado",$A903="En análisis",$A903="En instrucción",$A903="Suspendida",$A903="IT circulando",$A903="Para resolución",$A903="TDC"),"ABIERTA PERO ESTÁ EN FIRMADAS",IF($H903&lt;&gt;INDEX(firmadas!$F:$F,$T903),"FIRMA DISTINTA EN firmadas ("&amp;IF(INDEX(firmadas!$F:$F,$T903)="","vacía",DAY(INDEX(firmadas!$F:$F,$T903))&amp;"/"&amp;MONTH(INDEX(firmadas!$F:$F,$T903))&amp;"/"&amp;YEAR(INDEX(firmadas!$F:$F,$T903)))&amp;")",IF($G903&lt;&gt;INDEX(firmadas!$E:$E,$T903),"INGRESO DISTINTO EN firmadas ("&amp;IF(INDEX(firmadas!$E:$E,$T903)="","vacía",DAY(INDEX(firmadas!$E:$E,$T903))&amp;"/"&amp;MONTH(INDEX(firmadas!$E:$E,$T903))&amp;"/"&amp;YEAR(INDEX(firmadas!$E:$E,$T903)))&amp;")","OK"))))))))</f>
        <v/>
      </c>
      <c r="T903" t="str">
        <f ca="1">IF($P903="","",IFERROR(MATCH($P903,firmadas!$N:$N,0),IFERROR(MATCH("*/"&amp;MID($P903,FIND(" ",$P903)+1,9)&amp;"*",firmadas!$B:$B,0),0)))</f>
        <v/>
      </c>
    </row>
    <row r="904" spans="14:20" ht="15" customHeight="1" x14ac:dyDescent="0.25">
      <c r="N904" s="53" t="str">
        <f t="shared" ca="1" si="14"/>
        <v/>
      </c>
      <c r="P904" t="str">
        <f ca="1">IF(TRIM(SUBSTITUTE(($C904&amp;" "&amp;$D904),CHAR(160)," "))="","",IFERROR(IF(ISNUMBER(SEARCH("INC",($C904&amp;" "&amp;$D904))),"INC",IF(ISNUMBER(SEARCH("OPI",($C904&amp;" "&amp;$D904))),"OPI",IF(ISNUMBER(SEARCH("DP",($C904&amp;" "&amp;$D904))),"DP","CONC")))&amp;" "&amp;TEXT(LOOKUP(9.99E+307,--MID(SUBSTITUTE(($C904&amp;" "&amp;$D904),CHAR(160)," "),SUMPRODUCT(MIN(FIND({0,1,2,3,4,5,6,7,8,9},SUBSTITUTE(($C904&amp;" "&amp;$D904),CHAR(160)," ")&amp;"0123456789"))),ROW(INDIRECT("1:6")))),"0"),"SIN NUMERO"))</f>
        <v/>
      </c>
      <c r="Q904" t="str">
        <f ca="1">IF($P904="","",IF(LEFT(UPPER($S904),9)="VERIFICAR","VERIFICAR",IF($A904="","SIN ESTADO",IF(AND($A904="Firmada",$H904=""),"FALTA FECHA DE FIRMA",IF(N($T904)=0,IF(AND(ISNUMBER($H904),$H904&gt;=DATE(2024,1,1)),"FALTA EN FIRMADAS","OK"),IF(OR($A904="Pendiente de presentación",$A904="Observado",$A904="En análisis",$A904="En instrucción",$A904="Suspendida",$A904="IT circulando",$A904="Para resolución",$A904="TDC"),"ABIERTA PERO ESTÁ EN FIRMADAS",IF($H904&lt;&gt;INDEX(firmadas!$F:$F,$T904),"FIRMA DISTINTA EN firmadas ("&amp;IF(INDEX(firmadas!$F:$F,$T904)="","vacía",DAY(INDEX(firmadas!$F:$F,$T904))&amp;"/"&amp;MONTH(INDEX(firmadas!$F:$F,$T904))&amp;"/"&amp;YEAR(INDEX(firmadas!$F:$F,$T904)))&amp;")",IF($G904&lt;&gt;INDEX(firmadas!$E:$E,$T904),"INGRESO DISTINTO EN firmadas ("&amp;IF(INDEX(firmadas!$E:$E,$T904)="","vacía",DAY(INDEX(firmadas!$E:$E,$T904))&amp;"/"&amp;MONTH(INDEX(firmadas!$E:$E,$T904))&amp;"/"&amp;YEAR(INDEX(firmadas!$E:$E,$T904)))&amp;")","OK"))))))))</f>
        <v/>
      </c>
      <c r="T904" t="str">
        <f ca="1">IF($P904="","",IFERROR(MATCH($P904,firmadas!$N:$N,0),IFERROR(MATCH("*/"&amp;MID($P904,FIND(" ",$P904)+1,9)&amp;"*",firmadas!$B:$B,0),0)))</f>
        <v/>
      </c>
    </row>
    <row r="905" spans="14:20" ht="15" customHeight="1" x14ac:dyDescent="0.25">
      <c r="N905" s="53" t="str">
        <f t="shared" ca="1" si="14"/>
        <v/>
      </c>
      <c r="P905" t="str">
        <f ca="1">IF(TRIM(SUBSTITUTE(($C905&amp;" "&amp;$D905),CHAR(160)," "))="","",IFERROR(IF(ISNUMBER(SEARCH("INC",($C905&amp;" "&amp;$D905))),"INC",IF(ISNUMBER(SEARCH("OPI",($C905&amp;" "&amp;$D905))),"OPI",IF(ISNUMBER(SEARCH("DP",($C905&amp;" "&amp;$D905))),"DP","CONC")))&amp;" "&amp;TEXT(LOOKUP(9.99E+307,--MID(SUBSTITUTE(($C905&amp;" "&amp;$D905),CHAR(160)," "),SUMPRODUCT(MIN(FIND({0,1,2,3,4,5,6,7,8,9},SUBSTITUTE(($C905&amp;" "&amp;$D905),CHAR(160)," ")&amp;"0123456789"))),ROW(INDIRECT("1:6")))),"0"),"SIN NUMERO"))</f>
        <v/>
      </c>
      <c r="Q905" t="str">
        <f ca="1">IF($P905="","",IF(LEFT(UPPER($S905),9)="VERIFICAR","VERIFICAR",IF($A905="","SIN ESTADO",IF(AND($A905="Firmada",$H905=""),"FALTA FECHA DE FIRMA",IF(N($T905)=0,IF(AND(ISNUMBER($H905),$H905&gt;=DATE(2024,1,1)),"FALTA EN FIRMADAS","OK"),IF(OR($A905="Pendiente de presentación",$A905="Observado",$A905="En análisis",$A905="En instrucción",$A905="Suspendida",$A905="IT circulando",$A905="Para resolución",$A905="TDC"),"ABIERTA PERO ESTÁ EN FIRMADAS",IF($H905&lt;&gt;INDEX(firmadas!$F:$F,$T905),"FIRMA DISTINTA EN firmadas ("&amp;IF(INDEX(firmadas!$F:$F,$T905)="","vacía",DAY(INDEX(firmadas!$F:$F,$T905))&amp;"/"&amp;MONTH(INDEX(firmadas!$F:$F,$T905))&amp;"/"&amp;YEAR(INDEX(firmadas!$F:$F,$T905)))&amp;")",IF($G905&lt;&gt;INDEX(firmadas!$E:$E,$T905),"INGRESO DISTINTO EN firmadas ("&amp;IF(INDEX(firmadas!$E:$E,$T905)="","vacía",DAY(INDEX(firmadas!$E:$E,$T905))&amp;"/"&amp;MONTH(INDEX(firmadas!$E:$E,$T905))&amp;"/"&amp;YEAR(INDEX(firmadas!$E:$E,$T905)))&amp;")","OK"))))))))</f>
        <v/>
      </c>
      <c r="T905" t="str">
        <f ca="1">IF($P905="","",IFERROR(MATCH($P905,firmadas!$N:$N,0),IFERROR(MATCH("*/"&amp;MID($P905,FIND(" ",$P905)+1,9)&amp;"*",firmadas!$B:$B,0),0)))</f>
        <v/>
      </c>
    </row>
    <row r="906" spans="14:20" ht="15" customHeight="1" x14ac:dyDescent="0.25">
      <c r="N906" s="53" t="str">
        <f t="shared" ca="1" si="14"/>
        <v/>
      </c>
      <c r="P906" t="str">
        <f ca="1">IF(TRIM(SUBSTITUTE(($C906&amp;" "&amp;$D906),CHAR(160)," "))="","",IFERROR(IF(ISNUMBER(SEARCH("INC",($C906&amp;" "&amp;$D906))),"INC",IF(ISNUMBER(SEARCH("OPI",($C906&amp;" "&amp;$D906))),"OPI",IF(ISNUMBER(SEARCH("DP",($C906&amp;" "&amp;$D906))),"DP","CONC")))&amp;" "&amp;TEXT(LOOKUP(9.99E+307,--MID(SUBSTITUTE(($C906&amp;" "&amp;$D906),CHAR(160)," "),SUMPRODUCT(MIN(FIND({0,1,2,3,4,5,6,7,8,9},SUBSTITUTE(($C906&amp;" "&amp;$D906),CHAR(160)," ")&amp;"0123456789"))),ROW(INDIRECT("1:6")))),"0"),"SIN NUMERO"))</f>
        <v/>
      </c>
      <c r="Q906" t="str">
        <f ca="1">IF($P906="","",IF(LEFT(UPPER($S906),9)="VERIFICAR","VERIFICAR",IF($A906="","SIN ESTADO",IF(AND($A906="Firmada",$H906=""),"FALTA FECHA DE FIRMA",IF(N($T906)=0,IF(AND(ISNUMBER($H906),$H906&gt;=DATE(2024,1,1)),"FALTA EN FIRMADAS","OK"),IF(OR($A906="Pendiente de presentación",$A906="Observado",$A906="En análisis",$A906="En instrucción",$A906="Suspendida",$A906="IT circulando",$A906="Para resolución",$A906="TDC"),"ABIERTA PERO ESTÁ EN FIRMADAS",IF($H906&lt;&gt;INDEX(firmadas!$F:$F,$T906),"FIRMA DISTINTA EN firmadas ("&amp;IF(INDEX(firmadas!$F:$F,$T906)="","vacía",DAY(INDEX(firmadas!$F:$F,$T906))&amp;"/"&amp;MONTH(INDEX(firmadas!$F:$F,$T906))&amp;"/"&amp;YEAR(INDEX(firmadas!$F:$F,$T906)))&amp;")",IF($G906&lt;&gt;INDEX(firmadas!$E:$E,$T906),"INGRESO DISTINTO EN firmadas ("&amp;IF(INDEX(firmadas!$E:$E,$T906)="","vacía",DAY(INDEX(firmadas!$E:$E,$T906))&amp;"/"&amp;MONTH(INDEX(firmadas!$E:$E,$T906))&amp;"/"&amp;YEAR(INDEX(firmadas!$E:$E,$T906)))&amp;")","OK"))))))))</f>
        <v/>
      </c>
      <c r="T906" t="str">
        <f ca="1">IF($P906="","",IFERROR(MATCH($P906,firmadas!$N:$N,0),IFERROR(MATCH("*/"&amp;MID($P906,FIND(" ",$P906)+1,9)&amp;"*",firmadas!$B:$B,0),0)))</f>
        <v/>
      </c>
    </row>
    <row r="907" spans="14:20" ht="15" customHeight="1" x14ac:dyDescent="0.25">
      <c r="N907" s="53" t="str">
        <f t="shared" ca="1" si="14"/>
        <v/>
      </c>
      <c r="P907" t="str">
        <f ca="1">IF(TRIM(SUBSTITUTE(($C907&amp;" "&amp;$D907),CHAR(160)," "))="","",IFERROR(IF(ISNUMBER(SEARCH("INC",($C907&amp;" "&amp;$D907))),"INC",IF(ISNUMBER(SEARCH("OPI",($C907&amp;" "&amp;$D907))),"OPI",IF(ISNUMBER(SEARCH("DP",($C907&amp;" "&amp;$D907))),"DP","CONC")))&amp;" "&amp;TEXT(LOOKUP(9.99E+307,--MID(SUBSTITUTE(($C907&amp;" "&amp;$D907),CHAR(160)," "),SUMPRODUCT(MIN(FIND({0,1,2,3,4,5,6,7,8,9},SUBSTITUTE(($C907&amp;" "&amp;$D907),CHAR(160)," ")&amp;"0123456789"))),ROW(INDIRECT("1:6")))),"0"),"SIN NUMERO"))</f>
        <v/>
      </c>
      <c r="Q907" t="str">
        <f ca="1">IF($P907="","",IF(LEFT(UPPER($S907),9)="VERIFICAR","VERIFICAR",IF($A907="","SIN ESTADO",IF(AND($A907="Firmada",$H907=""),"FALTA FECHA DE FIRMA",IF(N($T907)=0,IF(AND(ISNUMBER($H907),$H907&gt;=DATE(2024,1,1)),"FALTA EN FIRMADAS","OK"),IF(OR($A907="Pendiente de presentación",$A907="Observado",$A907="En análisis",$A907="En instrucción",$A907="Suspendida",$A907="IT circulando",$A907="Para resolución",$A907="TDC"),"ABIERTA PERO ESTÁ EN FIRMADAS",IF($H907&lt;&gt;INDEX(firmadas!$F:$F,$T907),"FIRMA DISTINTA EN firmadas ("&amp;IF(INDEX(firmadas!$F:$F,$T907)="","vacía",DAY(INDEX(firmadas!$F:$F,$T907))&amp;"/"&amp;MONTH(INDEX(firmadas!$F:$F,$T907))&amp;"/"&amp;YEAR(INDEX(firmadas!$F:$F,$T907)))&amp;")",IF($G907&lt;&gt;INDEX(firmadas!$E:$E,$T907),"INGRESO DISTINTO EN firmadas ("&amp;IF(INDEX(firmadas!$E:$E,$T907)="","vacía",DAY(INDEX(firmadas!$E:$E,$T907))&amp;"/"&amp;MONTH(INDEX(firmadas!$E:$E,$T907))&amp;"/"&amp;YEAR(INDEX(firmadas!$E:$E,$T907)))&amp;")","OK"))))))))</f>
        <v/>
      </c>
      <c r="T907" t="str">
        <f ca="1">IF($P907="","",IFERROR(MATCH($P907,firmadas!$N:$N,0),IFERROR(MATCH("*/"&amp;MID($P907,FIND(" ",$P907)+1,9)&amp;"*",firmadas!$B:$B,0),0)))</f>
        <v/>
      </c>
    </row>
    <row r="908" spans="14:20" ht="15" customHeight="1" x14ac:dyDescent="0.25">
      <c r="N908" s="53" t="str">
        <f t="shared" ca="1" si="14"/>
        <v/>
      </c>
      <c r="P908" t="str">
        <f ca="1">IF(TRIM(SUBSTITUTE(($C908&amp;" "&amp;$D908),CHAR(160)," "))="","",IFERROR(IF(ISNUMBER(SEARCH("INC",($C908&amp;" "&amp;$D908))),"INC",IF(ISNUMBER(SEARCH("OPI",($C908&amp;" "&amp;$D908))),"OPI",IF(ISNUMBER(SEARCH("DP",($C908&amp;" "&amp;$D908))),"DP","CONC")))&amp;" "&amp;TEXT(LOOKUP(9.99E+307,--MID(SUBSTITUTE(($C908&amp;" "&amp;$D908),CHAR(160)," "),SUMPRODUCT(MIN(FIND({0,1,2,3,4,5,6,7,8,9},SUBSTITUTE(($C908&amp;" "&amp;$D908),CHAR(160)," ")&amp;"0123456789"))),ROW(INDIRECT("1:6")))),"0"),"SIN NUMERO"))</f>
        <v/>
      </c>
      <c r="Q908" t="str">
        <f ca="1">IF($P908="","",IF(LEFT(UPPER($S908),9)="VERIFICAR","VERIFICAR",IF($A908="","SIN ESTADO",IF(AND($A908="Firmada",$H908=""),"FALTA FECHA DE FIRMA",IF(N($T908)=0,IF(AND(ISNUMBER($H908),$H908&gt;=DATE(2024,1,1)),"FALTA EN FIRMADAS","OK"),IF(OR($A908="Pendiente de presentación",$A908="Observado",$A908="En análisis",$A908="En instrucción",$A908="Suspendida",$A908="IT circulando",$A908="Para resolución",$A908="TDC"),"ABIERTA PERO ESTÁ EN FIRMADAS",IF($H908&lt;&gt;INDEX(firmadas!$F:$F,$T908),"FIRMA DISTINTA EN firmadas ("&amp;IF(INDEX(firmadas!$F:$F,$T908)="","vacía",DAY(INDEX(firmadas!$F:$F,$T908))&amp;"/"&amp;MONTH(INDEX(firmadas!$F:$F,$T908))&amp;"/"&amp;YEAR(INDEX(firmadas!$F:$F,$T908)))&amp;")",IF($G908&lt;&gt;INDEX(firmadas!$E:$E,$T908),"INGRESO DISTINTO EN firmadas ("&amp;IF(INDEX(firmadas!$E:$E,$T908)="","vacía",DAY(INDEX(firmadas!$E:$E,$T908))&amp;"/"&amp;MONTH(INDEX(firmadas!$E:$E,$T908))&amp;"/"&amp;YEAR(INDEX(firmadas!$E:$E,$T908)))&amp;")","OK"))))))))</f>
        <v/>
      </c>
      <c r="T908" t="str">
        <f ca="1">IF($P908="","",IFERROR(MATCH($P908,firmadas!$N:$N,0),IFERROR(MATCH("*/"&amp;MID($P908,FIND(" ",$P908)+1,9)&amp;"*",firmadas!$B:$B,0),0)))</f>
        <v/>
      </c>
    </row>
    <row r="909" spans="14:20" ht="15" customHeight="1" x14ac:dyDescent="0.25">
      <c r="N909" s="53" t="str">
        <f t="shared" ca="1" si="14"/>
        <v/>
      </c>
      <c r="P909" t="str">
        <f ca="1">IF(TRIM(SUBSTITUTE(($C909&amp;" "&amp;$D909),CHAR(160)," "))="","",IFERROR(IF(ISNUMBER(SEARCH("INC",($C909&amp;" "&amp;$D909))),"INC",IF(ISNUMBER(SEARCH("OPI",($C909&amp;" "&amp;$D909))),"OPI",IF(ISNUMBER(SEARCH("DP",($C909&amp;" "&amp;$D909))),"DP","CONC")))&amp;" "&amp;TEXT(LOOKUP(9.99E+307,--MID(SUBSTITUTE(($C909&amp;" "&amp;$D909),CHAR(160)," "),SUMPRODUCT(MIN(FIND({0,1,2,3,4,5,6,7,8,9},SUBSTITUTE(($C909&amp;" "&amp;$D909),CHAR(160)," ")&amp;"0123456789"))),ROW(INDIRECT("1:6")))),"0"),"SIN NUMERO"))</f>
        <v/>
      </c>
      <c r="Q909" t="str">
        <f ca="1">IF($P909="","",IF(LEFT(UPPER($S909),9)="VERIFICAR","VERIFICAR",IF($A909="","SIN ESTADO",IF(AND($A909="Firmada",$H909=""),"FALTA FECHA DE FIRMA",IF(N($T909)=0,IF(AND(ISNUMBER($H909),$H909&gt;=DATE(2024,1,1)),"FALTA EN FIRMADAS","OK"),IF(OR($A909="Pendiente de presentación",$A909="Observado",$A909="En análisis",$A909="En instrucción",$A909="Suspendida",$A909="IT circulando",$A909="Para resolución",$A909="TDC"),"ABIERTA PERO ESTÁ EN FIRMADAS",IF($H909&lt;&gt;INDEX(firmadas!$F:$F,$T909),"FIRMA DISTINTA EN firmadas ("&amp;IF(INDEX(firmadas!$F:$F,$T909)="","vacía",DAY(INDEX(firmadas!$F:$F,$T909))&amp;"/"&amp;MONTH(INDEX(firmadas!$F:$F,$T909))&amp;"/"&amp;YEAR(INDEX(firmadas!$F:$F,$T909)))&amp;")",IF($G909&lt;&gt;INDEX(firmadas!$E:$E,$T909),"INGRESO DISTINTO EN firmadas ("&amp;IF(INDEX(firmadas!$E:$E,$T909)="","vacía",DAY(INDEX(firmadas!$E:$E,$T909))&amp;"/"&amp;MONTH(INDEX(firmadas!$E:$E,$T909))&amp;"/"&amp;YEAR(INDEX(firmadas!$E:$E,$T909)))&amp;")","OK"))))))))</f>
        <v/>
      </c>
      <c r="T909" t="str">
        <f ca="1">IF($P909="","",IFERROR(MATCH($P909,firmadas!$N:$N,0),IFERROR(MATCH("*/"&amp;MID($P909,FIND(" ",$P909)+1,9)&amp;"*",firmadas!$B:$B,0),0)))</f>
        <v/>
      </c>
    </row>
    <row r="910" spans="14:20" ht="15" customHeight="1" x14ac:dyDescent="0.25">
      <c r="N910" s="53" t="str">
        <f t="shared" ca="1" si="14"/>
        <v/>
      </c>
      <c r="P910" t="str">
        <f ca="1">IF(TRIM(SUBSTITUTE(($C910&amp;" "&amp;$D910),CHAR(160)," "))="","",IFERROR(IF(ISNUMBER(SEARCH("INC",($C910&amp;" "&amp;$D910))),"INC",IF(ISNUMBER(SEARCH("OPI",($C910&amp;" "&amp;$D910))),"OPI",IF(ISNUMBER(SEARCH("DP",($C910&amp;" "&amp;$D910))),"DP","CONC")))&amp;" "&amp;TEXT(LOOKUP(9.99E+307,--MID(SUBSTITUTE(($C910&amp;" "&amp;$D910),CHAR(160)," "),SUMPRODUCT(MIN(FIND({0,1,2,3,4,5,6,7,8,9},SUBSTITUTE(($C910&amp;" "&amp;$D910),CHAR(160)," ")&amp;"0123456789"))),ROW(INDIRECT("1:6")))),"0"),"SIN NUMERO"))</f>
        <v/>
      </c>
      <c r="Q910" t="str">
        <f ca="1">IF($P910="","",IF(LEFT(UPPER($S910),9)="VERIFICAR","VERIFICAR",IF($A910="","SIN ESTADO",IF(AND($A910="Firmada",$H910=""),"FALTA FECHA DE FIRMA",IF(N($T910)=0,IF(AND(ISNUMBER($H910),$H910&gt;=DATE(2024,1,1)),"FALTA EN FIRMADAS","OK"),IF(OR($A910="Pendiente de presentación",$A910="Observado",$A910="En análisis",$A910="En instrucción",$A910="Suspendida",$A910="IT circulando",$A910="Para resolución",$A910="TDC"),"ABIERTA PERO ESTÁ EN FIRMADAS",IF($H910&lt;&gt;INDEX(firmadas!$F:$F,$T910),"FIRMA DISTINTA EN firmadas ("&amp;IF(INDEX(firmadas!$F:$F,$T910)="","vacía",DAY(INDEX(firmadas!$F:$F,$T910))&amp;"/"&amp;MONTH(INDEX(firmadas!$F:$F,$T910))&amp;"/"&amp;YEAR(INDEX(firmadas!$F:$F,$T910)))&amp;")",IF($G910&lt;&gt;INDEX(firmadas!$E:$E,$T910),"INGRESO DISTINTO EN firmadas ("&amp;IF(INDEX(firmadas!$E:$E,$T910)="","vacía",DAY(INDEX(firmadas!$E:$E,$T910))&amp;"/"&amp;MONTH(INDEX(firmadas!$E:$E,$T910))&amp;"/"&amp;YEAR(INDEX(firmadas!$E:$E,$T910)))&amp;")","OK"))))))))</f>
        <v/>
      </c>
      <c r="T910" t="str">
        <f ca="1">IF($P910="","",IFERROR(MATCH($P910,firmadas!$N:$N,0),IFERROR(MATCH("*/"&amp;MID($P910,FIND(" ",$P910)+1,9)&amp;"*",firmadas!$B:$B,0),0)))</f>
        <v/>
      </c>
    </row>
    <row r="911" spans="14:20" ht="15" customHeight="1" x14ac:dyDescent="0.25">
      <c r="N911" s="53" t="str">
        <f t="shared" ca="1" si="14"/>
        <v/>
      </c>
      <c r="P911" t="str">
        <f ca="1">IF(TRIM(SUBSTITUTE(($C911&amp;" "&amp;$D911),CHAR(160)," "))="","",IFERROR(IF(ISNUMBER(SEARCH("INC",($C911&amp;" "&amp;$D911))),"INC",IF(ISNUMBER(SEARCH("OPI",($C911&amp;" "&amp;$D911))),"OPI",IF(ISNUMBER(SEARCH("DP",($C911&amp;" "&amp;$D911))),"DP","CONC")))&amp;" "&amp;TEXT(LOOKUP(9.99E+307,--MID(SUBSTITUTE(($C911&amp;" "&amp;$D911),CHAR(160)," "),SUMPRODUCT(MIN(FIND({0,1,2,3,4,5,6,7,8,9},SUBSTITUTE(($C911&amp;" "&amp;$D911),CHAR(160)," ")&amp;"0123456789"))),ROW(INDIRECT("1:6")))),"0"),"SIN NUMERO"))</f>
        <v/>
      </c>
      <c r="Q911" t="str">
        <f ca="1">IF($P911="","",IF(LEFT(UPPER($S911),9)="VERIFICAR","VERIFICAR",IF($A911="","SIN ESTADO",IF(AND($A911="Firmada",$H911=""),"FALTA FECHA DE FIRMA",IF(N($T911)=0,IF(AND(ISNUMBER($H911),$H911&gt;=DATE(2024,1,1)),"FALTA EN FIRMADAS","OK"),IF(OR($A911="Pendiente de presentación",$A911="Observado",$A911="En análisis",$A911="En instrucción",$A911="Suspendida",$A911="IT circulando",$A911="Para resolución",$A911="TDC"),"ABIERTA PERO ESTÁ EN FIRMADAS",IF($H911&lt;&gt;INDEX(firmadas!$F:$F,$T911),"FIRMA DISTINTA EN firmadas ("&amp;IF(INDEX(firmadas!$F:$F,$T911)="","vacía",DAY(INDEX(firmadas!$F:$F,$T911))&amp;"/"&amp;MONTH(INDEX(firmadas!$F:$F,$T911))&amp;"/"&amp;YEAR(INDEX(firmadas!$F:$F,$T911)))&amp;")",IF($G911&lt;&gt;INDEX(firmadas!$E:$E,$T911),"INGRESO DISTINTO EN firmadas ("&amp;IF(INDEX(firmadas!$E:$E,$T911)="","vacía",DAY(INDEX(firmadas!$E:$E,$T911))&amp;"/"&amp;MONTH(INDEX(firmadas!$E:$E,$T911))&amp;"/"&amp;YEAR(INDEX(firmadas!$E:$E,$T911)))&amp;")","OK"))))))))</f>
        <v/>
      </c>
      <c r="T911" t="str">
        <f ca="1">IF($P911="","",IFERROR(MATCH($P911,firmadas!$N:$N,0),IFERROR(MATCH("*/"&amp;MID($P911,FIND(" ",$P911)+1,9)&amp;"*",firmadas!$B:$B,0),0)))</f>
        <v/>
      </c>
    </row>
    <row r="912" spans="14:20" ht="15" customHeight="1" x14ac:dyDescent="0.25">
      <c r="N912" s="53" t="str">
        <f t="shared" ca="1" si="14"/>
        <v/>
      </c>
      <c r="P912" t="str">
        <f ca="1">IF(TRIM(SUBSTITUTE(($C912&amp;" "&amp;$D912),CHAR(160)," "))="","",IFERROR(IF(ISNUMBER(SEARCH("INC",($C912&amp;" "&amp;$D912))),"INC",IF(ISNUMBER(SEARCH("OPI",($C912&amp;" "&amp;$D912))),"OPI",IF(ISNUMBER(SEARCH("DP",($C912&amp;" "&amp;$D912))),"DP","CONC")))&amp;" "&amp;TEXT(LOOKUP(9.99E+307,--MID(SUBSTITUTE(($C912&amp;" "&amp;$D912),CHAR(160)," "),SUMPRODUCT(MIN(FIND({0,1,2,3,4,5,6,7,8,9},SUBSTITUTE(($C912&amp;" "&amp;$D912),CHAR(160)," ")&amp;"0123456789"))),ROW(INDIRECT("1:6")))),"0"),"SIN NUMERO"))</f>
        <v/>
      </c>
      <c r="Q912" t="str">
        <f ca="1">IF($P912="","",IF(LEFT(UPPER($S912),9)="VERIFICAR","VERIFICAR",IF($A912="","SIN ESTADO",IF(AND($A912="Firmada",$H912=""),"FALTA FECHA DE FIRMA",IF(N($T912)=0,IF(AND(ISNUMBER($H912),$H912&gt;=DATE(2024,1,1)),"FALTA EN FIRMADAS","OK"),IF(OR($A912="Pendiente de presentación",$A912="Observado",$A912="En análisis",$A912="En instrucción",$A912="Suspendida",$A912="IT circulando",$A912="Para resolución",$A912="TDC"),"ABIERTA PERO ESTÁ EN FIRMADAS",IF($H912&lt;&gt;INDEX(firmadas!$F:$F,$T912),"FIRMA DISTINTA EN firmadas ("&amp;IF(INDEX(firmadas!$F:$F,$T912)="","vacía",DAY(INDEX(firmadas!$F:$F,$T912))&amp;"/"&amp;MONTH(INDEX(firmadas!$F:$F,$T912))&amp;"/"&amp;YEAR(INDEX(firmadas!$F:$F,$T912)))&amp;")",IF($G912&lt;&gt;INDEX(firmadas!$E:$E,$T912),"INGRESO DISTINTO EN firmadas ("&amp;IF(INDEX(firmadas!$E:$E,$T912)="","vacía",DAY(INDEX(firmadas!$E:$E,$T912))&amp;"/"&amp;MONTH(INDEX(firmadas!$E:$E,$T912))&amp;"/"&amp;YEAR(INDEX(firmadas!$E:$E,$T912)))&amp;")","OK"))))))))</f>
        <v/>
      </c>
      <c r="T912" t="str">
        <f ca="1">IF($P912="","",IFERROR(MATCH($P912,firmadas!$N:$N,0),IFERROR(MATCH("*/"&amp;MID($P912,FIND(" ",$P912)+1,9)&amp;"*",firmadas!$B:$B,0),0)))</f>
        <v/>
      </c>
    </row>
    <row r="913" spans="14:20" ht="15" customHeight="1" x14ac:dyDescent="0.25">
      <c r="N913" s="53" t="str">
        <f t="shared" ca="1" si="14"/>
        <v/>
      </c>
      <c r="P913" t="str">
        <f ca="1">IF(TRIM(SUBSTITUTE(($C913&amp;" "&amp;$D913),CHAR(160)," "))="","",IFERROR(IF(ISNUMBER(SEARCH("INC",($C913&amp;" "&amp;$D913))),"INC",IF(ISNUMBER(SEARCH("OPI",($C913&amp;" "&amp;$D913))),"OPI",IF(ISNUMBER(SEARCH("DP",($C913&amp;" "&amp;$D913))),"DP","CONC")))&amp;" "&amp;TEXT(LOOKUP(9.99E+307,--MID(SUBSTITUTE(($C913&amp;" "&amp;$D913),CHAR(160)," "),SUMPRODUCT(MIN(FIND({0,1,2,3,4,5,6,7,8,9},SUBSTITUTE(($C913&amp;" "&amp;$D913),CHAR(160)," ")&amp;"0123456789"))),ROW(INDIRECT("1:6")))),"0"),"SIN NUMERO"))</f>
        <v/>
      </c>
      <c r="Q913" t="str">
        <f ca="1">IF($P913="","",IF(LEFT(UPPER($S913),9)="VERIFICAR","VERIFICAR",IF($A913="","SIN ESTADO",IF(AND($A913="Firmada",$H913=""),"FALTA FECHA DE FIRMA",IF(N($T913)=0,IF(AND(ISNUMBER($H913),$H913&gt;=DATE(2024,1,1)),"FALTA EN FIRMADAS","OK"),IF(OR($A913="Pendiente de presentación",$A913="Observado",$A913="En análisis",$A913="En instrucción",$A913="Suspendida",$A913="IT circulando",$A913="Para resolución",$A913="TDC"),"ABIERTA PERO ESTÁ EN FIRMADAS",IF($H913&lt;&gt;INDEX(firmadas!$F:$F,$T913),"FIRMA DISTINTA EN firmadas ("&amp;IF(INDEX(firmadas!$F:$F,$T913)="","vacía",DAY(INDEX(firmadas!$F:$F,$T913))&amp;"/"&amp;MONTH(INDEX(firmadas!$F:$F,$T913))&amp;"/"&amp;YEAR(INDEX(firmadas!$F:$F,$T913)))&amp;")",IF($G913&lt;&gt;INDEX(firmadas!$E:$E,$T913),"INGRESO DISTINTO EN firmadas ("&amp;IF(INDEX(firmadas!$E:$E,$T913)="","vacía",DAY(INDEX(firmadas!$E:$E,$T913))&amp;"/"&amp;MONTH(INDEX(firmadas!$E:$E,$T913))&amp;"/"&amp;YEAR(INDEX(firmadas!$E:$E,$T913)))&amp;")","OK"))))))))</f>
        <v/>
      </c>
      <c r="T913" t="str">
        <f ca="1">IF($P913="","",IFERROR(MATCH($P913,firmadas!$N:$N,0),IFERROR(MATCH("*/"&amp;MID($P913,FIND(" ",$P913)+1,9)&amp;"*",firmadas!$B:$B,0),0)))</f>
        <v/>
      </c>
    </row>
    <row r="914" spans="14:20" ht="15" customHeight="1" x14ac:dyDescent="0.25">
      <c r="N914" s="53" t="str">
        <f t="shared" ca="1" si="14"/>
        <v/>
      </c>
      <c r="P914" t="str">
        <f ca="1">IF(TRIM(SUBSTITUTE(($C914&amp;" "&amp;$D914),CHAR(160)," "))="","",IFERROR(IF(ISNUMBER(SEARCH("INC",($C914&amp;" "&amp;$D914))),"INC",IF(ISNUMBER(SEARCH("OPI",($C914&amp;" "&amp;$D914))),"OPI",IF(ISNUMBER(SEARCH("DP",($C914&amp;" "&amp;$D914))),"DP","CONC")))&amp;" "&amp;TEXT(LOOKUP(9.99E+307,--MID(SUBSTITUTE(($C914&amp;" "&amp;$D914),CHAR(160)," "),SUMPRODUCT(MIN(FIND({0,1,2,3,4,5,6,7,8,9},SUBSTITUTE(($C914&amp;" "&amp;$D914),CHAR(160)," ")&amp;"0123456789"))),ROW(INDIRECT("1:6")))),"0"),"SIN NUMERO"))</f>
        <v/>
      </c>
      <c r="Q914" t="str">
        <f ca="1">IF($P914="","",IF(LEFT(UPPER($S914),9)="VERIFICAR","VERIFICAR",IF($A914="","SIN ESTADO",IF(AND($A914="Firmada",$H914=""),"FALTA FECHA DE FIRMA",IF(N($T914)=0,IF(AND(ISNUMBER($H914),$H914&gt;=DATE(2024,1,1)),"FALTA EN FIRMADAS","OK"),IF(OR($A914="Pendiente de presentación",$A914="Observado",$A914="En análisis",$A914="En instrucción",$A914="Suspendida",$A914="IT circulando",$A914="Para resolución",$A914="TDC"),"ABIERTA PERO ESTÁ EN FIRMADAS",IF($H914&lt;&gt;INDEX(firmadas!$F:$F,$T914),"FIRMA DISTINTA EN firmadas ("&amp;IF(INDEX(firmadas!$F:$F,$T914)="","vacía",DAY(INDEX(firmadas!$F:$F,$T914))&amp;"/"&amp;MONTH(INDEX(firmadas!$F:$F,$T914))&amp;"/"&amp;YEAR(INDEX(firmadas!$F:$F,$T914)))&amp;")",IF($G914&lt;&gt;INDEX(firmadas!$E:$E,$T914),"INGRESO DISTINTO EN firmadas ("&amp;IF(INDEX(firmadas!$E:$E,$T914)="","vacía",DAY(INDEX(firmadas!$E:$E,$T914))&amp;"/"&amp;MONTH(INDEX(firmadas!$E:$E,$T914))&amp;"/"&amp;YEAR(INDEX(firmadas!$E:$E,$T914)))&amp;")","OK"))))))))</f>
        <v/>
      </c>
      <c r="T914" t="str">
        <f ca="1">IF($P914="","",IFERROR(MATCH($P914,firmadas!$N:$N,0),IFERROR(MATCH("*/"&amp;MID($P914,FIND(" ",$P914)+1,9)&amp;"*",firmadas!$B:$B,0),0)))</f>
        <v/>
      </c>
    </row>
    <row r="915" spans="14:20" ht="15" customHeight="1" x14ac:dyDescent="0.25">
      <c r="N915" s="53" t="str">
        <f t="shared" ca="1" si="14"/>
        <v/>
      </c>
      <c r="P915" t="str">
        <f ca="1">IF(TRIM(SUBSTITUTE(($C915&amp;" "&amp;$D915),CHAR(160)," "))="","",IFERROR(IF(ISNUMBER(SEARCH("INC",($C915&amp;" "&amp;$D915))),"INC",IF(ISNUMBER(SEARCH("OPI",($C915&amp;" "&amp;$D915))),"OPI",IF(ISNUMBER(SEARCH("DP",($C915&amp;" "&amp;$D915))),"DP","CONC")))&amp;" "&amp;TEXT(LOOKUP(9.99E+307,--MID(SUBSTITUTE(($C915&amp;" "&amp;$D915),CHAR(160)," "),SUMPRODUCT(MIN(FIND({0,1,2,3,4,5,6,7,8,9},SUBSTITUTE(($C915&amp;" "&amp;$D915),CHAR(160)," ")&amp;"0123456789"))),ROW(INDIRECT("1:6")))),"0"),"SIN NUMERO"))</f>
        <v/>
      </c>
      <c r="Q915" t="str">
        <f ca="1">IF($P915="","",IF(LEFT(UPPER($S915),9)="VERIFICAR","VERIFICAR",IF($A915="","SIN ESTADO",IF(AND($A915="Firmada",$H915=""),"FALTA FECHA DE FIRMA",IF(N($T915)=0,IF(AND(ISNUMBER($H915),$H915&gt;=DATE(2024,1,1)),"FALTA EN FIRMADAS","OK"),IF(OR($A915="Pendiente de presentación",$A915="Observado",$A915="En análisis",$A915="En instrucción",$A915="Suspendida",$A915="IT circulando",$A915="Para resolución",$A915="TDC"),"ABIERTA PERO ESTÁ EN FIRMADAS",IF($H915&lt;&gt;INDEX(firmadas!$F:$F,$T915),"FIRMA DISTINTA EN firmadas ("&amp;IF(INDEX(firmadas!$F:$F,$T915)="","vacía",DAY(INDEX(firmadas!$F:$F,$T915))&amp;"/"&amp;MONTH(INDEX(firmadas!$F:$F,$T915))&amp;"/"&amp;YEAR(INDEX(firmadas!$F:$F,$T915)))&amp;")",IF($G915&lt;&gt;INDEX(firmadas!$E:$E,$T915),"INGRESO DISTINTO EN firmadas ("&amp;IF(INDEX(firmadas!$E:$E,$T915)="","vacía",DAY(INDEX(firmadas!$E:$E,$T915))&amp;"/"&amp;MONTH(INDEX(firmadas!$E:$E,$T915))&amp;"/"&amp;YEAR(INDEX(firmadas!$E:$E,$T915)))&amp;")","OK"))))))))</f>
        <v/>
      </c>
      <c r="T915" t="str">
        <f ca="1">IF($P915="","",IFERROR(MATCH($P915,firmadas!$N:$N,0),IFERROR(MATCH("*/"&amp;MID($P915,FIND(" ",$P915)+1,9)&amp;"*",firmadas!$B:$B,0),0)))</f>
        <v/>
      </c>
    </row>
    <row r="916" spans="14:20" ht="15" customHeight="1" x14ac:dyDescent="0.25">
      <c r="N916" s="53" t="str">
        <f t="shared" ca="1" si="14"/>
        <v/>
      </c>
      <c r="P916" t="str">
        <f ca="1">IF(TRIM(SUBSTITUTE(($C916&amp;" "&amp;$D916),CHAR(160)," "))="","",IFERROR(IF(ISNUMBER(SEARCH("INC",($C916&amp;" "&amp;$D916))),"INC",IF(ISNUMBER(SEARCH("OPI",($C916&amp;" "&amp;$D916))),"OPI",IF(ISNUMBER(SEARCH("DP",($C916&amp;" "&amp;$D916))),"DP","CONC")))&amp;" "&amp;TEXT(LOOKUP(9.99E+307,--MID(SUBSTITUTE(($C916&amp;" "&amp;$D916),CHAR(160)," "),SUMPRODUCT(MIN(FIND({0,1,2,3,4,5,6,7,8,9},SUBSTITUTE(($C916&amp;" "&amp;$D916),CHAR(160)," ")&amp;"0123456789"))),ROW(INDIRECT("1:6")))),"0"),"SIN NUMERO"))</f>
        <v/>
      </c>
      <c r="Q916" t="str">
        <f ca="1">IF($P916="","",IF(LEFT(UPPER($S916),9)="VERIFICAR","VERIFICAR",IF($A916="","SIN ESTADO",IF(AND($A916="Firmada",$H916=""),"FALTA FECHA DE FIRMA",IF(N($T916)=0,IF(AND(ISNUMBER($H916),$H916&gt;=DATE(2024,1,1)),"FALTA EN FIRMADAS","OK"),IF(OR($A916="Pendiente de presentación",$A916="Observado",$A916="En análisis",$A916="En instrucción",$A916="Suspendida",$A916="IT circulando",$A916="Para resolución",$A916="TDC"),"ABIERTA PERO ESTÁ EN FIRMADAS",IF($H916&lt;&gt;INDEX(firmadas!$F:$F,$T916),"FIRMA DISTINTA EN firmadas ("&amp;IF(INDEX(firmadas!$F:$F,$T916)="","vacía",DAY(INDEX(firmadas!$F:$F,$T916))&amp;"/"&amp;MONTH(INDEX(firmadas!$F:$F,$T916))&amp;"/"&amp;YEAR(INDEX(firmadas!$F:$F,$T916)))&amp;")",IF($G916&lt;&gt;INDEX(firmadas!$E:$E,$T916),"INGRESO DISTINTO EN firmadas ("&amp;IF(INDEX(firmadas!$E:$E,$T916)="","vacía",DAY(INDEX(firmadas!$E:$E,$T916))&amp;"/"&amp;MONTH(INDEX(firmadas!$E:$E,$T916))&amp;"/"&amp;YEAR(INDEX(firmadas!$E:$E,$T916)))&amp;")","OK"))))))))</f>
        <v/>
      </c>
      <c r="T916" t="str">
        <f ca="1">IF($P916="","",IFERROR(MATCH($P916,firmadas!$N:$N,0),IFERROR(MATCH("*/"&amp;MID($P916,FIND(" ",$P916)+1,9)&amp;"*",firmadas!$B:$B,0),0)))</f>
        <v/>
      </c>
    </row>
    <row r="917" spans="14:20" ht="15" customHeight="1" x14ac:dyDescent="0.25">
      <c r="N917" s="53" t="str">
        <f t="shared" ca="1" si="14"/>
        <v/>
      </c>
      <c r="P917" t="str">
        <f ca="1">IF(TRIM(SUBSTITUTE(($C917&amp;" "&amp;$D917),CHAR(160)," "))="","",IFERROR(IF(ISNUMBER(SEARCH("INC",($C917&amp;" "&amp;$D917))),"INC",IF(ISNUMBER(SEARCH("OPI",($C917&amp;" "&amp;$D917))),"OPI",IF(ISNUMBER(SEARCH("DP",($C917&amp;" "&amp;$D917))),"DP","CONC")))&amp;" "&amp;TEXT(LOOKUP(9.99E+307,--MID(SUBSTITUTE(($C917&amp;" "&amp;$D917),CHAR(160)," "),SUMPRODUCT(MIN(FIND({0,1,2,3,4,5,6,7,8,9},SUBSTITUTE(($C917&amp;" "&amp;$D917),CHAR(160)," ")&amp;"0123456789"))),ROW(INDIRECT("1:6")))),"0"),"SIN NUMERO"))</f>
        <v/>
      </c>
      <c r="Q917" t="str">
        <f ca="1">IF($P917="","",IF(LEFT(UPPER($S917),9)="VERIFICAR","VERIFICAR",IF($A917="","SIN ESTADO",IF(AND($A917="Firmada",$H917=""),"FALTA FECHA DE FIRMA",IF(N($T917)=0,IF(AND(ISNUMBER($H917),$H917&gt;=DATE(2024,1,1)),"FALTA EN FIRMADAS","OK"),IF(OR($A917="Pendiente de presentación",$A917="Observado",$A917="En análisis",$A917="En instrucción",$A917="Suspendida",$A917="IT circulando",$A917="Para resolución",$A917="TDC"),"ABIERTA PERO ESTÁ EN FIRMADAS",IF($H917&lt;&gt;INDEX(firmadas!$F:$F,$T917),"FIRMA DISTINTA EN firmadas ("&amp;IF(INDEX(firmadas!$F:$F,$T917)="","vacía",DAY(INDEX(firmadas!$F:$F,$T917))&amp;"/"&amp;MONTH(INDEX(firmadas!$F:$F,$T917))&amp;"/"&amp;YEAR(INDEX(firmadas!$F:$F,$T917)))&amp;")",IF($G917&lt;&gt;INDEX(firmadas!$E:$E,$T917),"INGRESO DISTINTO EN firmadas ("&amp;IF(INDEX(firmadas!$E:$E,$T917)="","vacía",DAY(INDEX(firmadas!$E:$E,$T917))&amp;"/"&amp;MONTH(INDEX(firmadas!$E:$E,$T917))&amp;"/"&amp;YEAR(INDEX(firmadas!$E:$E,$T917)))&amp;")","OK"))))))))</f>
        <v/>
      </c>
      <c r="T917" t="str">
        <f ca="1">IF($P917="","",IFERROR(MATCH($P917,firmadas!$N:$N,0),IFERROR(MATCH("*/"&amp;MID($P917,FIND(" ",$P917)+1,9)&amp;"*",firmadas!$B:$B,0),0)))</f>
        <v/>
      </c>
    </row>
    <row r="918" spans="14:20" ht="15" customHeight="1" x14ac:dyDescent="0.25">
      <c r="N918" s="53" t="str">
        <f t="shared" ca="1" si="14"/>
        <v/>
      </c>
      <c r="P918" t="str">
        <f ca="1">IF(TRIM(SUBSTITUTE(($C918&amp;" "&amp;$D918),CHAR(160)," "))="","",IFERROR(IF(ISNUMBER(SEARCH("INC",($C918&amp;" "&amp;$D918))),"INC",IF(ISNUMBER(SEARCH("OPI",($C918&amp;" "&amp;$D918))),"OPI",IF(ISNUMBER(SEARCH("DP",($C918&amp;" "&amp;$D918))),"DP","CONC")))&amp;" "&amp;TEXT(LOOKUP(9.99E+307,--MID(SUBSTITUTE(($C918&amp;" "&amp;$D918),CHAR(160)," "),SUMPRODUCT(MIN(FIND({0,1,2,3,4,5,6,7,8,9},SUBSTITUTE(($C918&amp;" "&amp;$D918),CHAR(160)," ")&amp;"0123456789"))),ROW(INDIRECT("1:6")))),"0"),"SIN NUMERO"))</f>
        <v/>
      </c>
      <c r="Q918" t="str">
        <f ca="1">IF($P918="","",IF(LEFT(UPPER($S918),9)="VERIFICAR","VERIFICAR",IF($A918="","SIN ESTADO",IF(AND($A918="Firmada",$H918=""),"FALTA FECHA DE FIRMA",IF(N($T918)=0,IF(AND(ISNUMBER($H918),$H918&gt;=DATE(2024,1,1)),"FALTA EN FIRMADAS","OK"),IF(OR($A918="Pendiente de presentación",$A918="Observado",$A918="En análisis",$A918="En instrucción",$A918="Suspendida",$A918="IT circulando",$A918="Para resolución",$A918="TDC"),"ABIERTA PERO ESTÁ EN FIRMADAS",IF($H918&lt;&gt;INDEX(firmadas!$F:$F,$T918),"FIRMA DISTINTA EN firmadas ("&amp;IF(INDEX(firmadas!$F:$F,$T918)="","vacía",DAY(INDEX(firmadas!$F:$F,$T918))&amp;"/"&amp;MONTH(INDEX(firmadas!$F:$F,$T918))&amp;"/"&amp;YEAR(INDEX(firmadas!$F:$F,$T918)))&amp;")",IF($G918&lt;&gt;INDEX(firmadas!$E:$E,$T918),"INGRESO DISTINTO EN firmadas ("&amp;IF(INDEX(firmadas!$E:$E,$T918)="","vacía",DAY(INDEX(firmadas!$E:$E,$T918))&amp;"/"&amp;MONTH(INDEX(firmadas!$E:$E,$T918))&amp;"/"&amp;YEAR(INDEX(firmadas!$E:$E,$T918)))&amp;")","OK"))))))))</f>
        <v/>
      </c>
      <c r="T918" t="str">
        <f ca="1">IF($P918="","",IFERROR(MATCH($P918,firmadas!$N:$N,0),IFERROR(MATCH("*/"&amp;MID($P918,FIND(" ",$P918)+1,9)&amp;"*",firmadas!$B:$B,0),0)))</f>
        <v/>
      </c>
    </row>
    <row r="919" spans="14:20" ht="15" customHeight="1" x14ac:dyDescent="0.25">
      <c r="N919" s="53" t="str">
        <f t="shared" ca="1" si="14"/>
        <v/>
      </c>
      <c r="P919" t="str">
        <f ca="1">IF(TRIM(SUBSTITUTE(($C919&amp;" "&amp;$D919),CHAR(160)," "))="","",IFERROR(IF(ISNUMBER(SEARCH("INC",($C919&amp;" "&amp;$D919))),"INC",IF(ISNUMBER(SEARCH("OPI",($C919&amp;" "&amp;$D919))),"OPI",IF(ISNUMBER(SEARCH("DP",($C919&amp;" "&amp;$D919))),"DP","CONC")))&amp;" "&amp;TEXT(LOOKUP(9.99E+307,--MID(SUBSTITUTE(($C919&amp;" "&amp;$D919),CHAR(160)," "),SUMPRODUCT(MIN(FIND({0,1,2,3,4,5,6,7,8,9},SUBSTITUTE(($C919&amp;" "&amp;$D919),CHAR(160)," ")&amp;"0123456789"))),ROW(INDIRECT("1:6")))),"0"),"SIN NUMERO"))</f>
        <v/>
      </c>
      <c r="Q919" t="str">
        <f ca="1">IF($P919="","",IF(LEFT(UPPER($S919),9)="VERIFICAR","VERIFICAR",IF($A919="","SIN ESTADO",IF(AND($A919="Firmada",$H919=""),"FALTA FECHA DE FIRMA",IF(N($T919)=0,IF(AND(ISNUMBER($H919),$H919&gt;=DATE(2024,1,1)),"FALTA EN FIRMADAS","OK"),IF(OR($A919="Pendiente de presentación",$A919="Observado",$A919="En análisis",$A919="En instrucción",$A919="Suspendida",$A919="IT circulando",$A919="Para resolución",$A919="TDC"),"ABIERTA PERO ESTÁ EN FIRMADAS",IF($H919&lt;&gt;INDEX(firmadas!$F:$F,$T919),"FIRMA DISTINTA EN firmadas ("&amp;IF(INDEX(firmadas!$F:$F,$T919)="","vacía",DAY(INDEX(firmadas!$F:$F,$T919))&amp;"/"&amp;MONTH(INDEX(firmadas!$F:$F,$T919))&amp;"/"&amp;YEAR(INDEX(firmadas!$F:$F,$T919)))&amp;")",IF($G919&lt;&gt;INDEX(firmadas!$E:$E,$T919),"INGRESO DISTINTO EN firmadas ("&amp;IF(INDEX(firmadas!$E:$E,$T919)="","vacía",DAY(INDEX(firmadas!$E:$E,$T919))&amp;"/"&amp;MONTH(INDEX(firmadas!$E:$E,$T919))&amp;"/"&amp;YEAR(INDEX(firmadas!$E:$E,$T919)))&amp;")","OK"))))))))</f>
        <v/>
      </c>
      <c r="T919" t="str">
        <f ca="1">IF($P919="","",IFERROR(MATCH($P919,firmadas!$N:$N,0),IFERROR(MATCH("*/"&amp;MID($P919,FIND(" ",$P919)+1,9)&amp;"*",firmadas!$B:$B,0),0)))</f>
        <v/>
      </c>
    </row>
    <row r="920" spans="14:20" ht="15" customHeight="1" x14ac:dyDescent="0.25">
      <c r="N920" s="53" t="str">
        <f t="shared" ca="1" si="14"/>
        <v/>
      </c>
      <c r="P920" t="str">
        <f ca="1">IF(TRIM(SUBSTITUTE(($C920&amp;" "&amp;$D920),CHAR(160)," "))="","",IFERROR(IF(ISNUMBER(SEARCH("INC",($C920&amp;" "&amp;$D920))),"INC",IF(ISNUMBER(SEARCH("OPI",($C920&amp;" "&amp;$D920))),"OPI",IF(ISNUMBER(SEARCH("DP",($C920&amp;" "&amp;$D920))),"DP","CONC")))&amp;" "&amp;TEXT(LOOKUP(9.99E+307,--MID(SUBSTITUTE(($C920&amp;" "&amp;$D920),CHAR(160)," "),SUMPRODUCT(MIN(FIND({0,1,2,3,4,5,6,7,8,9},SUBSTITUTE(($C920&amp;" "&amp;$D920),CHAR(160)," ")&amp;"0123456789"))),ROW(INDIRECT("1:6")))),"0"),"SIN NUMERO"))</f>
        <v/>
      </c>
      <c r="Q920" t="str">
        <f ca="1">IF($P920="","",IF(LEFT(UPPER($S920),9)="VERIFICAR","VERIFICAR",IF($A920="","SIN ESTADO",IF(AND($A920="Firmada",$H920=""),"FALTA FECHA DE FIRMA",IF(N($T920)=0,IF(AND(ISNUMBER($H920),$H920&gt;=DATE(2024,1,1)),"FALTA EN FIRMADAS","OK"),IF(OR($A920="Pendiente de presentación",$A920="Observado",$A920="En análisis",$A920="En instrucción",$A920="Suspendida",$A920="IT circulando",$A920="Para resolución",$A920="TDC"),"ABIERTA PERO ESTÁ EN FIRMADAS",IF($H920&lt;&gt;INDEX(firmadas!$F:$F,$T920),"FIRMA DISTINTA EN firmadas ("&amp;IF(INDEX(firmadas!$F:$F,$T920)="","vacía",DAY(INDEX(firmadas!$F:$F,$T920))&amp;"/"&amp;MONTH(INDEX(firmadas!$F:$F,$T920))&amp;"/"&amp;YEAR(INDEX(firmadas!$F:$F,$T920)))&amp;")",IF($G920&lt;&gt;INDEX(firmadas!$E:$E,$T920),"INGRESO DISTINTO EN firmadas ("&amp;IF(INDEX(firmadas!$E:$E,$T920)="","vacía",DAY(INDEX(firmadas!$E:$E,$T920))&amp;"/"&amp;MONTH(INDEX(firmadas!$E:$E,$T920))&amp;"/"&amp;YEAR(INDEX(firmadas!$E:$E,$T920)))&amp;")","OK"))))))))</f>
        <v/>
      </c>
      <c r="T920" t="str">
        <f ca="1">IF($P920="","",IFERROR(MATCH($P920,firmadas!$N:$N,0),IFERROR(MATCH("*/"&amp;MID($P920,FIND(" ",$P920)+1,9)&amp;"*",firmadas!$B:$B,0),0)))</f>
        <v/>
      </c>
    </row>
    <row r="921" spans="14:20" ht="15" customHeight="1" x14ac:dyDescent="0.25">
      <c r="N921" s="53" t="str">
        <f t="shared" ca="1" si="14"/>
        <v/>
      </c>
      <c r="P921" t="str">
        <f ca="1">IF(TRIM(SUBSTITUTE(($C921&amp;" "&amp;$D921),CHAR(160)," "))="","",IFERROR(IF(ISNUMBER(SEARCH("INC",($C921&amp;" "&amp;$D921))),"INC",IF(ISNUMBER(SEARCH("OPI",($C921&amp;" "&amp;$D921))),"OPI",IF(ISNUMBER(SEARCH("DP",($C921&amp;" "&amp;$D921))),"DP","CONC")))&amp;" "&amp;TEXT(LOOKUP(9.99E+307,--MID(SUBSTITUTE(($C921&amp;" "&amp;$D921),CHAR(160)," "),SUMPRODUCT(MIN(FIND({0,1,2,3,4,5,6,7,8,9},SUBSTITUTE(($C921&amp;" "&amp;$D921),CHAR(160)," ")&amp;"0123456789"))),ROW(INDIRECT("1:6")))),"0"),"SIN NUMERO"))</f>
        <v/>
      </c>
      <c r="Q921" t="str">
        <f ca="1">IF($P921="","",IF(LEFT(UPPER($S921),9)="VERIFICAR","VERIFICAR",IF($A921="","SIN ESTADO",IF(AND($A921="Firmada",$H921=""),"FALTA FECHA DE FIRMA",IF(N($T921)=0,IF(AND(ISNUMBER($H921),$H921&gt;=DATE(2024,1,1)),"FALTA EN FIRMADAS","OK"),IF(OR($A921="Pendiente de presentación",$A921="Observado",$A921="En análisis",$A921="En instrucción",$A921="Suspendida",$A921="IT circulando",$A921="Para resolución",$A921="TDC"),"ABIERTA PERO ESTÁ EN FIRMADAS",IF($H921&lt;&gt;INDEX(firmadas!$F:$F,$T921),"FIRMA DISTINTA EN firmadas ("&amp;IF(INDEX(firmadas!$F:$F,$T921)="","vacía",DAY(INDEX(firmadas!$F:$F,$T921))&amp;"/"&amp;MONTH(INDEX(firmadas!$F:$F,$T921))&amp;"/"&amp;YEAR(INDEX(firmadas!$F:$F,$T921)))&amp;")",IF($G921&lt;&gt;INDEX(firmadas!$E:$E,$T921),"INGRESO DISTINTO EN firmadas ("&amp;IF(INDEX(firmadas!$E:$E,$T921)="","vacía",DAY(INDEX(firmadas!$E:$E,$T921))&amp;"/"&amp;MONTH(INDEX(firmadas!$E:$E,$T921))&amp;"/"&amp;YEAR(INDEX(firmadas!$E:$E,$T921)))&amp;")","OK"))))))))</f>
        <v/>
      </c>
      <c r="T921" t="str">
        <f ca="1">IF($P921="","",IFERROR(MATCH($P921,firmadas!$N:$N,0),IFERROR(MATCH("*/"&amp;MID($P921,FIND(" ",$P921)+1,9)&amp;"*",firmadas!$B:$B,0),0)))</f>
        <v/>
      </c>
    </row>
    <row r="922" spans="14:20" ht="15" customHeight="1" x14ac:dyDescent="0.25">
      <c r="N922" s="53" t="str">
        <f t="shared" ca="1" si="14"/>
        <v/>
      </c>
      <c r="P922" t="str">
        <f ca="1">IF(TRIM(SUBSTITUTE(($C922&amp;" "&amp;$D922),CHAR(160)," "))="","",IFERROR(IF(ISNUMBER(SEARCH("INC",($C922&amp;" "&amp;$D922))),"INC",IF(ISNUMBER(SEARCH("OPI",($C922&amp;" "&amp;$D922))),"OPI",IF(ISNUMBER(SEARCH("DP",($C922&amp;" "&amp;$D922))),"DP","CONC")))&amp;" "&amp;TEXT(LOOKUP(9.99E+307,--MID(SUBSTITUTE(($C922&amp;" "&amp;$D922),CHAR(160)," "),SUMPRODUCT(MIN(FIND({0,1,2,3,4,5,6,7,8,9},SUBSTITUTE(($C922&amp;" "&amp;$D922),CHAR(160)," ")&amp;"0123456789"))),ROW(INDIRECT("1:6")))),"0"),"SIN NUMERO"))</f>
        <v/>
      </c>
      <c r="Q922" t="str">
        <f ca="1">IF($P922="","",IF(LEFT(UPPER($S922),9)="VERIFICAR","VERIFICAR",IF($A922="","SIN ESTADO",IF(AND($A922="Firmada",$H922=""),"FALTA FECHA DE FIRMA",IF(N($T922)=0,IF(AND(ISNUMBER($H922),$H922&gt;=DATE(2024,1,1)),"FALTA EN FIRMADAS","OK"),IF(OR($A922="Pendiente de presentación",$A922="Observado",$A922="En análisis",$A922="En instrucción",$A922="Suspendida",$A922="IT circulando",$A922="Para resolución",$A922="TDC"),"ABIERTA PERO ESTÁ EN FIRMADAS",IF($H922&lt;&gt;INDEX(firmadas!$F:$F,$T922),"FIRMA DISTINTA EN firmadas ("&amp;IF(INDEX(firmadas!$F:$F,$T922)="","vacía",DAY(INDEX(firmadas!$F:$F,$T922))&amp;"/"&amp;MONTH(INDEX(firmadas!$F:$F,$T922))&amp;"/"&amp;YEAR(INDEX(firmadas!$F:$F,$T922)))&amp;")",IF($G922&lt;&gt;INDEX(firmadas!$E:$E,$T922),"INGRESO DISTINTO EN firmadas ("&amp;IF(INDEX(firmadas!$E:$E,$T922)="","vacía",DAY(INDEX(firmadas!$E:$E,$T922))&amp;"/"&amp;MONTH(INDEX(firmadas!$E:$E,$T922))&amp;"/"&amp;YEAR(INDEX(firmadas!$E:$E,$T922)))&amp;")","OK"))))))))</f>
        <v/>
      </c>
      <c r="T922" t="str">
        <f ca="1">IF($P922="","",IFERROR(MATCH($P922,firmadas!$N:$N,0),IFERROR(MATCH("*/"&amp;MID($P922,FIND(" ",$P922)+1,9)&amp;"*",firmadas!$B:$B,0),0)))</f>
        <v/>
      </c>
    </row>
    <row r="923" spans="14:20" ht="15" customHeight="1" x14ac:dyDescent="0.25">
      <c r="N923" s="53" t="str">
        <f t="shared" ca="1" si="14"/>
        <v/>
      </c>
      <c r="P923" t="str">
        <f ca="1">IF(TRIM(SUBSTITUTE(($C923&amp;" "&amp;$D923),CHAR(160)," "))="","",IFERROR(IF(ISNUMBER(SEARCH("INC",($C923&amp;" "&amp;$D923))),"INC",IF(ISNUMBER(SEARCH("OPI",($C923&amp;" "&amp;$D923))),"OPI",IF(ISNUMBER(SEARCH("DP",($C923&amp;" "&amp;$D923))),"DP","CONC")))&amp;" "&amp;TEXT(LOOKUP(9.99E+307,--MID(SUBSTITUTE(($C923&amp;" "&amp;$D923),CHAR(160)," "),SUMPRODUCT(MIN(FIND({0,1,2,3,4,5,6,7,8,9},SUBSTITUTE(($C923&amp;" "&amp;$D923),CHAR(160)," ")&amp;"0123456789"))),ROW(INDIRECT("1:6")))),"0"),"SIN NUMERO"))</f>
        <v/>
      </c>
      <c r="Q923" t="str">
        <f ca="1">IF($P923="","",IF(LEFT(UPPER($S923),9)="VERIFICAR","VERIFICAR",IF($A923="","SIN ESTADO",IF(AND($A923="Firmada",$H923=""),"FALTA FECHA DE FIRMA",IF(N($T923)=0,IF(AND(ISNUMBER($H923),$H923&gt;=DATE(2024,1,1)),"FALTA EN FIRMADAS","OK"),IF(OR($A923="Pendiente de presentación",$A923="Observado",$A923="En análisis",$A923="En instrucción",$A923="Suspendida",$A923="IT circulando",$A923="Para resolución",$A923="TDC"),"ABIERTA PERO ESTÁ EN FIRMADAS",IF($H923&lt;&gt;INDEX(firmadas!$F:$F,$T923),"FIRMA DISTINTA EN firmadas ("&amp;IF(INDEX(firmadas!$F:$F,$T923)="","vacía",DAY(INDEX(firmadas!$F:$F,$T923))&amp;"/"&amp;MONTH(INDEX(firmadas!$F:$F,$T923))&amp;"/"&amp;YEAR(INDEX(firmadas!$F:$F,$T923)))&amp;")",IF($G923&lt;&gt;INDEX(firmadas!$E:$E,$T923),"INGRESO DISTINTO EN firmadas ("&amp;IF(INDEX(firmadas!$E:$E,$T923)="","vacía",DAY(INDEX(firmadas!$E:$E,$T923))&amp;"/"&amp;MONTH(INDEX(firmadas!$E:$E,$T923))&amp;"/"&amp;YEAR(INDEX(firmadas!$E:$E,$T923)))&amp;")","OK"))))))))</f>
        <v/>
      </c>
      <c r="T923" t="str">
        <f ca="1">IF($P923="","",IFERROR(MATCH($P923,firmadas!$N:$N,0),IFERROR(MATCH("*/"&amp;MID($P923,FIND(" ",$P923)+1,9)&amp;"*",firmadas!$B:$B,0),0)))</f>
        <v/>
      </c>
    </row>
    <row r="924" spans="14:20" ht="15" customHeight="1" x14ac:dyDescent="0.25">
      <c r="N924" s="53" t="str">
        <f t="shared" ca="1" si="14"/>
        <v/>
      </c>
      <c r="P924" t="str">
        <f ca="1">IF(TRIM(SUBSTITUTE(($C924&amp;" "&amp;$D924),CHAR(160)," "))="","",IFERROR(IF(ISNUMBER(SEARCH("INC",($C924&amp;" "&amp;$D924))),"INC",IF(ISNUMBER(SEARCH("OPI",($C924&amp;" "&amp;$D924))),"OPI",IF(ISNUMBER(SEARCH("DP",($C924&amp;" "&amp;$D924))),"DP","CONC")))&amp;" "&amp;TEXT(LOOKUP(9.99E+307,--MID(SUBSTITUTE(($C924&amp;" "&amp;$D924),CHAR(160)," "),SUMPRODUCT(MIN(FIND({0,1,2,3,4,5,6,7,8,9},SUBSTITUTE(($C924&amp;" "&amp;$D924),CHAR(160)," ")&amp;"0123456789"))),ROW(INDIRECT("1:6")))),"0"),"SIN NUMERO"))</f>
        <v/>
      </c>
      <c r="Q924" t="str">
        <f ca="1">IF($P924="","",IF(LEFT(UPPER($S924),9)="VERIFICAR","VERIFICAR",IF($A924="","SIN ESTADO",IF(AND($A924="Firmada",$H924=""),"FALTA FECHA DE FIRMA",IF(N($T924)=0,IF(AND(ISNUMBER($H924),$H924&gt;=DATE(2024,1,1)),"FALTA EN FIRMADAS","OK"),IF(OR($A924="Pendiente de presentación",$A924="Observado",$A924="En análisis",$A924="En instrucción",$A924="Suspendida",$A924="IT circulando",$A924="Para resolución",$A924="TDC"),"ABIERTA PERO ESTÁ EN FIRMADAS",IF($H924&lt;&gt;INDEX(firmadas!$F:$F,$T924),"FIRMA DISTINTA EN firmadas ("&amp;IF(INDEX(firmadas!$F:$F,$T924)="","vacía",DAY(INDEX(firmadas!$F:$F,$T924))&amp;"/"&amp;MONTH(INDEX(firmadas!$F:$F,$T924))&amp;"/"&amp;YEAR(INDEX(firmadas!$F:$F,$T924)))&amp;")",IF($G924&lt;&gt;INDEX(firmadas!$E:$E,$T924),"INGRESO DISTINTO EN firmadas ("&amp;IF(INDEX(firmadas!$E:$E,$T924)="","vacía",DAY(INDEX(firmadas!$E:$E,$T924))&amp;"/"&amp;MONTH(INDEX(firmadas!$E:$E,$T924))&amp;"/"&amp;YEAR(INDEX(firmadas!$E:$E,$T924)))&amp;")","OK"))))))))</f>
        <v/>
      </c>
      <c r="T924" t="str">
        <f ca="1">IF($P924="","",IFERROR(MATCH($P924,firmadas!$N:$N,0),IFERROR(MATCH("*/"&amp;MID($P924,FIND(" ",$P924)+1,9)&amp;"*",firmadas!$B:$B,0),0)))</f>
        <v/>
      </c>
    </row>
    <row r="925" spans="14:20" ht="15" customHeight="1" x14ac:dyDescent="0.25">
      <c r="N925" s="53" t="str">
        <f t="shared" ca="1" si="14"/>
        <v/>
      </c>
      <c r="P925" t="str">
        <f ca="1">IF(TRIM(SUBSTITUTE(($C925&amp;" "&amp;$D925),CHAR(160)," "))="","",IFERROR(IF(ISNUMBER(SEARCH("INC",($C925&amp;" "&amp;$D925))),"INC",IF(ISNUMBER(SEARCH("OPI",($C925&amp;" "&amp;$D925))),"OPI",IF(ISNUMBER(SEARCH("DP",($C925&amp;" "&amp;$D925))),"DP","CONC")))&amp;" "&amp;TEXT(LOOKUP(9.99E+307,--MID(SUBSTITUTE(($C925&amp;" "&amp;$D925),CHAR(160)," "),SUMPRODUCT(MIN(FIND({0,1,2,3,4,5,6,7,8,9},SUBSTITUTE(($C925&amp;" "&amp;$D925),CHAR(160)," ")&amp;"0123456789"))),ROW(INDIRECT("1:6")))),"0"),"SIN NUMERO"))</f>
        <v/>
      </c>
      <c r="Q925" t="str">
        <f ca="1">IF($P925="","",IF(LEFT(UPPER($S925),9)="VERIFICAR","VERIFICAR",IF($A925="","SIN ESTADO",IF(AND($A925="Firmada",$H925=""),"FALTA FECHA DE FIRMA",IF(N($T925)=0,IF(AND(ISNUMBER($H925),$H925&gt;=DATE(2024,1,1)),"FALTA EN FIRMADAS","OK"),IF(OR($A925="Pendiente de presentación",$A925="Observado",$A925="En análisis",$A925="En instrucción",$A925="Suspendida",$A925="IT circulando",$A925="Para resolución",$A925="TDC"),"ABIERTA PERO ESTÁ EN FIRMADAS",IF($H925&lt;&gt;INDEX(firmadas!$F:$F,$T925),"FIRMA DISTINTA EN firmadas ("&amp;IF(INDEX(firmadas!$F:$F,$T925)="","vacía",DAY(INDEX(firmadas!$F:$F,$T925))&amp;"/"&amp;MONTH(INDEX(firmadas!$F:$F,$T925))&amp;"/"&amp;YEAR(INDEX(firmadas!$F:$F,$T925)))&amp;")",IF($G925&lt;&gt;INDEX(firmadas!$E:$E,$T925),"INGRESO DISTINTO EN firmadas ("&amp;IF(INDEX(firmadas!$E:$E,$T925)="","vacía",DAY(INDEX(firmadas!$E:$E,$T925))&amp;"/"&amp;MONTH(INDEX(firmadas!$E:$E,$T925))&amp;"/"&amp;YEAR(INDEX(firmadas!$E:$E,$T925)))&amp;")","OK"))))))))</f>
        <v/>
      </c>
      <c r="T925" t="str">
        <f ca="1">IF($P925="","",IFERROR(MATCH($P925,firmadas!$N:$N,0),IFERROR(MATCH("*/"&amp;MID($P925,FIND(" ",$P925)+1,9)&amp;"*",firmadas!$B:$B,0),0)))</f>
        <v/>
      </c>
    </row>
    <row r="926" spans="14:20" ht="15" customHeight="1" x14ac:dyDescent="0.25">
      <c r="N926" s="53" t="str">
        <f t="shared" ca="1" si="14"/>
        <v/>
      </c>
      <c r="P926" t="str">
        <f ca="1">IF(TRIM(SUBSTITUTE(($C926&amp;" "&amp;$D926),CHAR(160)," "))="","",IFERROR(IF(ISNUMBER(SEARCH("INC",($C926&amp;" "&amp;$D926))),"INC",IF(ISNUMBER(SEARCH("OPI",($C926&amp;" "&amp;$D926))),"OPI",IF(ISNUMBER(SEARCH("DP",($C926&amp;" "&amp;$D926))),"DP","CONC")))&amp;" "&amp;TEXT(LOOKUP(9.99E+307,--MID(SUBSTITUTE(($C926&amp;" "&amp;$D926),CHAR(160)," "),SUMPRODUCT(MIN(FIND({0,1,2,3,4,5,6,7,8,9},SUBSTITUTE(($C926&amp;" "&amp;$D926),CHAR(160)," ")&amp;"0123456789"))),ROW(INDIRECT("1:6")))),"0"),"SIN NUMERO"))</f>
        <v/>
      </c>
      <c r="Q926" t="str">
        <f ca="1">IF($P926="","",IF(LEFT(UPPER($S926),9)="VERIFICAR","VERIFICAR",IF($A926="","SIN ESTADO",IF(AND($A926="Firmada",$H926=""),"FALTA FECHA DE FIRMA",IF(N($T926)=0,IF(AND(ISNUMBER($H926),$H926&gt;=DATE(2024,1,1)),"FALTA EN FIRMADAS","OK"),IF(OR($A926="Pendiente de presentación",$A926="Observado",$A926="En análisis",$A926="En instrucción",$A926="Suspendida",$A926="IT circulando",$A926="Para resolución",$A926="TDC"),"ABIERTA PERO ESTÁ EN FIRMADAS",IF($H926&lt;&gt;INDEX(firmadas!$F:$F,$T926),"FIRMA DISTINTA EN firmadas ("&amp;IF(INDEX(firmadas!$F:$F,$T926)="","vacía",DAY(INDEX(firmadas!$F:$F,$T926))&amp;"/"&amp;MONTH(INDEX(firmadas!$F:$F,$T926))&amp;"/"&amp;YEAR(INDEX(firmadas!$F:$F,$T926)))&amp;")",IF($G926&lt;&gt;INDEX(firmadas!$E:$E,$T926),"INGRESO DISTINTO EN firmadas ("&amp;IF(INDEX(firmadas!$E:$E,$T926)="","vacía",DAY(INDEX(firmadas!$E:$E,$T926))&amp;"/"&amp;MONTH(INDEX(firmadas!$E:$E,$T926))&amp;"/"&amp;YEAR(INDEX(firmadas!$E:$E,$T926)))&amp;")","OK"))))))))</f>
        <v/>
      </c>
      <c r="T926" t="str">
        <f ca="1">IF($P926="","",IFERROR(MATCH($P926,firmadas!$N:$N,0),IFERROR(MATCH("*/"&amp;MID($P926,FIND(" ",$P926)+1,9)&amp;"*",firmadas!$B:$B,0),0)))</f>
        <v/>
      </c>
    </row>
    <row r="927" spans="14:20" ht="15" customHeight="1" x14ac:dyDescent="0.25">
      <c r="N927" s="53" t="str">
        <f t="shared" ca="1" si="14"/>
        <v/>
      </c>
      <c r="P927" t="str">
        <f ca="1">IF(TRIM(SUBSTITUTE(($C927&amp;" "&amp;$D927),CHAR(160)," "))="","",IFERROR(IF(ISNUMBER(SEARCH("INC",($C927&amp;" "&amp;$D927))),"INC",IF(ISNUMBER(SEARCH("OPI",($C927&amp;" "&amp;$D927))),"OPI",IF(ISNUMBER(SEARCH("DP",($C927&amp;" "&amp;$D927))),"DP","CONC")))&amp;" "&amp;TEXT(LOOKUP(9.99E+307,--MID(SUBSTITUTE(($C927&amp;" "&amp;$D927),CHAR(160)," "),SUMPRODUCT(MIN(FIND({0,1,2,3,4,5,6,7,8,9},SUBSTITUTE(($C927&amp;" "&amp;$D927),CHAR(160)," ")&amp;"0123456789"))),ROW(INDIRECT("1:6")))),"0"),"SIN NUMERO"))</f>
        <v/>
      </c>
      <c r="Q927" t="str">
        <f ca="1">IF($P927="","",IF(LEFT(UPPER($S927),9)="VERIFICAR","VERIFICAR",IF($A927="","SIN ESTADO",IF(AND($A927="Firmada",$H927=""),"FALTA FECHA DE FIRMA",IF(N($T927)=0,IF(AND(ISNUMBER($H927),$H927&gt;=DATE(2024,1,1)),"FALTA EN FIRMADAS","OK"),IF(OR($A927="Pendiente de presentación",$A927="Observado",$A927="En análisis",$A927="En instrucción",$A927="Suspendida",$A927="IT circulando",$A927="Para resolución",$A927="TDC"),"ABIERTA PERO ESTÁ EN FIRMADAS",IF($H927&lt;&gt;INDEX(firmadas!$F:$F,$T927),"FIRMA DISTINTA EN firmadas ("&amp;IF(INDEX(firmadas!$F:$F,$T927)="","vacía",DAY(INDEX(firmadas!$F:$F,$T927))&amp;"/"&amp;MONTH(INDEX(firmadas!$F:$F,$T927))&amp;"/"&amp;YEAR(INDEX(firmadas!$F:$F,$T927)))&amp;")",IF($G927&lt;&gt;INDEX(firmadas!$E:$E,$T927),"INGRESO DISTINTO EN firmadas ("&amp;IF(INDEX(firmadas!$E:$E,$T927)="","vacía",DAY(INDEX(firmadas!$E:$E,$T927))&amp;"/"&amp;MONTH(INDEX(firmadas!$E:$E,$T927))&amp;"/"&amp;YEAR(INDEX(firmadas!$E:$E,$T927)))&amp;")","OK"))))))))</f>
        <v/>
      </c>
      <c r="T927" t="str">
        <f ca="1">IF($P927="","",IFERROR(MATCH($P927,firmadas!$N:$N,0),IFERROR(MATCH("*/"&amp;MID($P927,FIND(" ",$P927)+1,9)&amp;"*",firmadas!$B:$B,0),0)))</f>
        <v/>
      </c>
    </row>
    <row r="928" spans="14:20" ht="15" customHeight="1" x14ac:dyDescent="0.25">
      <c r="N928" s="53" t="str">
        <f t="shared" ca="1" si="14"/>
        <v/>
      </c>
      <c r="P928" t="str">
        <f ca="1">IF(TRIM(SUBSTITUTE(($C928&amp;" "&amp;$D928),CHAR(160)," "))="","",IFERROR(IF(ISNUMBER(SEARCH("INC",($C928&amp;" "&amp;$D928))),"INC",IF(ISNUMBER(SEARCH("OPI",($C928&amp;" "&amp;$D928))),"OPI",IF(ISNUMBER(SEARCH("DP",($C928&amp;" "&amp;$D928))),"DP","CONC")))&amp;" "&amp;TEXT(LOOKUP(9.99E+307,--MID(SUBSTITUTE(($C928&amp;" "&amp;$D928),CHAR(160)," "),SUMPRODUCT(MIN(FIND({0,1,2,3,4,5,6,7,8,9},SUBSTITUTE(($C928&amp;" "&amp;$D928),CHAR(160)," ")&amp;"0123456789"))),ROW(INDIRECT("1:6")))),"0"),"SIN NUMERO"))</f>
        <v/>
      </c>
      <c r="Q928" t="str">
        <f ca="1">IF($P928="","",IF(LEFT(UPPER($S928),9)="VERIFICAR","VERIFICAR",IF($A928="","SIN ESTADO",IF(AND($A928="Firmada",$H928=""),"FALTA FECHA DE FIRMA",IF(N($T928)=0,IF(AND(ISNUMBER($H928),$H928&gt;=DATE(2024,1,1)),"FALTA EN FIRMADAS","OK"),IF(OR($A928="Pendiente de presentación",$A928="Observado",$A928="En análisis",$A928="En instrucción",$A928="Suspendida",$A928="IT circulando",$A928="Para resolución",$A928="TDC"),"ABIERTA PERO ESTÁ EN FIRMADAS",IF($H928&lt;&gt;INDEX(firmadas!$F:$F,$T928),"FIRMA DISTINTA EN firmadas ("&amp;IF(INDEX(firmadas!$F:$F,$T928)="","vacía",DAY(INDEX(firmadas!$F:$F,$T928))&amp;"/"&amp;MONTH(INDEX(firmadas!$F:$F,$T928))&amp;"/"&amp;YEAR(INDEX(firmadas!$F:$F,$T928)))&amp;")",IF($G928&lt;&gt;INDEX(firmadas!$E:$E,$T928),"INGRESO DISTINTO EN firmadas ("&amp;IF(INDEX(firmadas!$E:$E,$T928)="","vacía",DAY(INDEX(firmadas!$E:$E,$T928))&amp;"/"&amp;MONTH(INDEX(firmadas!$E:$E,$T928))&amp;"/"&amp;YEAR(INDEX(firmadas!$E:$E,$T928)))&amp;")","OK"))))))))</f>
        <v/>
      </c>
      <c r="T928" t="str">
        <f ca="1">IF($P928="","",IFERROR(MATCH($P928,firmadas!$N:$N,0),IFERROR(MATCH("*/"&amp;MID($P928,FIND(" ",$P928)+1,9)&amp;"*",firmadas!$B:$B,0),0)))</f>
        <v/>
      </c>
    </row>
    <row r="929" spans="14:20" ht="15" customHeight="1" x14ac:dyDescent="0.25">
      <c r="N929" s="53" t="str">
        <f t="shared" ca="1" si="14"/>
        <v/>
      </c>
      <c r="P929" t="str">
        <f ca="1">IF(TRIM(SUBSTITUTE(($C929&amp;" "&amp;$D929),CHAR(160)," "))="","",IFERROR(IF(ISNUMBER(SEARCH("INC",($C929&amp;" "&amp;$D929))),"INC",IF(ISNUMBER(SEARCH("OPI",($C929&amp;" "&amp;$D929))),"OPI",IF(ISNUMBER(SEARCH("DP",($C929&amp;" "&amp;$D929))),"DP","CONC")))&amp;" "&amp;TEXT(LOOKUP(9.99E+307,--MID(SUBSTITUTE(($C929&amp;" "&amp;$D929),CHAR(160)," "),SUMPRODUCT(MIN(FIND({0,1,2,3,4,5,6,7,8,9},SUBSTITUTE(($C929&amp;" "&amp;$D929),CHAR(160)," ")&amp;"0123456789"))),ROW(INDIRECT("1:6")))),"0"),"SIN NUMERO"))</f>
        <v/>
      </c>
      <c r="Q929" t="str">
        <f ca="1">IF($P929="","",IF(LEFT(UPPER($S929),9)="VERIFICAR","VERIFICAR",IF($A929="","SIN ESTADO",IF(AND($A929="Firmada",$H929=""),"FALTA FECHA DE FIRMA",IF(N($T929)=0,IF(AND(ISNUMBER($H929),$H929&gt;=DATE(2024,1,1)),"FALTA EN FIRMADAS","OK"),IF(OR($A929="Pendiente de presentación",$A929="Observado",$A929="En análisis",$A929="En instrucción",$A929="Suspendida",$A929="IT circulando",$A929="Para resolución",$A929="TDC"),"ABIERTA PERO ESTÁ EN FIRMADAS",IF($H929&lt;&gt;INDEX(firmadas!$F:$F,$T929),"FIRMA DISTINTA EN firmadas ("&amp;IF(INDEX(firmadas!$F:$F,$T929)="","vacía",DAY(INDEX(firmadas!$F:$F,$T929))&amp;"/"&amp;MONTH(INDEX(firmadas!$F:$F,$T929))&amp;"/"&amp;YEAR(INDEX(firmadas!$F:$F,$T929)))&amp;")",IF($G929&lt;&gt;INDEX(firmadas!$E:$E,$T929),"INGRESO DISTINTO EN firmadas ("&amp;IF(INDEX(firmadas!$E:$E,$T929)="","vacía",DAY(INDEX(firmadas!$E:$E,$T929))&amp;"/"&amp;MONTH(INDEX(firmadas!$E:$E,$T929))&amp;"/"&amp;YEAR(INDEX(firmadas!$E:$E,$T929)))&amp;")","OK"))))))))</f>
        <v/>
      </c>
      <c r="T929" t="str">
        <f ca="1">IF($P929="","",IFERROR(MATCH($P929,firmadas!$N:$N,0),IFERROR(MATCH("*/"&amp;MID($P929,FIND(" ",$P929)+1,9)&amp;"*",firmadas!$B:$B,0),0)))</f>
        <v/>
      </c>
    </row>
    <row r="930" spans="14:20" ht="15" customHeight="1" x14ac:dyDescent="0.25">
      <c r="N930" s="53" t="str">
        <f t="shared" ca="1" si="14"/>
        <v/>
      </c>
      <c r="P930" t="str">
        <f ca="1">IF(TRIM(SUBSTITUTE(($C930&amp;" "&amp;$D930),CHAR(160)," "))="","",IFERROR(IF(ISNUMBER(SEARCH("INC",($C930&amp;" "&amp;$D930))),"INC",IF(ISNUMBER(SEARCH("OPI",($C930&amp;" "&amp;$D930))),"OPI",IF(ISNUMBER(SEARCH("DP",($C930&amp;" "&amp;$D930))),"DP","CONC")))&amp;" "&amp;TEXT(LOOKUP(9.99E+307,--MID(SUBSTITUTE(($C930&amp;" "&amp;$D930),CHAR(160)," "),SUMPRODUCT(MIN(FIND({0,1,2,3,4,5,6,7,8,9},SUBSTITUTE(($C930&amp;" "&amp;$D930),CHAR(160)," ")&amp;"0123456789"))),ROW(INDIRECT("1:6")))),"0"),"SIN NUMERO"))</f>
        <v/>
      </c>
      <c r="Q930" t="str">
        <f ca="1">IF($P930="","",IF(LEFT(UPPER($S930),9)="VERIFICAR","VERIFICAR",IF($A930="","SIN ESTADO",IF(AND($A930="Firmada",$H930=""),"FALTA FECHA DE FIRMA",IF(N($T930)=0,IF(AND(ISNUMBER($H930),$H930&gt;=DATE(2024,1,1)),"FALTA EN FIRMADAS","OK"),IF(OR($A930="Pendiente de presentación",$A930="Observado",$A930="En análisis",$A930="En instrucción",$A930="Suspendida",$A930="IT circulando",$A930="Para resolución",$A930="TDC"),"ABIERTA PERO ESTÁ EN FIRMADAS",IF($H930&lt;&gt;INDEX(firmadas!$F:$F,$T930),"FIRMA DISTINTA EN firmadas ("&amp;IF(INDEX(firmadas!$F:$F,$T930)="","vacía",DAY(INDEX(firmadas!$F:$F,$T930))&amp;"/"&amp;MONTH(INDEX(firmadas!$F:$F,$T930))&amp;"/"&amp;YEAR(INDEX(firmadas!$F:$F,$T930)))&amp;")",IF($G930&lt;&gt;INDEX(firmadas!$E:$E,$T930),"INGRESO DISTINTO EN firmadas ("&amp;IF(INDEX(firmadas!$E:$E,$T930)="","vacía",DAY(INDEX(firmadas!$E:$E,$T930))&amp;"/"&amp;MONTH(INDEX(firmadas!$E:$E,$T930))&amp;"/"&amp;YEAR(INDEX(firmadas!$E:$E,$T930)))&amp;")","OK"))))))))</f>
        <v/>
      </c>
      <c r="T930" t="str">
        <f ca="1">IF($P930="","",IFERROR(MATCH($P930,firmadas!$N:$N,0),IFERROR(MATCH("*/"&amp;MID($P930,FIND(" ",$P930)+1,9)&amp;"*",firmadas!$B:$B,0),0)))</f>
        <v/>
      </c>
    </row>
    <row r="931" spans="14:20" ht="15" customHeight="1" x14ac:dyDescent="0.25">
      <c r="N931" s="53" t="str">
        <f t="shared" ca="1" si="14"/>
        <v/>
      </c>
      <c r="P931" t="str">
        <f ca="1">IF(TRIM(SUBSTITUTE(($C931&amp;" "&amp;$D931),CHAR(160)," "))="","",IFERROR(IF(ISNUMBER(SEARCH("INC",($C931&amp;" "&amp;$D931))),"INC",IF(ISNUMBER(SEARCH("OPI",($C931&amp;" "&amp;$D931))),"OPI",IF(ISNUMBER(SEARCH("DP",($C931&amp;" "&amp;$D931))),"DP","CONC")))&amp;" "&amp;TEXT(LOOKUP(9.99E+307,--MID(SUBSTITUTE(($C931&amp;" "&amp;$D931),CHAR(160)," "),SUMPRODUCT(MIN(FIND({0,1,2,3,4,5,6,7,8,9},SUBSTITUTE(($C931&amp;" "&amp;$D931),CHAR(160)," ")&amp;"0123456789"))),ROW(INDIRECT("1:6")))),"0"),"SIN NUMERO"))</f>
        <v/>
      </c>
      <c r="Q931" t="str">
        <f ca="1">IF($P931="","",IF(LEFT(UPPER($S931),9)="VERIFICAR","VERIFICAR",IF($A931="","SIN ESTADO",IF(AND($A931="Firmada",$H931=""),"FALTA FECHA DE FIRMA",IF(N($T931)=0,IF(AND(ISNUMBER($H931),$H931&gt;=DATE(2024,1,1)),"FALTA EN FIRMADAS","OK"),IF(OR($A931="Pendiente de presentación",$A931="Observado",$A931="En análisis",$A931="En instrucción",$A931="Suspendida",$A931="IT circulando",$A931="Para resolución",$A931="TDC"),"ABIERTA PERO ESTÁ EN FIRMADAS",IF($H931&lt;&gt;INDEX(firmadas!$F:$F,$T931),"FIRMA DISTINTA EN firmadas ("&amp;IF(INDEX(firmadas!$F:$F,$T931)="","vacía",DAY(INDEX(firmadas!$F:$F,$T931))&amp;"/"&amp;MONTH(INDEX(firmadas!$F:$F,$T931))&amp;"/"&amp;YEAR(INDEX(firmadas!$F:$F,$T931)))&amp;")",IF($G931&lt;&gt;INDEX(firmadas!$E:$E,$T931),"INGRESO DISTINTO EN firmadas ("&amp;IF(INDEX(firmadas!$E:$E,$T931)="","vacía",DAY(INDEX(firmadas!$E:$E,$T931))&amp;"/"&amp;MONTH(INDEX(firmadas!$E:$E,$T931))&amp;"/"&amp;YEAR(INDEX(firmadas!$E:$E,$T931)))&amp;")","OK"))))))))</f>
        <v/>
      </c>
      <c r="T931" t="str">
        <f ca="1">IF($P931="","",IFERROR(MATCH($P931,firmadas!$N:$N,0),IFERROR(MATCH("*/"&amp;MID($P931,FIND(" ",$P931)+1,9)&amp;"*",firmadas!$B:$B,0),0)))</f>
        <v/>
      </c>
    </row>
    <row r="932" spans="14:20" ht="15" customHeight="1" x14ac:dyDescent="0.25">
      <c r="N932" s="53" t="str">
        <f t="shared" ca="1" si="14"/>
        <v/>
      </c>
      <c r="P932" t="str">
        <f ca="1">IF(TRIM(SUBSTITUTE(($C932&amp;" "&amp;$D932),CHAR(160)," "))="","",IFERROR(IF(ISNUMBER(SEARCH("INC",($C932&amp;" "&amp;$D932))),"INC",IF(ISNUMBER(SEARCH("OPI",($C932&amp;" "&amp;$D932))),"OPI",IF(ISNUMBER(SEARCH("DP",($C932&amp;" "&amp;$D932))),"DP","CONC")))&amp;" "&amp;TEXT(LOOKUP(9.99E+307,--MID(SUBSTITUTE(($C932&amp;" "&amp;$D932),CHAR(160)," "),SUMPRODUCT(MIN(FIND({0,1,2,3,4,5,6,7,8,9},SUBSTITUTE(($C932&amp;" "&amp;$D932),CHAR(160)," ")&amp;"0123456789"))),ROW(INDIRECT("1:6")))),"0"),"SIN NUMERO"))</f>
        <v/>
      </c>
      <c r="Q932" t="str">
        <f ca="1">IF($P932="","",IF(LEFT(UPPER($S932),9)="VERIFICAR","VERIFICAR",IF($A932="","SIN ESTADO",IF(AND($A932="Firmada",$H932=""),"FALTA FECHA DE FIRMA",IF(N($T932)=0,IF(AND(ISNUMBER($H932),$H932&gt;=DATE(2024,1,1)),"FALTA EN FIRMADAS","OK"),IF(OR($A932="Pendiente de presentación",$A932="Observado",$A932="En análisis",$A932="En instrucción",$A932="Suspendida",$A932="IT circulando",$A932="Para resolución",$A932="TDC"),"ABIERTA PERO ESTÁ EN FIRMADAS",IF($H932&lt;&gt;INDEX(firmadas!$F:$F,$T932),"FIRMA DISTINTA EN firmadas ("&amp;IF(INDEX(firmadas!$F:$F,$T932)="","vacía",DAY(INDEX(firmadas!$F:$F,$T932))&amp;"/"&amp;MONTH(INDEX(firmadas!$F:$F,$T932))&amp;"/"&amp;YEAR(INDEX(firmadas!$F:$F,$T932)))&amp;")",IF($G932&lt;&gt;INDEX(firmadas!$E:$E,$T932),"INGRESO DISTINTO EN firmadas ("&amp;IF(INDEX(firmadas!$E:$E,$T932)="","vacía",DAY(INDEX(firmadas!$E:$E,$T932))&amp;"/"&amp;MONTH(INDEX(firmadas!$E:$E,$T932))&amp;"/"&amp;YEAR(INDEX(firmadas!$E:$E,$T932)))&amp;")","OK"))))))))</f>
        <v/>
      </c>
      <c r="T932" t="str">
        <f ca="1">IF($P932="","",IFERROR(MATCH($P932,firmadas!$N:$N,0),IFERROR(MATCH("*/"&amp;MID($P932,FIND(" ",$P932)+1,9)&amp;"*",firmadas!$B:$B,0),0)))</f>
        <v/>
      </c>
    </row>
    <row r="933" spans="14:20" ht="15" customHeight="1" x14ac:dyDescent="0.25">
      <c r="N933" s="53" t="str">
        <f t="shared" ca="1" si="14"/>
        <v/>
      </c>
      <c r="P933" t="str">
        <f ca="1">IF(TRIM(SUBSTITUTE(($C933&amp;" "&amp;$D933),CHAR(160)," "))="","",IFERROR(IF(ISNUMBER(SEARCH("INC",($C933&amp;" "&amp;$D933))),"INC",IF(ISNUMBER(SEARCH("OPI",($C933&amp;" "&amp;$D933))),"OPI",IF(ISNUMBER(SEARCH("DP",($C933&amp;" "&amp;$D933))),"DP","CONC")))&amp;" "&amp;TEXT(LOOKUP(9.99E+307,--MID(SUBSTITUTE(($C933&amp;" "&amp;$D933),CHAR(160)," "),SUMPRODUCT(MIN(FIND({0,1,2,3,4,5,6,7,8,9},SUBSTITUTE(($C933&amp;" "&amp;$D933),CHAR(160)," ")&amp;"0123456789"))),ROW(INDIRECT("1:6")))),"0"),"SIN NUMERO"))</f>
        <v/>
      </c>
      <c r="Q933" t="str">
        <f ca="1">IF($P933="","",IF(LEFT(UPPER($S933),9)="VERIFICAR","VERIFICAR",IF($A933="","SIN ESTADO",IF(AND($A933="Firmada",$H933=""),"FALTA FECHA DE FIRMA",IF(N($T933)=0,IF(AND(ISNUMBER($H933),$H933&gt;=DATE(2024,1,1)),"FALTA EN FIRMADAS","OK"),IF(OR($A933="Pendiente de presentación",$A933="Observado",$A933="En análisis",$A933="En instrucción",$A933="Suspendida",$A933="IT circulando",$A933="Para resolución",$A933="TDC"),"ABIERTA PERO ESTÁ EN FIRMADAS",IF($H933&lt;&gt;INDEX(firmadas!$F:$F,$T933),"FIRMA DISTINTA EN firmadas ("&amp;IF(INDEX(firmadas!$F:$F,$T933)="","vacía",DAY(INDEX(firmadas!$F:$F,$T933))&amp;"/"&amp;MONTH(INDEX(firmadas!$F:$F,$T933))&amp;"/"&amp;YEAR(INDEX(firmadas!$F:$F,$T933)))&amp;")",IF($G933&lt;&gt;INDEX(firmadas!$E:$E,$T933),"INGRESO DISTINTO EN firmadas ("&amp;IF(INDEX(firmadas!$E:$E,$T933)="","vacía",DAY(INDEX(firmadas!$E:$E,$T933))&amp;"/"&amp;MONTH(INDEX(firmadas!$E:$E,$T933))&amp;"/"&amp;YEAR(INDEX(firmadas!$E:$E,$T933)))&amp;")","OK"))))))))</f>
        <v/>
      </c>
      <c r="T933" t="str">
        <f ca="1">IF($P933="","",IFERROR(MATCH($P933,firmadas!$N:$N,0),IFERROR(MATCH("*/"&amp;MID($P933,FIND(" ",$P933)+1,9)&amp;"*",firmadas!$B:$B,0),0)))</f>
        <v/>
      </c>
    </row>
    <row r="934" spans="14:20" ht="15" customHeight="1" x14ac:dyDescent="0.25">
      <c r="N934" s="53" t="str">
        <f t="shared" ca="1" si="14"/>
        <v/>
      </c>
      <c r="P934" t="str">
        <f ca="1">IF(TRIM(SUBSTITUTE(($C934&amp;" "&amp;$D934),CHAR(160)," "))="","",IFERROR(IF(ISNUMBER(SEARCH("INC",($C934&amp;" "&amp;$D934))),"INC",IF(ISNUMBER(SEARCH("OPI",($C934&amp;" "&amp;$D934))),"OPI",IF(ISNUMBER(SEARCH("DP",($C934&amp;" "&amp;$D934))),"DP","CONC")))&amp;" "&amp;TEXT(LOOKUP(9.99E+307,--MID(SUBSTITUTE(($C934&amp;" "&amp;$D934),CHAR(160)," "),SUMPRODUCT(MIN(FIND({0,1,2,3,4,5,6,7,8,9},SUBSTITUTE(($C934&amp;" "&amp;$D934),CHAR(160)," ")&amp;"0123456789"))),ROW(INDIRECT("1:6")))),"0"),"SIN NUMERO"))</f>
        <v/>
      </c>
      <c r="Q934" t="str">
        <f ca="1">IF($P934="","",IF(LEFT(UPPER($S934),9)="VERIFICAR","VERIFICAR",IF($A934="","SIN ESTADO",IF(AND($A934="Firmada",$H934=""),"FALTA FECHA DE FIRMA",IF(N($T934)=0,IF(AND(ISNUMBER($H934),$H934&gt;=DATE(2024,1,1)),"FALTA EN FIRMADAS","OK"),IF(OR($A934="Pendiente de presentación",$A934="Observado",$A934="En análisis",$A934="En instrucción",$A934="Suspendida",$A934="IT circulando",$A934="Para resolución",$A934="TDC"),"ABIERTA PERO ESTÁ EN FIRMADAS",IF($H934&lt;&gt;INDEX(firmadas!$F:$F,$T934),"FIRMA DISTINTA EN firmadas ("&amp;IF(INDEX(firmadas!$F:$F,$T934)="","vacía",DAY(INDEX(firmadas!$F:$F,$T934))&amp;"/"&amp;MONTH(INDEX(firmadas!$F:$F,$T934))&amp;"/"&amp;YEAR(INDEX(firmadas!$F:$F,$T934)))&amp;")",IF($G934&lt;&gt;INDEX(firmadas!$E:$E,$T934),"INGRESO DISTINTO EN firmadas ("&amp;IF(INDEX(firmadas!$E:$E,$T934)="","vacía",DAY(INDEX(firmadas!$E:$E,$T934))&amp;"/"&amp;MONTH(INDEX(firmadas!$E:$E,$T934))&amp;"/"&amp;YEAR(INDEX(firmadas!$E:$E,$T934)))&amp;")","OK"))))))))</f>
        <v/>
      </c>
      <c r="T934" t="str">
        <f ca="1">IF($P934="","",IFERROR(MATCH($P934,firmadas!$N:$N,0),IFERROR(MATCH("*/"&amp;MID($P934,FIND(" ",$P934)+1,9)&amp;"*",firmadas!$B:$B,0),0)))</f>
        <v/>
      </c>
    </row>
    <row r="935" spans="14:20" ht="15" customHeight="1" x14ac:dyDescent="0.25">
      <c r="N935" s="53" t="str">
        <f t="shared" ca="1" si="14"/>
        <v/>
      </c>
      <c r="P935" t="str">
        <f ca="1">IF(TRIM(SUBSTITUTE(($C935&amp;" "&amp;$D935),CHAR(160)," "))="","",IFERROR(IF(ISNUMBER(SEARCH("INC",($C935&amp;" "&amp;$D935))),"INC",IF(ISNUMBER(SEARCH("OPI",($C935&amp;" "&amp;$D935))),"OPI",IF(ISNUMBER(SEARCH("DP",($C935&amp;" "&amp;$D935))),"DP","CONC")))&amp;" "&amp;TEXT(LOOKUP(9.99E+307,--MID(SUBSTITUTE(($C935&amp;" "&amp;$D935),CHAR(160)," "),SUMPRODUCT(MIN(FIND({0,1,2,3,4,5,6,7,8,9},SUBSTITUTE(($C935&amp;" "&amp;$D935),CHAR(160)," ")&amp;"0123456789"))),ROW(INDIRECT("1:6")))),"0"),"SIN NUMERO"))</f>
        <v/>
      </c>
      <c r="Q935" t="str">
        <f ca="1">IF($P935="","",IF(LEFT(UPPER($S935),9)="VERIFICAR","VERIFICAR",IF($A935="","SIN ESTADO",IF(AND($A935="Firmada",$H935=""),"FALTA FECHA DE FIRMA",IF(N($T935)=0,IF(AND(ISNUMBER($H935),$H935&gt;=DATE(2024,1,1)),"FALTA EN FIRMADAS","OK"),IF(OR($A935="Pendiente de presentación",$A935="Observado",$A935="En análisis",$A935="En instrucción",$A935="Suspendida",$A935="IT circulando",$A935="Para resolución",$A935="TDC"),"ABIERTA PERO ESTÁ EN FIRMADAS",IF($H935&lt;&gt;INDEX(firmadas!$F:$F,$T935),"FIRMA DISTINTA EN firmadas ("&amp;IF(INDEX(firmadas!$F:$F,$T935)="","vacía",DAY(INDEX(firmadas!$F:$F,$T935))&amp;"/"&amp;MONTH(INDEX(firmadas!$F:$F,$T935))&amp;"/"&amp;YEAR(INDEX(firmadas!$F:$F,$T935)))&amp;")",IF($G935&lt;&gt;INDEX(firmadas!$E:$E,$T935),"INGRESO DISTINTO EN firmadas ("&amp;IF(INDEX(firmadas!$E:$E,$T935)="","vacía",DAY(INDEX(firmadas!$E:$E,$T935))&amp;"/"&amp;MONTH(INDEX(firmadas!$E:$E,$T935))&amp;"/"&amp;YEAR(INDEX(firmadas!$E:$E,$T935)))&amp;")","OK"))))))))</f>
        <v/>
      </c>
      <c r="T935" t="str">
        <f ca="1">IF($P935="","",IFERROR(MATCH($P935,firmadas!$N:$N,0),IFERROR(MATCH("*/"&amp;MID($P935,FIND(" ",$P935)+1,9)&amp;"*",firmadas!$B:$B,0),0)))</f>
        <v/>
      </c>
    </row>
    <row r="936" spans="14:20" ht="15" customHeight="1" x14ac:dyDescent="0.25">
      <c r="N936" s="53" t="str">
        <f t="shared" ca="1" si="14"/>
        <v/>
      </c>
      <c r="P936" t="str">
        <f ca="1">IF(TRIM(SUBSTITUTE(($C936&amp;" "&amp;$D936),CHAR(160)," "))="","",IFERROR(IF(ISNUMBER(SEARCH("INC",($C936&amp;" "&amp;$D936))),"INC",IF(ISNUMBER(SEARCH("OPI",($C936&amp;" "&amp;$D936))),"OPI",IF(ISNUMBER(SEARCH("DP",($C936&amp;" "&amp;$D936))),"DP","CONC")))&amp;" "&amp;TEXT(LOOKUP(9.99E+307,--MID(SUBSTITUTE(($C936&amp;" "&amp;$D936),CHAR(160)," "),SUMPRODUCT(MIN(FIND({0,1,2,3,4,5,6,7,8,9},SUBSTITUTE(($C936&amp;" "&amp;$D936),CHAR(160)," ")&amp;"0123456789"))),ROW(INDIRECT("1:6")))),"0"),"SIN NUMERO"))</f>
        <v/>
      </c>
      <c r="Q936" t="str">
        <f ca="1">IF($P936="","",IF(LEFT(UPPER($S936),9)="VERIFICAR","VERIFICAR",IF($A936="","SIN ESTADO",IF(AND($A936="Firmada",$H936=""),"FALTA FECHA DE FIRMA",IF(N($T936)=0,IF(AND(ISNUMBER($H936),$H936&gt;=DATE(2024,1,1)),"FALTA EN FIRMADAS","OK"),IF(OR($A936="Pendiente de presentación",$A936="Observado",$A936="En análisis",$A936="En instrucción",$A936="Suspendida",$A936="IT circulando",$A936="Para resolución",$A936="TDC"),"ABIERTA PERO ESTÁ EN FIRMADAS",IF($H936&lt;&gt;INDEX(firmadas!$F:$F,$T936),"FIRMA DISTINTA EN firmadas ("&amp;IF(INDEX(firmadas!$F:$F,$T936)="","vacía",DAY(INDEX(firmadas!$F:$F,$T936))&amp;"/"&amp;MONTH(INDEX(firmadas!$F:$F,$T936))&amp;"/"&amp;YEAR(INDEX(firmadas!$F:$F,$T936)))&amp;")",IF($G936&lt;&gt;INDEX(firmadas!$E:$E,$T936),"INGRESO DISTINTO EN firmadas ("&amp;IF(INDEX(firmadas!$E:$E,$T936)="","vacía",DAY(INDEX(firmadas!$E:$E,$T936))&amp;"/"&amp;MONTH(INDEX(firmadas!$E:$E,$T936))&amp;"/"&amp;YEAR(INDEX(firmadas!$E:$E,$T936)))&amp;")","OK"))))))))</f>
        <v/>
      </c>
      <c r="T936" t="str">
        <f ca="1">IF($P936="","",IFERROR(MATCH($P936,firmadas!$N:$N,0),IFERROR(MATCH("*/"&amp;MID($P936,FIND(" ",$P936)+1,9)&amp;"*",firmadas!$B:$B,0),0)))</f>
        <v/>
      </c>
    </row>
    <row r="937" spans="14:20" ht="15" customHeight="1" x14ac:dyDescent="0.25">
      <c r="N937" s="53" t="str">
        <f t="shared" ca="1" si="14"/>
        <v/>
      </c>
      <c r="P937" t="str">
        <f ca="1">IF(TRIM(SUBSTITUTE(($C937&amp;" "&amp;$D937),CHAR(160)," "))="","",IFERROR(IF(ISNUMBER(SEARCH("INC",($C937&amp;" "&amp;$D937))),"INC",IF(ISNUMBER(SEARCH("OPI",($C937&amp;" "&amp;$D937))),"OPI",IF(ISNUMBER(SEARCH("DP",($C937&amp;" "&amp;$D937))),"DP","CONC")))&amp;" "&amp;TEXT(LOOKUP(9.99E+307,--MID(SUBSTITUTE(($C937&amp;" "&amp;$D937),CHAR(160)," "),SUMPRODUCT(MIN(FIND({0,1,2,3,4,5,6,7,8,9},SUBSTITUTE(($C937&amp;" "&amp;$D937),CHAR(160)," ")&amp;"0123456789"))),ROW(INDIRECT("1:6")))),"0"),"SIN NUMERO"))</f>
        <v/>
      </c>
      <c r="Q937" t="str">
        <f ca="1">IF($P937="","",IF(LEFT(UPPER($S937),9)="VERIFICAR","VERIFICAR",IF($A937="","SIN ESTADO",IF(AND($A937="Firmada",$H937=""),"FALTA FECHA DE FIRMA",IF(N($T937)=0,IF(AND(ISNUMBER($H937),$H937&gt;=DATE(2024,1,1)),"FALTA EN FIRMADAS","OK"),IF(OR($A937="Pendiente de presentación",$A937="Observado",$A937="En análisis",$A937="En instrucción",$A937="Suspendida",$A937="IT circulando",$A937="Para resolución",$A937="TDC"),"ABIERTA PERO ESTÁ EN FIRMADAS",IF($H937&lt;&gt;INDEX(firmadas!$F:$F,$T937),"FIRMA DISTINTA EN firmadas ("&amp;IF(INDEX(firmadas!$F:$F,$T937)="","vacía",DAY(INDEX(firmadas!$F:$F,$T937))&amp;"/"&amp;MONTH(INDEX(firmadas!$F:$F,$T937))&amp;"/"&amp;YEAR(INDEX(firmadas!$F:$F,$T937)))&amp;")",IF($G937&lt;&gt;INDEX(firmadas!$E:$E,$T937),"INGRESO DISTINTO EN firmadas ("&amp;IF(INDEX(firmadas!$E:$E,$T937)="","vacía",DAY(INDEX(firmadas!$E:$E,$T937))&amp;"/"&amp;MONTH(INDEX(firmadas!$E:$E,$T937))&amp;"/"&amp;YEAR(INDEX(firmadas!$E:$E,$T937)))&amp;")","OK"))))))))</f>
        <v/>
      </c>
      <c r="T937" t="str">
        <f ca="1">IF($P937="","",IFERROR(MATCH($P937,firmadas!$N:$N,0),IFERROR(MATCH("*/"&amp;MID($P937,FIND(" ",$P937)+1,9)&amp;"*",firmadas!$B:$B,0),0)))</f>
        <v/>
      </c>
    </row>
    <row r="938" spans="14:20" ht="15" customHeight="1" x14ac:dyDescent="0.25">
      <c r="N938" s="53" t="str">
        <f t="shared" ca="1" si="14"/>
        <v/>
      </c>
      <c r="P938" t="str">
        <f ca="1">IF(TRIM(SUBSTITUTE(($C938&amp;" "&amp;$D938),CHAR(160)," "))="","",IFERROR(IF(ISNUMBER(SEARCH("INC",($C938&amp;" "&amp;$D938))),"INC",IF(ISNUMBER(SEARCH("OPI",($C938&amp;" "&amp;$D938))),"OPI",IF(ISNUMBER(SEARCH("DP",($C938&amp;" "&amp;$D938))),"DP","CONC")))&amp;" "&amp;TEXT(LOOKUP(9.99E+307,--MID(SUBSTITUTE(($C938&amp;" "&amp;$D938),CHAR(160)," "),SUMPRODUCT(MIN(FIND({0,1,2,3,4,5,6,7,8,9},SUBSTITUTE(($C938&amp;" "&amp;$D938),CHAR(160)," ")&amp;"0123456789"))),ROW(INDIRECT("1:6")))),"0"),"SIN NUMERO"))</f>
        <v/>
      </c>
      <c r="Q938" t="str">
        <f ca="1">IF($P938="","",IF(LEFT(UPPER($S938),9)="VERIFICAR","VERIFICAR",IF($A938="","SIN ESTADO",IF(AND($A938="Firmada",$H938=""),"FALTA FECHA DE FIRMA",IF(N($T938)=0,IF(AND(ISNUMBER($H938),$H938&gt;=DATE(2024,1,1)),"FALTA EN FIRMADAS","OK"),IF(OR($A938="Pendiente de presentación",$A938="Observado",$A938="En análisis",$A938="En instrucción",$A938="Suspendida",$A938="IT circulando",$A938="Para resolución",$A938="TDC"),"ABIERTA PERO ESTÁ EN FIRMADAS",IF($H938&lt;&gt;INDEX(firmadas!$F:$F,$T938),"FIRMA DISTINTA EN firmadas ("&amp;IF(INDEX(firmadas!$F:$F,$T938)="","vacía",DAY(INDEX(firmadas!$F:$F,$T938))&amp;"/"&amp;MONTH(INDEX(firmadas!$F:$F,$T938))&amp;"/"&amp;YEAR(INDEX(firmadas!$F:$F,$T938)))&amp;")",IF($G938&lt;&gt;INDEX(firmadas!$E:$E,$T938),"INGRESO DISTINTO EN firmadas ("&amp;IF(INDEX(firmadas!$E:$E,$T938)="","vacía",DAY(INDEX(firmadas!$E:$E,$T938))&amp;"/"&amp;MONTH(INDEX(firmadas!$E:$E,$T938))&amp;"/"&amp;YEAR(INDEX(firmadas!$E:$E,$T938)))&amp;")","OK"))))))))</f>
        <v/>
      </c>
      <c r="T938" t="str">
        <f ca="1">IF($P938="","",IFERROR(MATCH($P938,firmadas!$N:$N,0),IFERROR(MATCH("*/"&amp;MID($P938,FIND(" ",$P938)+1,9)&amp;"*",firmadas!$B:$B,0),0)))</f>
        <v/>
      </c>
    </row>
    <row r="939" spans="14:20" ht="15" customHeight="1" x14ac:dyDescent="0.25">
      <c r="N939" s="53" t="str">
        <f t="shared" ca="1" si="14"/>
        <v/>
      </c>
      <c r="P939" t="str">
        <f ca="1">IF(TRIM(SUBSTITUTE(($C939&amp;" "&amp;$D939),CHAR(160)," "))="","",IFERROR(IF(ISNUMBER(SEARCH("INC",($C939&amp;" "&amp;$D939))),"INC",IF(ISNUMBER(SEARCH("OPI",($C939&amp;" "&amp;$D939))),"OPI",IF(ISNUMBER(SEARCH("DP",($C939&amp;" "&amp;$D939))),"DP","CONC")))&amp;" "&amp;TEXT(LOOKUP(9.99E+307,--MID(SUBSTITUTE(($C939&amp;" "&amp;$D939),CHAR(160)," "),SUMPRODUCT(MIN(FIND({0,1,2,3,4,5,6,7,8,9},SUBSTITUTE(($C939&amp;" "&amp;$D939),CHAR(160)," ")&amp;"0123456789"))),ROW(INDIRECT("1:6")))),"0"),"SIN NUMERO"))</f>
        <v/>
      </c>
      <c r="Q939" t="str">
        <f ca="1">IF($P939="","",IF(LEFT(UPPER($S939),9)="VERIFICAR","VERIFICAR",IF($A939="","SIN ESTADO",IF(AND($A939="Firmada",$H939=""),"FALTA FECHA DE FIRMA",IF(N($T939)=0,IF(AND(ISNUMBER($H939),$H939&gt;=DATE(2024,1,1)),"FALTA EN FIRMADAS","OK"),IF(OR($A939="Pendiente de presentación",$A939="Observado",$A939="En análisis",$A939="En instrucción",$A939="Suspendida",$A939="IT circulando",$A939="Para resolución",$A939="TDC"),"ABIERTA PERO ESTÁ EN FIRMADAS",IF($H939&lt;&gt;INDEX(firmadas!$F:$F,$T939),"FIRMA DISTINTA EN firmadas ("&amp;IF(INDEX(firmadas!$F:$F,$T939)="","vacía",DAY(INDEX(firmadas!$F:$F,$T939))&amp;"/"&amp;MONTH(INDEX(firmadas!$F:$F,$T939))&amp;"/"&amp;YEAR(INDEX(firmadas!$F:$F,$T939)))&amp;")",IF($G939&lt;&gt;INDEX(firmadas!$E:$E,$T939),"INGRESO DISTINTO EN firmadas ("&amp;IF(INDEX(firmadas!$E:$E,$T939)="","vacía",DAY(INDEX(firmadas!$E:$E,$T939))&amp;"/"&amp;MONTH(INDEX(firmadas!$E:$E,$T939))&amp;"/"&amp;YEAR(INDEX(firmadas!$E:$E,$T939)))&amp;")","OK"))))))))</f>
        <v/>
      </c>
      <c r="T939" t="str">
        <f ca="1">IF($P939="","",IFERROR(MATCH($P939,firmadas!$N:$N,0),IFERROR(MATCH("*/"&amp;MID($P939,FIND(" ",$P939)+1,9)&amp;"*",firmadas!$B:$B,0),0)))</f>
        <v/>
      </c>
    </row>
    <row r="940" spans="14:20" ht="15" customHeight="1" x14ac:dyDescent="0.25">
      <c r="N940" s="53" t="str">
        <f t="shared" ca="1" si="14"/>
        <v/>
      </c>
      <c r="P940" t="str">
        <f ca="1">IF(TRIM(SUBSTITUTE(($C940&amp;" "&amp;$D940),CHAR(160)," "))="","",IFERROR(IF(ISNUMBER(SEARCH("INC",($C940&amp;" "&amp;$D940))),"INC",IF(ISNUMBER(SEARCH("OPI",($C940&amp;" "&amp;$D940))),"OPI",IF(ISNUMBER(SEARCH("DP",($C940&amp;" "&amp;$D940))),"DP","CONC")))&amp;" "&amp;TEXT(LOOKUP(9.99E+307,--MID(SUBSTITUTE(($C940&amp;" "&amp;$D940),CHAR(160)," "),SUMPRODUCT(MIN(FIND({0,1,2,3,4,5,6,7,8,9},SUBSTITUTE(($C940&amp;" "&amp;$D940),CHAR(160)," ")&amp;"0123456789"))),ROW(INDIRECT("1:6")))),"0"),"SIN NUMERO"))</f>
        <v/>
      </c>
      <c r="Q940" t="str">
        <f ca="1">IF($P940="","",IF(LEFT(UPPER($S940),9)="VERIFICAR","VERIFICAR",IF($A940="","SIN ESTADO",IF(AND($A940="Firmada",$H940=""),"FALTA FECHA DE FIRMA",IF(N($T940)=0,IF(AND(ISNUMBER($H940),$H940&gt;=DATE(2024,1,1)),"FALTA EN FIRMADAS","OK"),IF(OR($A940="Pendiente de presentación",$A940="Observado",$A940="En análisis",$A940="En instrucción",$A940="Suspendida",$A940="IT circulando",$A940="Para resolución",$A940="TDC"),"ABIERTA PERO ESTÁ EN FIRMADAS",IF($H940&lt;&gt;INDEX(firmadas!$F:$F,$T940),"FIRMA DISTINTA EN firmadas ("&amp;IF(INDEX(firmadas!$F:$F,$T940)="","vacía",DAY(INDEX(firmadas!$F:$F,$T940))&amp;"/"&amp;MONTH(INDEX(firmadas!$F:$F,$T940))&amp;"/"&amp;YEAR(INDEX(firmadas!$F:$F,$T940)))&amp;")",IF($G940&lt;&gt;INDEX(firmadas!$E:$E,$T940),"INGRESO DISTINTO EN firmadas ("&amp;IF(INDEX(firmadas!$E:$E,$T940)="","vacía",DAY(INDEX(firmadas!$E:$E,$T940))&amp;"/"&amp;MONTH(INDEX(firmadas!$E:$E,$T940))&amp;"/"&amp;YEAR(INDEX(firmadas!$E:$E,$T940)))&amp;")","OK"))))))))</f>
        <v/>
      </c>
      <c r="T940" t="str">
        <f ca="1">IF($P940="","",IFERROR(MATCH($P940,firmadas!$N:$N,0),IFERROR(MATCH("*/"&amp;MID($P940,FIND(" ",$P940)+1,9)&amp;"*",firmadas!$B:$B,0),0)))</f>
        <v/>
      </c>
    </row>
    <row r="941" spans="14:20" ht="15" customHeight="1" x14ac:dyDescent="0.25">
      <c r="N941" s="53" t="str">
        <f t="shared" ca="1" si="14"/>
        <v/>
      </c>
      <c r="P941" t="str">
        <f ca="1">IF(TRIM(SUBSTITUTE(($C941&amp;" "&amp;$D941),CHAR(160)," "))="","",IFERROR(IF(ISNUMBER(SEARCH("INC",($C941&amp;" "&amp;$D941))),"INC",IF(ISNUMBER(SEARCH("OPI",($C941&amp;" "&amp;$D941))),"OPI",IF(ISNUMBER(SEARCH("DP",($C941&amp;" "&amp;$D941))),"DP","CONC")))&amp;" "&amp;TEXT(LOOKUP(9.99E+307,--MID(SUBSTITUTE(($C941&amp;" "&amp;$D941),CHAR(160)," "),SUMPRODUCT(MIN(FIND({0,1,2,3,4,5,6,7,8,9},SUBSTITUTE(($C941&amp;" "&amp;$D941),CHAR(160)," ")&amp;"0123456789"))),ROW(INDIRECT("1:6")))),"0"),"SIN NUMERO"))</f>
        <v/>
      </c>
      <c r="Q941" t="str">
        <f ca="1">IF($P941="","",IF(LEFT(UPPER($S941),9)="VERIFICAR","VERIFICAR",IF($A941="","SIN ESTADO",IF(AND($A941="Firmada",$H941=""),"FALTA FECHA DE FIRMA",IF(N($T941)=0,IF(AND(ISNUMBER($H941),$H941&gt;=DATE(2024,1,1)),"FALTA EN FIRMADAS","OK"),IF(OR($A941="Pendiente de presentación",$A941="Observado",$A941="En análisis",$A941="En instrucción",$A941="Suspendida",$A941="IT circulando",$A941="Para resolución",$A941="TDC"),"ABIERTA PERO ESTÁ EN FIRMADAS",IF($H941&lt;&gt;INDEX(firmadas!$F:$F,$T941),"FIRMA DISTINTA EN firmadas ("&amp;IF(INDEX(firmadas!$F:$F,$T941)="","vacía",DAY(INDEX(firmadas!$F:$F,$T941))&amp;"/"&amp;MONTH(INDEX(firmadas!$F:$F,$T941))&amp;"/"&amp;YEAR(INDEX(firmadas!$F:$F,$T941)))&amp;")",IF($G941&lt;&gt;INDEX(firmadas!$E:$E,$T941),"INGRESO DISTINTO EN firmadas ("&amp;IF(INDEX(firmadas!$E:$E,$T941)="","vacía",DAY(INDEX(firmadas!$E:$E,$T941))&amp;"/"&amp;MONTH(INDEX(firmadas!$E:$E,$T941))&amp;"/"&amp;YEAR(INDEX(firmadas!$E:$E,$T941)))&amp;")","OK"))))))))</f>
        <v/>
      </c>
      <c r="T941" t="str">
        <f ca="1">IF($P941="","",IFERROR(MATCH($P941,firmadas!$N:$N,0),IFERROR(MATCH("*/"&amp;MID($P941,FIND(" ",$P941)+1,9)&amp;"*",firmadas!$B:$B,0),0)))</f>
        <v/>
      </c>
    </row>
    <row r="942" spans="14:20" ht="15" customHeight="1" x14ac:dyDescent="0.25">
      <c r="N942" s="53" t="str">
        <f t="shared" ca="1" si="14"/>
        <v/>
      </c>
      <c r="P942" t="str">
        <f ca="1">IF(TRIM(SUBSTITUTE(($C942&amp;" "&amp;$D942),CHAR(160)," "))="","",IFERROR(IF(ISNUMBER(SEARCH("INC",($C942&amp;" "&amp;$D942))),"INC",IF(ISNUMBER(SEARCH("OPI",($C942&amp;" "&amp;$D942))),"OPI",IF(ISNUMBER(SEARCH("DP",($C942&amp;" "&amp;$D942))),"DP","CONC")))&amp;" "&amp;TEXT(LOOKUP(9.99E+307,--MID(SUBSTITUTE(($C942&amp;" "&amp;$D942),CHAR(160)," "),SUMPRODUCT(MIN(FIND({0,1,2,3,4,5,6,7,8,9},SUBSTITUTE(($C942&amp;" "&amp;$D942),CHAR(160)," ")&amp;"0123456789"))),ROW(INDIRECT("1:6")))),"0"),"SIN NUMERO"))</f>
        <v/>
      </c>
      <c r="Q942" t="str">
        <f ca="1">IF($P942="","",IF(LEFT(UPPER($S942),9)="VERIFICAR","VERIFICAR",IF($A942="","SIN ESTADO",IF(AND($A942="Firmada",$H942=""),"FALTA FECHA DE FIRMA",IF(N($T942)=0,IF(AND(ISNUMBER($H942),$H942&gt;=DATE(2024,1,1)),"FALTA EN FIRMADAS","OK"),IF(OR($A942="Pendiente de presentación",$A942="Observado",$A942="En análisis",$A942="En instrucción",$A942="Suspendida",$A942="IT circulando",$A942="Para resolución",$A942="TDC"),"ABIERTA PERO ESTÁ EN FIRMADAS",IF($H942&lt;&gt;INDEX(firmadas!$F:$F,$T942),"FIRMA DISTINTA EN firmadas ("&amp;IF(INDEX(firmadas!$F:$F,$T942)="","vacía",DAY(INDEX(firmadas!$F:$F,$T942))&amp;"/"&amp;MONTH(INDEX(firmadas!$F:$F,$T942))&amp;"/"&amp;YEAR(INDEX(firmadas!$F:$F,$T942)))&amp;")",IF($G942&lt;&gt;INDEX(firmadas!$E:$E,$T942),"INGRESO DISTINTO EN firmadas ("&amp;IF(INDEX(firmadas!$E:$E,$T942)="","vacía",DAY(INDEX(firmadas!$E:$E,$T942))&amp;"/"&amp;MONTH(INDEX(firmadas!$E:$E,$T942))&amp;"/"&amp;YEAR(INDEX(firmadas!$E:$E,$T942)))&amp;")","OK"))))))))</f>
        <v/>
      </c>
      <c r="T942" t="str">
        <f ca="1">IF($P942="","",IFERROR(MATCH($P942,firmadas!$N:$N,0),IFERROR(MATCH("*/"&amp;MID($P942,FIND(" ",$P942)+1,9)&amp;"*",firmadas!$B:$B,0),0)))</f>
        <v/>
      </c>
    </row>
    <row r="943" spans="14:20" ht="15" customHeight="1" x14ac:dyDescent="0.25">
      <c r="N943" s="53" t="str">
        <f t="shared" ca="1" si="14"/>
        <v/>
      </c>
      <c r="P943" t="str">
        <f ca="1">IF(TRIM(SUBSTITUTE(($C943&amp;" "&amp;$D943),CHAR(160)," "))="","",IFERROR(IF(ISNUMBER(SEARCH("INC",($C943&amp;" "&amp;$D943))),"INC",IF(ISNUMBER(SEARCH("OPI",($C943&amp;" "&amp;$D943))),"OPI",IF(ISNUMBER(SEARCH("DP",($C943&amp;" "&amp;$D943))),"DP","CONC")))&amp;" "&amp;TEXT(LOOKUP(9.99E+307,--MID(SUBSTITUTE(($C943&amp;" "&amp;$D943),CHAR(160)," "),SUMPRODUCT(MIN(FIND({0,1,2,3,4,5,6,7,8,9},SUBSTITUTE(($C943&amp;" "&amp;$D943),CHAR(160)," ")&amp;"0123456789"))),ROW(INDIRECT("1:6")))),"0"),"SIN NUMERO"))</f>
        <v/>
      </c>
      <c r="Q943" t="str">
        <f ca="1">IF($P943="","",IF(LEFT(UPPER($S943),9)="VERIFICAR","VERIFICAR",IF($A943="","SIN ESTADO",IF(AND($A943="Firmada",$H943=""),"FALTA FECHA DE FIRMA",IF(N($T943)=0,IF(AND(ISNUMBER($H943),$H943&gt;=DATE(2024,1,1)),"FALTA EN FIRMADAS","OK"),IF(OR($A943="Pendiente de presentación",$A943="Observado",$A943="En análisis",$A943="En instrucción",$A943="Suspendida",$A943="IT circulando",$A943="Para resolución",$A943="TDC"),"ABIERTA PERO ESTÁ EN FIRMADAS",IF($H943&lt;&gt;INDEX(firmadas!$F:$F,$T943),"FIRMA DISTINTA EN firmadas ("&amp;IF(INDEX(firmadas!$F:$F,$T943)="","vacía",DAY(INDEX(firmadas!$F:$F,$T943))&amp;"/"&amp;MONTH(INDEX(firmadas!$F:$F,$T943))&amp;"/"&amp;YEAR(INDEX(firmadas!$F:$F,$T943)))&amp;")",IF($G943&lt;&gt;INDEX(firmadas!$E:$E,$T943),"INGRESO DISTINTO EN firmadas ("&amp;IF(INDEX(firmadas!$E:$E,$T943)="","vacía",DAY(INDEX(firmadas!$E:$E,$T943))&amp;"/"&amp;MONTH(INDEX(firmadas!$E:$E,$T943))&amp;"/"&amp;YEAR(INDEX(firmadas!$E:$E,$T943)))&amp;")","OK"))))))))</f>
        <v/>
      </c>
      <c r="T943" t="str">
        <f ca="1">IF($P943="","",IFERROR(MATCH($P943,firmadas!$N:$N,0),IFERROR(MATCH("*/"&amp;MID($P943,FIND(" ",$P943)+1,9)&amp;"*",firmadas!$B:$B,0),0)))</f>
        <v/>
      </c>
    </row>
    <row r="944" spans="14:20" ht="15" customHeight="1" x14ac:dyDescent="0.25">
      <c r="N944" s="53" t="str">
        <f t="shared" ca="1" si="14"/>
        <v/>
      </c>
      <c r="P944" t="str">
        <f ca="1">IF(TRIM(SUBSTITUTE(($C944&amp;" "&amp;$D944),CHAR(160)," "))="","",IFERROR(IF(ISNUMBER(SEARCH("INC",($C944&amp;" "&amp;$D944))),"INC",IF(ISNUMBER(SEARCH("OPI",($C944&amp;" "&amp;$D944))),"OPI",IF(ISNUMBER(SEARCH("DP",($C944&amp;" "&amp;$D944))),"DP","CONC")))&amp;" "&amp;TEXT(LOOKUP(9.99E+307,--MID(SUBSTITUTE(($C944&amp;" "&amp;$D944),CHAR(160)," "),SUMPRODUCT(MIN(FIND({0,1,2,3,4,5,6,7,8,9},SUBSTITUTE(($C944&amp;" "&amp;$D944),CHAR(160)," ")&amp;"0123456789"))),ROW(INDIRECT("1:6")))),"0"),"SIN NUMERO"))</f>
        <v/>
      </c>
      <c r="Q944" t="str">
        <f ca="1">IF($P944="","",IF(LEFT(UPPER($S944),9)="VERIFICAR","VERIFICAR",IF($A944="","SIN ESTADO",IF(AND($A944="Firmada",$H944=""),"FALTA FECHA DE FIRMA",IF(N($T944)=0,IF(AND(ISNUMBER($H944),$H944&gt;=DATE(2024,1,1)),"FALTA EN FIRMADAS","OK"),IF(OR($A944="Pendiente de presentación",$A944="Observado",$A944="En análisis",$A944="En instrucción",$A944="Suspendida",$A944="IT circulando",$A944="Para resolución",$A944="TDC"),"ABIERTA PERO ESTÁ EN FIRMADAS",IF($H944&lt;&gt;INDEX(firmadas!$F:$F,$T944),"FIRMA DISTINTA EN firmadas ("&amp;IF(INDEX(firmadas!$F:$F,$T944)="","vacía",DAY(INDEX(firmadas!$F:$F,$T944))&amp;"/"&amp;MONTH(INDEX(firmadas!$F:$F,$T944))&amp;"/"&amp;YEAR(INDEX(firmadas!$F:$F,$T944)))&amp;")",IF($G944&lt;&gt;INDEX(firmadas!$E:$E,$T944),"INGRESO DISTINTO EN firmadas ("&amp;IF(INDEX(firmadas!$E:$E,$T944)="","vacía",DAY(INDEX(firmadas!$E:$E,$T944))&amp;"/"&amp;MONTH(INDEX(firmadas!$E:$E,$T944))&amp;"/"&amp;YEAR(INDEX(firmadas!$E:$E,$T944)))&amp;")","OK"))))))))</f>
        <v/>
      </c>
      <c r="T944" t="str">
        <f ca="1">IF($P944="","",IFERROR(MATCH($P944,firmadas!$N:$N,0),IFERROR(MATCH("*/"&amp;MID($P944,FIND(" ",$P944)+1,9)&amp;"*",firmadas!$B:$B,0),0)))</f>
        <v/>
      </c>
    </row>
    <row r="945" spans="14:20" ht="15" customHeight="1" x14ac:dyDescent="0.25">
      <c r="N945" s="53" t="str">
        <f t="shared" ca="1" si="14"/>
        <v/>
      </c>
      <c r="P945" t="str">
        <f ca="1">IF(TRIM(SUBSTITUTE(($C945&amp;" "&amp;$D945),CHAR(160)," "))="","",IFERROR(IF(ISNUMBER(SEARCH("INC",($C945&amp;" "&amp;$D945))),"INC",IF(ISNUMBER(SEARCH("OPI",($C945&amp;" "&amp;$D945))),"OPI",IF(ISNUMBER(SEARCH("DP",($C945&amp;" "&amp;$D945))),"DP","CONC")))&amp;" "&amp;TEXT(LOOKUP(9.99E+307,--MID(SUBSTITUTE(($C945&amp;" "&amp;$D945),CHAR(160)," "),SUMPRODUCT(MIN(FIND({0,1,2,3,4,5,6,7,8,9},SUBSTITUTE(($C945&amp;" "&amp;$D945),CHAR(160)," ")&amp;"0123456789"))),ROW(INDIRECT("1:6")))),"0"),"SIN NUMERO"))</f>
        <v/>
      </c>
      <c r="Q945" t="str">
        <f ca="1">IF($P945="","",IF(LEFT(UPPER($S945),9)="VERIFICAR","VERIFICAR",IF($A945="","SIN ESTADO",IF(AND($A945="Firmada",$H945=""),"FALTA FECHA DE FIRMA",IF(N($T945)=0,IF(AND(ISNUMBER($H945),$H945&gt;=DATE(2024,1,1)),"FALTA EN FIRMADAS","OK"),IF(OR($A945="Pendiente de presentación",$A945="Observado",$A945="En análisis",$A945="En instrucción",$A945="Suspendida",$A945="IT circulando",$A945="Para resolución",$A945="TDC"),"ABIERTA PERO ESTÁ EN FIRMADAS",IF($H945&lt;&gt;INDEX(firmadas!$F:$F,$T945),"FIRMA DISTINTA EN firmadas ("&amp;IF(INDEX(firmadas!$F:$F,$T945)="","vacía",DAY(INDEX(firmadas!$F:$F,$T945))&amp;"/"&amp;MONTH(INDEX(firmadas!$F:$F,$T945))&amp;"/"&amp;YEAR(INDEX(firmadas!$F:$F,$T945)))&amp;")",IF($G945&lt;&gt;INDEX(firmadas!$E:$E,$T945),"INGRESO DISTINTO EN firmadas ("&amp;IF(INDEX(firmadas!$E:$E,$T945)="","vacía",DAY(INDEX(firmadas!$E:$E,$T945))&amp;"/"&amp;MONTH(INDEX(firmadas!$E:$E,$T945))&amp;"/"&amp;YEAR(INDEX(firmadas!$E:$E,$T945)))&amp;")","OK"))))))))</f>
        <v/>
      </c>
      <c r="T945" t="str">
        <f ca="1">IF($P945="","",IFERROR(MATCH($P945,firmadas!$N:$N,0),IFERROR(MATCH("*/"&amp;MID($P945,FIND(" ",$P945)+1,9)&amp;"*",firmadas!$B:$B,0),0)))</f>
        <v/>
      </c>
    </row>
    <row r="946" spans="14:20" ht="15" customHeight="1" x14ac:dyDescent="0.25">
      <c r="N946" s="53" t="str">
        <f t="shared" ca="1" si="14"/>
        <v/>
      </c>
      <c r="P946" t="str">
        <f ca="1">IF(TRIM(SUBSTITUTE(($C946&amp;" "&amp;$D946),CHAR(160)," "))="","",IFERROR(IF(ISNUMBER(SEARCH("INC",($C946&amp;" "&amp;$D946))),"INC",IF(ISNUMBER(SEARCH("OPI",($C946&amp;" "&amp;$D946))),"OPI",IF(ISNUMBER(SEARCH("DP",($C946&amp;" "&amp;$D946))),"DP","CONC")))&amp;" "&amp;TEXT(LOOKUP(9.99E+307,--MID(SUBSTITUTE(($C946&amp;" "&amp;$D946),CHAR(160)," "),SUMPRODUCT(MIN(FIND({0,1,2,3,4,5,6,7,8,9},SUBSTITUTE(($C946&amp;" "&amp;$D946),CHAR(160)," ")&amp;"0123456789"))),ROW(INDIRECT("1:6")))),"0"),"SIN NUMERO"))</f>
        <v/>
      </c>
      <c r="Q946" t="str">
        <f ca="1">IF($P946="","",IF(LEFT(UPPER($S946),9)="VERIFICAR","VERIFICAR",IF($A946="","SIN ESTADO",IF(AND($A946="Firmada",$H946=""),"FALTA FECHA DE FIRMA",IF(N($T946)=0,IF(AND(ISNUMBER($H946),$H946&gt;=DATE(2024,1,1)),"FALTA EN FIRMADAS","OK"),IF(OR($A946="Pendiente de presentación",$A946="Observado",$A946="En análisis",$A946="En instrucción",$A946="Suspendida",$A946="IT circulando",$A946="Para resolución",$A946="TDC"),"ABIERTA PERO ESTÁ EN FIRMADAS",IF($H946&lt;&gt;INDEX(firmadas!$F:$F,$T946),"FIRMA DISTINTA EN firmadas ("&amp;IF(INDEX(firmadas!$F:$F,$T946)="","vacía",DAY(INDEX(firmadas!$F:$F,$T946))&amp;"/"&amp;MONTH(INDEX(firmadas!$F:$F,$T946))&amp;"/"&amp;YEAR(INDEX(firmadas!$F:$F,$T946)))&amp;")",IF($G946&lt;&gt;INDEX(firmadas!$E:$E,$T946),"INGRESO DISTINTO EN firmadas ("&amp;IF(INDEX(firmadas!$E:$E,$T946)="","vacía",DAY(INDEX(firmadas!$E:$E,$T946))&amp;"/"&amp;MONTH(INDEX(firmadas!$E:$E,$T946))&amp;"/"&amp;YEAR(INDEX(firmadas!$E:$E,$T946)))&amp;")","OK"))))))))</f>
        <v/>
      </c>
      <c r="T946" t="str">
        <f ca="1">IF($P946="","",IFERROR(MATCH($P946,firmadas!$N:$N,0),IFERROR(MATCH("*/"&amp;MID($P946,FIND(" ",$P946)+1,9)&amp;"*",firmadas!$B:$B,0),0)))</f>
        <v/>
      </c>
    </row>
    <row r="947" spans="14:20" ht="15" customHeight="1" x14ac:dyDescent="0.25">
      <c r="N947" s="53" t="str">
        <f t="shared" ca="1" si="14"/>
        <v/>
      </c>
      <c r="P947" t="str">
        <f ca="1">IF(TRIM(SUBSTITUTE(($C947&amp;" "&amp;$D947),CHAR(160)," "))="","",IFERROR(IF(ISNUMBER(SEARCH("INC",($C947&amp;" "&amp;$D947))),"INC",IF(ISNUMBER(SEARCH("OPI",($C947&amp;" "&amp;$D947))),"OPI",IF(ISNUMBER(SEARCH("DP",($C947&amp;" "&amp;$D947))),"DP","CONC")))&amp;" "&amp;TEXT(LOOKUP(9.99E+307,--MID(SUBSTITUTE(($C947&amp;" "&amp;$D947),CHAR(160)," "),SUMPRODUCT(MIN(FIND({0,1,2,3,4,5,6,7,8,9},SUBSTITUTE(($C947&amp;" "&amp;$D947),CHAR(160)," ")&amp;"0123456789"))),ROW(INDIRECT("1:6")))),"0"),"SIN NUMERO"))</f>
        <v/>
      </c>
      <c r="Q947" t="str">
        <f ca="1">IF($P947="","",IF(LEFT(UPPER($S947),9)="VERIFICAR","VERIFICAR",IF($A947="","SIN ESTADO",IF(AND($A947="Firmada",$H947=""),"FALTA FECHA DE FIRMA",IF(N($T947)=0,IF(AND(ISNUMBER($H947),$H947&gt;=DATE(2024,1,1)),"FALTA EN FIRMADAS","OK"),IF(OR($A947="Pendiente de presentación",$A947="Observado",$A947="En análisis",$A947="En instrucción",$A947="Suspendida",$A947="IT circulando",$A947="Para resolución",$A947="TDC"),"ABIERTA PERO ESTÁ EN FIRMADAS",IF($H947&lt;&gt;INDEX(firmadas!$F:$F,$T947),"FIRMA DISTINTA EN firmadas ("&amp;IF(INDEX(firmadas!$F:$F,$T947)="","vacía",DAY(INDEX(firmadas!$F:$F,$T947))&amp;"/"&amp;MONTH(INDEX(firmadas!$F:$F,$T947))&amp;"/"&amp;YEAR(INDEX(firmadas!$F:$F,$T947)))&amp;")",IF($G947&lt;&gt;INDEX(firmadas!$E:$E,$T947),"INGRESO DISTINTO EN firmadas ("&amp;IF(INDEX(firmadas!$E:$E,$T947)="","vacía",DAY(INDEX(firmadas!$E:$E,$T947))&amp;"/"&amp;MONTH(INDEX(firmadas!$E:$E,$T947))&amp;"/"&amp;YEAR(INDEX(firmadas!$E:$E,$T947)))&amp;")","OK"))))))))</f>
        <v/>
      </c>
      <c r="T947" t="str">
        <f ca="1">IF($P947="","",IFERROR(MATCH($P947,firmadas!$N:$N,0),IFERROR(MATCH("*/"&amp;MID($P947,FIND(" ",$P947)+1,9)&amp;"*",firmadas!$B:$B,0),0)))</f>
        <v/>
      </c>
    </row>
    <row r="948" spans="14:20" ht="15" customHeight="1" x14ac:dyDescent="0.25">
      <c r="N948" s="53" t="str">
        <f t="shared" ca="1" si="14"/>
        <v/>
      </c>
      <c r="P948" t="str">
        <f ca="1">IF(TRIM(SUBSTITUTE(($C948&amp;" "&amp;$D948),CHAR(160)," "))="","",IFERROR(IF(ISNUMBER(SEARCH("INC",($C948&amp;" "&amp;$D948))),"INC",IF(ISNUMBER(SEARCH("OPI",($C948&amp;" "&amp;$D948))),"OPI",IF(ISNUMBER(SEARCH("DP",($C948&amp;" "&amp;$D948))),"DP","CONC")))&amp;" "&amp;TEXT(LOOKUP(9.99E+307,--MID(SUBSTITUTE(($C948&amp;" "&amp;$D948),CHAR(160)," "),SUMPRODUCT(MIN(FIND({0,1,2,3,4,5,6,7,8,9},SUBSTITUTE(($C948&amp;" "&amp;$D948),CHAR(160)," ")&amp;"0123456789"))),ROW(INDIRECT("1:6")))),"0"),"SIN NUMERO"))</f>
        <v/>
      </c>
      <c r="Q948" t="str">
        <f ca="1">IF($P948="","",IF(LEFT(UPPER($S948),9)="VERIFICAR","VERIFICAR",IF($A948="","SIN ESTADO",IF(AND($A948="Firmada",$H948=""),"FALTA FECHA DE FIRMA",IF(N($T948)=0,IF(AND(ISNUMBER($H948),$H948&gt;=DATE(2024,1,1)),"FALTA EN FIRMADAS","OK"),IF(OR($A948="Pendiente de presentación",$A948="Observado",$A948="En análisis",$A948="En instrucción",$A948="Suspendida",$A948="IT circulando",$A948="Para resolución",$A948="TDC"),"ABIERTA PERO ESTÁ EN FIRMADAS",IF($H948&lt;&gt;INDEX(firmadas!$F:$F,$T948),"FIRMA DISTINTA EN firmadas ("&amp;IF(INDEX(firmadas!$F:$F,$T948)="","vacía",DAY(INDEX(firmadas!$F:$F,$T948))&amp;"/"&amp;MONTH(INDEX(firmadas!$F:$F,$T948))&amp;"/"&amp;YEAR(INDEX(firmadas!$F:$F,$T948)))&amp;")",IF($G948&lt;&gt;INDEX(firmadas!$E:$E,$T948),"INGRESO DISTINTO EN firmadas ("&amp;IF(INDEX(firmadas!$E:$E,$T948)="","vacía",DAY(INDEX(firmadas!$E:$E,$T948))&amp;"/"&amp;MONTH(INDEX(firmadas!$E:$E,$T948))&amp;"/"&amp;YEAR(INDEX(firmadas!$E:$E,$T948)))&amp;")","OK"))))))))</f>
        <v/>
      </c>
      <c r="T948" t="str">
        <f ca="1">IF($P948="","",IFERROR(MATCH($P948,firmadas!$N:$N,0),IFERROR(MATCH("*/"&amp;MID($P948,FIND(" ",$P948)+1,9)&amp;"*",firmadas!$B:$B,0),0)))</f>
        <v/>
      </c>
    </row>
    <row r="949" spans="14:20" ht="15" customHeight="1" x14ac:dyDescent="0.25">
      <c r="N949" s="53" t="str">
        <f t="shared" ca="1" si="14"/>
        <v/>
      </c>
      <c r="P949" t="str">
        <f ca="1">IF(TRIM(SUBSTITUTE(($C949&amp;" "&amp;$D949),CHAR(160)," "))="","",IFERROR(IF(ISNUMBER(SEARCH("INC",($C949&amp;" "&amp;$D949))),"INC",IF(ISNUMBER(SEARCH("OPI",($C949&amp;" "&amp;$D949))),"OPI",IF(ISNUMBER(SEARCH("DP",($C949&amp;" "&amp;$D949))),"DP","CONC")))&amp;" "&amp;TEXT(LOOKUP(9.99E+307,--MID(SUBSTITUTE(($C949&amp;" "&amp;$D949),CHAR(160)," "),SUMPRODUCT(MIN(FIND({0,1,2,3,4,5,6,7,8,9},SUBSTITUTE(($C949&amp;" "&amp;$D949),CHAR(160)," ")&amp;"0123456789"))),ROW(INDIRECT("1:6")))),"0"),"SIN NUMERO"))</f>
        <v/>
      </c>
      <c r="Q949" t="str">
        <f ca="1">IF($P949="","",IF(LEFT(UPPER($S949),9)="VERIFICAR","VERIFICAR",IF($A949="","SIN ESTADO",IF(AND($A949="Firmada",$H949=""),"FALTA FECHA DE FIRMA",IF(N($T949)=0,IF(AND(ISNUMBER($H949),$H949&gt;=DATE(2024,1,1)),"FALTA EN FIRMADAS","OK"),IF(OR($A949="Pendiente de presentación",$A949="Observado",$A949="En análisis",$A949="En instrucción",$A949="Suspendida",$A949="IT circulando",$A949="Para resolución",$A949="TDC"),"ABIERTA PERO ESTÁ EN FIRMADAS",IF($H949&lt;&gt;INDEX(firmadas!$F:$F,$T949),"FIRMA DISTINTA EN firmadas ("&amp;IF(INDEX(firmadas!$F:$F,$T949)="","vacía",DAY(INDEX(firmadas!$F:$F,$T949))&amp;"/"&amp;MONTH(INDEX(firmadas!$F:$F,$T949))&amp;"/"&amp;YEAR(INDEX(firmadas!$F:$F,$T949)))&amp;")",IF($G949&lt;&gt;INDEX(firmadas!$E:$E,$T949),"INGRESO DISTINTO EN firmadas ("&amp;IF(INDEX(firmadas!$E:$E,$T949)="","vacía",DAY(INDEX(firmadas!$E:$E,$T949))&amp;"/"&amp;MONTH(INDEX(firmadas!$E:$E,$T949))&amp;"/"&amp;YEAR(INDEX(firmadas!$E:$E,$T949)))&amp;")","OK"))))))))</f>
        <v/>
      </c>
      <c r="T949" t="str">
        <f ca="1">IF($P949="","",IFERROR(MATCH($P949,firmadas!$N:$N,0),IFERROR(MATCH("*/"&amp;MID($P949,FIND(" ",$P949)+1,9)&amp;"*",firmadas!$B:$B,0),0)))</f>
        <v/>
      </c>
    </row>
    <row r="950" spans="14:20" ht="15" customHeight="1" x14ac:dyDescent="0.25">
      <c r="N950" s="53" t="str">
        <f t="shared" ca="1" si="14"/>
        <v/>
      </c>
      <c r="P950" t="str">
        <f ca="1">IF(TRIM(SUBSTITUTE(($C950&amp;" "&amp;$D950),CHAR(160)," "))="","",IFERROR(IF(ISNUMBER(SEARCH("INC",($C950&amp;" "&amp;$D950))),"INC",IF(ISNUMBER(SEARCH("OPI",($C950&amp;" "&amp;$D950))),"OPI",IF(ISNUMBER(SEARCH("DP",($C950&amp;" "&amp;$D950))),"DP","CONC")))&amp;" "&amp;TEXT(LOOKUP(9.99E+307,--MID(SUBSTITUTE(($C950&amp;" "&amp;$D950),CHAR(160)," "),SUMPRODUCT(MIN(FIND({0,1,2,3,4,5,6,7,8,9},SUBSTITUTE(($C950&amp;" "&amp;$D950),CHAR(160)," ")&amp;"0123456789"))),ROW(INDIRECT("1:6")))),"0"),"SIN NUMERO"))</f>
        <v/>
      </c>
      <c r="Q950" t="str">
        <f ca="1">IF($P950="","",IF(LEFT(UPPER($S950),9)="VERIFICAR","VERIFICAR",IF($A950="","SIN ESTADO",IF(AND($A950="Firmada",$H950=""),"FALTA FECHA DE FIRMA",IF(N($T950)=0,IF(AND(ISNUMBER($H950),$H950&gt;=DATE(2024,1,1)),"FALTA EN FIRMADAS","OK"),IF(OR($A950="Pendiente de presentación",$A950="Observado",$A950="En análisis",$A950="En instrucción",$A950="Suspendida",$A950="IT circulando",$A950="Para resolución",$A950="TDC"),"ABIERTA PERO ESTÁ EN FIRMADAS",IF($H950&lt;&gt;INDEX(firmadas!$F:$F,$T950),"FIRMA DISTINTA EN firmadas ("&amp;IF(INDEX(firmadas!$F:$F,$T950)="","vacía",DAY(INDEX(firmadas!$F:$F,$T950))&amp;"/"&amp;MONTH(INDEX(firmadas!$F:$F,$T950))&amp;"/"&amp;YEAR(INDEX(firmadas!$F:$F,$T950)))&amp;")",IF($G950&lt;&gt;INDEX(firmadas!$E:$E,$T950),"INGRESO DISTINTO EN firmadas ("&amp;IF(INDEX(firmadas!$E:$E,$T950)="","vacía",DAY(INDEX(firmadas!$E:$E,$T950))&amp;"/"&amp;MONTH(INDEX(firmadas!$E:$E,$T950))&amp;"/"&amp;YEAR(INDEX(firmadas!$E:$E,$T950)))&amp;")","OK"))))))))</f>
        <v/>
      </c>
      <c r="T950" t="str">
        <f ca="1">IF($P950="","",IFERROR(MATCH($P950,firmadas!$N:$N,0),IFERROR(MATCH("*/"&amp;MID($P950,FIND(" ",$P950)+1,9)&amp;"*",firmadas!$B:$B,0),0)))</f>
        <v/>
      </c>
    </row>
    <row r="951" spans="14:20" ht="15" customHeight="1" x14ac:dyDescent="0.25">
      <c r="N951" s="53" t="str">
        <f t="shared" ca="1" si="14"/>
        <v/>
      </c>
      <c r="P951" t="str">
        <f ca="1">IF(TRIM(SUBSTITUTE(($C951&amp;" "&amp;$D951),CHAR(160)," "))="","",IFERROR(IF(ISNUMBER(SEARCH("INC",($C951&amp;" "&amp;$D951))),"INC",IF(ISNUMBER(SEARCH("OPI",($C951&amp;" "&amp;$D951))),"OPI",IF(ISNUMBER(SEARCH("DP",($C951&amp;" "&amp;$D951))),"DP","CONC")))&amp;" "&amp;TEXT(LOOKUP(9.99E+307,--MID(SUBSTITUTE(($C951&amp;" "&amp;$D951),CHAR(160)," "),SUMPRODUCT(MIN(FIND({0,1,2,3,4,5,6,7,8,9},SUBSTITUTE(($C951&amp;" "&amp;$D951),CHAR(160)," ")&amp;"0123456789"))),ROW(INDIRECT("1:6")))),"0"),"SIN NUMERO"))</f>
        <v/>
      </c>
      <c r="Q951" t="str">
        <f ca="1">IF($P951="","",IF(LEFT(UPPER($S951),9)="VERIFICAR","VERIFICAR",IF($A951="","SIN ESTADO",IF(AND($A951="Firmada",$H951=""),"FALTA FECHA DE FIRMA",IF(N($T951)=0,IF(AND(ISNUMBER($H951),$H951&gt;=DATE(2024,1,1)),"FALTA EN FIRMADAS","OK"),IF(OR($A951="Pendiente de presentación",$A951="Observado",$A951="En análisis",$A951="En instrucción",$A951="Suspendida",$A951="IT circulando",$A951="Para resolución",$A951="TDC"),"ABIERTA PERO ESTÁ EN FIRMADAS",IF($H951&lt;&gt;INDEX(firmadas!$F:$F,$T951),"FIRMA DISTINTA EN firmadas ("&amp;IF(INDEX(firmadas!$F:$F,$T951)="","vacía",DAY(INDEX(firmadas!$F:$F,$T951))&amp;"/"&amp;MONTH(INDEX(firmadas!$F:$F,$T951))&amp;"/"&amp;YEAR(INDEX(firmadas!$F:$F,$T951)))&amp;")",IF($G951&lt;&gt;INDEX(firmadas!$E:$E,$T951),"INGRESO DISTINTO EN firmadas ("&amp;IF(INDEX(firmadas!$E:$E,$T951)="","vacía",DAY(INDEX(firmadas!$E:$E,$T951))&amp;"/"&amp;MONTH(INDEX(firmadas!$E:$E,$T951))&amp;"/"&amp;YEAR(INDEX(firmadas!$E:$E,$T951)))&amp;")","OK"))))))))</f>
        <v/>
      </c>
      <c r="T951" t="str">
        <f ca="1">IF($P951="","",IFERROR(MATCH($P951,firmadas!$N:$N,0),IFERROR(MATCH("*/"&amp;MID($P951,FIND(" ",$P951)+1,9)&amp;"*",firmadas!$B:$B,0),0)))</f>
        <v/>
      </c>
    </row>
    <row r="952" spans="14:20" ht="15" customHeight="1" x14ac:dyDescent="0.25">
      <c r="N952" s="53" t="str">
        <f t="shared" ca="1" si="14"/>
        <v/>
      </c>
      <c r="P952" t="str">
        <f ca="1">IF(TRIM(SUBSTITUTE(($C952&amp;" "&amp;$D952),CHAR(160)," "))="","",IFERROR(IF(ISNUMBER(SEARCH("INC",($C952&amp;" "&amp;$D952))),"INC",IF(ISNUMBER(SEARCH("OPI",($C952&amp;" "&amp;$D952))),"OPI",IF(ISNUMBER(SEARCH("DP",($C952&amp;" "&amp;$D952))),"DP","CONC")))&amp;" "&amp;TEXT(LOOKUP(9.99E+307,--MID(SUBSTITUTE(($C952&amp;" "&amp;$D952),CHAR(160)," "),SUMPRODUCT(MIN(FIND({0,1,2,3,4,5,6,7,8,9},SUBSTITUTE(($C952&amp;" "&amp;$D952),CHAR(160)," ")&amp;"0123456789"))),ROW(INDIRECT("1:6")))),"0"),"SIN NUMERO"))</f>
        <v/>
      </c>
      <c r="Q952" t="str">
        <f ca="1">IF($P952="","",IF(LEFT(UPPER($S952),9)="VERIFICAR","VERIFICAR",IF($A952="","SIN ESTADO",IF(AND($A952="Firmada",$H952=""),"FALTA FECHA DE FIRMA",IF(N($T952)=0,IF(AND(ISNUMBER($H952),$H952&gt;=DATE(2024,1,1)),"FALTA EN FIRMADAS","OK"),IF(OR($A952="Pendiente de presentación",$A952="Observado",$A952="En análisis",$A952="En instrucción",$A952="Suspendida",$A952="IT circulando",$A952="Para resolución",$A952="TDC"),"ABIERTA PERO ESTÁ EN FIRMADAS",IF($H952&lt;&gt;INDEX(firmadas!$F:$F,$T952),"FIRMA DISTINTA EN firmadas ("&amp;IF(INDEX(firmadas!$F:$F,$T952)="","vacía",DAY(INDEX(firmadas!$F:$F,$T952))&amp;"/"&amp;MONTH(INDEX(firmadas!$F:$F,$T952))&amp;"/"&amp;YEAR(INDEX(firmadas!$F:$F,$T952)))&amp;")",IF($G952&lt;&gt;INDEX(firmadas!$E:$E,$T952),"INGRESO DISTINTO EN firmadas ("&amp;IF(INDEX(firmadas!$E:$E,$T952)="","vacía",DAY(INDEX(firmadas!$E:$E,$T952))&amp;"/"&amp;MONTH(INDEX(firmadas!$E:$E,$T952))&amp;"/"&amp;YEAR(INDEX(firmadas!$E:$E,$T952)))&amp;")","OK"))))))))</f>
        <v/>
      </c>
      <c r="T952" t="str">
        <f ca="1">IF($P952="","",IFERROR(MATCH($P952,firmadas!$N:$N,0),IFERROR(MATCH("*/"&amp;MID($P952,FIND(" ",$P952)+1,9)&amp;"*",firmadas!$B:$B,0),0)))</f>
        <v/>
      </c>
    </row>
    <row r="953" spans="14:20" ht="15" customHeight="1" x14ac:dyDescent="0.25">
      <c r="N953" s="53" t="str">
        <f t="shared" ca="1" si="14"/>
        <v/>
      </c>
      <c r="P953" t="str">
        <f ca="1">IF(TRIM(SUBSTITUTE(($C953&amp;" "&amp;$D953),CHAR(160)," "))="","",IFERROR(IF(ISNUMBER(SEARCH("INC",($C953&amp;" "&amp;$D953))),"INC",IF(ISNUMBER(SEARCH("OPI",($C953&amp;" "&amp;$D953))),"OPI",IF(ISNUMBER(SEARCH("DP",($C953&amp;" "&amp;$D953))),"DP","CONC")))&amp;" "&amp;TEXT(LOOKUP(9.99E+307,--MID(SUBSTITUTE(($C953&amp;" "&amp;$D953),CHAR(160)," "),SUMPRODUCT(MIN(FIND({0,1,2,3,4,5,6,7,8,9},SUBSTITUTE(($C953&amp;" "&amp;$D953),CHAR(160)," ")&amp;"0123456789"))),ROW(INDIRECT("1:6")))),"0"),"SIN NUMERO"))</f>
        <v/>
      </c>
      <c r="Q953" t="str">
        <f ca="1">IF($P953="","",IF(LEFT(UPPER($S953),9)="VERIFICAR","VERIFICAR",IF($A953="","SIN ESTADO",IF(AND($A953="Firmada",$H953=""),"FALTA FECHA DE FIRMA",IF(N($T953)=0,IF(AND(ISNUMBER($H953),$H953&gt;=DATE(2024,1,1)),"FALTA EN FIRMADAS","OK"),IF(OR($A953="Pendiente de presentación",$A953="Observado",$A953="En análisis",$A953="En instrucción",$A953="Suspendida",$A953="IT circulando",$A953="Para resolución",$A953="TDC"),"ABIERTA PERO ESTÁ EN FIRMADAS",IF($H953&lt;&gt;INDEX(firmadas!$F:$F,$T953),"FIRMA DISTINTA EN firmadas ("&amp;IF(INDEX(firmadas!$F:$F,$T953)="","vacía",DAY(INDEX(firmadas!$F:$F,$T953))&amp;"/"&amp;MONTH(INDEX(firmadas!$F:$F,$T953))&amp;"/"&amp;YEAR(INDEX(firmadas!$F:$F,$T953)))&amp;")",IF($G953&lt;&gt;INDEX(firmadas!$E:$E,$T953),"INGRESO DISTINTO EN firmadas ("&amp;IF(INDEX(firmadas!$E:$E,$T953)="","vacía",DAY(INDEX(firmadas!$E:$E,$T953))&amp;"/"&amp;MONTH(INDEX(firmadas!$E:$E,$T953))&amp;"/"&amp;YEAR(INDEX(firmadas!$E:$E,$T953)))&amp;")","OK"))))))))</f>
        <v/>
      </c>
      <c r="T953" t="str">
        <f ca="1">IF($P953="","",IFERROR(MATCH($P953,firmadas!$N:$N,0),IFERROR(MATCH("*/"&amp;MID($P953,FIND(" ",$P953)+1,9)&amp;"*",firmadas!$B:$B,0),0)))</f>
        <v/>
      </c>
    </row>
    <row r="954" spans="14:20" ht="15" customHeight="1" x14ac:dyDescent="0.25">
      <c r="N954" s="53" t="str">
        <f t="shared" ca="1" si="14"/>
        <v/>
      </c>
      <c r="P954" t="str">
        <f ca="1">IF(TRIM(SUBSTITUTE(($C954&amp;" "&amp;$D954),CHAR(160)," "))="","",IFERROR(IF(ISNUMBER(SEARCH("INC",($C954&amp;" "&amp;$D954))),"INC",IF(ISNUMBER(SEARCH("OPI",($C954&amp;" "&amp;$D954))),"OPI",IF(ISNUMBER(SEARCH("DP",($C954&amp;" "&amp;$D954))),"DP","CONC")))&amp;" "&amp;TEXT(LOOKUP(9.99E+307,--MID(SUBSTITUTE(($C954&amp;" "&amp;$D954),CHAR(160)," "),SUMPRODUCT(MIN(FIND({0,1,2,3,4,5,6,7,8,9},SUBSTITUTE(($C954&amp;" "&amp;$D954),CHAR(160)," ")&amp;"0123456789"))),ROW(INDIRECT("1:6")))),"0"),"SIN NUMERO"))</f>
        <v/>
      </c>
      <c r="Q954" t="str">
        <f ca="1">IF($P954="","",IF(LEFT(UPPER($S954),9)="VERIFICAR","VERIFICAR",IF($A954="","SIN ESTADO",IF(AND($A954="Firmada",$H954=""),"FALTA FECHA DE FIRMA",IF(N($T954)=0,IF(AND(ISNUMBER($H954),$H954&gt;=DATE(2024,1,1)),"FALTA EN FIRMADAS","OK"),IF(OR($A954="Pendiente de presentación",$A954="Observado",$A954="En análisis",$A954="En instrucción",$A954="Suspendida",$A954="IT circulando",$A954="Para resolución",$A954="TDC"),"ABIERTA PERO ESTÁ EN FIRMADAS",IF($H954&lt;&gt;INDEX(firmadas!$F:$F,$T954),"FIRMA DISTINTA EN firmadas ("&amp;IF(INDEX(firmadas!$F:$F,$T954)="","vacía",DAY(INDEX(firmadas!$F:$F,$T954))&amp;"/"&amp;MONTH(INDEX(firmadas!$F:$F,$T954))&amp;"/"&amp;YEAR(INDEX(firmadas!$F:$F,$T954)))&amp;")",IF($G954&lt;&gt;INDEX(firmadas!$E:$E,$T954),"INGRESO DISTINTO EN firmadas ("&amp;IF(INDEX(firmadas!$E:$E,$T954)="","vacía",DAY(INDEX(firmadas!$E:$E,$T954))&amp;"/"&amp;MONTH(INDEX(firmadas!$E:$E,$T954))&amp;"/"&amp;YEAR(INDEX(firmadas!$E:$E,$T954)))&amp;")","OK"))))))))</f>
        <v/>
      </c>
      <c r="T954" t="str">
        <f ca="1">IF($P954="","",IFERROR(MATCH($P954,firmadas!$N:$N,0),IFERROR(MATCH("*/"&amp;MID($P954,FIND(" ",$P954)+1,9)&amp;"*",firmadas!$B:$B,0),0)))</f>
        <v/>
      </c>
    </row>
    <row r="955" spans="14:20" ht="15" customHeight="1" x14ac:dyDescent="0.25">
      <c r="N955" s="53" t="str">
        <f t="shared" ca="1" si="14"/>
        <v/>
      </c>
      <c r="P955" t="str">
        <f ca="1">IF(TRIM(SUBSTITUTE(($C955&amp;" "&amp;$D955),CHAR(160)," "))="","",IFERROR(IF(ISNUMBER(SEARCH("INC",($C955&amp;" "&amp;$D955))),"INC",IF(ISNUMBER(SEARCH("OPI",($C955&amp;" "&amp;$D955))),"OPI",IF(ISNUMBER(SEARCH("DP",($C955&amp;" "&amp;$D955))),"DP","CONC")))&amp;" "&amp;TEXT(LOOKUP(9.99E+307,--MID(SUBSTITUTE(($C955&amp;" "&amp;$D955),CHAR(160)," "),SUMPRODUCT(MIN(FIND({0,1,2,3,4,5,6,7,8,9},SUBSTITUTE(($C955&amp;" "&amp;$D955),CHAR(160)," ")&amp;"0123456789"))),ROW(INDIRECT("1:6")))),"0"),"SIN NUMERO"))</f>
        <v/>
      </c>
      <c r="Q955" t="str">
        <f ca="1">IF($P955="","",IF(LEFT(UPPER($S955),9)="VERIFICAR","VERIFICAR",IF($A955="","SIN ESTADO",IF(AND($A955="Firmada",$H955=""),"FALTA FECHA DE FIRMA",IF(N($T955)=0,IF(AND(ISNUMBER($H955),$H955&gt;=DATE(2024,1,1)),"FALTA EN FIRMADAS","OK"),IF(OR($A955="Pendiente de presentación",$A955="Observado",$A955="En análisis",$A955="En instrucción",$A955="Suspendida",$A955="IT circulando",$A955="Para resolución",$A955="TDC"),"ABIERTA PERO ESTÁ EN FIRMADAS",IF($H955&lt;&gt;INDEX(firmadas!$F:$F,$T955),"FIRMA DISTINTA EN firmadas ("&amp;IF(INDEX(firmadas!$F:$F,$T955)="","vacía",DAY(INDEX(firmadas!$F:$F,$T955))&amp;"/"&amp;MONTH(INDEX(firmadas!$F:$F,$T955))&amp;"/"&amp;YEAR(INDEX(firmadas!$F:$F,$T955)))&amp;")",IF($G955&lt;&gt;INDEX(firmadas!$E:$E,$T955),"INGRESO DISTINTO EN firmadas ("&amp;IF(INDEX(firmadas!$E:$E,$T955)="","vacía",DAY(INDEX(firmadas!$E:$E,$T955))&amp;"/"&amp;MONTH(INDEX(firmadas!$E:$E,$T955))&amp;"/"&amp;YEAR(INDEX(firmadas!$E:$E,$T955)))&amp;")","OK"))))))))</f>
        <v/>
      </c>
      <c r="T955" t="str">
        <f ca="1">IF($P955="","",IFERROR(MATCH($P955,firmadas!$N:$N,0),IFERROR(MATCH("*/"&amp;MID($P955,FIND(" ",$P955)+1,9)&amp;"*",firmadas!$B:$B,0),0)))</f>
        <v/>
      </c>
    </row>
    <row r="956" spans="14:20" ht="15" customHeight="1" x14ac:dyDescent="0.25">
      <c r="N956" s="53" t="str">
        <f t="shared" ca="1" si="14"/>
        <v/>
      </c>
      <c r="P956" t="str">
        <f ca="1">IF(TRIM(SUBSTITUTE(($C956&amp;" "&amp;$D956),CHAR(160)," "))="","",IFERROR(IF(ISNUMBER(SEARCH("INC",($C956&amp;" "&amp;$D956))),"INC",IF(ISNUMBER(SEARCH("OPI",($C956&amp;" "&amp;$D956))),"OPI",IF(ISNUMBER(SEARCH("DP",($C956&amp;" "&amp;$D956))),"DP","CONC")))&amp;" "&amp;TEXT(LOOKUP(9.99E+307,--MID(SUBSTITUTE(($C956&amp;" "&amp;$D956),CHAR(160)," "),SUMPRODUCT(MIN(FIND({0,1,2,3,4,5,6,7,8,9},SUBSTITUTE(($C956&amp;" "&amp;$D956),CHAR(160)," ")&amp;"0123456789"))),ROW(INDIRECT("1:6")))),"0"),"SIN NUMERO"))</f>
        <v/>
      </c>
      <c r="Q956" t="str">
        <f ca="1">IF($P956="","",IF(LEFT(UPPER($S956),9)="VERIFICAR","VERIFICAR",IF($A956="","SIN ESTADO",IF(AND($A956="Firmada",$H956=""),"FALTA FECHA DE FIRMA",IF(N($T956)=0,IF(AND(ISNUMBER($H956),$H956&gt;=DATE(2024,1,1)),"FALTA EN FIRMADAS","OK"),IF(OR($A956="Pendiente de presentación",$A956="Observado",$A956="En análisis",$A956="En instrucción",$A956="Suspendida",$A956="IT circulando",$A956="Para resolución",$A956="TDC"),"ABIERTA PERO ESTÁ EN FIRMADAS",IF($H956&lt;&gt;INDEX(firmadas!$F:$F,$T956),"FIRMA DISTINTA EN firmadas ("&amp;IF(INDEX(firmadas!$F:$F,$T956)="","vacía",DAY(INDEX(firmadas!$F:$F,$T956))&amp;"/"&amp;MONTH(INDEX(firmadas!$F:$F,$T956))&amp;"/"&amp;YEAR(INDEX(firmadas!$F:$F,$T956)))&amp;")",IF($G956&lt;&gt;INDEX(firmadas!$E:$E,$T956),"INGRESO DISTINTO EN firmadas ("&amp;IF(INDEX(firmadas!$E:$E,$T956)="","vacía",DAY(INDEX(firmadas!$E:$E,$T956))&amp;"/"&amp;MONTH(INDEX(firmadas!$E:$E,$T956))&amp;"/"&amp;YEAR(INDEX(firmadas!$E:$E,$T956)))&amp;")","OK"))))))))</f>
        <v/>
      </c>
      <c r="T956" t="str">
        <f ca="1">IF($P956="","",IFERROR(MATCH($P956,firmadas!$N:$N,0),IFERROR(MATCH("*/"&amp;MID($P956,FIND(" ",$P956)+1,9)&amp;"*",firmadas!$B:$B,0),0)))</f>
        <v/>
      </c>
    </row>
    <row r="957" spans="14:20" ht="15" customHeight="1" x14ac:dyDescent="0.25">
      <c r="N957" s="53" t="str">
        <f t="shared" ca="1" si="14"/>
        <v/>
      </c>
      <c r="P957" t="str">
        <f ca="1">IF(TRIM(SUBSTITUTE(($C957&amp;" "&amp;$D957),CHAR(160)," "))="","",IFERROR(IF(ISNUMBER(SEARCH("INC",($C957&amp;" "&amp;$D957))),"INC",IF(ISNUMBER(SEARCH("OPI",($C957&amp;" "&amp;$D957))),"OPI",IF(ISNUMBER(SEARCH("DP",($C957&amp;" "&amp;$D957))),"DP","CONC")))&amp;" "&amp;TEXT(LOOKUP(9.99E+307,--MID(SUBSTITUTE(($C957&amp;" "&amp;$D957),CHAR(160)," "),SUMPRODUCT(MIN(FIND({0,1,2,3,4,5,6,7,8,9},SUBSTITUTE(($C957&amp;" "&amp;$D957),CHAR(160)," ")&amp;"0123456789"))),ROW(INDIRECT("1:6")))),"0"),"SIN NUMERO"))</f>
        <v/>
      </c>
      <c r="Q957" t="str">
        <f ca="1">IF($P957="","",IF(LEFT(UPPER($S957),9)="VERIFICAR","VERIFICAR",IF($A957="","SIN ESTADO",IF(AND($A957="Firmada",$H957=""),"FALTA FECHA DE FIRMA",IF(N($T957)=0,IF(AND(ISNUMBER($H957),$H957&gt;=DATE(2024,1,1)),"FALTA EN FIRMADAS","OK"),IF(OR($A957="Pendiente de presentación",$A957="Observado",$A957="En análisis",$A957="En instrucción",$A957="Suspendida",$A957="IT circulando",$A957="Para resolución",$A957="TDC"),"ABIERTA PERO ESTÁ EN FIRMADAS",IF($H957&lt;&gt;INDEX(firmadas!$F:$F,$T957),"FIRMA DISTINTA EN firmadas ("&amp;IF(INDEX(firmadas!$F:$F,$T957)="","vacía",DAY(INDEX(firmadas!$F:$F,$T957))&amp;"/"&amp;MONTH(INDEX(firmadas!$F:$F,$T957))&amp;"/"&amp;YEAR(INDEX(firmadas!$F:$F,$T957)))&amp;")",IF($G957&lt;&gt;INDEX(firmadas!$E:$E,$T957),"INGRESO DISTINTO EN firmadas ("&amp;IF(INDEX(firmadas!$E:$E,$T957)="","vacía",DAY(INDEX(firmadas!$E:$E,$T957))&amp;"/"&amp;MONTH(INDEX(firmadas!$E:$E,$T957))&amp;"/"&amp;YEAR(INDEX(firmadas!$E:$E,$T957)))&amp;")","OK"))))))))</f>
        <v/>
      </c>
      <c r="T957" t="str">
        <f ca="1">IF($P957="","",IFERROR(MATCH($P957,firmadas!$N:$N,0),IFERROR(MATCH("*/"&amp;MID($P957,FIND(" ",$P957)+1,9)&amp;"*",firmadas!$B:$B,0),0)))</f>
        <v/>
      </c>
    </row>
    <row r="958" spans="14:20" ht="15" customHeight="1" x14ac:dyDescent="0.25">
      <c r="N958" s="53" t="str">
        <f t="shared" ca="1" si="14"/>
        <v/>
      </c>
      <c r="P958" t="str">
        <f ca="1">IF(TRIM(SUBSTITUTE(($C958&amp;" "&amp;$D958),CHAR(160)," "))="","",IFERROR(IF(ISNUMBER(SEARCH("INC",($C958&amp;" "&amp;$D958))),"INC",IF(ISNUMBER(SEARCH("OPI",($C958&amp;" "&amp;$D958))),"OPI",IF(ISNUMBER(SEARCH("DP",($C958&amp;" "&amp;$D958))),"DP","CONC")))&amp;" "&amp;TEXT(LOOKUP(9.99E+307,--MID(SUBSTITUTE(($C958&amp;" "&amp;$D958),CHAR(160)," "),SUMPRODUCT(MIN(FIND({0,1,2,3,4,5,6,7,8,9},SUBSTITUTE(($C958&amp;" "&amp;$D958),CHAR(160)," ")&amp;"0123456789"))),ROW(INDIRECT("1:6")))),"0"),"SIN NUMERO"))</f>
        <v/>
      </c>
      <c r="Q958" t="str">
        <f ca="1">IF($P958="","",IF(LEFT(UPPER($S958),9)="VERIFICAR","VERIFICAR",IF($A958="","SIN ESTADO",IF(AND($A958="Firmada",$H958=""),"FALTA FECHA DE FIRMA",IF(N($T958)=0,IF(AND(ISNUMBER($H958),$H958&gt;=DATE(2024,1,1)),"FALTA EN FIRMADAS","OK"),IF(OR($A958="Pendiente de presentación",$A958="Observado",$A958="En análisis",$A958="En instrucción",$A958="Suspendida",$A958="IT circulando",$A958="Para resolución",$A958="TDC"),"ABIERTA PERO ESTÁ EN FIRMADAS",IF($H958&lt;&gt;INDEX(firmadas!$F:$F,$T958),"FIRMA DISTINTA EN firmadas ("&amp;IF(INDEX(firmadas!$F:$F,$T958)="","vacía",DAY(INDEX(firmadas!$F:$F,$T958))&amp;"/"&amp;MONTH(INDEX(firmadas!$F:$F,$T958))&amp;"/"&amp;YEAR(INDEX(firmadas!$F:$F,$T958)))&amp;")",IF($G958&lt;&gt;INDEX(firmadas!$E:$E,$T958),"INGRESO DISTINTO EN firmadas ("&amp;IF(INDEX(firmadas!$E:$E,$T958)="","vacía",DAY(INDEX(firmadas!$E:$E,$T958))&amp;"/"&amp;MONTH(INDEX(firmadas!$E:$E,$T958))&amp;"/"&amp;YEAR(INDEX(firmadas!$E:$E,$T958)))&amp;")","OK"))))))))</f>
        <v/>
      </c>
      <c r="T958" t="str">
        <f ca="1">IF($P958="","",IFERROR(MATCH($P958,firmadas!$N:$N,0),IFERROR(MATCH("*/"&amp;MID($P958,FIND(" ",$P958)+1,9)&amp;"*",firmadas!$B:$B,0),0)))</f>
        <v/>
      </c>
    </row>
    <row r="959" spans="14:20" ht="15" customHeight="1" x14ac:dyDescent="0.25">
      <c r="N959" s="53" t="str">
        <f t="shared" ca="1" si="14"/>
        <v/>
      </c>
      <c r="P959" t="str">
        <f ca="1">IF(TRIM(SUBSTITUTE(($C959&amp;" "&amp;$D959),CHAR(160)," "))="","",IFERROR(IF(ISNUMBER(SEARCH("INC",($C959&amp;" "&amp;$D959))),"INC",IF(ISNUMBER(SEARCH("OPI",($C959&amp;" "&amp;$D959))),"OPI",IF(ISNUMBER(SEARCH("DP",($C959&amp;" "&amp;$D959))),"DP","CONC")))&amp;" "&amp;TEXT(LOOKUP(9.99E+307,--MID(SUBSTITUTE(($C959&amp;" "&amp;$D959),CHAR(160)," "),SUMPRODUCT(MIN(FIND({0,1,2,3,4,5,6,7,8,9},SUBSTITUTE(($C959&amp;" "&amp;$D959),CHAR(160)," ")&amp;"0123456789"))),ROW(INDIRECT("1:6")))),"0"),"SIN NUMERO"))</f>
        <v/>
      </c>
      <c r="Q959" t="str">
        <f ca="1">IF($P959="","",IF(LEFT(UPPER($S959),9)="VERIFICAR","VERIFICAR",IF($A959="","SIN ESTADO",IF(AND($A959="Firmada",$H959=""),"FALTA FECHA DE FIRMA",IF(N($T959)=0,IF(AND(ISNUMBER($H959),$H959&gt;=DATE(2024,1,1)),"FALTA EN FIRMADAS","OK"),IF(OR($A959="Pendiente de presentación",$A959="Observado",$A959="En análisis",$A959="En instrucción",$A959="Suspendida",$A959="IT circulando",$A959="Para resolución",$A959="TDC"),"ABIERTA PERO ESTÁ EN FIRMADAS",IF($H959&lt;&gt;INDEX(firmadas!$F:$F,$T959),"FIRMA DISTINTA EN firmadas ("&amp;IF(INDEX(firmadas!$F:$F,$T959)="","vacía",DAY(INDEX(firmadas!$F:$F,$T959))&amp;"/"&amp;MONTH(INDEX(firmadas!$F:$F,$T959))&amp;"/"&amp;YEAR(INDEX(firmadas!$F:$F,$T959)))&amp;")",IF($G959&lt;&gt;INDEX(firmadas!$E:$E,$T959),"INGRESO DISTINTO EN firmadas ("&amp;IF(INDEX(firmadas!$E:$E,$T959)="","vacía",DAY(INDEX(firmadas!$E:$E,$T959))&amp;"/"&amp;MONTH(INDEX(firmadas!$E:$E,$T959))&amp;"/"&amp;YEAR(INDEX(firmadas!$E:$E,$T959)))&amp;")","OK"))))))))</f>
        <v/>
      </c>
      <c r="T959" t="str">
        <f ca="1">IF($P959="","",IFERROR(MATCH($P959,firmadas!$N:$N,0),IFERROR(MATCH("*/"&amp;MID($P959,FIND(" ",$P959)+1,9)&amp;"*",firmadas!$B:$B,0),0)))</f>
        <v/>
      </c>
    </row>
    <row r="960" spans="14:20" ht="15" customHeight="1" x14ac:dyDescent="0.25">
      <c r="N960" s="53" t="str">
        <f t="shared" ca="1" si="14"/>
        <v/>
      </c>
      <c r="P960" t="str">
        <f ca="1">IF(TRIM(SUBSTITUTE(($C960&amp;" "&amp;$D960),CHAR(160)," "))="","",IFERROR(IF(ISNUMBER(SEARCH("INC",($C960&amp;" "&amp;$D960))),"INC",IF(ISNUMBER(SEARCH("OPI",($C960&amp;" "&amp;$D960))),"OPI",IF(ISNUMBER(SEARCH("DP",($C960&amp;" "&amp;$D960))),"DP","CONC")))&amp;" "&amp;TEXT(LOOKUP(9.99E+307,--MID(SUBSTITUTE(($C960&amp;" "&amp;$D960),CHAR(160)," "),SUMPRODUCT(MIN(FIND({0,1,2,3,4,5,6,7,8,9},SUBSTITUTE(($C960&amp;" "&amp;$D960),CHAR(160)," ")&amp;"0123456789"))),ROW(INDIRECT("1:6")))),"0"),"SIN NUMERO"))</f>
        <v/>
      </c>
      <c r="Q960" t="str">
        <f ca="1">IF($P960="","",IF(LEFT(UPPER($S960),9)="VERIFICAR","VERIFICAR",IF($A960="","SIN ESTADO",IF(AND($A960="Firmada",$H960=""),"FALTA FECHA DE FIRMA",IF(N($T960)=0,IF(AND(ISNUMBER($H960),$H960&gt;=DATE(2024,1,1)),"FALTA EN FIRMADAS","OK"),IF(OR($A960="Pendiente de presentación",$A960="Observado",$A960="En análisis",$A960="En instrucción",$A960="Suspendida",$A960="IT circulando",$A960="Para resolución",$A960="TDC"),"ABIERTA PERO ESTÁ EN FIRMADAS",IF($H960&lt;&gt;INDEX(firmadas!$F:$F,$T960),"FIRMA DISTINTA EN firmadas ("&amp;IF(INDEX(firmadas!$F:$F,$T960)="","vacía",DAY(INDEX(firmadas!$F:$F,$T960))&amp;"/"&amp;MONTH(INDEX(firmadas!$F:$F,$T960))&amp;"/"&amp;YEAR(INDEX(firmadas!$F:$F,$T960)))&amp;")",IF($G960&lt;&gt;INDEX(firmadas!$E:$E,$T960),"INGRESO DISTINTO EN firmadas ("&amp;IF(INDEX(firmadas!$E:$E,$T960)="","vacía",DAY(INDEX(firmadas!$E:$E,$T960))&amp;"/"&amp;MONTH(INDEX(firmadas!$E:$E,$T960))&amp;"/"&amp;YEAR(INDEX(firmadas!$E:$E,$T960)))&amp;")","OK"))))))))</f>
        <v/>
      </c>
      <c r="T960" t="str">
        <f ca="1">IF($P960="","",IFERROR(MATCH($P960,firmadas!$N:$N,0),IFERROR(MATCH("*/"&amp;MID($P960,FIND(" ",$P960)+1,9)&amp;"*",firmadas!$B:$B,0),0)))</f>
        <v/>
      </c>
    </row>
    <row r="961" spans="14:20" ht="15" customHeight="1" x14ac:dyDescent="0.25">
      <c r="N961" s="53" t="str">
        <f t="shared" ca="1" si="14"/>
        <v/>
      </c>
      <c r="P961" t="str">
        <f ca="1">IF(TRIM(SUBSTITUTE(($C961&amp;" "&amp;$D961),CHAR(160)," "))="","",IFERROR(IF(ISNUMBER(SEARCH("INC",($C961&amp;" "&amp;$D961))),"INC",IF(ISNUMBER(SEARCH("OPI",($C961&amp;" "&amp;$D961))),"OPI",IF(ISNUMBER(SEARCH("DP",($C961&amp;" "&amp;$D961))),"DP","CONC")))&amp;" "&amp;TEXT(LOOKUP(9.99E+307,--MID(SUBSTITUTE(($C961&amp;" "&amp;$D961),CHAR(160)," "),SUMPRODUCT(MIN(FIND({0,1,2,3,4,5,6,7,8,9},SUBSTITUTE(($C961&amp;" "&amp;$D961),CHAR(160)," ")&amp;"0123456789"))),ROW(INDIRECT("1:6")))),"0"),"SIN NUMERO"))</f>
        <v/>
      </c>
      <c r="Q961" t="str">
        <f ca="1">IF($P961="","",IF(LEFT(UPPER($S961),9)="VERIFICAR","VERIFICAR",IF($A961="","SIN ESTADO",IF(AND($A961="Firmada",$H961=""),"FALTA FECHA DE FIRMA",IF(N($T961)=0,IF(AND(ISNUMBER($H961),$H961&gt;=DATE(2024,1,1)),"FALTA EN FIRMADAS","OK"),IF(OR($A961="Pendiente de presentación",$A961="Observado",$A961="En análisis",$A961="En instrucción",$A961="Suspendida",$A961="IT circulando",$A961="Para resolución",$A961="TDC"),"ABIERTA PERO ESTÁ EN FIRMADAS",IF($H961&lt;&gt;INDEX(firmadas!$F:$F,$T961),"FIRMA DISTINTA EN firmadas ("&amp;IF(INDEX(firmadas!$F:$F,$T961)="","vacía",DAY(INDEX(firmadas!$F:$F,$T961))&amp;"/"&amp;MONTH(INDEX(firmadas!$F:$F,$T961))&amp;"/"&amp;YEAR(INDEX(firmadas!$F:$F,$T961)))&amp;")",IF($G961&lt;&gt;INDEX(firmadas!$E:$E,$T961),"INGRESO DISTINTO EN firmadas ("&amp;IF(INDEX(firmadas!$E:$E,$T961)="","vacía",DAY(INDEX(firmadas!$E:$E,$T961))&amp;"/"&amp;MONTH(INDEX(firmadas!$E:$E,$T961))&amp;"/"&amp;YEAR(INDEX(firmadas!$E:$E,$T961)))&amp;")","OK"))))))))</f>
        <v/>
      </c>
      <c r="T961" t="str">
        <f ca="1">IF($P961="","",IFERROR(MATCH($P961,firmadas!$N:$N,0),IFERROR(MATCH("*/"&amp;MID($P961,FIND(" ",$P961)+1,9)&amp;"*",firmadas!$B:$B,0),0)))</f>
        <v/>
      </c>
    </row>
    <row r="962" spans="14:20" ht="15" customHeight="1" x14ac:dyDescent="0.25">
      <c r="N962" s="53" t="str">
        <f t="shared" ref="N962:N1000" ca="1" si="15">IF($G962="","",(IF($H962="",TODAY(),$H962)-$G962)/30)</f>
        <v/>
      </c>
      <c r="P962" t="str">
        <f ca="1">IF(TRIM(SUBSTITUTE(($C962&amp;" "&amp;$D962),CHAR(160)," "))="","",IFERROR(IF(ISNUMBER(SEARCH("INC",($C962&amp;" "&amp;$D962))),"INC",IF(ISNUMBER(SEARCH("OPI",($C962&amp;" "&amp;$D962))),"OPI",IF(ISNUMBER(SEARCH("DP",($C962&amp;" "&amp;$D962))),"DP","CONC")))&amp;" "&amp;TEXT(LOOKUP(9.99E+307,--MID(SUBSTITUTE(($C962&amp;" "&amp;$D962),CHAR(160)," "),SUMPRODUCT(MIN(FIND({0,1,2,3,4,5,6,7,8,9},SUBSTITUTE(($C962&amp;" "&amp;$D962),CHAR(160)," ")&amp;"0123456789"))),ROW(INDIRECT("1:6")))),"0"),"SIN NUMERO"))</f>
        <v/>
      </c>
      <c r="Q962" t="str">
        <f ca="1">IF($P962="","",IF(LEFT(UPPER($S962),9)="VERIFICAR","VERIFICAR",IF($A962="","SIN ESTADO",IF(AND($A962="Firmada",$H962=""),"FALTA FECHA DE FIRMA",IF(N($T962)=0,IF(AND(ISNUMBER($H962),$H962&gt;=DATE(2024,1,1)),"FALTA EN FIRMADAS","OK"),IF(OR($A962="Pendiente de presentación",$A962="Observado",$A962="En análisis",$A962="En instrucción",$A962="Suspendida",$A962="IT circulando",$A962="Para resolución",$A962="TDC"),"ABIERTA PERO ESTÁ EN FIRMADAS",IF($H962&lt;&gt;INDEX(firmadas!$F:$F,$T962),"FIRMA DISTINTA EN firmadas ("&amp;IF(INDEX(firmadas!$F:$F,$T962)="","vacía",DAY(INDEX(firmadas!$F:$F,$T962))&amp;"/"&amp;MONTH(INDEX(firmadas!$F:$F,$T962))&amp;"/"&amp;YEAR(INDEX(firmadas!$F:$F,$T962)))&amp;")",IF($G962&lt;&gt;INDEX(firmadas!$E:$E,$T962),"INGRESO DISTINTO EN firmadas ("&amp;IF(INDEX(firmadas!$E:$E,$T962)="","vacía",DAY(INDEX(firmadas!$E:$E,$T962))&amp;"/"&amp;MONTH(INDEX(firmadas!$E:$E,$T962))&amp;"/"&amp;YEAR(INDEX(firmadas!$E:$E,$T962)))&amp;")","OK"))))))))</f>
        <v/>
      </c>
      <c r="T962" t="str">
        <f ca="1">IF($P962="","",IFERROR(MATCH($P962,firmadas!$N:$N,0),IFERROR(MATCH("*/"&amp;MID($P962,FIND(" ",$P962)+1,9)&amp;"*",firmadas!$B:$B,0),0)))</f>
        <v/>
      </c>
    </row>
    <row r="963" spans="14:20" ht="15" customHeight="1" x14ac:dyDescent="0.25">
      <c r="N963" s="53" t="str">
        <f t="shared" ca="1" si="15"/>
        <v/>
      </c>
      <c r="P963" t="str">
        <f ca="1">IF(TRIM(SUBSTITUTE(($C963&amp;" "&amp;$D963),CHAR(160)," "))="","",IFERROR(IF(ISNUMBER(SEARCH("INC",($C963&amp;" "&amp;$D963))),"INC",IF(ISNUMBER(SEARCH("OPI",($C963&amp;" "&amp;$D963))),"OPI",IF(ISNUMBER(SEARCH("DP",($C963&amp;" "&amp;$D963))),"DP","CONC")))&amp;" "&amp;TEXT(LOOKUP(9.99E+307,--MID(SUBSTITUTE(($C963&amp;" "&amp;$D963),CHAR(160)," "),SUMPRODUCT(MIN(FIND({0,1,2,3,4,5,6,7,8,9},SUBSTITUTE(($C963&amp;" "&amp;$D963),CHAR(160)," ")&amp;"0123456789"))),ROW(INDIRECT("1:6")))),"0"),"SIN NUMERO"))</f>
        <v/>
      </c>
      <c r="Q963" t="str">
        <f ca="1">IF($P963="","",IF(LEFT(UPPER($S963),9)="VERIFICAR","VERIFICAR",IF($A963="","SIN ESTADO",IF(AND($A963="Firmada",$H963=""),"FALTA FECHA DE FIRMA",IF(N($T963)=0,IF(AND(ISNUMBER($H963),$H963&gt;=DATE(2024,1,1)),"FALTA EN FIRMADAS","OK"),IF(OR($A963="Pendiente de presentación",$A963="Observado",$A963="En análisis",$A963="En instrucción",$A963="Suspendida",$A963="IT circulando",$A963="Para resolución",$A963="TDC"),"ABIERTA PERO ESTÁ EN FIRMADAS",IF($H963&lt;&gt;INDEX(firmadas!$F:$F,$T963),"FIRMA DISTINTA EN firmadas ("&amp;IF(INDEX(firmadas!$F:$F,$T963)="","vacía",DAY(INDEX(firmadas!$F:$F,$T963))&amp;"/"&amp;MONTH(INDEX(firmadas!$F:$F,$T963))&amp;"/"&amp;YEAR(INDEX(firmadas!$F:$F,$T963)))&amp;")",IF($G963&lt;&gt;INDEX(firmadas!$E:$E,$T963),"INGRESO DISTINTO EN firmadas ("&amp;IF(INDEX(firmadas!$E:$E,$T963)="","vacía",DAY(INDEX(firmadas!$E:$E,$T963))&amp;"/"&amp;MONTH(INDEX(firmadas!$E:$E,$T963))&amp;"/"&amp;YEAR(INDEX(firmadas!$E:$E,$T963)))&amp;")","OK"))))))))</f>
        <v/>
      </c>
      <c r="T963" t="str">
        <f ca="1">IF($P963="","",IFERROR(MATCH($P963,firmadas!$N:$N,0),IFERROR(MATCH("*/"&amp;MID($P963,FIND(" ",$P963)+1,9)&amp;"*",firmadas!$B:$B,0),0)))</f>
        <v/>
      </c>
    </row>
    <row r="964" spans="14:20" ht="15" customHeight="1" x14ac:dyDescent="0.25">
      <c r="N964" s="53" t="str">
        <f t="shared" ca="1" si="15"/>
        <v/>
      </c>
      <c r="P964" t="str">
        <f ca="1">IF(TRIM(SUBSTITUTE(($C964&amp;" "&amp;$D964),CHAR(160)," "))="","",IFERROR(IF(ISNUMBER(SEARCH("INC",($C964&amp;" "&amp;$D964))),"INC",IF(ISNUMBER(SEARCH("OPI",($C964&amp;" "&amp;$D964))),"OPI",IF(ISNUMBER(SEARCH("DP",($C964&amp;" "&amp;$D964))),"DP","CONC")))&amp;" "&amp;TEXT(LOOKUP(9.99E+307,--MID(SUBSTITUTE(($C964&amp;" "&amp;$D964),CHAR(160)," "),SUMPRODUCT(MIN(FIND({0,1,2,3,4,5,6,7,8,9},SUBSTITUTE(($C964&amp;" "&amp;$D964),CHAR(160)," ")&amp;"0123456789"))),ROW(INDIRECT("1:6")))),"0"),"SIN NUMERO"))</f>
        <v/>
      </c>
      <c r="Q964" t="str">
        <f ca="1">IF($P964="","",IF(LEFT(UPPER($S964),9)="VERIFICAR","VERIFICAR",IF($A964="","SIN ESTADO",IF(AND($A964="Firmada",$H964=""),"FALTA FECHA DE FIRMA",IF(N($T964)=0,IF(AND(ISNUMBER($H964),$H964&gt;=DATE(2024,1,1)),"FALTA EN FIRMADAS","OK"),IF(OR($A964="Pendiente de presentación",$A964="Observado",$A964="En análisis",$A964="En instrucción",$A964="Suspendida",$A964="IT circulando",$A964="Para resolución",$A964="TDC"),"ABIERTA PERO ESTÁ EN FIRMADAS",IF($H964&lt;&gt;INDEX(firmadas!$F:$F,$T964),"FIRMA DISTINTA EN firmadas ("&amp;IF(INDEX(firmadas!$F:$F,$T964)="","vacía",DAY(INDEX(firmadas!$F:$F,$T964))&amp;"/"&amp;MONTH(INDEX(firmadas!$F:$F,$T964))&amp;"/"&amp;YEAR(INDEX(firmadas!$F:$F,$T964)))&amp;")",IF($G964&lt;&gt;INDEX(firmadas!$E:$E,$T964),"INGRESO DISTINTO EN firmadas ("&amp;IF(INDEX(firmadas!$E:$E,$T964)="","vacía",DAY(INDEX(firmadas!$E:$E,$T964))&amp;"/"&amp;MONTH(INDEX(firmadas!$E:$E,$T964))&amp;"/"&amp;YEAR(INDEX(firmadas!$E:$E,$T964)))&amp;")","OK"))))))))</f>
        <v/>
      </c>
      <c r="T964" t="str">
        <f ca="1">IF($P964="","",IFERROR(MATCH($P964,firmadas!$N:$N,0),IFERROR(MATCH("*/"&amp;MID($P964,FIND(" ",$P964)+1,9)&amp;"*",firmadas!$B:$B,0),0)))</f>
        <v/>
      </c>
    </row>
    <row r="965" spans="14:20" ht="15" customHeight="1" x14ac:dyDescent="0.25">
      <c r="N965" s="53" t="str">
        <f t="shared" ca="1" si="15"/>
        <v/>
      </c>
      <c r="P965" t="str">
        <f ca="1">IF(TRIM(SUBSTITUTE(($C965&amp;" "&amp;$D965),CHAR(160)," "))="","",IFERROR(IF(ISNUMBER(SEARCH("INC",($C965&amp;" "&amp;$D965))),"INC",IF(ISNUMBER(SEARCH("OPI",($C965&amp;" "&amp;$D965))),"OPI",IF(ISNUMBER(SEARCH("DP",($C965&amp;" "&amp;$D965))),"DP","CONC")))&amp;" "&amp;TEXT(LOOKUP(9.99E+307,--MID(SUBSTITUTE(($C965&amp;" "&amp;$D965),CHAR(160)," "),SUMPRODUCT(MIN(FIND({0,1,2,3,4,5,6,7,8,9},SUBSTITUTE(($C965&amp;" "&amp;$D965),CHAR(160)," ")&amp;"0123456789"))),ROW(INDIRECT("1:6")))),"0"),"SIN NUMERO"))</f>
        <v/>
      </c>
      <c r="Q965" t="str">
        <f ca="1">IF($P965="","",IF(LEFT(UPPER($S965),9)="VERIFICAR","VERIFICAR",IF($A965="","SIN ESTADO",IF(AND($A965="Firmada",$H965=""),"FALTA FECHA DE FIRMA",IF(N($T965)=0,IF(AND(ISNUMBER($H965),$H965&gt;=DATE(2024,1,1)),"FALTA EN FIRMADAS","OK"),IF(OR($A965="Pendiente de presentación",$A965="Observado",$A965="En análisis",$A965="En instrucción",$A965="Suspendida",$A965="IT circulando",$A965="Para resolución",$A965="TDC"),"ABIERTA PERO ESTÁ EN FIRMADAS",IF($H965&lt;&gt;INDEX(firmadas!$F:$F,$T965),"FIRMA DISTINTA EN firmadas ("&amp;IF(INDEX(firmadas!$F:$F,$T965)="","vacía",DAY(INDEX(firmadas!$F:$F,$T965))&amp;"/"&amp;MONTH(INDEX(firmadas!$F:$F,$T965))&amp;"/"&amp;YEAR(INDEX(firmadas!$F:$F,$T965)))&amp;")",IF($G965&lt;&gt;INDEX(firmadas!$E:$E,$T965),"INGRESO DISTINTO EN firmadas ("&amp;IF(INDEX(firmadas!$E:$E,$T965)="","vacía",DAY(INDEX(firmadas!$E:$E,$T965))&amp;"/"&amp;MONTH(INDEX(firmadas!$E:$E,$T965))&amp;"/"&amp;YEAR(INDEX(firmadas!$E:$E,$T965)))&amp;")","OK"))))))))</f>
        <v/>
      </c>
      <c r="T965" t="str">
        <f ca="1">IF($P965="","",IFERROR(MATCH($P965,firmadas!$N:$N,0),IFERROR(MATCH("*/"&amp;MID($P965,FIND(" ",$P965)+1,9)&amp;"*",firmadas!$B:$B,0),0)))</f>
        <v/>
      </c>
    </row>
    <row r="966" spans="14:20" ht="15" customHeight="1" x14ac:dyDescent="0.25">
      <c r="N966" s="53" t="str">
        <f t="shared" ca="1" si="15"/>
        <v/>
      </c>
      <c r="P966" t="str">
        <f ca="1">IF(TRIM(SUBSTITUTE(($C966&amp;" "&amp;$D966),CHAR(160)," "))="","",IFERROR(IF(ISNUMBER(SEARCH("INC",($C966&amp;" "&amp;$D966))),"INC",IF(ISNUMBER(SEARCH("OPI",($C966&amp;" "&amp;$D966))),"OPI",IF(ISNUMBER(SEARCH("DP",($C966&amp;" "&amp;$D966))),"DP","CONC")))&amp;" "&amp;TEXT(LOOKUP(9.99E+307,--MID(SUBSTITUTE(($C966&amp;" "&amp;$D966),CHAR(160)," "),SUMPRODUCT(MIN(FIND({0,1,2,3,4,5,6,7,8,9},SUBSTITUTE(($C966&amp;" "&amp;$D966),CHAR(160)," ")&amp;"0123456789"))),ROW(INDIRECT("1:6")))),"0"),"SIN NUMERO"))</f>
        <v/>
      </c>
      <c r="Q966" t="str">
        <f ca="1">IF($P966="","",IF(LEFT(UPPER($S966),9)="VERIFICAR","VERIFICAR",IF($A966="","SIN ESTADO",IF(AND($A966="Firmada",$H966=""),"FALTA FECHA DE FIRMA",IF(N($T966)=0,IF(AND(ISNUMBER($H966),$H966&gt;=DATE(2024,1,1)),"FALTA EN FIRMADAS","OK"),IF(OR($A966="Pendiente de presentación",$A966="Observado",$A966="En análisis",$A966="En instrucción",$A966="Suspendida",$A966="IT circulando",$A966="Para resolución",$A966="TDC"),"ABIERTA PERO ESTÁ EN FIRMADAS",IF($H966&lt;&gt;INDEX(firmadas!$F:$F,$T966),"FIRMA DISTINTA EN firmadas ("&amp;IF(INDEX(firmadas!$F:$F,$T966)="","vacía",DAY(INDEX(firmadas!$F:$F,$T966))&amp;"/"&amp;MONTH(INDEX(firmadas!$F:$F,$T966))&amp;"/"&amp;YEAR(INDEX(firmadas!$F:$F,$T966)))&amp;")",IF($G966&lt;&gt;INDEX(firmadas!$E:$E,$T966),"INGRESO DISTINTO EN firmadas ("&amp;IF(INDEX(firmadas!$E:$E,$T966)="","vacía",DAY(INDEX(firmadas!$E:$E,$T966))&amp;"/"&amp;MONTH(INDEX(firmadas!$E:$E,$T966))&amp;"/"&amp;YEAR(INDEX(firmadas!$E:$E,$T966)))&amp;")","OK"))))))))</f>
        <v/>
      </c>
      <c r="T966" t="str">
        <f ca="1">IF($P966="","",IFERROR(MATCH($P966,firmadas!$N:$N,0),IFERROR(MATCH("*/"&amp;MID($P966,FIND(" ",$P966)+1,9)&amp;"*",firmadas!$B:$B,0),0)))</f>
        <v/>
      </c>
    </row>
    <row r="967" spans="14:20" ht="15" customHeight="1" x14ac:dyDescent="0.25">
      <c r="N967" s="53" t="str">
        <f t="shared" ca="1" si="15"/>
        <v/>
      </c>
      <c r="P967" t="str">
        <f ca="1">IF(TRIM(SUBSTITUTE(($C967&amp;" "&amp;$D967),CHAR(160)," "))="","",IFERROR(IF(ISNUMBER(SEARCH("INC",($C967&amp;" "&amp;$D967))),"INC",IF(ISNUMBER(SEARCH("OPI",($C967&amp;" "&amp;$D967))),"OPI",IF(ISNUMBER(SEARCH("DP",($C967&amp;" "&amp;$D967))),"DP","CONC")))&amp;" "&amp;TEXT(LOOKUP(9.99E+307,--MID(SUBSTITUTE(($C967&amp;" "&amp;$D967),CHAR(160)," "),SUMPRODUCT(MIN(FIND({0,1,2,3,4,5,6,7,8,9},SUBSTITUTE(($C967&amp;" "&amp;$D967),CHAR(160)," ")&amp;"0123456789"))),ROW(INDIRECT("1:6")))),"0"),"SIN NUMERO"))</f>
        <v/>
      </c>
      <c r="Q967" t="str">
        <f ca="1">IF($P967="","",IF(LEFT(UPPER($S967),9)="VERIFICAR","VERIFICAR",IF($A967="","SIN ESTADO",IF(AND($A967="Firmada",$H967=""),"FALTA FECHA DE FIRMA",IF(N($T967)=0,IF(AND(ISNUMBER($H967),$H967&gt;=DATE(2024,1,1)),"FALTA EN FIRMADAS","OK"),IF(OR($A967="Pendiente de presentación",$A967="Observado",$A967="En análisis",$A967="En instrucción",$A967="Suspendida",$A967="IT circulando",$A967="Para resolución",$A967="TDC"),"ABIERTA PERO ESTÁ EN FIRMADAS",IF($H967&lt;&gt;INDEX(firmadas!$F:$F,$T967),"FIRMA DISTINTA EN firmadas ("&amp;IF(INDEX(firmadas!$F:$F,$T967)="","vacía",DAY(INDEX(firmadas!$F:$F,$T967))&amp;"/"&amp;MONTH(INDEX(firmadas!$F:$F,$T967))&amp;"/"&amp;YEAR(INDEX(firmadas!$F:$F,$T967)))&amp;")",IF($G967&lt;&gt;INDEX(firmadas!$E:$E,$T967),"INGRESO DISTINTO EN firmadas ("&amp;IF(INDEX(firmadas!$E:$E,$T967)="","vacía",DAY(INDEX(firmadas!$E:$E,$T967))&amp;"/"&amp;MONTH(INDEX(firmadas!$E:$E,$T967))&amp;"/"&amp;YEAR(INDEX(firmadas!$E:$E,$T967)))&amp;")","OK"))))))))</f>
        <v/>
      </c>
      <c r="T967" t="str">
        <f ca="1">IF($P967="","",IFERROR(MATCH($P967,firmadas!$N:$N,0),IFERROR(MATCH("*/"&amp;MID($P967,FIND(" ",$P967)+1,9)&amp;"*",firmadas!$B:$B,0),0)))</f>
        <v/>
      </c>
    </row>
    <row r="968" spans="14:20" ht="15" customHeight="1" x14ac:dyDescent="0.25">
      <c r="N968" s="53" t="str">
        <f t="shared" ca="1" si="15"/>
        <v/>
      </c>
      <c r="P968" t="str">
        <f ca="1">IF(TRIM(SUBSTITUTE(($C968&amp;" "&amp;$D968),CHAR(160)," "))="","",IFERROR(IF(ISNUMBER(SEARCH("INC",($C968&amp;" "&amp;$D968))),"INC",IF(ISNUMBER(SEARCH("OPI",($C968&amp;" "&amp;$D968))),"OPI",IF(ISNUMBER(SEARCH("DP",($C968&amp;" "&amp;$D968))),"DP","CONC")))&amp;" "&amp;TEXT(LOOKUP(9.99E+307,--MID(SUBSTITUTE(($C968&amp;" "&amp;$D968),CHAR(160)," "),SUMPRODUCT(MIN(FIND({0,1,2,3,4,5,6,7,8,9},SUBSTITUTE(($C968&amp;" "&amp;$D968),CHAR(160)," ")&amp;"0123456789"))),ROW(INDIRECT("1:6")))),"0"),"SIN NUMERO"))</f>
        <v/>
      </c>
      <c r="Q968" t="str">
        <f ca="1">IF($P968="","",IF(LEFT(UPPER($S968),9)="VERIFICAR","VERIFICAR",IF($A968="","SIN ESTADO",IF(AND($A968="Firmada",$H968=""),"FALTA FECHA DE FIRMA",IF(N($T968)=0,IF(AND(ISNUMBER($H968),$H968&gt;=DATE(2024,1,1)),"FALTA EN FIRMADAS","OK"),IF(OR($A968="Pendiente de presentación",$A968="Observado",$A968="En análisis",$A968="En instrucción",$A968="Suspendida",$A968="IT circulando",$A968="Para resolución",$A968="TDC"),"ABIERTA PERO ESTÁ EN FIRMADAS",IF($H968&lt;&gt;INDEX(firmadas!$F:$F,$T968),"FIRMA DISTINTA EN firmadas ("&amp;IF(INDEX(firmadas!$F:$F,$T968)="","vacía",DAY(INDEX(firmadas!$F:$F,$T968))&amp;"/"&amp;MONTH(INDEX(firmadas!$F:$F,$T968))&amp;"/"&amp;YEAR(INDEX(firmadas!$F:$F,$T968)))&amp;")",IF($G968&lt;&gt;INDEX(firmadas!$E:$E,$T968),"INGRESO DISTINTO EN firmadas ("&amp;IF(INDEX(firmadas!$E:$E,$T968)="","vacía",DAY(INDEX(firmadas!$E:$E,$T968))&amp;"/"&amp;MONTH(INDEX(firmadas!$E:$E,$T968))&amp;"/"&amp;YEAR(INDEX(firmadas!$E:$E,$T968)))&amp;")","OK"))))))))</f>
        <v/>
      </c>
      <c r="T968" t="str">
        <f ca="1">IF($P968="","",IFERROR(MATCH($P968,firmadas!$N:$N,0),IFERROR(MATCH("*/"&amp;MID($P968,FIND(" ",$P968)+1,9)&amp;"*",firmadas!$B:$B,0),0)))</f>
        <v/>
      </c>
    </row>
    <row r="969" spans="14:20" ht="15" customHeight="1" x14ac:dyDescent="0.25">
      <c r="N969" s="53" t="str">
        <f t="shared" ca="1" si="15"/>
        <v/>
      </c>
      <c r="P969" t="str">
        <f ca="1">IF(TRIM(SUBSTITUTE(($C969&amp;" "&amp;$D969),CHAR(160)," "))="","",IFERROR(IF(ISNUMBER(SEARCH("INC",($C969&amp;" "&amp;$D969))),"INC",IF(ISNUMBER(SEARCH("OPI",($C969&amp;" "&amp;$D969))),"OPI",IF(ISNUMBER(SEARCH("DP",($C969&amp;" "&amp;$D969))),"DP","CONC")))&amp;" "&amp;TEXT(LOOKUP(9.99E+307,--MID(SUBSTITUTE(($C969&amp;" "&amp;$D969),CHAR(160)," "),SUMPRODUCT(MIN(FIND({0,1,2,3,4,5,6,7,8,9},SUBSTITUTE(($C969&amp;" "&amp;$D969),CHAR(160)," ")&amp;"0123456789"))),ROW(INDIRECT("1:6")))),"0"),"SIN NUMERO"))</f>
        <v/>
      </c>
      <c r="Q969" t="str">
        <f ca="1">IF($P969="","",IF(LEFT(UPPER($S969),9)="VERIFICAR","VERIFICAR",IF($A969="","SIN ESTADO",IF(AND($A969="Firmada",$H969=""),"FALTA FECHA DE FIRMA",IF(N($T969)=0,IF(AND(ISNUMBER($H969),$H969&gt;=DATE(2024,1,1)),"FALTA EN FIRMADAS","OK"),IF(OR($A969="Pendiente de presentación",$A969="Observado",$A969="En análisis",$A969="En instrucción",$A969="Suspendida",$A969="IT circulando",$A969="Para resolución",$A969="TDC"),"ABIERTA PERO ESTÁ EN FIRMADAS",IF($H969&lt;&gt;INDEX(firmadas!$F:$F,$T969),"FIRMA DISTINTA EN firmadas ("&amp;IF(INDEX(firmadas!$F:$F,$T969)="","vacía",DAY(INDEX(firmadas!$F:$F,$T969))&amp;"/"&amp;MONTH(INDEX(firmadas!$F:$F,$T969))&amp;"/"&amp;YEAR(INDEX(firmadas!$F:$F,$T969)))&amp;")",IF($G969&lt;&gt;INDEX(firmadas!$E:$E,$T969),"INGRESO DISTINTO EN firmadas ("&amp;IF(INDEX(firmadas!$E:$E,$T969)="","vacía",DAY(INDEX(firmadas!$E:$E,$T969))&amp;"/"&amp;MONTH(INDEX(firmadas!$E:$E,$T969))&amp;"/"&amp;YEAR(INDEX(firmadas!$E:$E,$T969)))&amp;")","OK"))))))))</f>
        <v/>
      </c>
      <c r="T969" t="str">
        <f ca="1">IF($P969="","",IFERROR(MATCH($P969,firmadas!$N:$N,0),IFERROR(MATCH("*/"&amp;MID($P969,FIND(" ",$P969)+1,9)&amp;"*",firmadas!$B:$B,0),0)))</f>
        <v/>
      </c>
    </row>
    <row r="970" spans="14:20" ht="15" customHeight="1" x14ac:dyDescent="0.25">
      <c r="N970" s="53" t="str">
        <f t="shared" ca="1" si="15"/>
        <v/>
      </c>
      <c r="P970" t="str">
        <f ca="1">IF(TRIM(SUBSTITUTE(($C970&amp;" "&amp;$D970),CHAR(160)," "))="","",IFERROR(IF(ISNUMBER(SEARCH("INC",($C970&amp;" "&amp;$D970))),"INC",IF(ISNUMBER(SEARCH("OPI",($C970&amp;" "&amp;$D970))),"OPI",IF(ISNUMBER(SEARCH("DP",($C970&amp;" "&amp;$D970))),"DP","CONC")))&amp;" "&amp;TEXT(LOOKUP(9.99E+307,--MID(SUBSTITUTE(($C970&amp;" "&amp;$D970),CHAR(160)," "),SUMPRODUCT(MIN(FIND({0,1,2,3,4,5,6,7,8,9},SUBSTITUTE(($C970&amp;" "&amp;$D970),CHAR(160)," ")&amp;"0123456789"))),ROW(INDIRECT("1:6")))),"0"),"SIN NUMERO"))</f>
        <v/>
      </c>
      <c r="Q970" t="str">
        <f ca="1">IF($P970="","",IF(LEFT(UPPER($S970),9)="VERIFICAR","VERIFICAR",IF($A970="","SIN ESTADO",IF(AND($A970="Firmada",$H970=""),"FALTA FECHA DE FIRMA",IF(N($T970)=0,IF(AND(ISNUMBER($H970),$H970&gt;=DATE(2024,1,1)),"FALTA EN FIRMADAS","OK"),IF(OR($A970="Pendiente de presentación",$A970="Observado",$A970="En análisis",$A970="En instrucción",$A970="Suspendida",$A970="IT circulando",$A970="Para resolución",$A970="TDC"),"ABIERTA PERO ESTÁ EN FIRMADAS",IF($H970&lt;&gt;INDEX(firmadas!$F:$F,$T970),"FIRMA DISTINTA EN firmadas ("&amp;IF(INDEX(firmadas!$F:$F,$T970)="","vacía",DAY(INDEX(firmadas!$F:$F,$T970))&amp;"/"&amp;MONTH(INDEX(firmadas!$F:$F,$T970))&amp;"/"&amp;YEAR(INDEX(firmadas!$F:$F,$T970)))&amp;")",IF($G970&lt;&gt;INDEX(firmadas!$E:$E,$T970),"INGRESO DISTINTO EN firmadas ("&amp;IF(INDEX(firmadas!$E:$E,$T970)="","vacía",DAY(INDEX(firmadas!$E:$E,$T970))&amp;"/"&amp;MONTH(INDEX(firmadas!$E:$E,$T970))&amp;"/"&amp;YEAR(INDEX(firmadas!$E:$E,$T970)))&amp;")","OK"))))))))</f>
        <v/>
      </c>
      <c r="T970" t="str">
        <f ca="1">IF($P970="","",IFERROR(MATCH($P970,firmadas!$N:$N,0),IFERROR(MATCH("*/"&amp;MID($P970,FIND(" ",$P970)+1,9)&amp;"*",firmadas!$B:$B,0),0)))</f>
        <v/>
      </c>
    </row>
    <row r="971" spans="14:20" ht="15" customHeight="1" x14ac:dyDescent="0.25">
      <c r="N971" s="53" t="str">
        <f t="shared" ca="1" si="15"/>
        <v/>
      </c>
      <c r="P971" t="str">
        <f ca="1">IF(TRIM(SUBSTITUTE(($C971&amp;" "&amp;$D971),CHAR(160)," "))="","",IFERROR(IF(ISNUMBER(SEARCH("INC",($C971&amp;" "&amp;$D971))),"INC",IF(ISNUMBER(SEARCH("OPI",($C971&amp;" "&amp;$D971))),"OPI",IF(ISNUMBER(SEARCH("DP",($C971&amp;" "&amp;$D971))),"DP","CONC")))&amp;" "&amp;TEXT(LOOKUP(9.99E+307,--MID(SUBSTITUTE(($C971&amp;" "&amp;$D971),CHAR(160)," "),SUMPRODUCT(MIN(FIND({0,1,2,3,4,5,6,7,8,9},SUBSTITUTE(($C971&amp;" "&amp;$D971),CHAR(160)," ")&amp;"0123456789"))),ROW(INDIRECT("1:6")))),"0"),"SIN NUMERO"))</f>
        <v/>
      </c>
      <c r="Q971" t="str">
        <f ca="1">IF($P971="","",IF(LEFT(UPPER($S971),9)="VERIFICAR","VERIFICAR",IF($A971="","SIN ESTADO",IF(AND($A971="Firmada",$H971=""),"FALTA FECHA DE FIRMA",IF(N($T971)=0,IF(AND(ISNUMBER($H971),$H971&gt;=DATE(2024,1,1)),"FALTA EN FIRMADAS","OK"),IF(OR($A971="Pendiente de presentación",$A971="Observado",$A971="En análisis",$A971="En instrucción",$A971="Suspendida",$A971="IT circulando",$A971="Para resolución",$A971="TDC"),"ABIERTA PERO ESTÁ EN FIRMADAS",IF($H971&lt;&gt;INDEX(firmadas!$F:$F,$T971),"FIRMA DISTINTA EN firmadas ("&amp;IF(INDEX(firmadas!$F:$F,$T971)="","vacía",DAY(INDEX(firmadas!$F:$F,$T971))&amp;"/"&amp;MONTH(INDEX(firmadas!$F:$F,$T971))&amp;"/"&amp;YEAR(INDEX(firmadas!$F:$F,$T971)))&amp;")",IF($G971&lt;&gt;INDEX(firmadas!$E:$E,$T971),"INGRESO DISTINTO EN firmadas ("&amp;IF(INDEX(firmadas!$E:$E,$T971)="","vacía",DAY(INDEX(firmadas!$E:$E,$T971))&amp;"/"&amp;MONTH(INDEX(firmadas!$E:$E,$T971))&amp;"/"&amp;YEAR(INDEX(firmadas!$E:$E,$T971)))&amp;")","OK"))))))))</f>
        <v/>
      </c>
      <c r="T971" t="str">
        <f ca="1">IF($P971="","",IFERROR(MATCH($P971,firmadas!$N:$N,0),IFERROR(MATCH("*/"&amp;MID($P971,FIND(" ",$P971)+1,9)&amp;"*",firmadas!$B:$B,0),0)))</f>
        <v/>
      </c>
    </row>
    <row r="972" spans="14:20" ht="15" customHeight="1" x14ac:dyDescent="0.25">
      <c r="N972" s="53" t="str">
        <f t="shared" ca="1" si="15"/>
        <v/>
      </c>
      <c r="P972" t="str">
        <f ca="1">IF(TRIM(SUBSTITUTE(($C972&amp;" "&amp;$D972),CHAR(160)," "))="","",IFERROR(IF(ISNUMBER(SEARCH("INC",($C972&amp;" "&amp;$D972))),"INC",IF(ISNUMBER(SEARCH("OPI",($C972&amp;" "&amp;$D972))),"OPI",IF(ISNUMBER(SEARCH("DP",($C972&amp;" "&amp;$D972))),"DP","CONC")))&amp;" "&amp;TEXT(LOOKUP(9.99E+307,--MID(SUBSTITUTE(($C972&amp;" "&amp;$D972),CHAR(160)," "),SUMPRODUCT(MIN(FIND({0,1,2,3,4,5,6,7,8,9},SUBSTITUTE(($C972&amp;" "&amp;$D972),CHAR(160)," ")&amp;"0123456789"))),ROW(INDIRECT("1:6")))),"0"),"SIN NUMERO"))</f>
        <v/>
      </c>
      <c r="Q972" t="str">
        <f ca="1">IF($P972="","",IF(LEFT(UPPER($S972),9)="VERIFICAR","VERIFICAR",IF($A972="","SIN ESTADO",IF(AND($A972="Firmada",$H972=""),"FALTA FECHA DE FIRMA",IF(N($T972)=0,IF(AND(ISNUMBER($H972),$H972&gt;=DATE(2024,1,1)),"FALTA EN FIRMADAS","OK"),IF(OR($A972="Pendiente de presentación",$A972="Observado",$A972="En análisis",$A972="En instrucción",$A972="Suspendida",$A972="IT circulando",$A972="Para resolución",$A972="TDC"),"ABIERTA PERO ESTÁ EN FIRMADAS",IF($H972&lt;&gt;INDEX(firmadas!$F:$F,$T972),"FIRMA DISTINTA EN firmadas ("&amp;IF(INDEX(firmadas!$F:$F,$T972)="","vacía",DAY(INDEX(firmadas!$F:$F,$T972))&amp;"/"&amp;MONTH(INDEX(firmadas!$F:$F,$T972))&amp;"/"&amp;YEAR(INDEX(firmadas!$F:$F,$T972)))&amp;")",IF($G972&lt;&gt;INDEX(firmadas!$E:$E,$T972),"INGRESO DISTINTO EN firmadas ("&amp;IF(INDEX(firmadas!$E:$E,$T972)="","vacía",DAY(INDEX(firmadas!$E:$E,$T972))&amp;"/"&amp;MONTH(INDEX(firmadas!$E:$E,$T972))&amp;"/"&amp;YEAR(INDEX(firmadas!$E:$E,$T972)))&amp;")","OK"))))))))</f>
        <v/>
      </c>
      <c r="T972" t="str">
        <f ca="1">IF($P972="","",IFERROR(MATCH($P972,firmadas!$N:$N,0),IFERROR(MATCH("*/"&amp;MID($P972,FIND(" ",$P972)+1,9)&amp;"*",firmadas!$B:$B,0),0)))</f>
        <v/>
      </c>
    </row>
    <row r="973" spans="14:20" ht="15" customHeight="1" x14ac:dyDescent="0.25">
      <c r="N973" s="53" t="str">
        <f t="shared" ca="1" si="15"/>
        <v/>
      </c>
      <c r="P973" t="str">
        <f ca="1">IF(TRIM(SUBSTITUTE(($C973&amp;" "&amp;$D973),CHAR(160)," "))="","",IFERROR(IF(ISNUMBER(SEARCH("INC",($C973&amp;" "&amp;$D973))),"INC",IF(ISNUMBER(SEARCH("OPI",($C973&amp;" "&amp;$D973))),"OPI",IF(ISNUMBER(SEARCH("DP",($C973&amp;" "&amp;$D973))),"DP","CONC")))&amp;" "&amp;TEXT(LOOKUP(9.99E+307,--MID(SUBSTITUTE(($C973&amp;" "&amp;$D973),CHAR(160)," "),SUMPRODUCT(MIN(FIND({0,1,2,3,4,5,6,7,8,9},SUBSTITUTE(($C973&amp;" "&amp;$D973),CHAR(160)," ")&amp;"0123456789"))),ROW(INDIRECT("1:6")))),"0"),"SIN NUMERO"))</f>
        <v/>
      </c>
      <c r="Q973" t="str">
        <f ca="1">IF($P973="","",IF(LEFT(UPPER($S973),9)="VERIFICAR","VERIFICAR",IF($A973="","SIN ESTADO",IF(AND($A973="Firmada",$H973=""),"FALTA FECHA DE FIRMA",IF(N($T973)=0,IF(AND(ISNUMBER($H973),$H973&gt;=DATE(2024,1,1)),"FALTA EN FIRMADAS","OK"),IF(OR($A973="Pendiente de presentación",$A973="Observado",$A973="En análisis",$A973="En instrucción",$A973="Suspendida",$A973="IT circulando",$A973="Para resolución",$A973="TDC"),"ABIERTA PERO ESTÁ EN FIRMADAS",IF($H973&lt;&gt;INDEX(firmadas!$F:$F,$T973),"FIRMA DISTINTA EN firmadas ("&amp;IF(INDEX(firmadas!$F:$F,$T973)="","vacía",DAY(INDEX(firmadas!$F:$F,$T973))&amp;"/"&amp;MONTH(INDEX(firmadas!$F:$F,$T973))&amp;"/"&amp;YEAR(INDEX(firmadas!$F:$F,$T973)))&amp;")",IF($G973&lt;&gt;INDEX(firmadas!$E:$E,$T973),"INGRESO DISTINTO EN firmadas ("&amp;IF(INDEX(firmadas!$E:$E,$T973)="","vacía",DAY(INDEX(firmadas!$E:$E,$T973))&amp;"/"&amp;MONTH(INDEX(firmadas!$E:$E,$T973))&amp;"/"&amp;YEAR(INDEX(firmadas!$E:$E,$T973)))&amp;")","OK"))))))))</f>
        <v/>
      </c>
      <c r="T973" t="str">
        <f ca="1">IF($P973="","",IFERROR(MATCH($P973,firmadas!$N:$N,0),IFERROR(MATCH("*/"&amp;MID($P973,FIND(" ",$P973)+1,9)&amp;"*",firmadas!$B:$B,0),0)))</f>
        <v/>
      </c>
    </row>
    <row r="974" spans="14:20" ht="15" customHeight="1" x14ac:dyDescent="0.25">
      <c r="N974" s="53" t="str">
        <f t="shared" ca="1" si="15"/>
        <v/>
      </c>
      <c r="P974" t="str">
        <f ca="1">IF(TRIM(SUBSTITUTE(($C974&amp;" "&amp;$D974),CHAR(160)," "))="","",IFERROR(IF(ISNUMBER(SEARCH("INC",($C974&amp;" "&amp;$D974))),"INC",IF(ISNUMBER(SEARCH("OPI",($C974&amp;" "&amp;$D974))),"OPI",IF(ISNUMBER(SEARCH("DP",($C974&amp;" "&amp;$D974))),"DP","CONC")))&amp;" "&amp;TEXT(LOOKUP(9.99E+307,--MID(SUBSTITUTE(($C974&amp;" "&amp;$D974),CHAR(160)," "),SUMPRODUCT(MIN(FIND({0,1,2,3,4,5,6,7,8,9},SUBSTITUTE(($C974&amp;" "&amp;$D974),CHAR(160)," ")&amp;"0123456789"))),ROW(INDIRECT("1:6")))),"0"),"SIN NUMERO"))</f>
        <v/>
      </c>
      <c r="Q974" t="str">
        <f ca="1">IF($P974="","",IF(LEFT(UPPER($S974),9)="VERIFICAR","VERIFICAR",IF($A974="","SIN ESTADO",IF(AND($A974="Firmada",$H974=""),"FALTA FECHA DE FIRMA",IF(N($T974)=0,IF(AND(ISNUMBER($H974),$H974&gt;=DATE(2024,1,1)),"FALTA EN FIRMADAS","OK"),IF(OR($A974="Pendiente de presentación",$A974="Observado",$A974="En análisis",$A974="En instrucción",$A974="Suspendida",$A974="IT circulando",$A974="Para resolución",$A974="TDC"),"ABIERTA PERO ESTÁ EN FIRMADAS",IF($H974&lt;&gt;INDEX(firmadas!$F:$F,$T974),"FIRMA DISTINTA EN firmadas ("&amp;IF(INDEX(firmadas!$F:$F,$T974)="","vacía",DAY(INDEX(firmadas!$F:$F,$T974))&amp;"/"&amp;MONTH(INDEX(firmadas!$F:$F,$T974))&amp;"/"&amp;YEAR(INDEX(firmadas!$F:$F,$T974)))&amp;")",IF($G974&lt;&gt;INDEX(firmadas!$E:$E,$T974),"INGRESO DISTINTO EN firmadas ("&amp;IF(INDEX(firmadas!$E:$E,$T974)="","vacía",DAY(INDEX(firmadas!$E:$E,$T974))&amp;"/"&amp;MONTH(INDEX(firmadas!$E:$E,$T974))&amp;"/"&amp;YEAR(INDEX(firmadas!$E:$E,$T974)))&amp;")","OK"))))))))</f>
        <v/>
      </c>
      <c r="T974" t="str">
        <f ca="1">IF($P974="","",IFERROR(MATCH($P974,firmadas!$N:$N,0),IFERROR(MATCH("*/"&amp;MID($P974,FIND(" ",$P974)+1,9)&amp;"*",firmadas!$B:$B,0),0)))</f>
        <v/>
      </c>
    </row>
    <row r="975" spans="14:20" ht="15" customHeight="1" x14ac:dyDescent="0.25">
      <c r="N975" s="53" t="str">
        <f t="shared" ca="1" si="15"/>
        <v/>
      </c>
      <c r="P975" t="str">
        <f ca="1">IF(TRIM(SUBSTITUTE(($C975&amp;" "&amp;$D975),CHAR(160)," "))="","",IFERROR(IF(ISNUMBER(SEARCH("INC",($C975&amp;" "&amp;$D975))),"INC",IF(ISNUMBER(SEARCH("OPI",($C975&amp;" "&amp;$D975))),"OPI",IF(ISNUMBER(SEARCH("DP",($C975&amp;" "&amp;$D975))),"DP","CONC")))&amp;" "&amp;TEXT(LOOKUP(9.99E+307,--MID(SUBSTITUTE(($C975&amp;" "&amp;$D975),CHAR(160)," "),SUMPRODUCT(MIN(FIND({0,1,2,3,4,5,6,7,8,9},SUBSTITUTE(($C975&amp;" "&amp;$D975),CHAR(160)," ")&amp;"0123456789"))),ROW(INDIRECT("1:6")))),"0"),"SIN NUMERO"))</f>
        <v/>
      </c>
      <c r="Q975" t="str">
        <f ca="1">IF($P975="","",IF(LEFT(UPPER($S975),9)="VERIFICAR","VERIFICAR",IF($A975="","SIN ESTADO",IF(AND($A975="Firmada",$H975=""),"FALTA FECHA DE FIRMA",IF(N($T975)=0,IF(AND(ISNUMBER($H975),$H975&gt;=DATE(2024,1,1)),"FALTA EN FIRMADAS","OK"),IF(OR($A975="Pendiente de presentación",$A975="Observado",$A975="En análisis",$A975="En instrucción",$A975="Suspendida",$A975="IT circulando",$A975="Para resolución",$A975="TDC"),"ABIERTA PERO ESTÁ EN FIRMADAS",IF($H975&lt;&gt;INDEX(firmadas!$F:$F,$T975),"FIRMA DISTINTA EN firmadas ("&amp;IF(INDEX(firmadas!$F:$F,$T975)="","vacía",DAY(INDEX(firmadas!$F:$F,$T975))&amp;"/"&amp;MONTH(INDEX(firmadas!$F:$F,$T975))&amp;"/"&amp;YEAR(INDEX(firmadas!$F:$F,$T975)))&amp;")",IF($G975&lt;&gt;INDEX(firmadas!$E:$E,$T975),"INGRESO DISTINTO EN firmadas ("&amp;IF(INDEX(firmadas!$E:$E,$T975)="","vacía",DAY(INDEX(firmadas!$E:$E,$T975))&amp;"/"&amp;MONTH(INDEX(firmadas!$E:$E,$T975))&amp;"/"&amp;YEAR(INDEX(firmadas!$E:$E,$T975)))&amp;")","OK"))))))))</f>
        <v/>
      </c>
      <c r="T975" t="str">
        <f ca="1">IF($P975="","",IFERROR(MATCH($P975,firmadas!$N:$N,0),IFERROR(MATCH("*/"&amp;MID($P975,FIND(" ",$P975)+1,9)&amp;"*",firmadas!$B:$B,0),0)))</f>
        <v/>
      </c>
    </row>
    <row r="976" spans="14:20" ht="15" customHeight="1" x14ac:dyDescent="0.25">
      <c r="N976" s="53" t="str">
        <f t="shared" ca="1" si="15"/>
        <v/>
      </c>
      <c r="P976" t="str">
        <f ca="1">IF(TRIM(SUBSTITUTE(($C976&amp;" "&amp;$D976),CHAR(160)," "))="","",IFERROR(IF(ISNUMBER(SEARCH("INC",($C976&amp;" "&amp;$D976))),"INC",IF(ISNUMBER(SEARCH("OPI",($C976&amp;" "&amp;$D976))),"OPI",IF(ISNUMBER(SEARCH("DP",($C976&amp;" "&amp;$D976))),"DP","CONC")))&amp;" "&amp;TEXT(LOOKUP(9.99E+307,--MID(SUBSTITUTE(($C976&amp;" "&amp;$D976),CHAR(160)," "),SUMPRODUCT(MIN(FIND({0,1,2,3,4,5,6,7,8,9},SUBSTITUTE(($C976&amp;" "&amp;$D976),CHAR(160)," ")&amp;"0123456789"))),ROW(INDIRECT("1:6")))),"0"),"SIN NUMERO"))</f>
        <v/>
      </c>
      <c r="Q976" t="str">
        <f ca="1">IF($P976="","",IF(LEFT(UPPER($S976),9)="VERIFICAR","VERIFICAR",IF($A976="","SIN ESTADO",IF(AND($A976="Firmada",$H976=""),"FALTA FECHA DE FIRMA",IF(N($T976)=0,IF(AND(ISNUMBER($H976),$H976&gt;=DATE(2024,1,1)),"FALTA EN FIRMADAS","OK"),IF(OR($A976="Pendiente de presentación",$A976="Observado",$A976="En análisis",$A976="En instrucción",$A976="Suspendida",$A976="IT circulando",$A976="Para resolución",$A976="TDC"),"ABIERTA PERO ESTÁ EN FIRMADAS",IF($H976&lt;&gt;INDEX(firmadas!$F:$F,$T976),"FIRMA DISTINTA EN firmadas ("&amp;IF(INDEX(firmadas!$F:$F,$T976)="","vacía",DAY(INDEX(firmadas!$F:$F,$T976))&amp;"/"&amp;MONTH(INDEX(firmadas!$F:$F,$T976))&amp;"/"&amp;YEAR(INDEX(firmadas!$F:$F,$T976)))&amp;")",IF($G976&lt;&gt;INDEX(firmadas!$E:$E,$T976),"INGRESO DISTINTO EN firmadas ("&amp;IF(INDEX(firmadas!$E:$E,$T976)="","vacía",DAY(INDEX(firmadas!$E:$E,$T976))&amp;"/"&amp;MONTH(INDEX(firmadas!$E:$E,$T976))&amp;"/"&amp;YEAR(INDEX(firmadas!$E:$E,$T976)))&amp;")","OK"))))))))</f>
        <v/>
      </c>
      <c r="T976" t="str">
        <f ca="1">IF($P976="","",IFERROR(MATCH($P976,firmadas!$N:$N,0),IFERROR(MATCH("*/"&amp;MID($P976,FIND(" ",$P976)+1,9)&amp;"*",firmadas!$B:$B,0),0)))</f>
        <v/>
      </c>
    </row>
    <row r="977" spans="14:20" ht="15" customHeight="1" x14ac:dyDescent="0.25">
      <c r="N977" s="53" t="str">
        <f t="shared" ca="1" si="15"/>
        <v/>
      </c>
      <c r="P977" t="str">
        <f ca="1">IF(TRIM(SUBSTITUTE(($C977&amp;" "&amp;$D977),CHAR(160)," "))="","",IFERROR(IF(ISNUMBER(SEARCH("INC",($C977&amp;" "&amp;$D977))),"INC",IF(ISNUMBER(SEARCH("OPI",($C977&amp;" "&amp;$D977))),"OPI",IF(ISNUMBER(SEARCH("DP",($C977&amp;" "&amp;$D977))),"DP","CONC")))&amp;" "&amp;TEXT(LOOKUP(9.99E+307,--MID(SUBSTITUTE(($C977&amp;" "&amp;$D977),CHAR(160)," "),SUMPRODUCT(MIN(FIND({0,1,2,3,4,5,6,7,8,9},SUBSTITUTE(($C977&amp;" "&amp;$D977),CHAR(160)," ")&amp;"0123456789"))),ROW(INDIRECT("1:6")))),"0"),"SIN NUMERO"))</f>
        <v/>
      </c>
      <c r="Q977" t="str">
        <f ca="1">IF($P977="","",IF(LEFT(UPPER($S977),9)="VERIFICAR","VERIFICAR",IF($A977="","SIN ESTADO",IF(AND($A977="Firmada",$H977=""),"FALTA FECHA DE FIRMA",IF(N($T977)=0,IF(AND(ISNUMBER($H977),$H977&gt;=DATE(2024,1,1)),"FALTA EN FIRMADAS","OK"),IF(OR($A977="Pendiente de presentación",$A977="Observado",$A977="En análisis",$A977="En instrucción",$A977="Suspendida",$A977="IT circulando",$A977="Para resolución",$A977="TDC"),"ABIERTA PERO ESTÁ EN FIRMADAS",IF($H977&lt;&gt;INDEX(firmadas!$F:$F,$T977),"FIRMA DISTINTA EN firmadas ("&amp;IF(INDEX(firmadas!$F:$F,$T977)="","vacía",DAY(INDEX(firmadas!$F:$F,$T977))&amp;"/"&amp;MONTH(INDEX(firmadas!$F:$F,$T977))&amp;"/"&amp;YEAR(INDEX(firmadas!$F:$F,$T977)))&amp;")",IF($G977&lt;&gt;INDEX(firmadas!$E:$E,$T977),"INGRESO DISTINTO EN firmadas ("&amp;IF(INDEX(firmadas!$E:$E,$T977)="","vacía",DAY(INDEX(firmadas!$E:$E,$T977))&amp;"/"&amp;MONTH(INDEX(firmadas!$E:$E,$T977))&amp;"/"&amp;YEAR(INDEX(firmadas!$E:$E,$T977)))&amp;")","OK"))))))))</f>
        <v/>
      </c>
      <c r="T977" t="str">
        <f ca="1">IF($P977="","",IFERROR(MATCH($P977,firmadas!$N:$N,0),IFERROR(MATCH("*/"&amp;MID($P977,FIND(" ",$P977)+1,9)&amp;"*",firmadas!$B:$B,0),0)))</f>
        <v/>
      </c>
    </row>
    <row r="978" spans="14:20" ht="15" customHeight="1" x14ac:dyDescent="0.25">
      <c r="N978" s="53" t="str">
        <f t="shared" ca="1" si="15"/>
        <v/>
      </c>
      <c r="P978" t="str">
        <f ca="1">IF(TRIM(SUBSTITUTE(($C978&amp;" "&amp;$D978),CHAR(160)," "))="","",IFERROR(IF(ISNUMBER(SEARCH("INC",($C978&amp;" "&amp;$D978))),"INC",IF(ISNUMBER(SEARCH("OPI",($C978&amp;" "&amp;$D978))),"OPI",IF(ISNUMBER(SEARCH("DP",($C978&amp;" "&amp;$D978))),"DP","CONC")))&amp;" "&amp;TEXT(LOOKUP(9.99E+307,--MID(SUBSTITUTE(($C978&amp;" "&amp;$D978),CHAR(160)," "),SUMPRODUCT(MIN(FIND({0,1,2,3,4,5,6,7,8,9},SUBSTITUTE(($C978&amp;" "&amp;$D978),CHAR(160)," ")&amp;"0123456789"))),ROW(INDIRECT("1:6")))),"0"),"SIN NUMERO"))</f>
        <v/>
      </c>
      <c r="Q978" t="str">
        <f ca="1">IF($P978="","",IF(LEFT(UPPER($S978),9)="VERIFICAR","VERIFICAR",IF($A978="","SIN ESTADO",IF(AND($A978="Firmada",$H978=""),"FALTA FECHA DE FIRMA",IF(N($T978)=0,IF(AND(ISNUMBER($H978),$H978&gt;=DATE(2024,1,1)),"FALTA EN FIRMADAS","OK"),IF(OR($A978="Pendiente de presentación",$A978="Observado",$A978="En análisis",$A978="En instrucción",$A978="Suspendida",$A978="IT circulando",$A978="Para resolución",$A978="TDC"),"ABIERTA PERO ESTÁ EN FIRMADAS",IF($H978&lt;&gt;INDEX(firmadas!$F:$F,$T978),"FIRMA DISTINTA EN firmadas ("&amp;IF(INDEX(firmadas!$F:$F,$T978)="","vacía",DAY(INDEX(firmadas!$F:$F,$T978))&amp;"/"&amp;MONTH(INDEX(firmadas!$F:$F,$T978))&amp;"/"&amp;YEAR(INDEX(firmadas!$F:$F,$T978)))&amp;")",IF($G978&lt;&gt;INDEX(firmadas!$E:$E,$T978),"INGRESO DISTINTO EN firmadas ("&amp;IF(INDEX(firmadas!$E:$E,$T978)="","vacía",DAY(INDEX(firmadas!$E:$E,$T978))&amp;"/"&amp;MONTH(INDEX(firmadas!$E:$E,$T978))&amp;"/"&amp;YEAR(INDEX(firmadas!$E:$E,$T978)))&amp;")","OK"))))))))</f>
        <v/>
      </c>
      <c r="T978" t="str">
        <f ca="1">IF($P978="","",IFERROR(MATCH($P978,firmadas!$N:$N,0),IFERROR(MATCH("*/"&amp;MID($P978,FIND(" ",$P978)+1,9)&amp;"*",firmadas!$B:$B,0),0)))</f>
        <v/>
      </c>
    </row>
    <row r="979" spans="14:20" ht="15" customHeight="1" x14ac:dyDescent="0.25">
      <c r="N979" s="53" t="str">
        <f t="shared" ca="1" si="15"/>
        <v/>
      </c>
      <c r="P979" t="str">
        <f ca="1">IF(TRIM(SUBSTITUTE(($C979&amp;" "&amp;$D979),CHAR(160)," "))="","",IFERROR(IF(ISNUMBER(SEARCH("INC",($C979&amp;" "&amp;$D979))),"INC",IF(ISNUMBER(SEARCH("OPI",($C979&amp;" "&amp;$D979))),"OPI",IF(ISNUMBER(SEARCH("DP",($C979&amp;" "&amp;$D979))),"DP","CONC")))&amp;" "&amp;TEXT(LOOKUP(9.99E+307,--MID(SUBSTITUTE(($C979&amp;" "&amp;$D979),CHAR(160)," "),SUMPRODUCT(MIN(FIND({0,1,2,3,4,5,6,7,8,9},SUBSTITUTE(($C979&amp;" "&amp;$D979),CHAR(160)," ")&amp;"0123456789"))),ROW(INDIRECT("1:6")))),"0"),"SIN NUMERO"))</f>
        <v/>
      </c>
      <c r="Q979" t="str">
        <f ca="1">IF($P979="","",IF(LEFT(UPPER($S979),9)="VERIFICAR","VERIFICAR",IF($A979="","SIN ESTADO",IF(AND($A979="Firmada",$H979=""),"FALTA FECHA DE FIRMA",IF(N($T979)=0,IF(AND(ISNUMBER($H979),$H979&gt;=DATE(2024,1,1)),"FALTA EN FIRMADAS","OK"),IF(OR($A979="Pendiente de presentación",$A979="Observado",$A979="En análisis",$A979="En instrucción",$A979="Suspendida",$A979="IT circulando",$A979="Para resolución",$A979="TDC"),"ABIERTA PERO ESTÁ EN FIRMADAS",IF($H979&lt;&gt;INDEX(firmadas!$F:$F,$T979),"FIRMA DISTINTA EN firmadas ("&amp;IF(INDEX(firmadas!$F:$F,$T979)="","vacía",DAY(INDEX(firmadas!$F:$F,$T979))&amp;"/"&amp;MONTH(INDEX(firmadas!$F:$F,$T979))&amp;"/"&amp;YEAR(INDEX(firmadas!$F:$F,$T979)))&amp;")",IF($G979&lt;&gt;INDEX(firmadas!$E:$E,$T979),"INGRESO DISTINTO EN firmadas ("&amp;IF(INDEX(firmadas!$E:$E,$T979)="","vacía",DAY(INDEX(firmadas!$E:$E,$T979))&amp;"/"&amp;MONTH(INDEX(firmadas!$E:$E,$T979))&amp;"/"&amp;YEAR(INDEX(firmadas!$E:$E,$T979)))&amp;")","OK"))))))))</f>
        <v/>
      </c>
      <c r="T979" t="str">
        <f ca="1">IF($P979="","",IFERROR(MATCH($P979,firmadas!$N:$N,0),IFERROR(MATCH("*/"&amp;MID($P979,FIND(" ",$P979)+1,9)&amp;"*",firmadas!$B:$B,0),0)))</f>
        <v/>
      </c>
    </row>
    <row r="980" spans="14:20" ht="15" customHeight="1" x14ac:dyDescent="0.25">
      <c r="N980" s="53" t="str">
        <f t="shared" ca="1" si="15"/>
        <v/>
      </c>
      <c r="P980" t="str">
        <f ca="1">IF(TRIM(SUBSTITUTE(($C980&amp;" "&amp;$D980),CHAR(160)," "))="","",IFERROR(IF(ISNUMBER(SEARCH("INC",($C980&amp;" "&amp;$D980))),"INC",IF(ISNUMBER(SEARCH("OPI",($C980&amp;" "&amp;$D980))),"OPI",IF(ISNUMBER(SEARCH("DP",($C980&amp;" "&amp;$D980))),"DP","CONC")))&amp;" "&amp;TEXT(LOOKUP(9.99E+307,--MID(SUBSTITUTE(($C980&amp;" "&amp;$D980),CHAR(160)," "),SUMPRODUCT(MIN(FIND({0,1,2,3,4,5,6,7,8,9},SUBSTITUTE(($C980&amp;" "&amp;$D980),CHAR(160)," ")&amp;"0123456789"))),ROW(INDIRECT("1:6")))),"0"),"SIN NUMERO"))</f>
        <v/>
      </c>
      <c r="Q980" t="str">
        <f ca="1">IF($P980="","",IF(LEFT(UPPER($S980),9)="VERIFICAR","VERIFICAR",IF($A980="","SIN ESTADO",IF(AND($A980="Firmada",$H980=""),"FALTA FECHA DE FIRMA",IF(N($T980)=0,IF(AND(ISNUMBER($H980),$H980&gt;=DATE(2024,1,1)),"FALTA EN FIRMADAS","OK"),IF(OR($A980="Pendiente de presentación",$A980="Observado",$A980="En análisis",$A980="En instrucción",$A980="Suspendida",$A980="IT circulando",$A980="Para resolución",$A980="TDC"),"ABIERTA PERO ESTÁ EN FIRMADAS",IF($H980&lt;&gt;INDEX(firmadas!$F:$F,$T980),"FIRMA DISTINTA EN firmadas ("&amp;IF(INDEX(firmadas!$F:$F,$T980)="","vacía",DAY(INDEX(firmadas!$F:$F,$T980))&amp;"/"&amp;MONTH(INDEX(firmadas!$F:$F,$T980))&amp;"/"&amp;YEAR(INDEX(firmadas!$F:$F,$T980)))&amp;")",IF($G980&lt;&gt;INDEX(firmadas!$E:$E,$T980),"INGRESO DISTINTO EN firmadas ("&amp;IF(INDEX(firmadas!$E:$E,$T980)="","vacía",DAY(INDEX(firmadas!$E:$E,$T980))&amp;"/"&amp;MONTH(INDEX(firmadas!$E:$E,$T980))&amp;"/"&amp;YEAR(INDEX(firmadas!$E:$E,$T980)))&amp;")","OK"))))))))</f>
        <v/>
      </c>
      <c r="T980" t="str">
        <f ca="1">IF($P980="","",IFERROR(MATCH($P980,firmadas!$N:$N,0),IFERROR(MATCH("*/"&amp;MID($P980,FIND(" ",$P980)+1,9)&amp;"*",firmadas!$B:$B,0),0)))</f>
        <v/>
      </c>
    </row>
    <row r="981" spans="14:20" ht="15" customHeight="1" x14ac:dyDescent="0.25">
      <c r="N981" s="53" t="str">
        <f t="shared" ca="1" si="15"/>
        <v/>
      </c>
      <c r="P981" t="str">
        <f ca="1">IF(TRIM(SUBSTITUTE(($C981&amp;" "&amp;$D981),CHAR(160)," "))="","",IFERROR(IF(ISNUMBER(SEARCH("INC",($C981&amp;" "&amp;$D981))),"INC",IF(ISNUMBER(SEARCH("OPI",($C981&amp;" "&amp;$D981))),"OPI",IF(ISNUMBER(SEARCH("DP",($C981&amp;" "&amp;$D981))),"DP","CONC")))&amp;" "&amp;TEXT(LOOKUP(9.99E+307,--MID(SUBSTITUTE(($C981&amp;" "&amp;$D981),CHAR(160)," "),SUMPRODUCT(MIN(FIND({0,1,2,3,4,5,6,7,8,9},SUBSTITUTE(($C981&amp;" "&amp;$D981),CHAR(160)," ")&amp;"0123456789"))),ROW(INDIRECT("1:6")))),"0"),"SIN NUMERO"))</f>
        <v/>
      </c>
      <c r="Q981" t="str">
        <f ca="1">IF($P981="","",IF(LEFT(UPPER($S981),9)="VERIFICAR","VERIFICAR",IF($A981="","SIN ESTADO",IF(AND($A981="Firmada",$H981=""),"FALTA FECHA DE FIRMA",IF(N($T981)=0,IF(AND(ISNUMBER($H981),$H981&gt;=DATE(2024,1,1)),"FALTA EN FIRMADAS","OK"),IF(OR($A981="Pendiente de presentación",$A981="Observado",$A981="En análisis",$A981="En instrucción",$A981="Suspendida",$A981="IT circulando",$A981="Para resolución",$A981="TDC"),"ABIERTA PERO ESTÁ EN FIRMADAS",IF($H981&lt;&gt;INDEX(firmadas!$F:$F,$T981),"FIRMA DISTINTA EN firmadas ("&amp;IF(INDEX(firmadas!$F:$F,$T981)="","vacía",DAY(INDEX(firmadas!$F:$F,$T981))&amp;"/"&amp;MONTH(INDEX(firmadas!$F:$F,$T981))&amp;"/"&amp;YEAR(INDEX(firmadas!$F:$F,$T981)))&amp;")",IF($G981&lt;&gt;INDEX(firmadas!$E:$E,$T981),"INGRESO DISTINTO EN firmadas ("&amp;IF(INDEX(firmadas!$E:$E,$T981)="","vacía",DAY(INDEX(firmadas!$E:$E,$T981))&amp;"/"&amp;MONTH(INDEX(firmadas!$E:$E,$T981))&amp;"/"&amp;YEAR(INDEX(firmadas!$E:$E,$T981)))&amp;")","OK"))))))))</f>
        <v/>
      </c>
      <c r="T981" t="str">
        <f ca="1">IF($P981="","",IFERROR(MATCH($P981,firmadas!$N:$N,0),IFERROR(MATCH("*/"&amp;MID($P981,FIND(" ",$P981)+1,9)&amp;"*",firmadas!$B:$B,0),0)))</f>
        <v/>
      </c>
    </row>
    <row r="982" spans="14:20" ht="15" customHeight="1" x14ac:dyDescent="0.25">
      <c r="N982" s="53" t="str">
        <f t="shared" ca="1" si="15"/>
        <v/>
      </c>
      <c r="P982" t="str">
        <f ca="1">IF(TRIM(SUBSTITUTE(($C982&amp;" "&amp;$D982),CHAR(160)," "))="","",IFERROR(IF(ISNUMBER(SEARCH("INC",($C982&amp;" "&amp;$D982))),"INC",IF(ISNUMBER(SEARCH("OPI",($C982&amp;" "&amp;$D982))),"OPI",IF(ISNUMBER(SEARCH("DP",($C982&amp;" "&amp;$D982))),"DP","CONC")))&amp;" "&amp;TEXT(LOOKUP(9.99E+307,--MID(SUBSTITUTE(($C982&amp;" "&amp;$D982),CHAR(160)," "),SUMPRODUCT(MIN(FIND({0,1,2,3,4,5,6,7,8,9},SUBSTITUTE(($C982&amp;" "&amp;$D982),CHAR(160)," ")&amp;"0123456789"))),ROW(INDIRECT("1:6")))),"0"),"SIN NUMERO"))</f>
        <v/>
      </c>
      <c r="Q982" t="str">
        <f ca="1">IF($P982="","",IF(LEFT(UPPER($S982),9)="VERIFICAR","VERIFICAR",IF($A982="","SIN ESTADO",IF(AND($A982="Firmada",$H982=""),"FALTA FECHA DE FIRMA",IF(N($T982)=0,IF(AND(ISNUMBER($H982),$H982&gt;=DATE(2024,1,1)),"FALTA EN FIRMADAS","OK"),IF(OR($A982="Pendiente de presentación",$A982="Observado",$A982="En análisis",$A982="En instrucción",$A982="Suspendida",$A982="IT circulando",$A982="Para resolución",$A982="TDC"),"ABIERTA PERO ESTÁ EN FIRMADAS",IF($H982&lt;&gt;INDEX(firmadas!$F:$F,$T982),"FIRMA DISTINTA EN firmadas ("&amp;IF(INDEX(firmadas!$F:$F,$T982)="","vacía",DAY(INDEX(firmadas!$F:$F,$T982))&amp;"/"&amp;MONTH(INDEX(firmadas!$F:$F,$T982))&amp;"/"&amp;YEAR(INDEX(firmadas!$F:$F,$T982)))&amp;")",IF($G982&lt;&gt;INDEX(firmadas!$E:$E,$T982),"INGRESO DISTINTO EN firmadas ("&amp;IF(INDEX(firmadas!$E:$E,$T982)="","vacía",DAY(INDEX(firmadas!$E:$E,$T982))&amp;"/"&amp;MONTH(INDEX(firmadas!$E:$E,$T982))&amp;"/"&amp;YEAR(INDEX(firmadas!$E:$E,$T982)))&amp;")","OK"))))))))</f>
        <v/>
      </c>
      <c r="T982" t="str">
        <f ca="1">IF($P982="","",IFERROR(MATCH($P982,firmadas!$N:$N,0),IFERROR(MATCH("*/"&amp;MID($P982,FIND(" ",$P982)+1,9)&amp;"*",firmadas!$B:$B,0),0)))</f>
        <v/>
      </c>
    </row>
    <row r="983" spans="14:20" ht="15" customHeight="1" x14ac:dyDescent="0.25">
      <c r="N983" s="53" t="str">
        <f t="shared" ca="1" si="15"/>
        <v/>
      </c>
      <c r="P983" t="str">
        <f ca="1">IF(TRIM(SUBSTITUTE(($C983&amp;" "&amp;$D983),CHAR(160)," "))="","",IFERROR(IF(ISNUMBER(SEARCH("INC",($C983&amp;" "&amp;$D983))),"INC",IF(ISNUMBER(SEARCH("OPI",($C983&amp;" "&amp;$D983))),"OPI",IF(ISNUMBER(SEARCH("DP",($C983&amp;" "&amp;$D983))),"DP","CONC")))&amp;" "&amp;TEXT(LOOKUP(9.99E+307,--MID(SUBSTITUTE(($C983&amp;" "&amp;$D983),CHAR(160)," "),SUMPRODUCT(MIN(FIND({0,1,2,3,4,5,6,7,8,9},SUBSTITUTE(($C983&amp;" "&amp;$D983),CHAR(160)," ")&amp;"0123456789"))),ROW(INDIRECT("1:6")))),"0"),"SIN NUMERO"))</f>
        <v/>
      </c>
      <c r="Q983" t="str">
        <f ca="1">IF($P983="","",IF(LEFT(UPPER($S983),9)="VERIFICAR","VERIFICAR",IF($A983="","SIN ESTADO",IF(AND($A983="Firmada",$H983=""),"FALTA FECHA DE FIRMA",IF(N($T983)=0,IF(AND(ISNUMBER($H983),$H983&gt;=DATE(2024,1,1)),"FALTA EN FIRMADAS","OK"),IF(OR($A983="Pendiente de presentación",$A983="Observado",$A983="En análisis",$A983="En instrucción",$A983="Suspendida",$A983="IT circulando",$A983="Para resolución",$A983="TDC"),"ABIERTA PERO ESTÁ EN FIRMADAS",IF($H983&lt;&gt;INDEX(firmadas!$F:$F,$T983),"FIRMA DISTINTA EN firmadas ("&amp;IF(INDEX(firmadas!$F:$F,$T983)="","vacía",DAY(INDEX(firmadas!$F:$F,$T983))&amp;"/"&amp;MONTH(INDEX(firmadas!$F:$F,$T983))&amp;"/"&amp;YEAR(INDEX(firmadas!$F:$F,$T983)))&amp;")",IF($G983&lt;&gt;INDEX(firmadas!$E:$E,$T983),"INGRESO DISTINTO EN firmadas ("&amp;IF(INDEX(firmadas!$E:$E,$T983)="","vacía",DAY(INDEX(firmadas!$E:$E,$T983))&amp;"/"&amp;MONTH(INDEX(firmadas!$E:$E,$T983))&amp;"/"&amp;YEAR(INDEX(firmadas!$E:$E,$T983)))&amp;")","OK"))))))))</f>
        <v/>
      </c>
      <c r="T983" t="str">
        <f ca="1">IF($P983="","",IFERROR(MATCH($P983,firmadas!$N:$N,0),IFERROR(MATCH("*/"&amp;MID($P983,FIND(" ",$P983)+1,9)&amp;"*",firmadas!$B:$B,0),0)))</f>
        <v/>
      </c>
    </row>
    <row r="984" spans="14:20" ht="15" customHeight="1" x14ac:dyDescent="0.25">
      <c r="N984" s="53" t="str">
        <f t="shared" ca="1" si="15"/>
        <v/>
      </c>
      <c r="P984" t="str">
        <f ca="1">IF(TRIM(SUBSTITUTE(($C984&amp;" "&amp;$D984),CHAR(160)," "))="","",IFERROR(IF(ISNUMBER(SEARCH("INC",($C984&amp;" "&amp;$D984))),"INC",IF(ISNUMBER(SEARCH("OPI",($C984&amp;" "&amp;$D984))),"OPI",IF(ISNUMBER(SEARCH("DP",($C984&amp;" "&amp;$D984))),"DP","CONC")))&amp;" "&amp;TEXT(LOOKUP(9.99E+307,--MID(SUBSTITUTE(($C984&amp;" "&amp;$D984),CHAR(160)," "),SUMPRODUCT(MIN(FIND({0,1,2,3,4,5,6,7,8,9},SUBSTITUTE(($C984&amp;" "&amp;$D984),CHAR(160)," ")&amp;"0123456789"))),ROW(INDIRECT("1:6")))),"0"),"SIN NUMERO"))</f>
        <v/>
      </c>
      <c r="Q984" t="str">
        <f ca="1">IF($P984="","",IF(LEFT(UPPER($S984),9)="VERIFICAR","VERIFICAR",IF($A984="","SIN ESTADO",IF(AND($A984="Firmada",$H984=""),"FALTA FECHA DE FIRMA",IF(N($T984)=0,IF(AND(ISNUMBER($H984),$H984&gt;=DATE(2024,1,1)),"FALTA EN FIRMADAS","OK"),IF(OR($A984="Pendiente de presentación",$A984="Observado",$A984="En análisis",$A984="En instrucción",$A984="Suspendida",$A984="IT circulando",$A984="Para resolución",$A984="TDC"),"ABIERTA PERO ESTÁ EN FIRMADAS",IF($H984&lt;&gt;INDEX(firmadas!$F:$F,$T984),"FIRMA DISTINTA EN firmadas ("&amp;IF(INDEX(firmadas!$F:$F,$T984)="","vacía",DAY(INDEX(firmadas!$F:$F,$T984))&amp;"/"&amp;MONTH(INDEX(firmadas!$F:$F,$T984))&amp;"/"&amp;YEAR(INDEX(firmadas!$F:$F,$T984)))&amp;")",IF($G984&lt;&gt;INDEX(firmadas!$E:$E,$T984),"INGRESO DISTINTO EN firmadas ("&amp;IF(INDEX(firmadas!$E:$E,$T984)="","vacía",DAY(INDEX(firmadas!$E:$E,$T984))&amp;"/"&amp;MONTH(INDEX(firmadas!$E:$E,$T984))&amp;"/"&amp;YEAR(INDEX(firmadas!$E:$E,$T984)))&amp;")","OK"))))))))</f>
        <v/>
      </c>
      <c r="T984" t="str">
        <f ca="1">IF($P984="","",IFERROR(MATCH($P984,firmadas!$N:$N,0),IFERROR(MATCH("*/"&amp;MID($P984,FIND(" ",$P984)+1,9)&amp;"*",firmadas!$B:$B,0),0)))</f>
        <v/>
      </c>
    </row>
    <row r="985" spans="14:20" ht="15" customHeight="1" x14ac:dyDescent="0.25">
      <c r="N985" s="53" t="str">
        <f t="shared" ca="1" si="15"/>
        <v/>
      </c>
      <c r="P985" t="str">
        <f ca="1">IF(TRIM(SUBSTITUTE(($C985&amp;" "&amp;$D985),CHAR(160)," "))="","",IFERROR(IF(ISNUMBER(SEARCH("INC",($C985&amp;" "&amp;$D985))),"INC",IF(ISNUMBER(SEARCH("OPI",($C985&amp;" "&amp;$D985))),"OPI",IF(ISNUMBER(SEARCH("DP",($C985&amp;" "&amp;$D985))),"DP","CONC")))&amp;" "&amp;TEXT(LOOKUP(9.99E+307,--MID(SUBSTITUTE(($C985&amp;" "&amp;$D985),CHAR(160)," "),SUMPRODUCT(MIN(FIND({0,1,2,3,4,5,6,7,8,9},SUBSTITUTE(($C985&amp;" "&amp;$D985),CHAR(160)," ")&amp;"0123456789"))),ROW(INDIRECT("1:6")))),"0"),"SIN NUMERO"))</f>
        <v/>
      </c>
      <c r="Q985" t="str">
        <f ca="1">IF($P985="","",IF(LEFT(UPPER($S985),9)="VERIFICAR","VERIFICAR",IF($A985="","SIN ESTADO",IF(AND($A985="Firmada",$H985=""),"FALTA FECHA DE FIRMA",IF(N($T985)=0,IF(AND(ISNUMBER($H985),$H985&gt;=DATE(2024,1,1)),"FALTA EN FIRMADAS","OK"),IF(OR($A985="Pendiente de presentación",$A985="Observado",$A985="En análisis",$A985="En instrucción",$A985="Suspendida",$A985="IT circulando",$A985="Para resolución",$A985="TDC"),"ABIERTA PERO ESTÁ EN FIRMADAS",IF($H985&lt;&gt;INDEX(firmadas!$F:$F,$T985),"FIRMA DISTINTA EN firmadas ("&amp;IF(INDEX(firmadas!$F:$F,$T985)="","vacía",DAY(INDEX(firmadas!$F:$F,$T985))&amp;"/"&amp;MONTH(INDEX(firmadas!$F:$F,$T985))&amp;"/"&amp;YEAR(INDEX(firmadas!$F:$F,$T985)))&amp;")",IF($G985&lt;&gt;INDEX(firmadas!$E:$E,$T985),"INGRESO DISTINTO EN firmadas ("&amp;IF(INDEX(firmadas!$E:$E,$T985)="","vacía",DAY(INDEX(firmadas!$E:$E,$T985))&amp;"/"&amp;MONTH(INDEX(firmadas!$E:$E,$T985))&amp;"/"&amp;YEAR(INDEX(firmadas!$E:$E,$T985)))&amp;")","OK"))))))))</f>
        <v/>
      </c>
      <c r="T985" t="str">
        <f ca="1">IF($P985="","",IFERROR(MATCH($P985,firmadas!$N:$N,0),IFERROR(MATCH("*/"&amp;MID($P985,FIND(" ",$P985)+1,9)&amp;"*",firmadas!$B:$B,0),0)))</f>
        <v/>
      </c>
    </row>
    <row r="986" spans="14:20" ht="15" customHeight="1" x14ac:dyDescent="0.25">
      <c r="N986" s="53" t="str">
        <f t="shared" ca="1" si="15"/>
        <v/>
      </c>
      <c r="P986" t="str">
        <f ca="1">IF(TRIM(SUBSTITUTE(($C986&amp;" "&amp;$D986),CHAR(160)," "))="","",IFERROR(IF(ISNUMBER(SEARCH("INC",($C986&amp;" "&amp;$D986))),"INC",IF(ISNUMBER(SEARCH("OPI",($C986&amp;" "&amp;$D986))),"OPI",IF(ISNUMBER(SEARCH("DP",($C986&amp;" "&amp;$D986))),"DP","CONC")))&amp;" "&amp;TEXT(LOOKUP(9.99E+307,--MID(SUBSTITUTE(($C986&amp;" "&amp;$D986),CHAR(160)," "),SUMPRODUCT(MIN(FIND({0,1,2,3,4,5,6,7,8,9},SUBSTITUTE(($C986&amp;" "&amp;$D986),CHAR(160)," ")&amp;"0123456789"))),ROW(INDIRECT("1:6")))),"0"),"SIN NUMERO"))</f>
        <v/>
      </c>
      <c r="Q986" t="str">
        <f ca="1">IF($P986="","",IF(LEFT(UPPER($S986),9)="VERIFICAR","VERIFICAR",IF($A986="","SIN ESTADO",IF(AND($A986="Firmada",$H986=""),"FALTA FECHA DE FIRMA",IF(N($T986)=0,IF(AND(ISNUMBER($H986),$H986&gt;=DATE(2024,1,1)),"FALTA EN FIRMADAS","OK"),IF(OR($A986="Pendiente de presentación",$A986="Observado",$A986="En análisis",$A986="En instrucción",$A986="Suspendida",$A986="IT circulando",$A986="Para resolución",$A986="TDC"),"ABIERTA PERO ESTÁ EN FIRMADAS",IF($H986&lt;&gt;INDEX(firmadas!$F:$F,$T986),"FIRMA DISTINTA EN firmadas ("&amp;IF(INDEX(firmadas!$F:$F,$T986)="","vacía",DAY(INDEX(firmadas!$F:$F,$T986))&amp;"/"&amp;MONTH(INDEX(firmadas!$F:$F,$T986))&amp;"/"&amp;YEAR(INDEX(firmadas!$F:$F,$T986)))&amp;")",IF($G986&lt;&gt;INDEX(firmadas!$E:$E,$T986),"INGRESO DISTINTO EN firmadas ("&amp;IF(INDEX(firmadas!$E:$E,$T986)="","vacía",DAY(INDEX(firmadas!$E:$E,$T986))&amp;"/"&amp;MONTH(INDEX(firmadas!$E:$E,$T986))&amp;"/"&amp;YEAR(INDEX(firmadas!$E:$E,$T986)))&amp;")","OK"))))))))</f>
        <v/>
      </c>
      <c r="T986" t="str">
        <f ca="1">IF($P986="","",IFERROR(MATCH($P986,firmadas!$N:$N,0),IFERROR(MATCH("*/"&amp;MID($P986,FIND(" ",$P986)+1,9)&amp;"*",firmadas!$B:$B,0),0)))</f>
        <v/>
      </c>
    </row>
    <row r="987" spans="14:20" ht="15" customHeight="1" x14ac:dyDescent="0.25">
      <c r="N987" s="53" t="str">
        <f t="shared" ca="1" si="15"/>
        <v/>
      </c>
      <c r="P987" t="str">
        <f ca="1">IF(TRIM(SUBSTITUTE(($C987&amp;" "&amp;$D987),CHAR(160)," "))="","",IFERROR(IF(ISNUMBER(SEARCH("INC",($C987&amp;" "&amp;$D987))),"INC",IF(ISNUMBER(SEARCH("OPI",($C987&amp;" "&amp;$D987))),"OPI",IF(ISNUMBER(SEARCH("DP",($C987&amp;" "&amp;$D987))),"DP","CONC")))&amp;" "&amp;TEXT(LOOKUP(9.99E+307,--MID(SUBSTITUTE(($C987&amp;" "&amp;$D987),CHAR(160)," "),SUMPRODUCT(MIN(FIND({0,1,2,3,4,5,6,7,8,9},SUBSTITUTE(($C987&amp;" "&amp;$D987),CHAR(160)," ")&amp;"0123456789"))),ROW(INDIRECT("1:6")))),"0"),"SIN NUMERO"))</f>
        <v/>
      </c>
      <c r="Q987" t="str">
        <f ca="1">IF($P987="","",IF(LEFT(UPPER($S987),9)="VERIFICAR","VERIFICAR",IF($A987="","SIN ESTADO",IF(AND($A987="Firmada",$H987=""),"FALTA FECHA DE FIRMA",IF(N($T987)=0,IF(AND(ISNUMBER($H987),$H987&gt;=DATE(2024,1,1)),"FALTA EN FIRMADAS","OK"),IF(OR($A987="Pendiente de presentación",$A987="Observado",$A987="En análisis",$A987="En instrucción",$A987="Suspendida",$A987="IT circulando",$A987="Para resolución",$A987="TDC"),"ABIERTA PERO ESTÁ EN FIRMADAS",IF($H987&lt;&gt;INDEX(firmadas!$F:$F,$T987),"FIRMA DISTINTA EN firmadas ("&amp;IF(INDEX(firmadas!$F:$F,$T987)="","vacía",DAY(INDEX(firmadas!$F:$F,$T987))&amp;"/"&amp;MONTH(INDEX(firmadas!$F:$F,$T987))&amp;"/"&amp;YEAR(INDEX(firmadas!$F:$F,$T987)))&amp;")",IF($G987&lt;&gt;INDEX(firmadas!$E:$E,$T987),"INGRESO DISTINTO EN firmadas ("&amp;IF(INDEX(firmadas!$E:$E,$T987)="","vacía",DAY(INDEX(firmadas!$E:$E,$T987))&amp;"/"&amp;MONTH(INDEX(firmadas!$E:$E,$T987))&amp;"/"&amp;YEAR(INDEX(firmadas!$E:$E,$T987)))&amp;")","OK"))))))))</f>
        <v/>
      </c>
      <c r="T987" t="str">
        <f ca="1">IF($P987="","",IFERROR(MATCH($P987,firmadas!$N:$N,0),IFERROR(MATCH("*/"&amp;MID($P987,FIND(" ",$P987)+1,9)&amp;"*",firmadas!$B:$B,0),0)))</f>
        <v/>
      </c>
    </row>
    <row r="988" spans="14:20" ht="15" customHeight="1" x14ac:dyDescent="0.25">
      <c r="N988" s="53" t="str">
        <f t="shared" ca="1" si="15"/>
        <v/>
      </c>
      <c r="P988" t="str">
        <f ca="1">IF(TRIM(SUBSTITUTE(($C988&amp;" "&amp;$D988),CHAR(160)," "))="","",IFERROR(IF(ISNUMBER(SEARCH("INC",($C988&amp;" "&amp;$D988))),"INC",IF(ISNUMBER(SEARCH("OPI",($C988&amp;" "&amp;$D988))),"OPI",IF(ISNUMBER(SEARCH("DP",($C988&amp;" "&amp;$D988))),"DP","CONC")))&amp;" "&amp;TEXT(LOOKUP(9.99E+307,--MID(SUBSTITUTE(($C988&amp;" "&amp;$D988),CHAR(160)," "),SUMPRODUCT(MIN(FIND({0,1,2,3,4,5,6,7,8,9},SUBSTITUTE(($C988&amp;" "&amp;$D988),CHAR(160)," ")&amp;"0123456789"))),ROW(INDIRECT("1:6")))),"0"),"SIN NUMERO"))</f>
        <v/>
      </c>
      <c r="Q988" t="str">
        <f ca="1">IF($P988="","",IF(LEFT(UPPER($S988),9)="VERIFICAR","VERIFICAR",IF($A988="","SIN ESTADO",IF(AND($A988="Firmada",$H988=""),"FALTA FECHA DE FIRMA",IF(N($T988)=0,IF(AND(ISNUMBER($H988),$H988&gt;=DATE(2024,1,1)),"FALTA EN FIRMADAS","OK"),IF(OR($A988="Pendiente de presentación",$A988="Observado",$A988="En análisis",$A988="En instrucción",$A988="Suspendida",$A988="IT circulando",$A988="Para resolución",$A988="TDC"),"ABIERTA PERO ESTÁ EN FIRMADAS",IF($H988&lt;&gt;INDEX(firmadas!$F:$F,$T988),"FIRMA DISTINTA EN firmadas ("&amp;IF(INDEX(firmadas!$F:$F,$T988)="","vacía",DAY(INDEX(firmadas!$F:$F,$T988))&amp;"/"&amp;MONTH(INDEX(firmadas!$F:$F,$T988))&amp;"/"&amp;YEAR(INDEX(firmadas!$F:$F,$T988)))&amp;")",IF($G988&lt;&gt;INDEX(firmadas!$E:$E,$T988),"INGRESO DISTINTO EN firmadas ("&amp;IF(INDEX(firmadas!$E:$E,$T988)="","vacía",DAY(INDEX(firmadas!$E:$E,$T988))&amp;"/"&amp;MONTH(INDEX(firmadas!$E:$E,$T988))&amp;"/"&amp;YEAR(INDEX(firmadas!$E:$E,$T988)))&amp;")","OK"))))))))</f>
        <v/>
      </c>
      <c r="T988" t="str">
        <f ca="1">IF($P988="","",IFERROR(MATCH($P988,firmadas!$N:$N,0),IFERROR(MATCH("*/"&amp;MID($P988,FIND(" ",$P988)+1,9)&amp;"*",firmadas!$B:$B,0),0)))</f>
        <v/>
      </c>
    </row>
    <row r="989" spans="14:20" ht="15" customHeight="1" x14ac:dyDescent="0.25">
      <c r="N989" s="53" t="str">
        <f t="shared" ca="1" si="15"/>
        <v/>
      </c>
      <c r="P989" t="str">
        <f ca="1">IF(TRIM(SUBSTITUTE(($C989&amp;" "&amp;$D989),CHAR(160)," "))="","",IFERROR(IF(ISNUMBER(SEARCH("INC",($C989&amp;" "&amp;$D989))),"INC",IF(ISNUMBER(SEARCH("OPI",($C989&amp;" "&amp;$D989))),"OPI",IF(ISNUMBER(SEARCH("DP",($C989&amp;" "&amp;$D989))),"DP","CONC")))&amp;" "&amp;TEXT(LOOKUP(9.99E+307,--MID(SUBSTITUTE(($C989&amp;" "&amp;$D989),CHAR(160)," "),SUMPRODUCT(MIN(FIND({0,1,2,3,4,5,6,7,8,9},SUBSTITUTE(($C989&amp;" "&amp;$D989),CHAR(160)," ")&amp;"0123456789"))),ROW(INDIRECT("1:6")))),"0"),"SIN NUMERO"))</f>
        <v/>
      </c>
      <c r="Q989" t="str">
        <f ca="1">IF($P989="","",IF(LEFT(UPPER($S989),9)="VERIFICAR","VERIFICAR",IF($A989="","SIN ESTADO",IF(AND($A989="Firmada",$H989=""),"FALTA FECHA DE FIRMA",IF(N($T989)=0,IF(AND(ISNUMBER($H989),$H989&gt;=DATE(2024,1,1)),"FALTA EN FIRMADAS","OK"),IF(OR($A989="Pendiente de presentación",$A989="Observado",$A989="En análisis",$A989="En instrucción",$A989="Suspendida",$A989="IT circulando",$A989="Para resolución",$A989="TDC"),"ABIERTA PERO ESTÁ EN FIRMADAS",IF($H989&lt;&gt;INDEX(firmadas!$F:$F,$T989),"FIRMA DISTINTA EN firmadas ("&amp;IF(INDEX(firmadas!$F:$F,$T989)="","vacía",DAY(INDEX(firmadas!$F:$F,$T989))&amp;"/"&amp;MONTH(INDEX(firmadas!$F:$F,$T989))&amp;"/"&amp;YEAR(INDEX(firmadas!$F:$F,$T989)))&amp;")",IF($G989&lt;&gt;INDEX(firmadas!$E:$E,$T989),"INGRESO DISTINTO EN firmadas ("&amp;IF(INDEX(firmadas!$E:$E,$T989)="","vacía",DAY(INDEX(firmadas!$E:$E,$T989))&amp;"/"&amp;MONTH(INDEX(firmadas!$E:$E,$T989))&amp;"/"&amp;YEAR(INDEX(firmadas!$E:$E,$T989)))&amp;")","OK"))))))))</f>
        <v/>
      </c>
      <c r="T989" t="str">
        <f ca="1">IF($P989="","",IFERROR(MATCH($P989,firmadas!$N:$N,0),IFERROR(MATCH("*/"&amp;MID($P989,FIND(" ",$P989)+1,9)&amp;"*",firmadas!$B:$B,0),0)))</f>
        <v/>
      </c>
    </row>
    <row r="990" spans="14:20" ht="15" customHeight="1" x14ac:dyDescent="0.25">
      <c r="N990" s="53" t="str">
        <f t="shared" ca="1" si="15"/>
        <v/>
      </c>
      <c r="P990" t="str">
        <f ca="1">IF(TRIM(SUBSTITUTE(($C990&amp;" "&amp;$D990),CHAR(160)," "))="","",IFERROR(IF(ISNUMBER(SEARCH("INC",($C990&amp;" "&amp;$D990))),"INC",IF(ISNUMBER(SEARCH("OPI",($C990&amp;" "&amp;$D990))),"OPI",IF(ISNUMBER(SEARCH("DP",($C990&amp;" "&amp;$D990))),"DP","CONC")))&amp;" "&amp;TEXT(LOOKUP(9.99E+307,--MID(SUBSTITUTE(($C990&amp;" "&amp;$D990),CHAR(160)," "),SUMPRODUCT(MIN(FIND({0,1,2,3,4,5,6,7,8,9},SUBSTITUTE(($C990&amp;" "&amp;$D990),CHAR(160)," ")&amp;"0123456789"))),ROW(INDIRECT("1:6")))),"0"),"SIN NUMERO"))</f>
        <v/>
      </c>
      <c r="Q990" t="str">
        <f ca="1">IF($P990="","",IF(LEFT(UPPER($S990),9)="VERIFICAR","VERIFICAR",IF($A990="","SIN ESTADO",IF(AND($A990="Firmada",$H990=""),"FALTA FECHA DE FIRMA",IF(N($T990)=0,IF(AND(ISNUMBER($H990),$H990&gt;=DATE(2024,1,1)),"FALTA EN FIRMADAS","OK"),IF(OR($A990="Pendiente de presentación",$A990="Observado",$A990="En análisis",$A990="En instrucción",$A990="Suspendida",$A990="IT circulando",$A990="Para resolución",$A990="TDC"),"ABIERTA PERO ESTÁ EN FIRMADAS",IF($H990&lt;&gt;INDEX(firmadas!$F:$F,$T990),"FIRMA DISTINTA EN firmadas ("&amp;IF(INDEX(firmadas!$F:$F,$T990)="","vacía",DAY(INDEX(firmadas!$F:$F,$T990))&amp;"/"&amp;MONTH(INDEX(firmadas!$F:$F,$T990))&amp;"/"&amp;YEAR(INDEX(firmadas!$F:$F,$T990)))&amp;")",IF($G990&lt;&gt;INDEX(firmadas!$E:$E,$T990),"INGRESO DISTINTO EN firmadas ("&amp;IF(INDEX(firmadas!$E:$E,$T990)="","vacía",DAY(INDEX(firmadas!$E:$E,$T990))&amp;"/"&amp;MONTH(INDEX(firmadas!$E:$E,$T990))&amp;"/"&amp;YEAR(INDEX(firmadas!$E:$E,$T990)))&amp;")","OK"))))))))</f>
        <v/>
      </c>
      <c r="T990" t="str">
        <f ca="1">IF($P990="","",IFERROR(MATCH($P990,firmadas!$N:$N,0),IFERROR(MATCH("*/"&amp;MID($P990,FIND(" ",$P990)+1,9)&amp;"*",firmadas!$B:$B,0),0)))</f>
        <v/>
      </c>
    </row>
    <row r="991" spans="14:20" ht="15" customHeight="1" x14ac:dyDescent="0.25">
      <c r="N991" s="53" t="str">
        <f t="shared" ca="1" si="15"/>
        <v/>
      </c>
      <c r="P991" t="str">
        <f ca="1">IF(TRIM(SUBSTITUTE(($C991&amp;" "&amp;$D991),CHAR(160)," "))="","",IFERROR(IF(ISNUMBER(SEARCH("INC",($C991&amp;" "&amp;$D991))),"INC",IF(ISNUMBER(SEARCH("OPI",($C991&amp;" "&amp;$D991))),"OPI",IF(ISNUMBER(SEARCH("DP",($C991&amp;" "&amp;$D991))),"DP","CONC")))&amp;" "&amp;TEXT(LOOKUP(9.99E+307,--MID(SUBSTITUTE(($C991&amp;" "&amp;$D991),CHAR(160)," "),SUMPRODUCT(MIN(FIND({0,1,2,3,4,5,6,7,8,9},SUBSTITUTE(($C991&amp;" "&amp;$D991),CHAR(160)," ")&amp;"0123456789"))),ROW(INDIRECT("1:6")))),"0"),"SIN NUMERO"))</f>
        <v/>
      </c>
      <c r="Q991" t="str">
        <f ca="1">IF($P991="","",IF(LEFT(UPPER($S991),9)="VERIFICAR","VERIFICAR",IF($A991="","SIN ESTADO",IF(AND($A991="Firmada",$H991=""),"FALTA FECHA DE FIRMA",IF(N($T991)=0,IF(AND(ISNUMBER($H991),$H991&gt;=DATE(2024,1,1)),"FALTA EN FIRMADAS","OK"),IF(OR($A991="Pendiente de presentación",$A991="Observado",$A991="En análisis",$A991="En instrucción",$A991="Suspendida",$A991="IT circulando",$A991="Para resolución",$A991="TDC"),"ABIERTA PERO ESTÁ EN FIRMADAS",IF($H991&lt;&gt;INDEX(firmadas!$F:$F,$T991),"FIRMA DISTINTA EN firmadas ("&amp;IF(INDEX(firmadas!$F:$F,$T991)="","vacía",DAY(INDEX(firmadas!$F:$F,$T991))&amp;"/"&amp;MONTH(INDEX(firmadas!$F:$F,$T991))&amp;"/"&amp;YEAR(INDEX(firmadas!$F:$F,$T991)))&amp;")",IF($G991&lt;&gt;INDEX(firmadas!$E:$E,$T991),"INGRESO DISTINTO EN firmadas ("&amp;IF(INDEX(firmadas!$E:$E,$T991)="","vacía",DAY(INDEX(firmadas!$E:$E,$T991))&amp;"/"&amp;MONTH(INDEX(firmadas!$E:$E,$T991))&amp;"/"&amp;YEAR(INDEX(firmadas!$E:$E,$T991)))&amp;")","OK"))))))))</f>
        <v/>
      </c>
      <c r="T991" t="str">
        <f ca="1">IF($P991="","",IFERROR(MATCH($P991,firmadas!$N:$N,0),IFERROR(MATCH("*/"&amp;MID($P991,FIND(" ",$P991)+1,9)&amp;"*",firmadas!$B:$B,0),0)))</f>
        <v/>
      </c>
    </row>
    <row r="992" spans="14:20" ht="15" customHeight="1" x14ac:dyDescent="0.25">
      <c r="N992" s="53" t="str">
        <f t="shared" ca="1" si="15"/>
        <v/>
      </c>
      <c r="P992" t="str">
        <f ca="1">IF(TRIM(SUBSTITUTE(($C992&amp;" "&amp;$D992),CHAR(160)," "))="","",IFERROR(IF(ISNUMBER(SEARCH("INC",($C992&amp;" "&amp;$D992))),"INC",IF(ISNUMBER(SEARCH("OPI",($C992&amp;" "&amp;$D992))),"OPI",IF(ISNUMBER(SEARCH("DP",($C992&amp;" "&amp;$D992))),"DP","CONC")))&amp;" "&amp;TEXT(LOOKUP(9.99E+307,--MID(SUBSTITUTE(($C992&amp;" "&amp;$D992),CHAR(160)," "),SUMPRODUCT(MIN(FIND({0,1,2,3,4,5,6,7,8,9},SUBSTITUTE(($C992&amp;" "&amp;$D992),CHAR(160)," ")&amp;"0123456789"))),ROW(INDIRECT("1:6")))),"0"),"SIN NUMERO"))</f>
        <v/>
      </c>
      <c r="Q992" t="str">
        <f ca="1">IF($P992="","",IF(LEFT(UPPER($S992),9)="VERIFICAR","VERIFICAR",IF($A992="","SIN ESTADO",IF(AND($A992="Firmada",$H992=""),"FALTA FECHA DE FIRMA",IF(N($T992)=0,IF(AND(ISNUMBER($H992),$H992&gt;=DATE(2024,1,1)),"FALTA EN FIRMADAS","OK"),IF(OR($A992="Pendiente de presentación",$A992="Observado",$A992="En análisis",$A992="En instrucción",$A992="Suspendida",$A992="IT circulando",$A992="Para resolución",$A992="TDC"),"ABIERTA PERO ESTÁ EN FIRMADAS",IF($H992&lt;&gt;INDEX(firmadas!$F:$F,$T992),"FIRMA DISTINTA EN firmadas ("&amp;IF(INDEX(firmadas!$F:$F,$T992)="","vacía",DAY(INDEX(firmadas!$F:$F,$T992))&amp;"/"&amp;MONTH(INDEX(firmadas!$F:$F,$T992))&amp;"/"&amp;YEAR(INDEX(firmadas!$F:$F,$T992)))&amp;")",IF($G992&lt;&gt;INDEX(firmadas!$E:$E,$T992),"INGRESO DISTINTO EN firmadas ("&amp;IF(INDEX(firmadas!$E:$E,$T992)="","vacía",DAY(INDEX(firmadas!$E:$E,$T992))&amp;"/"&amp;MONTH(INDEX(firmadas!$E:$E,$T992))&amp;"/"&amp;YEAR(INDEX(firmadas!$E:$E,$T992)))&amp;")","OK"))))))))</f>
        <v/>
      </c>
      <c r="T992" t="str">
        <f ca="1">IF($P992="","",IFERROR(MATCH($P992,firmadas!$N:$N,0),IFERROR(MATCH("*/"&amp;MID($P992,FIND(" ",$P992)+1,9)&amp;"*",firmadas!$B:$B,0),0)))</f>
        <v/>
      </c>
    </row>
    <row r="993" spans="14:20" ht="15" customHeight="1" x14ac:dyDescent="0.25">
      <c r="N993" s="53" t="str">
        <f t="shared" ca="1" si="15"/>
        <v/>
      </c>
      <c r="P993" t="str">
        <f ca="1">IF(TRIM(SUBSTITUTE(($C993&amp;" "&amp;$D993),CHAR(160)," "))="","",IFERROR(IF(ISNUMBER(SEARCH("INC",($C993&amp;" "&amp;$D993))),"INC",IF(ISNUMBER(SEARCH("OPI",($C993&amp;" "&amp;$D993))),"OPI",IF(ISNUMBER(SEARCH("DP",($C993&amp;" "&amp;$D993))),"DP","CONC")))&amp;" "&amp;TEXT(LOOKUP(9.99E+307,--MID(SUBSTITUTE(($C993&amp;" "&amp;$D993),CHAR(160)," "),SUMPRODUCT(MIN(FIND({0,1,2,3,4,5,6,7,8,9},SUBSTITUTE(($C993&amp;" "&amp;$D993),CHAR(160)," ")&amp;"0123456789"))),ROW(INDIRECT("1:6")))),"0"),"SIN NUMERO"))</f>
        <v/>
      </c>
      <c r="Q993" t="str">
        <f ca="1">IF($P993="","",IF(LEFT(UPPER($S993),9)="VERIFICAR","VERIFICAR",IF($A993="","SIN ESTADO",IF(AND($A993="Firmada",$H993=""),"FALTA FECHA DE FIRMA",IF(N($T993)=0,IF(AND(ISNUMBER($H993),$H993&gt;=DATE(2024,1,1)),"FALTA EN FIRMADAS","OK"),IF(OR($A993="Pendiente de presentación",$A993="Observado",$A993="En análisis",$A993="En instrucción",$A993="Suspendida",$A993="IT circulando",$A993="Para resolución",$A993="TDC"),"ABIERTA PERO ESTÁ EN FIRMADAS",IF($H993&lt;&gt;INDEX(firmadas!$F:$F,$T993),"FIRMA DISTINTA EN firmadas ("&amp;IF(INDEX(firmadas!$F:$F,$T993)="","vacía",DAY(INDEX(firmadas!$F:$F,$T993))&amp;"/"&amp;MONTH(INDEX(firmadas!$F:$F,$T993))&amp;"/"&amp;YEAR(INDEX(firmadas!$F:$F,$T993)))&amp;")",IF($G993&lt;&gt;INDEX(firmadas!$E:$E,$T993),"INGRESO DISTINTO EN firmadas ("&amp;IF(INDEX(firmadas!$E:$E,$T993)="","vacía",DAY(INDEX(firmadas!$E:$E,$T993))&amp;"/"&amp;MONTH(INDEX(firmadas!$E:$E,$T993))&amp;"/"&amp;YEAR(INDEX(firmadas!$E:$E,$T993)))&amp;")","OK"))))))))</f>
        <v/>
      </c>
      <c r="T993" t="str">
        <f ca="1">IF($P993="","",IFERROR(MATCH($P993,firmadas!$N:$N,0),IFERROR(MATCH("*/"&amp;MID($P993,FIND(" ",$P993)+1,9)&amp;"*",firmadas!$B:$B,0),0)))</f>
        <v/>
      </c>
    </row>
    <row r="994" spans="14:20" ht="15" customHeight="1" x14ac:dyDescent="0.25">
      <c r="N994" s="53" t="str">
        <f t="shared" ca="1" si="15"/>
        <v/>
      </c>
      <c r="P994" t="str">
        <f ca="1">IF(TRIM(SUBSTITUTE(($C994&amp;" "&amp;$D994),CHAR(160)," "))="","",IFERROR(IF(ISNUMBER(SEARCH("INC",($C994&amp;" "&amp;$D994))),"INC",IF(ISNUMBER(SEARCH("OPI",($C994&amp;" "&amp;$D994))),"OPI",IF(ISNUMBER(SEARCH("DP",($C994&amp;" "&amp;$D994))),"DP","CONC")))&amp;" "&amp;TEXT(LOOKUP(9.99E+307,--MID(SUBSTITUTE(($C994&amp;" "&amp;$D994),CHAR(160)," "),SUMPRODUCT(MIN(FIND({0,1,2,3,4,5,6,7,8,9},SUBSTITUTE(($C994&amp;" "&amp;$D994),CHAR(160)," ")&amp;"0123456789"))),ROW(INDIRECT("1:6")))),"0"),"SIN NUMERO"))</f>
        <v/>
      </c>
      <c r="Q994" t="str">
        <f ca="1">IF($P994="","",IF(LEFT(UPPER($S994),9)="VERIFICAR","VERIFICAR",IF($A994="","SIN ESTADO",IF(AND($A994="Firmada",$H994=""),"FALTA FECHA DE FIRMA",IF(N($T994)=0,IF(AND(ISNUMBER($H994),$H994&gt;=DATE(2024,1,1)),"FALTA EN FIRMADAS","OK"),IF(OR($A994="Pendiente de presentación",$A994="Observado",$A994="En análisis",$A994="En instrucción",$A994="Suspendida",$A994="IT circulando",$A994="Para resolución",$A994="TDC"),"ABIERTA PERO ESTÁ EN FIRMADAS",IF($H994&lt;&gt;INDEX(firmadas!$F:$F,$T994),"FIRMA DISTINTA EN firmadas ("&amp;IF(INDEX(firmadas!$F:$F,$T994)="","vacía",DAY(INDEX(firmadas!$F:$F,$T994))&amp;"/"&amp;MONTH(INDEX(firmadas!$F:$F,$T994))&amp;"/"&amp;YEAR(INDEX(firmadas!$F:$F,$T994)))&amp;")",IF($G994&lt;&gt;INDEX(firmadas!$E:$E,$T994),"INGRESO DISTINTO EN firmadas ("&amp;IF(INDEX(firmadas!$E:$E,$T994)="","vacía",DAY(INDEX(firmadas!$E:$E,$T994))&amp;"/"&amp;MONTH(INDEX(firmadas!$E:$E,$T994))&amp;"/"&amp;YEAR(INDEX(firmadas!$E:$E,$T994)))&amp;")","OK"))))))))</f>
        <v/>
      </c>
      <c r="T994" t="str">
        <f ca="1">IF($P994="","",IFERROR(MATCH($P994,firmadas!$N:$N,0),IFERROR(MATCH("*/"&amp;MID($P994,FIND(" ",$P994)+1,9)&amp;"*",firmadas!$B:$B,0),0)))</f>
        <v/>
      </c>
    </row>
    <row r="995" spans="14:20" ht="15" customHeight="1" x14ac:dyDescent="0.25">
      <c r="N995" s="53" t="str">
        <f t="shared" ca="1" si="15"/>
        <v/>
      </c>
      <c r="P995" t="str">
        <f ca="1">IF(TRIM(SUBSTITUTE(($C995&amp;" "&amp;$D995),CHAR(160)," "))="","",IFERROR(IF(ISNUMBER(SEARCH("INC",($C995&amp;" "&amp;$D995))),"INC",IF(ISNUMBER(SEARCH("OPI",($C995&amp;" "&amp;$D995))),"OPI",IF(ISNUMBER(SEARCH("DP",($C995&amp;" "&amp;$D995))),"DP","CONC")))&amp;" "&amp;TEXT(LOOKUP(9.99E+307,--MID(SUBSTITUTE(($C995&amp;" "&amp;$D995),CHAR(160)," "),SUMPRODUCT(MIN(FIND({0,1,2,3,4,5,6,7,8,9},SUBSTITUTE(($C995&amp;" "&amp;$D995),CHAR(160)," ")&amp;"0123456789"))),ROW(INDIRECT("1:6")))),"0"),"SIN NUMERO"))</f>
        <v/>
      </c>
      <c r="Q995" t="str">
        <f ca="1">IF($P995="","",IF(LEFT(UPPER($S995),9)="VERIFICAR","VERIFICAR",IF($A995="","SIN ESTADO",IF(AND($A995="Firmada",$H995=""),"FALTA FECHA DE FIRMA",IF(N($T995)=0,IF(AND(ISNUMBER($H995),$H995&gt;=DATE(2024,1,1)),"FALTA EN FIRMADAS","OK"),IF(OR($A995="Pendiente de presentación",$A995="Observado",$A995="En análisis",$A995="En instrucción",$A995="Suspendida",$A995="IT circulando",$A995="Para resolución",$A995="TDC"),"ABIERTA PERO ESTÁ EN FIRMADAS",IF($H995&lt;&gt;INDEX(firmadas!$F:$F,$T995),"FIRMA DISTINTA EN firmadas ("&amp;IF(INDEX(firmadas!$F:$F,$T995)="","vacía",DAY(INDEX(firmadas!$F:$F,$T995))&amp;"/"&amp;MONTH(INDEX(firmadas!$F:$F,$T995))&amp;"/"&amp;YEAR(INDEX(firmadas!$F:$F,$T995)))&amp;")",IF($G995&lt;&gt;INDEX(firmadas!$E:$E,$T995),"INGRESO DISTINTO EN firmadas ("&amp;IF(INDEX(firmadas!$E:$E,$T995)="","vacía",DAY(INDEX(firmadas!$E:$E,$T995))&amp;"/"&amp;MONTH(INDEX(firmadas!$E:$E,$T995))&amp;"/"&amp;YEAR(INDEX(firmadas!$E:$E,$T995)))&amp;")","OK"))))))))</f>
        <v/>
      </c>
      <c r="T995" t="str">
        <f ca="1">IF($P995="","",IFERROR(MATCH($P995,firmadas!$N:$N,0),IFERROR(MATCH("*/"&amp;MID($P995,FIND(" ",$P995)+1,9)&amp;"*",firmadas!$B:$B,0),0)))</f>
        <v/>
      </c>
    </row>
    <row r="996" spans="14:20" ht="15" customHeight="1" x14ac:dyDescent="0.25">
      <c r="N996" s="53" t="str">
        <f t="shared" ca="1" si="15"/>
        <v/>
      </c>
      <c r="P996" t="str">
        <f ca="1">IF(TRIM(SUBSTITUTE(($C996&amp;" "&amp;$D996),CHAR(160)," "))="","",IFERROR(IF(ISNUMBER(SEARCH("INC",($C996&amp;" "&amp;$D996))),"INC",IF(ISNUMBER(SEARCH("OPI",($C996&amp;" "&amp;$D996))),"OPI",IF(ISNUMBER(SEARCH("DP",($C996&amp;" "&amp;$D996))),"DP","CONC")))&amp;" "&amp;TEXT(LOOKUP(9.99E+307,--MID(SUBSTITUTE(($C996&amp;" "&amp;$D996),CHAR(160)," "),SUMPRODUCT(MIN(FIND({0,1,2,3,4,5,6,7,8,9},SUBSTITUTE(($C996&amp;" "&amp;$D996),CHAR(160)," ")&amp;"0123456789"))),ROW(INDIRECT("1:6")))),"0"),"SIN NUMERO"))</f>
        <v/>
      </c>
      <c r="Q996" t="str">
        <f ca="1">IF($P996="","",IF(LEFT(UPPER($S996),9)="VERIFICAR","VERIFICAR",IF($A996="","SIN ESTADO",IF(AND($A996="Firmada",$H996=""),"FALTA FECHA DE FIRMA",IF(N($T996)=0,IF(AND(ISNUMBER($H996),$H996&gt;=DATE(2024,1,1)),"FALTA EN FIRMADAS","OK"),IF(OR($A996="Pendiente de presentación",$A996="Observado",$A996="En análisis",$A996="En instrucción",$A996="Suspendida",$A996="IT circulando",$A996="Para resolución",$A996="TDC"),"ABIERTA PERO ESTÁ EN FIRMADAS",IF($H996&lt;&gt;INDEX(firmadas!$F:$F,$T996),"FIRMA DISTINTA EN firmadas ("&amp;IF(INDEX(firmadas!$F:$F,$T996)="","vacía",DAY(INDEX(firmadas!$F:$F,$T996))&amp;"/"&amp;MONTH(INDEX(firmadas!$F:$F,$T996))&amp;"/"&amp;YEAR(INDEX(firmadas!$F:$F,$T996)))&amp;")",IF($G996&lt;&gt;INDEX(firmadas!$E:$E,$T996),"INGRESO DISTINTO EN firmadas ("&amp;IF(INDEX(firmadas!$E:$E,$T996)="","vacía",DAY(INDEX(firmadas!$E:$E,$T996))&amp;"/"&amp;MONTH(INDEX(firmadas!$E:$E,$T996))&amp;"/"&amp;YEAR(INDEX(firmadas!$E:$E,$T996)))&amp;")","OK"))))))))</f>
        <v/>
      </c>
      <c r="T996" t="str">
        <f ca="1">IF($P996="","",IFERROR(MATCH($P996,firmadas!$N:$N,0),IFERROR(MATCH("*/"&amp;MID($P996,FIND(" ",$P996)+1,9)&amp;"*",firmadas!$B:$B,0),0)))</f>
        <v/>
      </c>
    </row>
    <row r="997" spans="14:20" ht="15" customHeight="1" x14ac:dyDescent="0.25">
      <c r="N997" s="53" t="str">
        <f t="shared" ca="1" si="15"/>
        <v/>
      </c>
      <c r="P997" t="str">
        <f ca="1">IF(TRIM(SUBSTITUTE(($C997&amp;" "&amp;$D997),CHAR(160)," "))="","",IFERROR(IF(ISNUMBER(SEARCH("INC",($C997&amp;" "&amp;$D997))),"INC",IF(ISNUMBER(SEARCH("OPI",($C997&amp;" "&amp;$D997))),"OPI",IF(ISNUMBER(SEARCH("DP",($C997&amp;" "&amp;$D997))),"DP","CONC")))&amp;" "&amp;TEXT(LOOKUP(9.99E+307,--MID(SUBSTITUTE(($C997&amp;" "&amp;$D997),CHAR(160)," "),SUMPRODUCT(MIN(FIND({0,1,2,3,4,5,6,7,8,9},SUBSTITUTE(($C997&amp;" "&amp;$D997),CHAR(160)," ")&amp;"0123456789"))),ROW(INDIRECT("1:6")))),"0"),"SIN NUMERO"))</f>
        <v/>
      </c>
      <c r="Q997" t="str">
        <f ca="1">IF($P997="","",IF(LEFT(UPPER($S997),9)="VERIFICAR","VERIFICAR",IF($A997="","SIN ESTADO",IF(AND($A997="Firmada",$H997=""),"FALTA FECHA DE FIRMA",IF(N($T997)=0,IF(AND(ISNUMBER($H997),$H997&gt;=DATE(2024,1,1)),"FALTA EN FIRMADAS","OK"),IF(OR($A997="Pendiente de presentación",$A997="Observado",$A997="En análisis",$A997="En instrucción",$A997="Suspendida",$A997="IT circulando",$A997="Para resolución",$A997="TDC"),"ABIERTA PERO ESTÁ EN FIRMADAS",IF($H997&lt;&gt;INDEX(firmadas!$F:$F,$T997),"FIRMA DISTINTA EN firmadas ("&amp;IF(INDEX(firmadas!$F:$F,$T997)="","vacía",DAY(INDEX(firmadas!$F:$F,$T997))&amp;"/"&amp;MONTH(INDEX(firmadas!$F:$F,$T997))&amp;"/"&amp;YEAR(INDEX(firmadas!$F:$F,$T997)))&amp;")",IF($G997&lt;&gt;INDEX(firmadas!$E:$E,$T997),"INGRESO DISTINTO EN firmadas ("&amp;IF(INDEX(firmadas!$E:$E,$T997)="","vacía",DAY(INDEX(firmadas!$E:$E,$T997))&amp;"/"&amp;MONTH(INDEX(firmadas!$E:$E,$T997))&amp;"/"&amp;YEAR(INDEX(firmadas!$E:$E,$T997)))&amp;")","OK"))))))))</f>
        <v/>
      </c>
      <c r="T997" t="str">
        <f ca="1">IF($P997="","",IFERROR(MATCH($P997,firmadas!$N:$N,0),IFERROR(MATCH("*/"&amp;MID($P997,FIND(" ",$P997)+1,9)&amp;"*",firmadas!$B:$B,0),0)))</f>
        <v/>
      </c>
    </row>
    <row r="998" spans="14:20" ht="15" customHeight="1" x14ac:dyDescent="0.25">
      <c r="N998" s="53" t="str">
        <f t="shared" ca="1" si="15"/>
        <v/>
      </c>
      <c r="P998" t="str">
        <f ca="1">IF(TRIM(SUBSTITUTE(($C998&amp;" "&amp;$D998),CHAR(160)," "))="","",IFERROR(IF(ISNUMBER(SEARCH("INC",($C998&amp;" "&amp;$D998))),"INC",IF(ISNUMBER(SEARCH("OPI",($C998&amp;" "&amp;$D998))),"OPI",IF(ISNUMBER(SEARCH("DP",($C998&amp;" "&amp;$D998))),"DP","CONC")))&amp;" "&amp;TEXT(LOOKUP(9.99E+307,--MID(SUBSTITUTE(($C998&amp;" "&amp;$D998),CHAR(160)," "),SUMPRODUCT(MIN(FIND({0,1,2,3,4,5,6,7,8,9},SUBSTITUTE(($C998&amp;" "&amp;$D998),CHAR(160)," ")&amp;"0123456789"))),ROW(INDIRECT("1:6")))),"0"),"SIN NUMERO"))</f>
        <v/>
      </c>
      <c r="Q998" t="str">
        <f ca="1">IF($P998="","",IF(LEFT(UPPER($S998),9)="VERIFICAR","VERIFICAR",IF($A998="","SIN ESTADO",IF(AND($A998="Firmada",$H998=""),"FALTA FECHA DE FIRMA",IF(N($T998)=0,IF(AND(ISNUMBER($H998),$H998&gt;=DATE(2024,1,1)),"FALTA EN FIRMADAS","OK"),IF(OR($A998="Pendiente de presentación",$A998="Observado",$A998="En análisis",$A998="En instrucción",$A998="Suspendida",$A998="IT circulando",$A998="Para resolución",$A998="TDC"),"ABIERTA PERO ESTÁ EN FIRMADAS",IF($H998&lt;&gt;INDEX(firmadas!$F:$F,$T998),"FIRMA DISTINTA EN firmadas ("&amp;IF(INDEX(firmadas!$F:$F,$T998)="","vacía",DAY(INDEX(firmadas!$F:$F,$T998))&amp;"/"&amp;MONTH(INDEX(firmadas!$F:$F,$T998))&amp;"/"&amp;YEAR(INDEX(firmadas!$F:$F,$T998)))&amp;")",IF($G998&lt;&gt;INDEX(firmadas!$E:$E,$T998),"INGRESO DISTINTO EN firmadas ("&amp;IF(INDEX(firmadas!$E:$E,$T998)="","vacía",DAY(INDEX(firmadas!$E:$E,$T998))&amp;"/"&amp;MONTH(INDEX(firmadas!$E:$E,$T998))&amp;"/"&amp;YEAR(INDEX(firmadas!$E:$E,$T998)))&amp;")","OK"))))))))</f>
        <v/>
      </c>
      <c r="T998" t="str">
        <f ca="1">IF($P998="","",IFERROR(MATCH($P998,firmadas!$N:$N,0),IFERROR(MATCH("*/"&amp;MID($P998,FIND(" ",$P998)+1,9)&amp;"*",firmadas!$B:$B,0),0)))</f>
        <v/>
      </c>
    </row>
    <row r="999" spans="14:20" ht="15" customHeight="1" x14ac:dyDescent="0.25">
      <c r="N999" s="53" t="str">
        <f t="shared" ca="1" si="15"/>
        <v/>
      </c>
      <c r="P999" t="str">
        <f ca="1">IF(TRIM(SUBSTITUTE(($C999&amp;" "&amp;$D999),CHAR(160)," "))="","",IFERROR(IF(ISNUMBER(SEARCH("INC",($C999&amp;" "&amp;$D999))),"INC",IF(ISNUMBER(SEARCH("OPI",($C999&amp;" "&amp;$D999))),"OPI",IF(ISNUMBER(SEARCH("DP",($C999&amp;" "&amp;$D999))),"DP","CONC")))&amp;" "&amp;TEXT(LOOKUP(9.99E+307,--MID(SUBSTITUTE(($C999&amp;" "&amp;$D999),CHAR(160)," "),SUMPRODUCT(MIN(FIND({0,1,2,3,4,5,6,7,8,9},SUBSTITUTE(($C999&amp;" "&amp;$D999),CHAR(160)," ")&amp;"0123456789"))),ROW(INDIRECT("1:6")))),"0"),"SIN NUMERO"))</f>
        <v/>
      </c>
      <c r="Q999" t="str">
        <f ca="1">IF($P999="","",IF(LEFT(UPPER($S999),9)="VERIFICAR","VERIFICAR",IF($A999="","SIN ESTADO",IF(AND($A999="Firmada",$H999=""),"FALTA FECHA DE FIRMA",IF(N($T999)=0,IF(AND(ISNUMBER($H999),$H999&gt;=DATE(2024,1,1)),"FALTA EN FIRMADAS","OK"),IF(OR($A999="Pendiente de presentación",$A999="Observado",$A999="En análisis",$A999="En instrucción",$A999="Suspendida",$A999="IT circulando",$A999="Para resolución",$A999="TDC"),"ABIERTA PERO ESTÁ EN FIRMADAS",IF($H999&lt;&gt;INDEX(firmadas!$F:$F,$T999),"FIRMA DISTINTA EN firmadas ("&amp;IF(INDEX(firmadas!$F:$F,$T999)="","vacía",DAY(INDEX(firmadas!$F:$F,$T999))&amp;"/"&amp;MONTH(INDEX(firmadas!$F:$F,$T999))&amp;"/"&amp;YEAR(INDEX(firmadas!$F:$F,$T999)))&amp;")",IF($G999&lt;&gt;INDEX(firmadas!$E:$E,$T999),"INGRESO DISTINTO EN firmadas ("&amp;IF(INDEX(firmadas!$E:$E,$T999)="","vacía",DAY(INDEX(firmadas!$E:$E,$T999))&amp;"/"&amp;MONTH(INDEX(firmadas!$E:$E,$T999))&amp;"/"&amp;YEAR(INDEX(firmadas!$E:$E,$T999)))&amp;")","OK"))))))))</f>
        <v/>
      </c>
      <c r="T999" t="str">
        <f ca="1">IF($P999="","",IFERROR(MATCH($P999,firmadas!$N:$N,0),IFERROR(MATCH("*/"&amp;MID($P999,FIND(" ",$P999)+1,9)&amp;"*",firmadas!$B:$B,0),0)))</f>
        <v/>
      </c>
    </row>
    <row r="1000" spans="14:20" ht="15" customHeight="1" x14ac:dyDescent="0.25">
      <c r="N1000" s="53" t="str">
        <f t="shared" ca="1" si="15"/>
        <v/>
      </c>
      <c r="P1000" t="str">
        <f ca="1">IF(TRIM(SUBSTITUTE(($C1000&amp;" "&amp;$D1000),CHAR(160)," "))="","",IFERROR(IF(ISNUMBER(SEARCH("INC",($C1000&amp;" "&amp;$D1000))),"INC",IF(ISNUMBER(SEARCH("OPI",($C1000&amp;" "&amp;$D1000))),"OPI",IF(ISNUMBER(SEARCH("DP",($C1000&amp;" "&amp;$D1000))),"DP","CONC")))&amp;" "&amp;TEXT(LOOKUP(9.99E+307,--MID(SUBSTITUTE(($C1000&amp;" "&amp;$D1000),CHAR(160)," "),SUMPRODUCT(MIN(FIND({0,1,2,3,4,5,6,7,8,9},SUBSTITUTE(($C1000&amp;" "&amp;$D1000),CHAR(160)," ")&amp;"0123456789"))),ROW(INDIRECT("1:6")))),"0"),"SIN NUMERO"))</f>
        <v/>
      </c>
      <c r="Q1000" t="str">
        <f ca="1">IF($P1000="","",IF(LEFT(UPPER($S1000),9)="VERIFICAR","VERIFICAR",IF($A1000="","SIN ESTADO",IF(AND($A1000="Firmada",$H1000=""),"FALTA FECHA DE FIRMA",IF(N($T1000)=0,IF(AND(ISNUMBER($H1000),$H1000&gt;=DATE(2024,1,1)),"FALTA EN FIRMADAS","OK"),IF(OR($A1000="Pendiente de presentación",$A1000="Observado",$A1000="En análisis",$A1000="En instrucción",$A1000="Suspendida",$A1000="IT circulando",$A1000="Para resolución",$A1000="TDC"),"ABIERTA PERO ESTÁ EN FIRMADAS",IF($H1000&lt;&gt;INDEX(firmadas!$F:$F,$T1000),"FIRMA DISTINTA EN firmadas ("&amp;IF(INDEX(firmadas!$F:$F,$T1000)="","vacía",DAY(INDEX(firmadas!$F:$F,$T1000))&amp;"/"&amp;MONTH(INDEX(firmadas!$F:$F,$T1000))&amp;"/"&amp;YEAR(INDEX(firmadas!$F:$F,$T1000)))&amp;")",IF($G1000&lt;&gt;INDEX(firmadas!$E:$E,$T1000),"INGRESO DISTINTO EN firmadas ("&amp;IF(INDEX(firmadas!$E:$E,$T1000)="","vacía",DAY(INDEX(firmadas!$E:$E,$T1000))&amp;"/"&amp;MONTH(INDEX(firmadas!$E:$E,$T1000))&amp;"/"&amp;YEAR(INDEX(firmadas!$E:$E,$T1000)))&amp;")","OK"))))))))</f>
        <v/>
      </c>
      <c r="T1000" t="str">
        <f ca="1">IF($P1000="","",IFERROR(MATCH($P1000,firmadas!$N:$N,0),IFERROR(MATCH("*/"&amp;MID($P1000,FIND(" ",$P1000)+1,9)&amp;"*",firmadas!$B:$B,0),0)))</f>
        <v/>
      </c>
    </row>
  </sheetData>
  <autoFilter ref="A1:T223" xr:uid="{00000000-0009-0000-0000-000001000000}">
    <sortState ref="A2:O400">
      <sortCondition ref="G1:G110"/>
    </sortState>
  </autoFilter>
  <conditionalFormatting sqref="Q2:Q1000">
    <cfRule type="expression" dxfId="5" priority="1" stopIfTrue="1">
      <formula>$Q2="VERIFICAR"</formula>
    </cfRule>
    <cfRule type="expression" dxfId="4" priority="2">
      <formula>AND($Q2&lt;&gt;"",$Q2&lt;&gt;"OK")</formula>
    </cfRule>
  </conditionalFormatting>
  <conditionalFormatting sqref="G2:H224 G226:H1000 G225 I225">
    <cfRule type="expression" dxfId="3" priority="3">
      <formula>AND(ISNUMBER(G2),WEEKDAY(G2,2)&gt;5)</formula>
    </cfRule>
  </conditionalFormatting>
  <dataValidations count="4">
    <dataValidation type="list" allowBlank="1" showErrorMessage="1" errorTitle="Estado" error="Elegí un valor de la lista desplegable." sqref="A2:A1000" xr:uid="{00000000-0002-0000-0100-000000000000}">
      <formula1>EST_CONC</formula1>
    </dataValidation>
    <dataValidation type="list" allowBlank="1" showErrorMessage="1" errorTitle="Excluible" error="Elegí un valor de la lista desplegable." sqref="B2:B1000" xr:uid="{00000000-0002-0000-0100-000001000000}">
      <formula1>SI_NO</formula1>
    </dataValidation>
    <dataValidation type="list" allowBlank="1" showErrorMessage="1" errorTitle="ES FT" error="Elegí un valor de la lista desplegable." sqref="M2:M1000" xr:uid="{00000000-0002-0000-0100-000002000000}">
      <formula1>SI_NO</formula1>
    </dataValidation>
    <dataValidation type="date" allowBlank="1" showErrorMessage="1" errorTitle="Fecha" error="Cargá una fecha válida (dd/mm/aaaa)." sqref="G2:H224 G226:H1000 G225 I225" xr:uid="{00000000-0002-0000-0100-000003000000}">
      <formula1>36526</formula1>
      <formula2>73415</formula2>
    </dataValidation>
  </dataValidations>
  <pageMargins left="0.75" right="0.75" top="1" bottom="1" header="0.5" footer="0.5"/>
  <pageSetup orientation="portrait" r:id="rId1"/>
  <ignoredErrors>
    <ignoredError sqref="D230:D231"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Q1991"/>
  <sheetViews>
    <sheetView workbookViewId="0">
      <pane ySplit="1" topLeftCell="A273" activePane="bottomLeft" state="frozen"/>
      <selection pane="bottomLeft" activeCell="O286" sqref="O286"/>
    </sheetView>
  </sheetViews>
  <sheetFormatPr baseColWidth="10" defaultColWidth="20" defaultRowHeight="18" customHeight="1" x14ac:dyDescent="0.25"/>
  <cols>
    <col min="1" max="1" width="14.42578125" style="51" customWidth="1"/>
    <col min="3" max="3" width="5.42578125" style="51" customWidth="1"/>
    <col min="4" max="4" width="23.140625" style="51" customWidth="1"/>
    <col min="5" max="5" width="16" style="16" bestFit="1" customWidth="1"/>
    <col min="6" max="6" width="14.140625" style="16" bestFit="1" customWidth="1"/>
    <col min="8" max="8" width="30" style="51" bestFit="1" customWidth="1"/>
    <col min="12" max="12" width="9" bestFit="1" customWidth="1"/>
    <col min="13" max="13" width="7.42578125" bestFit="1" customWidth="1"/>
    <col min="14" max="14" width="10.5703125" bestFit="1" customWidth="1"/>
    <col min="15" max="15" width="34" style="51" customWidth="1"/>
    <col min="16" max="16" width="40" style="51" customWidth="1"/>
    <col min="17" max="17" width="13" style="51" hidden="1" customWidth="1"/>
  </cols>
  <sheetData>
    <row r="1" spans="1:17" ht="18" customHeight="1" x14ac:dyDescent="0.25">
      <c r="A1" s="18" t="s">
        <v>537</v>
      </c>
      <c r="B1" s="18" t="s">
        <v>63</v>
      </c>
      <c r="C1" s="18" t="s">
        <v>61</v>
      </c>
      <c r="D1" s="18" t="s">
        <v>538</v>
      </c>
      <c r="E1" s="17" t="s">
        <v>66</v>
      </c>
      <c r="F1" s="17" t="s">
        <v>67</v>
      </c>
      <c r="G1" s="18" t="s">
        <v>539</v>
      </c>
      <c r="H1" s="18" t="s">
        <v>540</v>
      </c>
      <c r="I1" s="18" t="s">
        <v>541</v>
      </c>
      <c r="J1" s="18" t="s">
        <v>542</v>
      </c>
      <c r="K1" s="18" t="s">
        <v>543</v>
      </c>
      <c r="L1" s="18" t="s">
        <v>544</v>
      </c>
      <c r="M1" s="18" t="s">
        <v>545</v>
      </c>
      <c r="N1" s="18" t="s">
        <v>75</v>
      </c>
      <c r="O1" s="18" t="s">
        <v>76</v>
      </c>
      <c r="P1" s="18" t="s">
        <v>78</v>
      </c>
      <c r="Q1" s="18" t="s">
        <v>546</v>
      </c>
    </row>
    <row r="2" spans="1:17" ht="18" hidden="1" customHeight="1" x14ac:dyDescent="0.25">
      <c r="A2" t="s">
        <v>547</v>
      </c>
      <c r="B2" t="s">
        <v>548</v>
      </c>
      <c r="D2" t="s">
        <v>549</v>
      </c>
      <c r="E2" s="16">
        <v>44907</v>
      </c>
      <c r="F2" s="16">
        <v>45337</v>
      </c>
      <c r="G2" t="s">
        <v>550</v>
      </c>
      <c r="H2" t="s">
        <v>551</v>
      </c>
      <c r="I2" t="s">
        <v>552</v>
      </c>
      <c r="J2" t="s">
        <v>553</v>
      </c>
      <c r="K2" t="s">
        <v>554</v>
      </c>
      <c r="L2" s="53">
        <f t="shared" ref="L2:L65" si="0">IF(OR($E2="",$F2=""),"",($F2-$E2)/30)</f>
        <v>14.333333333333334</v>
      </c>
      <c r="M2" s="19">
        <f t="shared" ref="M2:M65" si="1">IF(OR($E2="",$F2=""),"",$F2-$E2)</f>
        <v>430</v>
      </c>
      <c r="N2" t="str">
        <f ca="1">IF(TRIM(SUBSTITUTE($B2,CHAR(160)," "))="","",IFERROR(IF(ISNUMBER(SEARCH("INC",$B2)),"INC",IF(ISNUMBER(SEARCH("OPI",$B2)),"OPI",IF(ISNUMBER(SEARCH("DP",$B2)),"DP","CONC")))&amp;" "&amp;TEXT(LOOKUP(9.99E+307,--MID(SUBSTITUTE($B2,CHAR(160)," "),SUMPRODUCT(MIN(FIND({0,1,2,3,4,5,6,7,8,9},SUBSTITUTE($B2,CHAR(160)," ")&amp;"0123456789"))),ROW(INDIRECT("1:6")))),"0"),"SIN NUMERO"))</f>
        <v>CONC 1884</v>
      </c>
      <c r="O2" t="str">
        <f ca="1">IF($N2="","",IF(LEFT(UPPER($P2),9)="VERIFICAR","VERIFICAR",IF(AND($H2&lt;&gt;"",COUNTIFS($N$2:$N$1000,$N2,$H$2:$H$1000,$H2)&gt;1),"DUPLICADA",IF(TRIM(IF($A2="","tipo ","")&amp;IF($F2="","fecha de firma ","")&amp;IF($G2="","decisión ","")&amp;IF($H2="","N° resolución ","")&amp;IF($I2="","N° dictamen",""))&lt;&gt;"","INCOMPLETA: "&amp;TRIM(IF($A2="","tipo ","")&amp;IF($F2="","fecha de firma ","")&amp;IF($G2="","decisión ","")&amp;IF($H2="","N° resolución ","")&amp;IF($I2="","N° dictamen","")),IF(LEFT($N2,4)&lt;&gt;"CONC","OK",IF(N($Q2)=0,IF(AND(ISNUMBER($E2),$E2&gt;=DATE(2024,1,1)),"FALTA EN evol_conc","OK"),IF(INDEX(evol_conc!$H:$H,$Q2)&lt;&gt;$F2,"FIRMA DISTINTA EN evol_conc ("&amp;IF(INDEX(evol_conc!$H:$H,$Q2)="","vacía",DAY(INDEX(evol_conc!$H:$H,$Q2))&amp;"/"&amp;MONTH(INDEX(evol_conc!$H:$H,$Q2))&amp;"/"&amp;YEAR(INDEX(evol_conc!$H:$H,$Q2)))&amp;")",IF(INDEX(evol_conc!$G:$G,$Q2)&lt;&gt;$E2,"INGRESO DISTINTO EN evol_conc ("&amp;IF(INDEX(evol_conc!$G:$G,$Q2)="","vacía",DAY(INDEX(evol_conc!$G:$G,$Q2))&amp;"/"&amp;MONTH(INDEX(evol_conc!$G:$G,$Q2))&amp;"/"&amp;YEAR(INDEX(evol_conc!$G:$G,$Q2)))&amp;")","OK"))))))))</f>
        <v>OK</v>
      </c>
      <c r="Q2">
        <f ca="1">IF($N2="","",IFERROR(MATCH($N2,evol_conc!$P:$P,0),0))</f>
        <v>0</v>
      </c>
    </row>
    <row r="3" spans="1:17" ht="18" hidden="1" customHeight="1" x14ac:dyDescent="0.25">
      <c r="A3" t="s">
        <v>547</v>
      </c>
      <c r="B3" t="s">
        <v>555</v>
      </c>
      <c r="D3" t="s">
        <v>556</v>
      </c>
      <c r="E3" s="16">
        <v>44657</v>
      </c>
      <c r="F3" s="16">
        <v>45341</v>
      </c>
      <c r="G3" t="s">
        <v>550</v>
      </c>
      <c r="H3" t="s">
        <v>557</v>
      </c>
      <c r="I3" t="s">
        <v>558</v>
      </c>
      <c r="J3" t="s">
        <v>559</v>
      </c>
      <c r="K3" t="s">
        <v>560</v>
      </c>
      <c r="L3" s="53">
        <f t="shared" si="0"/>
        <v>22.8</v>
      </c>
      <c r="M3" s="19">
        <f t="shared" si="1"/>
        <v>684</v>
      </c>
      <c r="N3" t="str">
        <f ca="1">IF(TRIM(SUBSTITUTE($B3,CHAR(160)," "))="","",IFERROR(IF(ISNUMBER(SEARCH("INC",$B3)),"INC",IF(ISNUMBER(SEARCH("OPI",$B3)),"OPI",IF(ISNUMBER(SEARCH("DP",$B3)),"DP","CONC")))&amp;" "&amp;TEXT(LOOKUP(9.99E+307,--MID(SUBSTITUTE($B3,CHAR(160)," "),SUMPRODUCT(MIN(FIND({0,1,2,3,4,5,6,7,8,9},SUBSTITUTE($B3,CHAR(160)," ")&amp;"0123456789"))),ROW(INDIRECT("1:6")))),"0"),"SIN NUMERO"))</f>
        <v>CONC 1846</v>
      </c>
      <c r="O3" t="str">
        <f ca="1">IF($N3="","",IF(LEFT(UPPER($P3),9)="VERIFICAR","VERIFICAR",IF(AND($H3&lt;&gt;"",COUNTIFS($N$2:$N$1000,$N3,$H$2:$H$1000,$H3)&gt;1),"DUPLICADA",IF(TRIM(IF($A3="","tipo ","")&amp;IF($F3="","fecha de firma ","")&amp;IF($G3="","decisión ","")&amp;IF($H3="","N° resolución ","")&amp;IF($I3="","N° dictamen",""))&lt;&gt;"","INCOMPLETA: "&amp;TRIM(IF($A3="","tipo ","")&amp;IF($F3="","fecha de firma ","")&amp;IF($G3="","decisión ","")&amp;IF($H3="","N° resolución ","")&amp;IF($I3="","N° dictamen","")),IF(LEFT($N3,4)&lt;&gt;"CONC","OK",IF(N($Q3)=0,IF(AND(ISNUMBER($E3),$E3&gt;=DATE(2024,1,1)),"FALTA EN evol_conc","OK"),IF(INDEX(evol_conc!$H:$H,$Q3)&lt;&gt;$F3,"FIRMA DISTINTA EN evol_conc ("&amp;IF(INDEX(evol_conc!$H:$H,$Q3)="","vacía",DAY(INDEX(evol_conc!$H:$H,$Q3))&amp;"/"&amp;MONTH(INDEX(evol_conc!$H:$H,$Q3))&amp;"/"&amp;YEAR(INDEX(evol_conc!$H:$H,$Q3)))&amp;")",IF(INDEX(evol_conc!$G:$G,$Q3)&lt;&gt;$E3,"INGRESO DISTINTO EN evol_conc ("&amp;IF(INDEX(evol_conc!$G:$G,$Q3)="","vacía",DAY(INDEX(evol_conc!$G:$G,$Q3))&amp;"/"&amp;MONTH(INDEX(evol_conc!$G:$G,$Q3))&amp;"/"&amp;YEAR(INDEX(evol_conc!$G:$G,$Q3)))&amp;")","OK"))))))))</f>
        <v>OK</v>
      </c>
      <c r="Q3">
        <f ca="1">IF($N3="","",IFERROR(MATCH($N3,evol_conc!$P:$P,0),0))</f>
        <v>0</v>
      </c>
    </row>
    <row r="4" spans="1:17" ht="18" hidden="1" customHeight="1" x14ac:dyDescent="0.25">
      <c r="A4" t="s">
        <v>547</v>
      </c>
      <c r="B4" t="s">
        <v>561</v>
      </c>
      <c r="D4" t="s">
        <v>562</v>
      </c>
      <c r="E4" s="16">
        <v>44993</v>
      </c>
      <c r="F4" s="16">
        <v>45341</v>
      </c>
      <c r="G4" t="s">
        <v>550</v>
      </c>
      <c r="H4" t="s">
        <v>563</v>
      </c>
      <c r="I4" t="s">
        <v>564</v>
      </c>
      <c r="J4" t="s">
        <v>565</v>
      </c>
      <c r="K4" t="s">
        <v>560</v>
      </c>
      <c r="L4" s="53">
        <f t="shared" si="0"/>
        <v>11.6</v>
      </c>
      <c r="M4" s="19">
        <f t="shared" si="1"/>
        <v>348</v>
      </c>
      <c r="N4" t="str">
        <f ca="1">IF(TRIM(SUBSTITUTE($B4,CHAR(160)," "))="","",IFERROR(IF(ISNUMBER(SEARCH("INC",$B4)),"INC",IF(ISNUMBER(SEARCH("OPI",$B4)),"OPI",IF(ISNUMBER(SEARCH("DP",$B4)),"DP","CONC")))&amp;" "&amp;TEXT(LOOKUP(9.99E+307,--MID(SUBSTITUTE($B4,CHAR(160)," "),SUMPRODUCT(MIN(FIND({0,1,2,3,4,5,6,7,8,9},SUBSTITUTE($B4,CHAR(160)," ")&amp;"0123456789"))),ROW(INDIRECT("1:6")))),"0"),"SIN NUMERO"))</f>
        <v>CONC 1905</v>
      </c>
      <c r="O4" t="str">
        <f ca="1">IF($N4="","",IF(LEFT(UPPER($P4),9)="VERIFICAR","VERIFICAR",IF(AND($H4&lt;&gt;"",COUNTIFS($N$2:$N$1000,$N4,$H$2:$H$1000,$H4)&gt;1),"DUPLICADA",IF(TRIM(IF($A4="","tipo ","")&amp;IF($F4="","fecha de firma ","")&amp;IF($G4="","decisión ","")&amp;IF($H4="","N° resolución ","")&amp;IF($I4="","N° dictamen",""))&lt;&gt;"","INCOMPLETA: "&amp;TRIM(IF($A4="","tipo ","")&amp;IF($F4="","fecha de firma ","")&amp;IF($G4="","decisión ","")&amp;IF($H4="","N° resolución ","")&amp;IF($I4="","N° dictamen","")),IF(LEFT($N4,4)&lt;&gt;"CONC","OK",IF(N($Q4)=0,IF(AND(ISNUMBER($E4),$E4&gt;=DATE(2024,1,1)),"FALTA EN evol_conc","OK"),IF(INDEX(evol_conc!$H:$H,$Q4)&lt;&gt;$F4,"FIRMA DISTINTA EN evol_conc ("&amp;IF(INDEX(evol_conc!$H:$H,$Q4)="","vacía",DAY(INDEX(evol_conc!$H:$H,$Q4))&amp;"/"&amp;MONTH(INDEX(evol_conc!$H:$H,$Q4))&amp;"/"&amp;YEAR(INDEX(evol_conc!$H:$H,$Q4)))&amp;")",IF(INDEX(evol_conc!$G:$G,$Q4)&lt;&gt;$E4,"INGRESO DISTINTO EN evol_conc ("&amp;IF(INDEX(evol_conc!$G:$G,$Q4)="","vacía",DAY(INDEX(evol_conc!$G:$G,$Q4))&amp;"/"&amp;MONTH(INDEX(evol_conc!$G:$G,$Q4))&amp;"/"&amp;YEAR(INDEX(evol_conc!$G:$G,$Q4)))&amp;")","OK"))))))))</f>
        <v>OK</v>
      </c>
      <c r="Q4">
        <f ca="1">IF($N4="","",IFERROR(MATCH($N4,evol_conc!$P:$P,0),0))</f>
        <v>0</v>
      </c>
    </row>
    <row r="5" spans="1:17" ht="18" hidden="1" customHeight="1" x14ac:dyDescent="0.25">
      <c r="A5" t="s">
        <v>547</v>
      </c>
      <c r="B5" t="s">
        <v>566</v>
      </c>
      <c r="D5" t="s">
        <v>567</v>
      </c>
      <c r="E5" s="16">
        <v>45054</v>
      </c>
      <c r="F5" s="16">
        <v>45341</v>
      </c>
      <c r="G5" t="s">
        <v>550</v>
      </c>
      <c r="H5" t="s">
        <v>568</v>
      </c>
      <c r="I5" t="s">
        <v>569</v>
      </c>
      <c r="J5" t="s">
        <v>570</v>
      </c>
      <c r="K5" t="s">
        <v>560</v>
      </c>
      <c r="L5" s="53">
        <f t="shared" si="0"/>
        <v>9.5666666666666664</v>
      </c>
      <c r="M5" s="19">
        <f t="shared" si="1"/>
        <v>287</v>
      </c>
      <c r="N5" t="str">
        <f ca="1">IF(TRIM(SUBSTITUTE($B5,CHAR(160)," "))="","",IFERROR(IF(ISNUMBER(SEARCH("INC",$B5)),"INC",IF(ISNUMBER(SEARCH("OPI",$B5)),"OPI",IF(ISNUMBER(SEARCH("DP",$B5)),"DP","CONC")))&amp;" "&amp;TEXT(LOOKUP(9.99E+307,--MID(SUBSTITUTE($B5,CHAR(160)," "),SUMPRODUCT(MIN(FIND({0,1,2,3,4,5,6,7,8,9},SUBSTITUTE($B5,CHAR(160)," ")&amp;"0123456789"))),ROW(INDIRECT("1:6")))),"0"),"SIN NUMERO"))</f>
        <v>CONC 1913</v>
      </c>
      <c r="O5" t="str">
        <f ca="1">IF($N5="","",IF(LEFT(UPPER($P5),9)="VERIFICAR","VERIFICAR",IF(AND($H5&lt;&gt;"",COUNTIFS($N$2:$N$1000,$N5,$H$2:$H$1000,$H5)&gt;1),"DUPLICADA",IF(TRIM(IF($A5="","tipo ","")&amp;IF($F5="","fecha de firma ","")&amp;IF($G5="","decisión ","")&amp;IF($H5="","N° resolución ","")&amp;IF($I5="","N° dictamen",""))&lt;&gt;"","INCOMPLETA: "&amp;TRIM(IF($A5="","tipo ","")&amp;IF($F5="","fecha de firma ","")&amp;IF($G5="","decisión ","")&amp;IF($H5="","N° resolución ","")&amp;IF($I5="","N° dictamen","")),IF(LEFT($N5,4)&lt;&gt;"CONC","OK",IF(N($Q5)=0,IF(AND(ISNUMBER($E5),$E5&gt;=DATE(2024,1,1)),"FALTA EN evol_conc","OK"),IF(INDEX(evol_conc!$H:$H,$Q5)&lt;&gt;$F5,"FIRMA DISTINTA EN evol_conc ("&amp;IF(INDEX(evol_conc!$H:$H,$Q5)="","vacía",DAY(INDEX(evol_conc!$H:$H,$Q5))&amp;"/"&amp;MONTH(INDEX(evol_conc!$H:$H,$Q5))&amp;"/"&amp;YEAR(INDEX(evol_conc!$H:$H,$Q5)))&amp;")",IF(INDEX(evol_conc!$G:$G,$Q5)&lt;&gt;$E5,"INGRESO DISTINTO EN evol_conc ("&amp;IF(INDEX(evol_conc!$G:$G,$Q5)="","vacía",DAY(INDEX(evol_conc!$G:$G,$Q5))&amp;"/"&amp;MONTH(INDEX(evol_conc!$G:$G,$Q5))&amp;"/"&amp;YEAR(INDEX(evol_conc!$G:$G,$Q5)))&amp;")","OK"))))))))</f>
        <v>OK</v>
      </c>
      <c r="Q5">
        <f ca="1">IF($N5="","",IFERROR(MATCH($N5,evol_conc!$P:$P,0),0))</f>
        <v>0</v>
      </c>
    </row>
    <row r="6" spans="1:17" ht="18" hidden="1" customHeight="1" x14ac:dyDescent="0.25">
      <c r="A6" t="s">
        <v>547</v>
      </c>
      <c r="B6" t="s">
        <v>571</v>
      </c>
      <c r="D6" t="s">
        <v>572</v>
      </c>
      <c r="E6" s="16">
        <v>45054</v>
      </c>
      <c r="F6" s="16">
        <v>45341</v>
      </c>
      <c r="G6" t="s">
        <v>550</v>
      </c>
      <c r="H6" t="s">
        <v>573</v>
      </c>
      <c r="I6" t="s">
        <v>574</v>
      </c>
      <c r="J6" t="s">
        <v>575</v>
      </c>
      <c r="K6" t="s">
        <v>560</v>
      </c>
      <c r="L6" s="53">
        <f t="shared" si="0"/>
        <v>9.5666666666666664</v>
      </c>
      <c r="M6" s="19">
        <f t="shared" si="1"/>
        <v>287</v>
      </c>
      <c r="N6" t="str">
        <f ca="1">IF(TRIM(SUBSTITUTE($B6,CHAR(160)," "))="","",IFERROR(IF(ISNUMBER(SEARCH("INC",$B6)),"INC",IF(ISNUMBER(SEARCH("OPI",$B6)),"OPI",IF(ISNUMBER(SEARCH("DP",$B6)),"DP","CONC")))&amp;" "&amp;TEXT(LOOKUP(9.99E+307,--MID(SUBSTITUTE($B6,CHAR(160)," "),SUMPRODUCT(MIN(FIND({0,1,2,3,4,5,6,7,8,9},SUBSTITUTE($B6,CHAR(160)," ")&amp;"0123456789"))),ROW(INDIRECT("1:6")))),"0"),"SIN NUMERO"))</f>
        <v>CONC 1915</v>
      </c>
      <c r="O6" t="str">
        <f ca="1">IF($N6="","",IF(LEFT(UPPER($P6),9)="VERIFICAR","VERIFICAR",IF(AND($H6&lt;&gt;"",COUNTIFS($N$2:$N$1000,$N6,$H$2:$H$1000,$H6)&gt;1),"DUPLICADA",IF(TRIM(IF($A6="","tipo ","")&amp;IF($F6="","fecha de firma ","")&amp;IF($G6="","decisión ","")&amp;IF($H6="","N° resolución ","")&amp;IF($I6="","N° dictamen",""))&lt;&gt;"","INCOMPLETA: "&amp;TRIM(IF($A6="","tipo ","")&amp;IF($F6="","fecha de firma ","")&amp;IF($G6="","decisión ","")&amp;IF($H6="","N° resolución ","")&amp;IF($I6="","N° dictamen","")),IF(LEFT($N6,4)&lt;&gt;"CONC","OK",IF(N($Q6)=0,IF(AND(ISNUMBER($E6),$E6&gt;=DATE(2024,1,1)),"FALTA EN evol_conc","OK"),IF(INDEX(evol_conc!$H:$H,$Q6)&lt;&gt;$F6,"FIRMA DISTINTA EN evol_conc ("&amp;IF(INDEX(evol_conc!$H:$H,$Q6)="","vacía",DAY(INDEX(evol_conc!$H:$H,$Q6))&amp;"/"&amp;MONTH(INDEX(evol_conc!$H:$H,$Q6))&amp;"/"&amp;YEAR(INDEX(evol_conc!$H:$H,$Q6)))&amp;")",IF(INDEX(evol_conc!$G:$G,$Q6)&lt;&gt;$E6,"INGRESO DISTINTO EN evol_conc ("&amp;IF(INDEX(evol_conc!$G:$G,$Q6)="","vacía",DAY(INDEX(evol_conc!$G:$G,$Q6))&amp;"/"&amp;MONTH(INDEX(evol_conc!$G:$G,$Q6))&amp;"/"&amp;YEAR(INDEX(evol_conc!$G:$G,$Q6)))&amp;")","OK"))))))))</f>
        <v>OK</v>
      </c>
      <c r="Q6">
        <f ca="1">IF($N6="","",IFERROR(MATCH($N6,evol_conc!$P:$P,0),0))</f>
        <v>0</v>
      </c>
    </row>
    <row r="7" spans="1:17" ht="18" hidden="1" customHeight="1" x14ac:dyDescent="0.25">
      <c r="A7" t="s">
        <v>547</v>
      </c>
      <c r="B7" t="s">
        <v>576</v>
      </c>
      <c r="D7" t="s">
        <v>577</v>
      </c>
      <c r="E7" s="16">
        <v>45140</v>
      </c>
      <c r="F7" s="16">
        <v>45342</v>
      </c>
      <c r="G7" t="s">
        <v>550</v>
      </c>
      <c r="H7" t="s">
        <v>578</v>
      </c>
      <c r="I7" t="s">
        <v>579</v>
      </c>
      <c r="J7" t="s">
        <v>580</v>
      </c>
      <c r="K7" t="s">
        <v>581</v>
      </c>
      <c r="L7" s="53">
        <f t="shared" si="0"/>
        <v>6.7333333333333334</v>
      </c>
      <c r="M7" s="19">
        <f t="shared" si="1"/>
        <v>202</v>
      </c>
      <c r="N7" t="str">
        <f ca="1">IF(TRIM(SUBSTITUTE($B7,CHAR(160)," "))="","",IFERROR(IF(ISNUMBER(SEARCH("INC",$B7)),"INC",IF(ISNUMBER(SEARCH("OPI",$B7)),"OPI",IF(ISNUMBER(SEARCH("DP",$B7)),"DP","CONC")))&amp;" "&amp;TEXT(LOOKUP(9.99E+307,--MID(SUBSTITUTE($B7,CHAR(160)," "),SUMPRODUCT(MIN(FIND({0,1,2,3,4,5,6,7,8,9},SUBSTITUTE($B7,CHAR(160)," ")&amp;"0123456789"))),ROW(INDIRECT("1:6")))),"0"),"SIN NUMERO"))</f>
        <v>CONC 1931</v>
      </c>
      <c r="O7" t="str">
        <f ca="1">IF($N7="","",IF(LEFT(UPPER($P7),9)="VERIFICAR","VERIFICAR",IF(AND($H7&lt;&gt;"",COUNTIFS($N$2:$N$1000,$N7,$H$2:$H$1000,$H7)&gt;1),"DUPLICADA",IF(TRIM(IF($A7="","tipo ","")&amp;IF($F7="","fecha de firma ","")&amp;IF($G7="","decisión ","")&amp;IF($H7="","N° resolución ","")&amp;IF($I7="","N° dictamen",""))&lt;&gt;"","INCOMPLETA: "&amp;TRIM(IF($A7="","tipo ","")&amp;IF($F7="","fecha de firma ","")&amp;IF($G7="","decisión ","")&amp;IF($H7="","N° resolución ","")&amp;IF($I7="","N° dictamen","")),IF(LEFT($N7,4)&lt;&gt;"CONC","OK",IF(N($Q7)=0,IF(AND(ISNUMBER($E7),$E7&gt;=DATE(2024,1,1)),"FALTA EN evol_conc","OK"),IF(INDEX(evol_conc!$H:$H,$Q7)&lt;&gt;$F7,"FIRMA DISTINTA EN evol_conc ("&amp;IF(INDEX(evol_conc!$H:$H,$Q7)="","vacía",DAY(INDEX(evol_conc!$H:$H,$Q7))&amp;"/"&amp;MONTH(INDEX(evol_conc!$H:$H,$Q7))&amp;"/"&amp;YEAR(INDEX(evol_conc!$H:$H,$Q7)))&amp;")",IF(INDEX(evol_conc!$G:$G,$Q7)&lt;&gt;$E7,"INGRESO DISTINTO EN evol_conc ("&amp;IF(INDEX(evol_conc!$G:$G,$Q7)="","vacía",DAY(INDEX(evol_conc!$G:$G,$Q7))&amp;"/"&amp;MONTH(INDEX(evol_conc!$G:$G,$Q7))&amp;"/"&amp;YEAR(INDEX(evol_conc!$G:$G,$Q7)))&amp;")","OK"))))))))</f>
        <v>OK</v>
      </c>
      <c r="Q7">
        <f ca="1">IF($N7="","",IFERROR(MATCH($N7,evol_conc!$P:$P,0),0))</f>
        <v>0</v>
      </c>
    </row>
    <row r="8" spans="1:17" ht="18" hidden="1" customHeight="1" x14ac:dyDescent="0.25">
      <c r="A8" t="s">
        <v>547</v>
      </c>
      <c r="B8" t="s">
        <v>582</v>
      </c>
      <c r="D8" t="s">
        <v>583</v>
      </c>
      <c r="E8" s="16">
        <v>44650</v>
      </c>
      <c r="F8" s="16">
        <v>45350</v>
      </c>
      <c r="G8" t="s">
        <v>550</v>
      </c>
      <c r="H8" t="s">
        <v>584</v>
      </c>
      <c r="I8" t="s">
        <v>585</v>
      </c>
      <c r="J8" t="s">
        <v>586</v>
      </c>
      <c r="K8" t="s">
        <v>560</v>
      </c>
      <c r="L8" s="53">
        <f t="shared" si="0"/>
        <v>23.333333333333332</v>
      </c>
      <c r="M8" s="19">
        <f t="shared" si="1"/>
        <v>700</v>
      </c>
      <c r="N8" t="str">
        <f ca="1">IF(TRIM(SUBSTITUTE($B8,CHAR(160)," "))="","",IFERROR(IF(ISNUMBER(SEARCH("INC",$B8)),"INC",IF(ISNUMBER(SEARCH("OPI",$B8)),"OPI",IF(ISNUMBER(SEARCH("DP",$B8)),"DP","CONC")))&amp;" "&amp;TEXT(LOOKUP(9.99E+307,--MID(SUBSTITUTE($B8,CHAR(160)," "),SUMPRODUCT(MIN(FIND({0,1,2,3,4,5,6,7,8,9},SUBSTITUTE($B8,CHAR(160)," ")&amp;"0123456789"))),ROW(INDIRECT("1:6")))),"0"),"SIN NUMERO"))</f>
        <v>CONC 1845</v>
      </c>
      <c r="O8" t="str">
        <f ca="1">IF($N8="","",IF(LEFT(UPPER($P8),9)="VERIFICAR","VERIFICAR",IF(AND($H8&lt;&gt;"",COUNTIFS($N$2:$N$1000,$N8,$H$2:$H$1000,$H8)&gt;1),"DUPLICADA",IF(TRIM(IF($A8="","tipo ","")&amp;IF($F8="","fecha de firma ","")&amp;IF($G8="","decisión ","")&amp;IF($H8="","N° resolución ","")&amp;IF($I8="","N° dictamen",""))&lt;&gt;"","INCOMPLETA: "&amp;TRIM(IF($A8="","tipo ","")&amp;IF($F8="","fecha de firma ","")&amp;IF($G8="","decisión ","")&amp;IF($H8="","N° resolución ","")&amp;IF($I8="","N° dictamen","")),IF(LEFT($N8,4)&lt;&gt;"CONC","OK",IF(N($Q8)=0,IF(AND(ISNUMBER($E8),$E8&gt;=DATE(2024,1,1)),"FALTA EN evol_conc","OK"),IF(INDEX(evol_conc!$H:$H,$Q8)&lt;&gt;$F8,"FIRMA DISTINTA EN evol_conc ("&amp;IF(INDEX(evol_conc!$H:$H,$Q8)="","vacía",DAY(INDEX(evol_conc!$H:$H,$Q8))&amp;"/"&amp;MONTH(INDEX(evol_conc!$H:$H,$Q8))&amp;"/"&amp;YEAR(INDEX(evol_conc!$H:$H,$Q8)))&amp;")",IF(INDEX(evol_conc!$G:$G,$Q8)&lt;&gt;$E8,"INGRESO DISTINTO EN evol_conc ("&amp;IF(INDEX(evol_conc!$G:$G,$Q8)="","vacía",DAY(INDEX(evol_conc!$G:$G,$Q8))&amp;"/"&amp;MONTH(INDEX(evol_conc!$G:$G,$Q8))&amp;"/"&amp;YEAR(INDEX(evol_conc!$G:$G,$Q8)))&amp;")","OK"))))))))</f>
        <v>OK</v>
      </c>
      <c r="Q8">
        <f ca="1">IF($N8="","",IFERROR(MATCH($N8,evol_conc!$P:$P,0),0))</f>
        <v>0</v>
      </c>
    </row>
    <row r="9" spans="1:17" ht="18" hidden="1" customHeight="1" x14ac:dyDescent="0.25">
      <c r="A9" t="s">
        <v>547</v>
      </c>
      <c r="B9" t="s">
        <v>587</v>
      </c>
      <c r="D9" t="s">
        <v>588</v>
      </c>
      <c r="E9" s="16">
        <v>45054</v>
      </c>
      <c r="F9" s="16">
        <v>45357</v>
      </c>
      <c r="G9" t="s">
        <v>550</v>
      </c>
      <c r="H9" t="s">
        <v>589</v>
      </c>
      <c r="I9" t="s">
        <v>590</v>
      </c>
      <c r="J9" t="s">
        <v>591</v>
      </c>
      <c r="K9" t="s">
        <v>592</v>
      </c>
      <c r="L9" s="53">
        <f t="shared" si="0"/>
        <v>10.1</v>
      </c>
      <c r="M9" s="19">
        <f t="shared" si="1"/>
        <v>303</v>
      </c>
      <c r="N9" t="str">
        <f ca="1">IF(TRIM(SUBSTITUTE($B9,CHAR(160)," "))="","",IFERROR(IF(ISNUMBER(SEARCH("INC",$B9)),"INC",IF(ISNUMBER(SEARCH("OPI",$B9)),"OPI",IF(ISNUMBER(SEARCH("DP",$B9)),"DP","CONC")))&amp;" "&amp;TEXT(LOOKUP(9.99E+307,--MID(SUBSTITUTE($B9,CHAR(160)," "),SUMPRODUCT(MIN(FIND({0,1,2,3,4,5,6,7,8,9},SUBSTITUTE($B9,CHAR(160)," ")&amp;"0123456789"))),ROW(INDIRECT("1:6")))),"0"),"SIN NUMERO"))</f>
        <v>CONC 1914</v>
      </c>
      <c r="O9" t="str">
        <f ca="1">IF($N9="","",IF(LEFT(UPPER($P9),9)="VERIFICAR","VERIFICAR",IF(AND($H9&lt;&gt;"",COUNTIFS($N$2:$N$1000,$N9,$H$2:$H$1000,$H9)&gt;1),"DUPLICADA",IF(TRIM(IF($A9="","tipo ","")&amp;IF($F9="","fecha de firma ","")&amp;IF($G9="","decisión ","")&amp;IF($H9="","N° resolución ","")&amp;IF($I9="","N° dictamen",""))&lt;&gt;"","INCOMPLETA: "&amp;TRIM(IF($A9="","tipo ","")&amp;IF($F9="","fecha de firma ","")&amp;IF($G9="","decisión ","")&amp;IF($H9="","N° resolución ","")&amp;IF($I9="","N° dictamen","")),IF(LEFT($N9,4)&lt;&gt;"CONC","OK",IF(N($Q9)=0,IF(AND(ISNUMBER($E9),$E9&gt;=DATE(2024,1,1)),"FALTA EN evol_conc","OK"),IF(INDEX(evol_conc!$H:$H,$Q9)&lt;&gt;$F9,"FIRMA DISTINTA EN evol_conc ("&amp;IF(INDEX(evol_conc!$H:$H,$Q9)="","vacía",DAY(INDEX(evol_conc!$H:$H,$Q9))&amp;"/"&amp;MONTH(INDEX(evol_conc!$H:$H,$Q9))&amp;"/"&amp;YEAR(INDEX(evol_conc!$H:$H,$Q9)))&amp;")",IF(INDEX(evol_conc!$G:$G,$Q9)&lt;&gt;$E9,"INGRESO DISTINTO EN evol_conc ("&amp;IF(INDEX(evol_conc!$G:$G,$Q9)="","vacía",DAY(INDEX(evol_conc!$G:$G,$Q9))&amp;"/"&amp;MONTH(INDEX(evol_conc!$G:$G,$Q9))&amp;"/"&amp;YEAR(INDEX(evol_conc!$G:$G,$Q9)))&amp;")","OK"))))))))</f>
        <v>OK</v>
      </c>
      <c r="Q9">
        <f ca="1">IF($N9="","",IFERROR(MATCH($N9,evol_conc!$P:$P,0),0))</f>
        <v>0</v>
      </c>
    </row>
    <row r="10" spans="1:17" ht="18" hidden="1" customHeight="1" x14ac:dyDescent="0.25">
      <c r="A10" t="s">
        <v>547</v>
      </c>
      <c r="B10" t="s">
        <v>593</v>
      </c>
      <c r="D10" t="s">
        <v>594</v>
      </c>
      <c r="E10" s="16">
        <v>45127</v>
      </c>
      <c r="F10" s="16">
        <v>45357</v>
      </c>
      <c r="G10" t="s">
        <v>550</v>
      </c>
      <c r="H10" t="s">
        <v>595</v>
      </c>
      <c r="I10" t="s">
        <v>596</v>
      </c>
      <c r="J10" t="s">
        <v>597</v>
      </c>
      <c r="K10" t="s">
        <v>581</v>
      </c>
      <c r="L10" s="53">
        <f t="shared" si="0"/>
        <v>7.666666666666667</v>
      </c>
      <c r="M10" s="19">
        <f t="shared" si="1"/>
        <v>230</v>
      </c>
      <c r="N10" t="str">
        <f ca="1">IF(TRIM(SUBSTITUTE($B10,CHAR(160)," "))="","",IFERROR(IF(ISNUMBER(SEARCH("INC",$B10)),"INC",IF(ISNUMBER(SEARCH("OPI",$B10)),"OPI",IF(ISNUMBER(SEARCH("DP",$B10)),"DP","CONC")))&amp;" "&amp;TEXT(LOOKUP(9.99E+307,--MID(SUBSTITUTE($B10,CHAR(160)," "),SUMPRODUCT(MIN(FIND({0,1,2,3,4,5,6,7,8,9},SUBSTITUTE($B10,CHAR(160)," ")&amp;"0123456789"))),ROW(INDIRECT("1:6")))),"0"),"SIN NUMERO"))</f>
        <v>CONC 1927</v>
      </c>
      <c r="O10" t="str">
        <f ca="1">IF($N10="","",IF(LEFT(UPPER($P10),9)="VERIFICAR","VERIFICAR",IF(AND($H10&lt;&gt;"",COUNTIFS($N$2:$N$1000,$N10,$H$2:$H$1000,$H10)&gt;1),"DUPLICADA",IF(TRIM(IF($A10="","tipo ","")&amp;IF($F10="","fecha de firma ","")&amp;IF($G10="","decisión ","")&amp;IF($H10="","N° resolución ","")&amp;IF($I10="","N° dictamen",""))&lt;&gt;"","INCOMPLETA: "&amp;TRIM(IF($A10="","tipo ","")&amp;IF($F10="","fecha de firma ","")&amp;IF($G10="","decisión ","")&amp;IF($H10="","N° resolución ","")&amp;IF($I10="","N° dictamen","")),IF(LEFT($N10,4)&lt;&gt;"CONC","OK",IF(N($Q10)=0,IF(AND(ISNUMBER($E10),$E10&gt;=DATE(2024,1,1)),"FALTA EN evol_conc","OK"),IF(INDEX(evol_conc!$H:$H,$Q10)&lt;&gt;$F10,"FIRMA DISTINTA EN evol_conc ("&amp;IF(INDEX(evol_conc!$H:$H,$Q10)="","vacía",DAY(INDEX(evol_conc!$H:$H,$Q10))&amp;"/"&amp;MONTH(INDEX(evol_conc!$H:$H,$Q10))&amp;"/"&amp;YEAR(INDEX(evol_conc!$H:$H,$Q10)))&amp;")",IF(INDEX(evol_conc!$G:$G,$Q10)&lt;&gt;$E10,"INGRESO DISTINTO EN evol_conc ("&amp;IF(INDEX(evol_conc!$G:$G,$Q10)="","vacía",DAY(INDEX(evol_conc!$G:$G,$Q10))&amp;"/"&amp;MONTH(INDEX(evol_conc!$G:$G,$Q10))&amp;"/"&amp;YEAR(INDEX(evol_conc!$G:$G,$Q10)))&amp;")","OK"))))))))</f>
        <v>OK</v>
      </c>
      <c r="Q10">
        <f ca="1">IF($N10="","",IFERROR(MATCH($N10,evol_conc!$P:$P,0),0))</f>
        <v>0</v>
      </c>
    </row>
    <row r="11" spans="1:17" ht="18" hidden="1" customHeight="1" x14ac:dyDescent="0.25">
      <c r="A11" t="s">
        <v>547</v>
      </c>
      <c r="B11" t="s">
        <v>598</v>
      </c>
      <c r="D11" t="s">
        <v>599</v>
      </c>
      <c r="E11" s="16">
        <v>45114</v>
      </c>
      <c r="F11" s="16">
        <v>45370</v>
      </c>
      <c r="G11" t="s">
        <v>550</v>
      </c>
      <c r="H11" t="s">
        <v>600</v>
      </c>
      <c r="I11" t="s">
        <v>601</v>
      </c>
      <c r="J11" t="s">
        <v>602</v>
      </c>
      <c r="K11" t="s">
        <v>560</v>
      </c>
      <c r="L11" s="53">
        <f t="shared" si="0"/>
        <v>8.5333333333333332</v>
      </c>
      <c r="M11" s="19">
        <f t="shared" si="1"/>
        <v>256</v>
      </c>
      <c r="N11" t="str">
        <f ca="1">IF(TRIM(SUBSTITUTE($B11,CHAR(160)," "))="","",IFERROR(IF(ISNUMBER(SEARCH("INC",$B11)),"INC",IF(ISNUMBER(SEARCH("OPI",$B11)),"OPI",IF(ISNUMBER(SEARCH("DP",$B11)),"DP","CONC")))&amp;" "&amp;TEXT(LOOKUP(9.99E+307,--MID(SUBSTITUTE($B11,CHAR(160)," "),SUMPRODUCT(MIN(FIND({0,1,2,3,4,5,6,7,8,9},SUBSTITUTE($B11,CHAR(160)," ")&amp;"0123456789"))),ROW(INDIRECT("1:6")))),"0"),"SIN NUMERO"))</f>
        <v>CONC 1923</v>
      </c>
      <c r="O11" t="str">
        <f ca="1">IF($N11="","",IF(LEFT(UPPER($P11),9)="VERIFICAR","VERIFICAR",IF(AND($H11&lt;&gt;"",COUNTIFS($N$2:$N$1000,$N11,$H$2:$H$1000,$H11)&gt;1),"DUPLICADA",IF(TRIM(IF($A11="","tipo ","")&amp;IF($F11="","fecha de firma ","")&amp;IF($G11="","decisión ","")&amp;IF($H11="","N° resolución ","")&amp;IF($I11="","N° dictamen",""))&lt;&gt;"","INCOMPLETA: "&amp;TRIM(IF($A11="","tipo ","")&amp;IF($F11="","fecha de firma ","")&amp;IF($G11="","decisión ","")&amp;IF($H11="","N° resolución ","")&amp;IF($I11="","N° dictamen","")),IF(LEFT($N11,4)&lt;&gt;"CONC","OK",IF(N($Q11)=0,IF(AND(ISNUMBER($E11),$E11&gt;=DATE(2024,1,1)),"FALTA EN evol_conc","OK"),IF(INDEX(evol_conc!$H:$H,$Q11)&lt;&gt;$F11,"FIRMA DISTINTA EN evol_conc ("&amp;IF(INDEX(evol_conc!$H:$H,$Q11)="","vacía",DAY(INDEX(evol_conc!$H:$H,$Q11))&amp;"/"&amp;MONTH(INDEX(evol_conc!$H:$H,$Q11))&amp;"/"&amp;YEAR(INDEX(evol_conc!$H:$H,$Q11)))&amp;")",IF(INDEX(evol_conc!$G:$G,$Q11)&lt;&gt;$E11,"INGRESO DISTINTO EN evol_conc ("&amp;IF(INDEX(evol_conc!$G:$G,$Q11)="","vacía",DAY(INDEX(evol_conc!$G:$G,$Q11))&amp;"/"&amp;MONTH(INDEX(evol_conc!$G:$G,$Q11))&amp;"/"&amp;YEAR(INDEX(evol_conc!$G:$G,$Q11)))&amp;")","OK"))))))))</f>
        <v>OK</v>
      </c>
      <c r="Q11">
        <f ca="1">IF($N11="","",IFERROR(MATCH($N11,evol_conc!$P:$P,0),0))</f>
        <v>0</v>
      </c>
    </row>
    <row r="12" spans="1:17" ht="18" hidden="1" customHeight="1" x14ac:dyDescent="0.25">
      <c r="A12" t="s">
        <v>547</v>
      </c>
      <c r="B12" t="s">
        <v>603</v>
      </c>
      <c r="D12" t="s">
        <v>604</v>
      </c>
      <c r="E12" s="16">
        <v>45119</v>
      </c>
      <c r="F12" s="16">
        <v>45372</v>
      </c>
      <c r="G12" t="s">
        <v>605</v>
      </c>
      <c r="H12" t="s">
        <v>606</v>
      </c>
      <c r="I12" t="s">
        <v>607</v>
      </c>
      <c r="J12" t="s">
        <v>608</v>
      </c>
      <c r="K12" t="s">
        <v>581</v>
      </c>
      <c r="L12" s="53">
        <f t="shared" si="0"/>
        <v>8.4333333333333336</v>
      </c>
      <c r="M12" s="19">
        <f t="shared" si="1"/>
        <v>253</v>
      </c>
      <c r="N12" t="str">
        <f ca="1">IF(TRIM(SUBSTITUTE($B12,CHAR(160)," "))="","",IFERROR(IF(ISNUMBER(SEARCH("INC",$B12)),"INC",IF(ISNUMBER(SEARCH("OPI",$B12)),"OPI",IF(ISNUMBER(SEARCH("DP",$B12)),"DP","CONC")))&amp;" "&amp;TEXT(LOOKUP(9.99E+307,--MID(SUBSTITUTE($B12,CHAR(160)," "),SUMPRODUCT(MIN(FIND({0,1,2,3,4,5,6,7,8,9},SUBSTITUTE($B12,CHAR(160)," ")&amp;"0123456789"))),ROW(INDIRECT("1:6")))),"0"),"SIN NUMERO"))</f>
        <v>CONC 1924</v>
      </c>
      <c r="O12" t="str">
        <f ca="1">IF($N12="","",IF(LEFT(UPPER($P12),9)="VERIFICAR","VERIFICAR",IF(AND($H12&lt;&gt;"",COUNTIFS($N$2:$N$1000,$N12,$H$2:$H$1000,$H12)&gt;1),"DUPLICADA",IF(TRIM(IF($A12="","tipo ","")&amp;IF($F12="","fecha de firma ","")&amp;IF($G12="","decisión ","")&amp;IF($H12="","N° resolución ","")&amp;IF($I12="","N° dictamen",""))&lt;&gt;"","INCOMPLETA: "&amp;TRIM(IF($A12="","tipo ","")&amp;IF($F12="","fecha de firma ","")&amp;IF($G12="","decisión ","")&amp;IF($H12="","N° resolución ","")&amp;IF($I12="","N° dictamen","")),IF(LEFT($N12,4)&lt;&gt;"CONC","OK",IF(N($Q12)=0,IF(AND(ISNUMBER($E12),$E12&gt;=DATE(2024,1,1)),"FALTA EN evol_conc","OK"),IF(INDEX(evol_conc!$H:$H,$Q12)&lt;&gt;$F12,"FIRMA DISTINTA EN evol_conc ("&amp;IF(INDEX(evol_conc!$H:$H,$Q12)="","vacía",DAY(INDEX(evol_conc!$H:$H,$Q12))&amp;"/"&amp;MONTH(INDEX(evol_conc!$H:$H,$Q12))&amp;"/"&amp;YEAR(INDEX(evol_conc!$H:$H,$Q12)))&amp;")",IF(INDEX(evol_conc!$G:$G,$Q12)&lt;&gt;$E12,"INGRESO DISTINTO EN evol_conc ("&amp;IF(INDEX(evol_conc!$G:$G,$Q12)="","vacía",DAY(INDEX(evol_conc!$G:$G,$Q12))&amp;"/"&amp;MONTH(INDEX(evol_conc!$G:$G,$Q12))&amp;"/"&amp;YEAR(INDEX(evol_conc!$G:$G,$Q12)))&amp;")","OK"))))))))</f>
        <v>OK</v>
      </c>
      <c r="Q12">
        <f ca="1">IF($N12="","",IFERROR(MATCH($N12,evol_conc!$P:$P,0),0))</f>
        <v>0</v>
      </c>
    </row>
    <row r="13" spans="1:17" ht="18" hidden="1" customHeight="1" x14ac:dyDescent="0.25">
      <c r="A13" t="s">
        <v>547</v>
      </c>
      <c r="B13" t="s">
        <v>609</v>
      </c>
      <c r="D13" t="s">
        <v>610</v>
      </c>
      <c r="E13" s="16">
        <v>45128</v>
      </c>
      <c r="F13" s="16">
        <v>45378</v>
      </c>
      <c r="G13" t="s">
        <v>550</v>
      </c>
      <c r="H13" t="s">
        <v>611</v>
      </c>
      <c r="I13" t="s">
        <v>612</v>
      </c>
      <c r="J13" t="s">
        <v>613</v>
      </c>
      <c r="K13" t="s">
        <v>581</v>
      </c>
      <c r="L13" s="53">
        <f t="shared" si="0"/>
        <v>8.3333333333333339</v>
      </c>
      <c r="M13" s="19">
        <f t="shared" si="1"/>
        <v>250</v>
      </c>
      <c r="N13" t="str">
        <f ca="1">IF(TRIM(SUBSTITUTE($B13,CHAR(160)," "))="","",IFERROR(IF(ISNUMBER(SEARCH("INC",$B13)),"INC",IF(ISNUMBER(SEARCH("OPI",$B13)),"OPI",IF(ISNUMBER(SEARCH("DP",$B13)),"DP","CONC")))&amp;" "&amp;TEXT(LOOKUP(9.99E+307,--MID(SUBSTITUTE($B13,CHAR(160)," "),SUMPRODUCT(MIN(FIND({0,1,2,3,4,5,6,7,8,9},SUBSTITUTE($B13,CHAR(160)," ")&amp;"0123456789"))),ROW(INDIRECT("1:6")))),"0"),"SIN NUMERO"))</f>
        <v>CONC 1928</v>
      </c>
      <c r="O13" t="str">
        <f ca="1">IF($N13="","",IF(LEFT(UPPER($P13),9)="VERIFICAR","VERIFICAR",IF(AND($H13&lt;&gt;"",COUNTIFS($N$2:$N$1000,$N13,$H$2:$H$1000,$H13)&gt;1),"DUPLICADA",IF(TRIM(IF($A13="","tipo ","")&amp;IF($F13="","fecha de firma ","")&amp;IF($G13="","decisión ","")&amp;IF($H13="","N° resolución ","")&amp;IF($I13="","N° dictamen",""))&lt;&gt;"","INCOMPLETA: "&amp;TRIM(IF($A13="","tipo ","")&amp;IF($F13="","fecha de firma ","")&amp;IF($G13="","decisión ","")&amp;IF($H13="","N° resolución ","")&amp;IF($I13="","N° dictamen","")),IF(LEFT($N13,4)&lt;&gt;"CONC","OK",IF(N($Q13)=0,IF(AND(ISNUMBER($E13),$E13&gt;=DATE(2024,1,1)),"FALTA EN evol_conc","OK"),IF(INDEX(evol_conc!$H:$H,$Q13)&lt;&gt;$F13,"FIRMA DISTINTA EN evol_conc ("&amp;IF(INDEX(evol_conc!$H:$H,$Q13)="","vacía",DAY(INDEX(evol_conc!$H:$H,$Q13))&amp;"/"&amp;MONTH(INDEX(evol_conc!$H:$H,$Q13))&amp;"/"&amp;YEAR(INDEX(evol_conc!$H:$H,$Q13)))&amp;")",IF(INDEX(evol_conc!$G:$G,$Q13)&lt;&gt;$E13,"INGRESO DISTINTO EN evol_conc ("&amp;IF(INDEX(evol_conc!$G:$G,$Q13)="","vacía",DAY(INDEX(evol_conc!$G:$G,$Q13))&amp;"/"&amp;MONTH(INDEX(evol_conc!$G:$G,$Q13))&amp;"/"&amp;YEAR(INDEX(evol_conc!$G:$G,$Q13)))&amp;")","OK"))))))))</f>
        <v>OK</v>
      </c>
      <c r="Q13">
        <f ca="1">IF($N13="","",IFERROR(MATCH($N13,evol_conc!$P:$P,0),0))</f>
        <v>0</v>
      </c>
    </row>
    <row r="14" spans="1:17" ht="18" hidden="1" customHeight="1" x14ac:dyDescent="0.25">
      <c r="A14" t="s">
        <v>547</v>
      </c>
      <c r="B14" t="s">
        <v>614</v>
      </c>
      <c r="D14" t="s">
        <v>615</v>
      </c>
      <c r="E14" s="16">
        <v>45162</v>
      </c>
      <c r="F14" s="16">
        <v>45385</v>
      </c>
      <c r="G14" t="s">
        <v>550</v>
      </c>
      <c r="H14" t="s">
        <v>616</v>
      </c>
      <c r="I14" t="s">
        <v>617</v>
      </c>
      <c r="J14" t="s">
        <v>618</v>
      </c>
      <c r="K14" t="s">
        <v>592</v>
      </c>
      <c r="L14" s="53">
        <f t="shared" si="0"/>
        <v>7.4333333333333336</v>
      </c>
      <c r="M14" s="19">
        <f t="shared" si="1"/>
        <v>223</v>
      </c>
      <c r="N14" t="str">
        <f ca="1">IF(TRIM(SUBSTITUTE($B14,CHAR(160)," "))="","",IFERROR(IF(ISNUMBER(SEARCH("INC",$B14)),"INC",IF(ISNUMBER(SEARCH("OPI",$B14)),"OPI",IF(ISNUMBER(SEARCH("DP",$B14)),"DP","CONC")))&amp;" "&amp;TEXT(LOOKUP(9.99E+307,--MID(SUBSTITUTE($B14,CHAR(160)," "),SUMPRODUCT(MIN(FIND({0,1,2,3,4,5,6,7,8,9},SUBSTITUTE($B14,CHAR(160)," ")&amp;"0123456789"))),ROW(INDIRECT("1:6")))),"0"),"SIN NUMERO"))</f>
        <v>CONC 1935</v>
      </c>
      <c r="O14" t="str">
        <f ca="1">IF($N14="","",IF(LEFT(UPPER($P14),9)="VERIFICAR","VERIFICAR",IF(AND($H14&lt;&gt;"",COUNTIFS($N$2:$N$1000,$N14,$H$2:$H$1000,$H14)&gt;1),"DUPLICADA",IF(TRIM(IF($A14="","tipo ","")&amp;IF($F14="","fecha de firma ","")&amp;IF($G14="","decisión ","")&amp;IF($H14="","N° resolución ","")&amp;IF($I14="","N° dictamen",""))&lt;&gt;"","INCOMPLETA: "&amp;TRIM(IF($A14="","tipo ","")&amp;IF($F14="","fecha de firma ","")&amp;IF($G14="","decisión ","")&amp;IF($H14="","N° resolución ","")&amp;IF($I14="","N° dictamen","")),IF(LEFT($N14,4)&lt;&gt;"CONC","OK",IF(N($Q14)=0,IF(AND(ISNUMBER($E14),$E14&gt;=DATE(2024,1,1)),"FALTA EN evol_conc","OK"),IF(INDEX(evol_conc!$H:$H,$Q14)&lt;&gt;$F14,"FIRMA DISTINTA EN evol_conc ("&amp;IF(INDEX(evol_conc!$H:$H,$Q14)="","vacía",DAY(INDEX(evol_conc!$H:$H,$Q14))&amp;"/"&amp;MONTH(INDEX(evol_conc!$H:$H,$Q14))&amp;"/"&amp;YEAR(INDEX(evol_conc!$H:$H,$Q14)))&amp;")",IF(INDEX(evol_conc!$G:$G,$Q14)&lt;&gt;$E14,"INGRESO DISTINTO EN evol_conc ("&amp;IF(INDEX(evol_conc!$G:$G,$Q14)="","vacía",DAY(INDEX(evol_conc!$G:$G,$Q14))&amp;"/"&amp;MONTH(INDEX(evol_conc!$G:$G,$Q14))&amp;"/"&amp;YEAR(INDEX(evol_conc!$G:$G,$Q14)))&amp;")","OK"))))))))</f>
        <v>OK</v>
      </c>
      <c r="Q14">
        <f ca="1">IF($N14="","",IFERROR(MATCH($N14,evol_conc!$P:$P,0),0))</f>
        <v>0</v>
      </c>
    </row>
    <row r="15" spans="1:17" ht="18" hidden="1" customHeight="1" x14ac:dyDescent="0.25">
      <c r="A15" t="s">
        <v>547</v>
      </c>
      <c r="B15" t="s">
        <v>619</v>
      </c>
      <c r="D15" t="s">
        <v>620</v>
      </c>
      <c r="E15" s="16">
        <v>44543</v>
      </c>
      <c r="F15" s="16">
        <v>45387</v>
      </c>
      <c r="G15" t="s">
        <v>550</v>
      </c>
      <c r="H15" t="s">
        <v>621</v>
      </c>
      <c r="I15" t="s">
        <v>622</v>
      </c>
      <c r="J15" t="s">
        <v>623</v>
      </c>
      <c r="K15" t="s">
        <v>554</v>
      </c>
      <c r="L15" s="53">
        <f t="shared" si="0"/>
        <v>28.133333333333333</v>
      </c>
      <c r="M15" s="19">
        <f t="shared" si="1"/>
        <v>844</v>
      </c>
      <c r="N15" t="str">
        <f ca="1">IF(TRIM(SUBSTITUTE($B15,CHAR(160)," "))="","",IFERROR(IF(ISNUMBER(SEARCH("INC",$B15)),"INC",IF(ISNUMBER(SEARCH("OPI",$B15)),"OPI",IF(ISNUMBER(SEARCH("DP",$B15)),"DP","CONC")))&amp;" "&amp;TEXT(LOOKUP(9.99E+307,--MID(SUBSTITUTE($B15,CHAR(160)," "),SUMPRODUCT(MIN(FIND({0,1,2,3,4,5,6,7,8,9},SUBSTITUTE($B15,CHAR(160)," ")&amp;"0123456789"))),ROW(INDIRECT("1:6")))),"0"),"SIN NUMERO"))</f>
        <v>CONC 1840</v>
      </c>
      <c r="O15" t="str">
        <f ca="1">IF($N15="","",IF(LEFT(UPPER($P15),9)="VERIFICAR","VERIFICAR",IF(AND($H15&lt;&gt;"",COUNTIFS($N$2:$N$1000,$N15,$H$2:$H$1000,$H15)&gt;1),"DUPLICADA",IF(TRIM(IF($A15="","tipo ","")&amp;IF($F15="","fecha de firma ","")&amp;IF($G15="","decisión ","")&amp;IF($H15="","N° resolución ","")&amp;IF($I15="","N° dictamen",""))&lt;&gt;"","INCOMPLETA: "&amp;TRIM(IF($A15="","tipo ","")&amp;IF($F15="","fecha de firma ","")&amp;IF($G15="","decisión ","")&amp;IF($H15="","N° resolución ","")&amp;IF($I15="","N° dictamen","")),IF(LEFT($N15,4)&lt;&gt;"CONC","OK",IF(N($Q15)=0,IF(AND(ISNUMBER($E15),$E15&gt;=DATE(2024,1,1)),"FALTA EN evol_conc","OK"),IF(INDEX(evol_conc!$H:$H,$Q15)&lt;&gt;$F15,"FIRMA DISTINTA EN evol_conc ("&amp;IF(INDEX(evol_conc!$H:$H,$Q15)="","vacía",DAY(INDEX(evol_conc!$H:$H,$Q15))&amp;"/"&amp;MONTH(INDEX(evol_conc!$H:$H,$Q15))&amp;"/"&amp;YEAR(INDEX(evol_conc!$H:$H,$Q15)))&amp;")",IF(INDEX(evol_conc!$G:$G,$Q15)&lt;&gt;$E15,"INGRESO DISTINTO EN evol_conc ("&amp;IF(INDEX(evol_conc!$G:$G,$Q15)="","vacía",DAY(INDEX(evol_conc!$G:$G,$Q15))&amp;"/"&amp;MONTH(INDEX(evol_conc!$G:$G,$Q15))&amp;"/"&amp;YEAR(INDEX(evol_conc!$G:$G,$Q15)))&amp;")","OK"))))))))</f>
        <v>OK</v>
      </c>
      <c r="Q15">
        <f ca="1">IF($N15="","",IFERROR(MATCH($N15,evol_conc!$P:$P,0),0))</f>
        <v>0</v>
      </c>
    </row>
    <row r="16" spans="1:17" ht="18" hidden="1" customHeight="1" x14ac:dyDescent="0.25">
      <c r="A16" t="s">
        <v>624</v>
      </c>
      <c r="B16" t="s">
        <v>625</v>
      </c>
      <c r="D16" t="s">
        <v>626</v>
      </c>
      <c r="E16" s="16">
        <v>45225</v>
      </c>
      <c r="F16" s="16">
        <v>45397</v>
      </c>
      <c r="G16" t="s">
        <v>550</v>
      </c>
      <c r="H16" t="s">
        <v>627</v>
      </c>
      <c r="I16" t="s">
        <v>628</v>
      </c>
      <c r="J16" t="s">
        <v>629</v>
      </c>
      <c r="K16" t="s">
        <v>592</v>
      </c>
      <c r="L16" s="53">
        <f t="shared" si="0"/>
        <v>5.7333333333333334</v>
      </c>
      <c r="M16" s="19">
        <f t="shared" si="1"/>
        <v>172</v>
      </c>
      <c r="N16" t="str">
        <f ca="1">IF(TRIM(SUBSTITUTE($B16,CHAR(160)," "))="","",IFERROR(IF(ISNUMBER(SEARCH("INC",$B16)),"INC",IF(ISNUMBER(SEARCH("OPI",$B16)),"OPI",IF(ISNUMBER(SEARCH("DP",$B16)),"DP","CONC")))&amp;" "&amp;TEXT(LOOKUP(9.99E+307,--MID(SUBSTITUTE($B16,CHAR(160)," "),SUMPRODUCT(MIN(FIND({0,1,2,3,4,5,6,7,8,9},SUBSTITUTE($B16,CHAR(160)," ")&amp;"0123456789"))),ROW(INDIRECT("1:6")))),"0"),"SIN NUMERO"))</f>
        <v>CONC 1944</v>
      </c>
      <c r="O16" t="str">
        <f ca="1">IF($N16="","",IF(LEFT(UPPER($P16),9)="VERIFICAR","VERIFICAR",IF(AND($H16&lt;&gt;"",COUNTIFS($N$2:$N$1000,$N16,$H$2:$H$1000,$H16)&gt;1),"DUPLICADA",IF(TRIM(IF($A16="","tipo ","")&amp;IF($F16="","fecha de firma ","")&amp;IF($G16="","decisión ","")&amp;IF($H16="","N° resolución ","")&amp;IF($I16="","N° dictamen",""))&lt;&gt;"","INCOMPLETA: "&amp;TRIM(IF($A16="","tipo ","")&amp;IF($F16="","fecha de firma ","")&amp;IF($G16="","decisión ","")&amp;IF($H16="","N° resolución ","")&amp;IF($I16="","N° dictamen","")),IF(LEFT($N16,4)&lt;&gt;"CONC","OK",IF(N($Q16)=0,IF(AND(ISNUMBER($E16),$E16&gt;=DATE(2024,1,1)),"FALTA EN evol_conc","OK"),IF(INDEX(evol_conc!$H:$H,$Q16)&lt;&gt;$F16,"FIRMA DISTINTA EN evol_conc ("&amp;IF(INDEX(evol_conc!$H:$H,$Q16)="","vacía",DAY(INDEX(evol_conc!$H:$H,$Q16))&amp;"/"&amp;MONTH(INDEX(evol_conc!$H:$H,$Q16))&amp;"/"&amp;YEAR(INDEX(evol_conc!$H:$H,$Q16)))&amp;")",IF(INDEX(evol_conc!$G:$G,$Q16)&lt;&gt;$E16,"INGRESO DISTINTO EN evol_conc ("&amp;IF(INDEX(evol_conc!$G:$G,$Q16)="","vacía",DAY(INDEX(evol_conc!$G:$G,$Q16))&amp;"/"&amp;MONTH(INDEX(evol_conc!$G:$G,$Q16))&amp;"/"&amp;YEAR(INDEX(evol_conc!$G:$G,$Q16)))&amp;")","OK"))))))))</f>
        <v>OK</v>
      </c>
      <c r="Q16">
        <f ca="1">IF($N16="","",IFERROR(MATCH($N16,evol_conc!$P:$P,0),0))</f>
        <v>0</v>
      </c>
    </row>
    <row r="17" spans="1:17" ht="18" hidden="1" customHeight="1" x14ac:dyDescent="0.25">
      <c r="A17" t="s">
        <v>624</v>
      </c>
      <c r="B17" t="s">
        <v>630</v>
      </c>
      <c r="D17" t="s">
        <v>631</v>
      </c>
      <c r="E17" s="16">
        <v>45261</v>
      </c>
      <c r="F17" s="16">
        <v>45397</v>
      </c>
      <c r="G17" t="s">
        <v>550</v>
      </c>
      <c r="H17" t="s">
        <v>632</v>
      </c>
      <c r="I17" t="s">
        <v>633</v>
      </c>
      <c r="J17" t="s">
        <v>634</v>
      </c>
      <c r="K17" t="s">
        <v>592</v>
      </c>
      <c r="L17" s="53">
        <f t="shared" si="0"/>
        <v>4.5333333333333332</v>
      </c>
      <c r="M17" s="19">
        <f t="shared" si="1"/>
        <v>136</v>
      </c>
      <c r="N17" t="str">
        <f ca="1">IF(TRIM(SUBSTITUTE($B17,CHAR(160)," "))="","",IFERROR(IF(ISNUMBER(SEARCH("INC",$B17)),"INC",IF(ISNUMBER(SEARCH("OPI",$B17)),"OPI",IF(ISNUMBER(SEARCH("DP",$B17)),"DP","CONC")))&amp;" "&amp;TEXT(LOOKUP(9.99E+307,--MID(SUBSTITUTE($B17,CHAR(160)," "),SUMPRODUCT(MIN(FIND({0,1,2,3,4,5,6,7,8,9},SUBSTITUTE($B17,CHAR(160)," ")&amp;"0123456789"))),ROW(INDIRECT("1:6")))),"0"),"SIN NUMERO"))</f>
        <v>CONC 1951</v>
      </c>
      <c r="O17" t="str">
        <f ca="1">IF($N17="","",IF(LEFT(UPPER($P17),9)="VERIFICAR","VERIFICAR",IF(AND($H17&lt;&gt;"",COUNTIFS($N$2:$N$1000,$N17,$H$2:$H$1000,$H17)&gt;1),"DUPLICADA",IF(TRIM(IF($A17="","tipo ","")&amp;IF($F17="","fecha de firma ","")&amp;IF($G17="","decisión ","")&amp;IF($H17="","N° resolución ","")&amp;IF($I17="","N° dictamen",""))&lt;&gt;"","INCOMPLETA: "&amp;TRIM(IF($A17="","tipo ","")&amp;IF($F17="","fecha de firma ","")&amp;IF($G17="","decisión ","")&amp;IF($H17="","N° resolución ","")&amp;IF($I17="","N° dictamen","")),IF(LEFT($N17,4)&lt;&gt;"CONC","OK",IF(N($Q17)=0,IF(AND(ISNUMBER($E17),$E17&gt;=DATE(2024,1,1)),"FALTA EN evol_conc","OK"),IF(INDEX(evol_conc!$H:$H,$Q17)&lt;&gt;$F17,"FIRMA DISTINTA EN evol_conc ("&amp;IF(INDEX(evol_conc!$H:$H,$Q17)="","vacía",DAY(INDEX(evol_conc!$H:$H,$Q17))&amp;"/"&amp;MONTH(INDEX(evol_conc!$H:$H,$Q17))&amp;"/"&amp;YEAR(INDEX(evol_conc!$H:$H,$Q17)))&amp;")",IF(INDEX(evol_conc!$G:$G,$Q17)&lt;&gt;$E17,"INGRESO DISTINTO EN evol_conc ("&amp;IF(INDEX(evol_conc!$G:$G,$Q17)="","vacía",DAY(INDEX(evol_conc!$G:$G,$Q17))&amp;"/"&amp;MONTH(INDEX(evol_conc!$G:$G,$Q17))&amp;"/"&amp;YEAR(INDEX(evol_conc!$G:$G,$Q17)))&amp;")","OK"))))))))</f>
        <v>OK</v>
      </c>
      <c r="Q17">
        <f ca="1">IF($N17="","",IFERROR(MATCH($N17,evol_conc!$P:$P,0),0))</f>
        <v>0</v>
      </c>
    </row>
    <row r="18" spans="1:17" ht="18" hidden="1" customHeight="1" x14ac:dyDescent="0.25">
      <c r="A18" t="s">
        <v>547</v>
      </c>
      <c r="B18" t="s">
        <v>635</v>
      </c>
      <c r="D18" t="s">
        <v>636</v>
      </c>
      <c r="E18" s="16">
        <v>43684</v>
      </c>
      <c r="F18" s="16">
        <v>45400</v>
      </c>
      <c r="G18" t="s">
        <v>550</v>
      </c>
      <c r="H18" t="s">
        <v>637</v>
      </c>
      <c r="I18" t="s">
        <v>638</v>
      </c>
      <c r="J18" t="s">
        <v>639</v>
      </c>
      <c r="K18" t="s">
        <v>592</v>
      </c>
      <c r="L18" s="53">
        <f t="shared" si="0"/>
        <v>57.2</v>
      </c>
      <c r="M18" s="19">
        <f t="shared" si="1"/>
        <v>1716</v>
      </c>
      <c r="N18" t="str">
        <f ca="1">IF(TRIM(SUBSTITUTE($B18,CHAR(160)," "))="","",IFERROR(IF(ISNUMBER(SEARCH("INC",$B18)),"INC",IF(ISNUMBER(SEARCH("OPI",$B18)),"OPI",IF(ISNUMBER(SEARCH("DP",$B18)),"DP","CONC")))&amp;" "&amp;TEXT(LOOKUP(9.99E+307,--MID(SUBSTITUTE($B18,CHAR(160)," "),SUMPRODUCT(MIN(FIND({0,1,2,3,4,5,6,7,8,9},SUBSTITUTE($B18,CHAR(160)," ")&amp;"0123456789"))),ROW(INDIRECT("1:6")))),"0"),"SIN NUMERO"))</f>
        <v>CONC 1718</v>
      </c>
      <c r="O18" t="str">
        <f ca="1">IF($N18="","",IF(LEFT(UPPER($P18),9)="VERIFICAR","VERIFICAR",IF(AND($H18&lt;&gt;"",COUNTIFS($N$2:$N$1000,$N18,$H$2:$H$1000,$H18)&gt;1),"DUPLICADA",IF(TRIM(IF($A18="","tipo ","")&amp;IF($F18="","fecha de firma ","")&amp;IF($G18="","decisión ","")&amp;IF($H18="","N° resolución ","")&amp;IF($I18="","N° dictamen",""))&lt;&gt;"","INCOMPLETA: "&amp;TRIM(IF($A18="","tipo ","")&amp;IF($F18="","fecha de firma ","")&amp;IF($G18="","decisión ","")&amp;IF($H18="","N° resolución ","")&amp;IF($I18="","N° dictamen","")),IF(LEFT($N18,4)&lt;&gt;"CONC","OK",IF(N($Q18)=0,IF(AND(ISNUMBER($E18),$E18&gt;=DATE(2024,1,1)),"FALTA EN evol_conc","OK"),IF(INDEX(evol_conc!$H:$H,$Q18)&lt;&gt;$F18,"FIRMA DISTINTA EN evol_conc ("&amp;IF(INDEX(evol_conc!$H:$H,$Q18)="","vacía",DAY(INDEX(evol_conc!$H:$H,$Q18))&amp;"/"&amp;MONTH(INDEX(evol_conc!$H:$H,$Q18))&amp;"/"&amp;YEAR(INDEX(evol_conc!$H:$H,$Q18)))&amp;")",IF(INDEX(evol_conc!$G:$G,$Q18)&lt;&gt;$E18,"INGRESO DISTINTO EN evol_conc ("&amp;IF(INDEX(evol_conc!$G:$G,$Q18)="","vacía",DAY(INDEX(evol_conc!$G:$G,$Q18))&amp;"/"&amp;MONTH(INDEX(evol_conc!$G:$G,$Q18))&amp;"/"&amp;YEAR(INDEX(evol_conc!$G:$G,$Q18)))&amp;")","OK"))))))))</f>
        <v>OK</v>
      </c>
      <c r="Q18">
        <f ca="1">IF($N18="","",IFERROR(MATCH($N18,evol_conc!$P:$P,0),0))</f>
        <v>0</v>
      </c>
    </row>
    <row r="19" spans="1:17" ht="18" hidden="1" customHeight="1" x14ac:dyDescent="0.25">
      <c r="A19" t="s">
        <v>547</v>
      </c>
      <c r="B19" t="s">
        <v>640</v>
      </c>
      <c r="D19" t="s">
        <v>641</v>
      </c>
      <c r="E19" s="16">
        <v>44364</v>
      </c>
      <c r="F19" s="16">
        <v>45401</v>
      </c>
      <c r="G19" t="s">
        <v>550</v>
      </c>
      <c r="H19" t="s">
        <v>642</v>
      </c>
      <c r="I19" t="s">
        <v>643</v>
      </c>
      <c r="J19" t="s">
        <v>644</v>
      </c>
      <c r="K19" t="s">
        <v>560</v>
      </c>
      <c r="L19" s="53">
        <f t="shared" si="0"/>
        <v>34.56666666666667</v>
      </c>
      <c r="M19" s="19">
        <f t="shared" si="1"/>
        <v>1037</v>
      </c>
      <c r="N19" t="str">
        <f ca="1">IF(TRIM(SUBSTITUTE($B19,CHAR(160)," "))="","",IFERROR(IF(ISNUMBER(SEARCH("INC",$B19)),"INC",IF(ISNUMBER(SEARCH("OPI",$B19)),"OPI",IF(ISNUMBER(SEARCH("DP",$B19)),"DP","CONC")))&amp;" "&amp;TEXT(LOOKUP(9.99E+307,--MID(SUBSTITUTE($B19,CHAR(160)," "),SUMPRODUCT(MIN(FIND({0,1,2,3,4,5,6,7,8,9},SUBSTITUTE($B19,CHAR(160)," ")&amp;"0123456789"))),ROW(INDIRECT("1:6")))),"0"),"SIN NUMERO"))</f>
        <v>CONC 1808</v>
      </c>
      <c r="O19" t="str">
        <f ca="1">IF($N19="","",IF(LEFT(UPPER($P19),9)="VERIFICAR","VERIFICAR",IF(AND($H19&lt;&gt;"",COUNTIFS($N$2:$N$1000,$N19,$H$2:$H$1000,$H19)&gt;1),"DUPLICADA",IF(TRIM(IF($A19="","tipo ","")&amp;IF($F19="","fecha de firma ","")&amp;IF($G19="","decisión ","")&amp;IF($H19="","N° resolución ","")&amp;IF($I19="","N° dictamen",""))&lt;&gt;"","INCOMPLETA: "&amp;TRIM(IF($A19="","tipo ","")&amp;IF($F19="","fecha de firma ","")&amp;IF($G19="","decisión ","")&amp;IF($H19="","N° resolución ","")&amp;IF($I19="","N° dictamen","")),IF(LEFT($N19,4)&lt;&gt;"CONC","OK",IF(N($Q19)=0,IF(AND(ISNUMBER($E19),$E19&gt;=DATE(2024,1,1)),"FALTA EN evol_conc","OK"),IF(INDEX(evol_conc!$H:$H,$Q19)&lt;&gt;$F19,"FIRMA DISTINTA EN evol_conc ("&amp;IF(INDEX(evol_conc!$H:$H,$Q19)="","vacía",DAY(INDEX(evol_conc!$H:$H,$Q19))&amp;"/"&amp;MONTH(INDEX(evol_conc!$H:$H,$Q19))&amp;"/"&amp;YEAR(INDEX(evol_conc!$H:$H,$Q19)))&amp;")",IF(INDEX(evol_conc!$G:$G,$Q19)&lt;&gt;$E19,"INGRESO DISTINTO EN evol_conc ("&amp;IF(INDEX(evol_conc!$G:$G,$Q19)="","vacía",DAY(INDEX(evol_conc!$G:$G,$Q19))&amp;"/"&amp;MONTH(INDEX(evol_conc!$G:$G,$Q19))&amp;"/"&amp;YEAR(INDEX(evol_conc!$G:$G,$Q19)))&amp;")","OK"))))))))</f>
        <v>OK</v>
      </c>
      <c r="Q19">
        <f ca="1">IF($N19="","",IFERROR(MATCH($N19,evol_conc!$P:$P,0),0))</f>
        <v>0</v>
      </c>
    </row>
    <row r="20" spans="1:17" ht="18" hidden="1" customHeight="1" x14ac:dyDescent="0.25">
      <c r="A20" t="s">
        <v>547</v>
      </c>
      <c r="B20" t="s">
        <v>645</v>
      </c>
      <c r="D20" t="s">
        <v>646</v>
      </c>
      <c r="E20" s="16">
        <v>44916</v>
      </c>
      <c r="F20" s="16">
        <v>45401</v>
      </c>
      <c r="G20" t="s">
        <v>550</v>
      </c>
      <c r="H20" t="s">
        <v>647</v>
      </c>
      <c r="I20" t="s">
        <v>648</v>
      </c>
      <c r="J20" t="s">
        <v>649</v>
      </c>
      <c r="K20" t="s">
        <v>592</v>
      </c>
      <c r="L20" s="53">
        <f t="shared" si="0"/>
        <v>16.166666666666668</v>
      </c>
      <c r="M20" s="19">
        <f t="shared" si="1"/>
        <v>485</v>
      </c>
      <c r="N20" t="str">
        <f ca="1">IF(TRIM(SUBSTITUTE($B20,CHAR(160)," "))="","",IFERROR(IF(ISNUMBER(SEARCH("INC",$B20)),"INC",IF(ISNUMBER(SEARCH("OPI",$B20)),"OPI",IF(ISNUMBER(SEARCH("DP",$B20)),"DP","CONC")))&amp;" "&amp;TEXT(LOOKUP(9.99E+307,--MID(SUBSTITUTE($B20,CHAR(160)," "),SUMPRODUCT(MIN(FIND({0,1,2,3,4,5,6,7,8,9},SUBSTITUTE($B20,CHAR(160)," ")&amp;"0123456789"))),ROW(INDIRECT("1:6")))),"0"),"SIN NUMERO"))</f>
        <v>CONC 1885</v>
      </c>
      <c r="O20" t="str">
        <f ca="1">IF($N20="","",IF(LEFT(UPPER($P20),9)="VERIFICAR","VERIFICAR",IF(AND($H20&lt;&gt;"",COUNTIFS($N$2:$N$1000,$N20,$H$2:$H$1000,$H20)&gt;1),"DUPLICADA",IF(TRIM(IF($A20="","tipo ","")&amp;IF($F20="","fecha de firma ","")&amp;IF($G20="","decisión ","")&amp;IF($H20="","N° resolución ","")&amp;IF($I20="","N° dictamen",""))&lt;&gt;"","INCOMPLETA: "&amp;TRIM(IF($A20="","tipo ","")&amp;IF($F20="","fecha de firma ","")&amp;IF($G20="","decisión ","")&amp;IF($H20="","N° resolución ","")&amp;IF($I20="","N° dictamen","")),IF(LEFT($N20,4)&lt;&gt;"CONC","OK",IF(N($Q20)=0,IF(AND(ISNUMBER($E20),$E20&gt;=DATE(2024,1,1)),"FALTA EN evol_conc","OK"),IF(INDEX(evol_conc!$H:$H,$Q20)&lt;&gt;$F20,"FIRMA DISTINTA EN evol_conc ("&amp;IF(INDEX(evol_conc!$H:$H,$Q20)="","vacía",DAY(INDEX(evol_conc!$H:$H,$Q20))&amp;"/"&amp;MONTH(INDEX(evol_conc!$H:$H,$Q20))&amp;"/"&amp;YEAR(INDEX(evol_conc!$H:$H,$Q20)))&amp;")",IF(INDEX(evol_conc!$G:$G,$Q20)&lt;&gt;$E20,"INGRESO DISTINTO EN evol_conc ("&amp;IF(INDEX(evol_conc!$G:$G,$Q20)="","vacía",DAY(INDEX(evol_conc!$G:$G,$Q20))&amp;"/"&amp;MONTH(INDEX(evol_conc!$G:$G,$Q20))&amp;"/"&amp;YEAR(INDEX(evol_conc!$G:$G,$Q20)))&amp;")","OK"))))))))</f>
        <v>OK</v>
      </c>
      <c r="Q20">
        <f ca="1">IF($N20="","",IFERROR(MATCH($N20,evol_conc!$P:$P,0),0))</f>
        <v>0</v>
      </c>
    </row>
    <row r="21" spans="1:17" ht="18" hidden="1" customHeight="1" x14ac:dyDescent="0.25">
      <c r="A21" t="s">
        <v>624</v>
      </c>
      <c r="B21" t="s">
        <v>650</v>
      </c>
      <c r="D21" t="s">
        <v>651</v>
      </c>
      <c r="E21" s="16">
        <v>45278</v>
      </c>
      <c r="F21" s="16">
        <v>45404</v>
      </c>
      <c r="G21" t="s">
        <v>550</v>
      </c>
      <c r="H21" t="s">
        <v>652</v>
      </c>
      <c r="I21" t="s">
        <v>653</v>
      </c>
      <c r="J21" t="s">
        <v>654</v>
      </c>
      <c r="K21" t="s">
        <v>560</v>
      </c>
      <c r="L21" s="53">
        <f t="shared" si="0"/>
        <v>4.2</v>
      </c>
      <c r="M21" s="19">
        <f t="shared" si="1"/>
        <v>126</v>
      </c>
      <c r="N21" t="str">
        <f ca="1">IF(TRIM(SUBSTITUTE($B21,CHAR(160)," "))="","",IFERROR(IF(ISNUMBER(SEARCH("INC",$B21)),"INC",IF(ISNUMBER(SEARCH("OPI",$B21)),"OPI",IF(ISNUMBER(SEARCH("DP",$B21)),"DP","CONC")))&amp;" "&amp;TEXT(LOOKUP(9.99E+307,--MID(SUBSTITUTE($B21,CHAR(160)," "),SUMPRODUCT(MIN(FIND({0,1,2,3,4,5,6,7,8,9},SUBSTITUTE($B21,CHAR(160)," ")&amp;"0123456789"))),ROW(INDIRECT("1:6")))),"0"),"SIN NUMERO"))</f>
        <v>CONC 1953</v>
      </c>
      <c r="O21" t="str">
        <f ca="1">IF($N21="","",IF(LEFT(UPPER($P21),9)="VERIFICAR","VERIFICAR",IF(AND($H21&lt;&gt;"",COUNTIFS($N$2:$N$1000,$N21,$H$2:$H$1000,$H21)&gt;1),"DUPLICADA",IF(TRIM(IF($A21="","tipo ","")&amp;IF($F21="","fecha de firma ","")&amp;IF($G21="","decisión ","")&amp;IF($H21="","N° resolución ","")&amp;IF($I21="","N° dictamen",""))&lt;&gt;"","INCOMPLETA: "&amp;TRIM(IF($A21="","tipo ","")&amp;IF($F21="","fecha de firma ","")&amp;IF($G21="","decisión ","")&amp;IF($H21="","N° resolución ","")&amp;IF($I21="","N° dictamen","")),IF(LEFT($N21,4)&lt;&gt;"CONC","OK",IF(N($Q21)=0,IF(AND(ISNUMBER($E21),$E21&gt;=DATE(2024,1,1)),"FALTA EN evol_conc","OK"),IF(INDEX(evol_conc!$H:$H,$Q21)&lt;&gt;$F21,"FIRMA DISTINTA EN evol_conc ("&amp;IF(INDEX(evol_conc!$H:$H,$Q21)="","vacía",DAY(INDEX(evol_conc!$H:$H,$Q21))&amp;"/"&amp;MONTH(INDEX(evol_conc!$H:$H,$Q21))&amp;"/"&amp;YEAR(INDEX(evol_conc!$H:$H,$Q21)))&amp;")",IF(INDEX(evol_conc!$G:$G,$Q21)&lt;&gt;$E21,"INGRESO DISTINTO EN evol_conc ("&amp;IF(INDEX(evol_conc!$G:$G,$Q21)="","vacía",DAY(INDEX(evol_conc!$G:$G,$Q21))&amp;"/"&amp;MONTH(INDEX(evol_conc!$G:$G,$Q21))&amp;"/"&amp;YEAR(INDEX(evol_conc!$G:$G,$Q21)))&amp;")","OK"))))))))</f>
        <v>OK</v>
      </c>
      <c r="Q21">
        <f ca="1">IF($N21="","",IFERROR(MATCH($N21,evol_conc!$P:$P,0),0))</f>
        <v>0</v>
      </c>
    </row>
    <row r="22" spans="1:17" ht="18" hidden="1" customHeight="1" x14ac:dyDescent="0.25">
      <c r="A22" t="s">
        <v>547</v>
      </c>
      <c r="B22" t="s">
        <v>655</v>
      </c>
      <c r="D22" t="s">
        <v>656</v>
      </c>
      <c r="E22" s="16">
        <v>44874</v>
      </c>
      <c r="F22" s="16">
        <v>45411</v>
      </c>
      <c r="G22" t="s">
        <v>550</v>
      </c>
      <c r="H22" t="s">
        <v>657</v>
      </c>
      <c r="I22" t="s">
        <v>658</v>
      </c>
      <c r="J22" t="s">
        <v>659</v>
      </c>
      <c r="K22" t="s">
        <v>660</v>
      </c>
      <c r="L22" s="53">
        <f t="shared" si="0"/>
        <v>17.899999999999999</v>
      </c>
      <c r="M22" s="19">
        <f t="shared" si="1"/>
        <v>537</v>
      </c>
      <c r="N22" t="str">
        <f ca="1">IF(TRIM(SUBSTITUTE($B22,CHAR(160)," "))="","",IFERROR(IF(ISNUMBER(SEARCH("INC",$B22)),"INC",IF(ISNUMBER(SEARCH("OPI",$B22)),"OPI",IF(ISNUMBER(SEARCH("DP",$B22)),"DP","CONC")))&amp;" "&amp;TEXT(LOOKUP(9.99E+307,--MID(SUBSTITUTE($B22,CHAR(160)," "),SUMPRODUCT(MIN(FIND({0,1,2,3,4,5,6,7,8,9},SUBSTITUTE($B22,CHAR(160)," ")&amp;"0123456789"))),ROW(INDIRECT("1:6")))),"0"),"SIN NUMERO"))</f>
        <v>CONC 1877</v>
      </c>
      <c r="O22" t="str">
        <f ca="1">IF($N22="","",IF(LEFT(UPPER($P22),9)="VERIFICAR","VERIFICAR",IF(AND($H22&lt;&gt;"",COUNTIFS($N$2:$N$1000,$N22,$H$2:$H$1000,$H22)&gt;1),"DUPLICADA",IF(TRIM(IF($A22="","tipo ","")&amp;IF($F22="","fecha de firma ","")&amp;IF($G22="","decisión ","")&amp;IF($H22="","N° resolución ","")&amp;IF($I22="","N° dictamen",""))&lt;&gt;"","INCOMPLETA: "&amp;TRIM(IF($A22="","tipo ","")&amp;IF($F22="","fecha de firma ","")&amp;IF($G22="","decisión ","")&amp;IF($H22="","N° resolución ","")&amp;IF($I22="","N° dictamen","")),IF(LEFT($N22,4)&lt;&gt;"CONC","OK",IF(N($Q22)=0,IF(AND(ISNUMBER($E22),$E22&gt;=DATE(2024,1,1)),"FALTA EN evol_conc","OK"),IF(INDEX(evol_conc!$H:$H,$Q22)&lt;&gt;$F22,"FIRMA DISTINTA EN evol_conc ("&amp;IF(INDEX(evol_conc!$H:$H,$Q22)="","vacía",DAY(INDEX(evol_conc!$H:$H,$Q22))&amp;"/"&amp;MONTH(INDEX(evol_conc!$H:$H,$Q22))&amp;"/"&amp;YEAR(INDEX(evol_conc!$H:$H,$Q22)))&amp;")",IF(INDEX(evol_conc!$G:$G,$Q22)&lt;&gt;$E22,"INGRESO DISTINTO EN evol_conc ("&amp;IF(INDEX(evol_conc!$G:$G,$Q22)="","vacía",DAY(INDEX(evol_conc!$G:$G,$Q22))&amp;"/"&amp;MONTH(INDEX(evol_conc!$G:$G,$Q22))&amp;"/"&amp;YEAR(INDEX(evol_conc!$G:$G,$Q22)))&amp;")","OK"))))))))</f>
        <v>OK</v>
      </c>
      <c r="Q22">
        <f ca="1">IF($N22="","",IFERROR(MATCH($N22,evol_conc!$P:$P,0),0))</f>
        <v>0</v>
      </c>
    </row>
    <row r="23" spans="1:17" ht="18" hidden="1" customHeight="1" x14ac:dyDescent="0.25">
      <c r="A23" t="s">
        <v>547</v>
      </c>
      <c r="B23" t="s">
        <v>661</v>
      </c>
      <c r="D23" t="s">
        <v>662</v>
      </c>
      <c r="E23" s="16">
        <v>44929</v>
      </c>
      <c r="F23" s="16">
        <v>45419</v>
      </c>
      <c r="G23" t="s">
        <v>550</v>
      </c>
      <c r="H23" t="s">
        <v>663</v>
      </c>
      <c r="I23" t="s">
        <v>664</v>
      </c>
      <c r="J23" t="s">
        <v>665</v>
      </c>
      <c r="K23" t="s">
        <v>581</v>
      </c>
      <c r="L23" s="53">
        <f t="shared" si="0"/>
        <v>16.333333333333332</v>
      </c>
      <c r="M23" s="19">
        <f t="shared" si="1"/>
        <v>490</v>
      </c>
      <c r="N23" t="str">
        <f ca="1">IF(TRIM(SUBSTITUTE($B23,CHAR(160)," "))="","",IFERROR(IF(ISNUMBER(SEARCH("INC",$B23)),"INC",IF(ISNUMBER(SEARCH("OPI",$B23)),"OPI",IF(ISNUMBER(SEARCH("DP",$B23)),"DP","CONC")))&amp;" "&amp;TEXT(LOOKUP(9.99E+307,--MID(SUBSTITUTE($B23,CHAR(160)," "),SUMPRODUCT(MIN(FIND({0,1,2,3,4,5,6,7,8,9},SUBSTITUTE($B23,CHAR(160)," ")&amp;"0123456789"))),ROW(INDIRECT("1:6")))),"0"),"SIN NUMERO"))</f>
        <v>CONC 1892</v>
      </c>
      <c r="O23" t="str">
        <f ca="1">IF($N23="","",IF(LEFT(UPPER($P23),9)="VERIFICAR","VERIFICAR",IF(AND($H23&lt;&gt;"",COUNTIFS($N$2:$N$1000,$N23,$H$2:$H$1000,$H23)&gt;1),"DUPLICADA",IF(TRIM(IF($A23="","tipo ","")&amp;IF($F23="","fecha de firma ","")&amp;IF($G23="","decisión ","")&amp;IF($H23="","N° resolución ","")&amp;IF($I23="","N° dictamen",""))&lt;&gt;"","INCOMPLETA: "&amp;TRIM(IF($A23="","tipo ","")&amp;IF($F23="","fecha de firma ","")&amp;IF($G23="","decisión ","")&amp;IF($H23="","N° resolución ","")&amp;IF($I23="","N° dictamen","")),IF(LEFT($N23,4)&lt;&gt;"CONC","OK",IF(N($Q23)=0,IF(AND(ISNUMBER($E23),$E23&gt;=DATE(2024,1,1)),"FALTA EN evol_conc","OK"),IF(INDEX(evol_conc!$H:$H,$Q23)&lt;&gt;$F23,"FIRMA DISTINTA EN evol_conc ("&amp;IF(INDEX(evol_conc!$H:$H,$Q23)="","vacía",DAY(INDEX(evol_conc!$H:$H,$Q23))&amp;"/"&amp;MONTH(INDEX(evol_conc!$H:$H,$Q23))&amp;"/"&amp;YEAR(INDEX(evol_conc!$H:$H,$Q23)))&amp;")",IF(INDEX(evol_conc!$G:$G,$Q23)&lt;&gt;$E23,"INGRESO DISTINTO EN evol_conc ("&amp;IF(INDEX(evol_conc!$G:$G,$Q23)="","vacía",DAY(INDEX(evol_conc!$G:$G,$Q23))&amp;"/"&amp;MONTH(INDEX(evol_conc!$G:$G,$Q23))&amp;"/"&amp;YEAR(INDEX(evol_conc!$G:$G,$Q23)))&amp;")","OK"))))))))</f>
        <v>OK</v>
      </c>
      <c r="Q23">
        <f ca="1">IF($N23="","",IFERROR(MATCH($N23,evol_conc!$P:$P,0),0))</f>
        <v>0</v>
      </c>
    </row>
    <row r="24" spans="1:17" ht="18" hidden="1" customHeight="1" x14ac:dyDescent="0.25">
      <c r="A24" t="s">
        <v>547</v>
      </c>
      <c r="B24" t="s">
        <v>666</v>
      </c>
      <c r="D24" t="s">
        <v>667</v>
      </c>
      <c r="E24" s="16">
        <v>45161</v>
      </c>
      <c r="F24" s="16">
        <v>45419</v>
      </c>
      <c r="G24" t="s">
        <v>550</v>
      </c>
      <c r="H24" t="s">
        <v>668</v>
      </c>
      <c r="I24" t="s">
        <v>669</v>
      </c>
      <c r="J24" t="s">
        <v>670</v>
      </c>
      <c r="K24" t="s">
        <v>560</v>
      </c>
      <c r="L24" s="53">
        <f t="shared" si="0"/>
        <v>8.6</v>
      </c>
      <c r="M24" s="19">
        <f t="shared" si="1"/>
        <v>258</v>
      </c>
      <c r="N24" t="str">
        <f ca="1">IF(TRIM(SUBSTITUTE($B24,CHAR(160)," "))="","",IFERROR(IF(ISNUMBER(SEARCH("INC",$B24)),"INC",IF(ISNUMBER(SEARCH("OPI",$B24)),"OPI",IF(ISNUMBER(SEARCH("DP",$B24)),"DP","CONC")))&amp;" "&amp;TEXT(LOOKUP(9.99E+307,--MID(SUBSTITUTE($B24,CHAR(160)," "),SUMPRODUCT(MIN(FIND({0,1,2,3,4,5,6,7,8,9},SUBSTITUTE($B24,CHAR(160)," ")&amp;"0123456789"))),ROW(INDIRECT("1:6")))),"0"),"SIN NUMERO"))</f>
        <v>CONC 1934</v>
      </c>
      <c r="O24" t="str">
        <f ca="1">IF($N24="","",IF(LEFT(UPPER($P24),9)="VERIFICAR","VERIFICAR",IF(AND($H24&lt;&gt;"",COUNTIFS($N$2:$N$1000,$N24,$H$2:$H$1000,$H24)&gt;1),"DUPLICADA",IF(TRIM(IF($A24="","tipo ","")&amp;IF($F24="","fecha de firma ","")&amp;IF($G24="","decisión ","")&amp;IF($H24="","N° resolución ","")&amp;IF($I24="","N° dictamen",""))&lt;&gt;"","INCOMPLETA: "&amp;TRIM(IF($A24="","tipo ","")&amp;IF($F24="","fecha de firma ","")&amp;IF($G24="","decisión ","")&amp;IF($H24="","N° resolución ","")&amp;IF($I24="","N° dictamen","")),IF(LEFT($N24,4)&lt;&gt;"CONC","OK",IF(N($Q24)=0,IF(AND(ISNUMBER($E24),$E24&gt;=DATE(2024,1,1)),"FALTA EN evol_conc","OK"),IF(INDEX(evol_conc!$H:$H,$Q24)&lt;&gt;$F24,"FIRMA DISTINTA EN evol_conc ("&amp;IF(INDEX(evol_conc!$H:$H,$Q24)="","vacía",DAY(INDEX(evol_conc!$H:$H,$Q24))&amp;"/"&amp;MONTH(INDEX(evol_conc!$H:$H,$Q24))&amp;"/"&amp;YEAR(INDEX(evol_conc!$H:$H,$Q24)))&amp;")",IF(INDEX(evol_conc!$G:$G,$Q24)&lt;&gt;$E24,"INGRESO DISTINTO EN evol_conc ("&amp;IF(INDEX(evol_conc!$G:$G,$Q24)="","vacía",DAY(INDEX(evol_conc!$G:$G,$Q24))&amp;"/"&amp;MONTH(INDEX(evol_conc!$G:$G,$Q24))&amp;"/"&amp;YEAR(INDEX(evol_conc!$G:$G,$Q24)))&amp;")","OK"))))))))</f>
        <v>OK</v>
      </c>
      <c r="Q24">
        <f ca="1">IF($N24="","",IFERROR(MATCH($N24,evol_conc!$P:$P,0),0))</f>
        <v>0</v>
      </c>
    </row>
    <row r="25" spans="1:17" ht="18" hidden="1" customHeight="1" x14ac:dyDescent="0.25">
      <c r="A25" t="s">
        <v>547</v>
      </c>
      <c r="B25" t="s">
        <v>671</v>
      </c>
      <c r="D25" t="s">
        <v>672</v>
      </c>
      <c r="E25" s="16">
        <v>44839</v>
      </c>
      <c r="F25" s="16">
        <v>45427</v>
      </c>
      <c r="G25" t="s">
        <v>550</v>
      </c>
      <c r="H25" t="s">
        <v>673</v>
      </c>
      <c r="I25" t="s">
        <v>674</v>
      </c>
      <c r="J25" t="s">
        <v>675</v>
      </c>
      <c r="K25" t="s">
        <v>592</v>
      </c>
      <c r="L25" s="53">
        <f t="shared" si="0"/>
        <v>19.600000000000001</v>
      </c>
      <c r="M25" s="19">
        <f t="shared" si="1"/>
        <v>588</v>
      </c>
      <c r="N25" t="str">
        <f ca="1">IF(TRIM(SUBSTITUTE($B25,CHAR(160)," "))="","",IFERROR(IF(ISNUMBER(SEARCH("INC",$B25)),"INC",IF(ISNUMBER(SEARCH("OPI",$B25)),"OPI",IF(ISNUMBER(SEARCH("DP",$B25)),"DP","CONC")))&amp;" "&amp;TEXT(LOOKUP(9.99E+307,--MID(SUBSTITUTE($B25,CHAR(160)," "),SUMPRODUCT(MIN(FIND({0,1,2,3,4,5,6,7,8,9},SUBSTITUTE($B25,CHAR(160)," ")&amp;"0123456789"))),ROW(INDIRECT("1:6")))),"0"),"SIN NUMERO"))</f>
        <v>CONC 1869</v>
      </c>
      <c r="O25" t="str">
        <f ca="1">IF($N25="","",IF(LEFT(UPPER($P25),9)="VERIFICAR","VERIFICAR",IF(AND($H25&lt;&gt;"",COUNTIFS($N$2:$N$1000,$N25,$H$2:$H$1000,$H25)&gt;1),"DUPLICADA",IF(TRIM(IF($A25="","tipo ","")&amp;IF($F25="","fecha de firma ","")&amp;IF($G25="","decisión ","")&amp;IF($H25="","N° resolución ","")&amp;IF($I25="","N° dictamen",""))&lt;&gt;"","INCOMPLETA: "&amp;TRIM(IF($A25="","tipo ","")&amp;IF($F25="","fecha de firma ","")&amp;IF($G25="","decisión ","")&amp;IF($H25="","N° resolución ","")&amp;IF($I25="","N° dictamen","")),IF(LEFT($N25,4)&lt;&gt;"CONC","OK",IF(N($Q25)=0,IF(AND(ISNUMBER($E25),$E25&gt;=DATE(2024,1,1)),"FALTA EN evol_conc","OK"),IF(INDEX(evol_conc!$H:$H,$Q25)&lt;&gt;$F25,"FIRMA DISTINTA EN evol_conc ("&amp;IF(INDEX(evol_conc!$H:$H,$Q25)="","vacía",DAY(INDEX(evol_conc!$H:$H,$Q25))&amp;"/"&amp;MONTH(INDEX(evol_conc!$H:$H,$Q25))&amp;"/"&amp;YEAR(INDEX(evol_conc!$H:$H,$Q25)))&amp;")",IF(INDEX(evol_conc!$G:$G,$Q25)&lt;&gt;$E25,"INGRESO DISTINTO EN evol_conc ("&amp;IF(INDEX(evol_conc!$G:$G,$Q25)="","vacía",DAY(INDEX(evol_conc!$G:$G,$Q25))&amp;"/"&amp;MONTH(INDEX(evol_conc!$G:$G,$Q25))&amp;"/"&amp;YEAR(INDEX(evol_conc!$G:$G,$Q25)))&amp;")","OK"))))))))</f>
        <v>OK</v>
      </c>
      <c r="Q25">
        <f ca="1">IF($N25="","",IFERROR(MATCH($N25,evol_conc!$P:$P,0),0))</f>
        <v>0</v>
      </c>
    </row>
    <row r="26" spans="1:17" ht="18" hidden="1" customHeight="1" x14ac:dyDescent="0.25">
      <c r="A26" t="s">
        <v>547</v>
      </c>
      <c r="B26" t="s">
        <v>676</v>
      </c>
      <c r="D26" t="s">
        <v>677</v>
      </c>
      <c r="E26" s="16">
        <v>44896</v>
      </c>
      <c r="F26" s="16">
        <v>45428</v>
      </c>
      <c r="G26" t="s">
        <v>550</v>
      </c>
      <c r="H26" t="s">
        <v>678</v>
      </c>
      <c r="I26" t="s">
        <v>679</v>
      </c>
      <c r="J26" t="s">
        <v>680</v>
      </c>
      <c r="K26" t="s">
        <v>581</v>
      </c>
      <c r="L26" s="53">
        <f t="shared" si="0"/>
        <v>17.733333333333334</v>
      </c>
      <c r="M26" s="19">
        <f t="shared" si="1"/>
        <v>532</v>
      </c>
      <c r="N26" t="str">
        <f ca="1">IF(TRIM(SUBSTITUTE($B26,CHAR(160)," "))="","",IFERROR(IF(ISNUMBER(SEARCH("INC",$B26)),"INC",IF(ISNUMBER(SEARCH("OPI",$B26)),"OPI",IF(ISNUMBER(SEARCH("DP",$B26)),"DP","CONC")))&amp;" "&amp;TEXT(LOOKUP(9.99E+307,--MID(SUBSTITUTE($B26,CHAR(160)," "),SUMPRODUCT(MIN(FIND({0,1,2,3,4,5,6,7,8,9},SUBSTITUTE($B26,CHAR(160)," ")&amp;"0123456789"))),ROW(INDIRECT("1:6")))),"0"),"SIN NUMERO"))</f>
        <v>CONC 1882</v>
      </c>
      <c r="O26" t="str">
        <f ca="1">IF($N26="","",IF(LEFT(UPPER($P26),9)="VERIFICAR","VERIFICAR",IF(AND($H26&lt;&gt;"",COUNTIFS($N$2:$N$1000,$N26,$H$2:$H$1000,$H26)&gt;1),"DUPLICADA",IF(TRIM(IF($A26="","tipo ","")&amp;IF($F26="","fecha de firma ","")&amp;IF($G26="","decisión ","")&amp;IF($H26="","N° resolución ","")&amp;IF($I26="","N° dictamen",""))&lt;&gt;"","INCOMPLETA: "&amp;TRIM(IF($A26="","tipo ","")&amp;IF($F26="","fecha de firma ","")&amp;IF($G26="","decisión ","")&amp;IF($H26="","N° resolución ","")&amp;IF($I26="","N° dictamen","")),IF(LEFT($N26,4)&lt;&gt;"CONC","OK",IF(N($Q26)=0,IF(AND(ISNUMBER($E26),$E26&gt;=DATE(2024,1,1)),"FALTA EN evol_conc","OK"),IF(INDEX(evol_conc!$H:$H,$Q26)&lt;&gt;$F26,"FIRMA DISTINTA EN evol_conc ("&amp;IF(INDEX(evol_conc!$H:$H,$Q26)="","vacía",DAY(INDEX(evol_conc!$H:$H,$Q26))&amp;"/"&amp;MONTH(INDEX(evol_conc!$H:$H,$Q26))&amp;"/"&amp;YEAR(INDEX(evol_conc!$H:$H,$Q26)))&amp;")",IF(INDEX(evol_conc!$G:$G,$Q26)&lt;&gt;$E26,"INGRESO DISTINTO EN evol_conc ("&amp;IF(INDEX(evol_conc!$G:$G,$Q26)="","vacía",DAY(INDEX(evol_conc!$G:$G,$Q26))&amp;"/"&amp;MONTH(INDEX(evol_conc!$G:$G,$Q26))&amp;"/"&amp;YEAR(INDEX(evol_conc!$G:$G,$Q26)))&amp;")","OK"))))))))</f>
        <v>OK</v>
      </c>
      <c r="Q26">
        <f ca="1">IF($N26="","",IFERROR(MATCH($N26,evol_conc!$P:$P,0),0))</f>
        <v>0</v>
      </c>
    </row>
    <row r="27" spans="1:17" ht="18" hidden="1" customHeight="1" x14ac:dyDescent="0.25">
      <c r="A27" t="s">
        <v>547</v>
      </c>
      <c r="B27" t="s">
        <v>681</v>
      </c>
      <c r="D27" t="s">
        <v>682</v>
      </c>
      <c r="E27" s="16">
        <v>44802</v>
      </c>
      <c r="F27" s="16">
        <v>45433</v>
      </c>
      <c r="G27" t="s">
        <v>550</v>
      </c>
      <c r="H27" t="s">
        <v>683</v>
      </c>
      <c r="I27" t="s">
        <v>684</v>
      </c>
      <c r="J27" t="s">
        <v>685</v>
      </c>
      <c r="K27" t="s">
        <v>560</v>
      </c>
      <c r="L27" s="53">
        <f t="shared" si="0"/>
        <v>21.033333333333335</v>
      </c>
      <c r="M27" s="19">
        <f t="shared" si="1"/>
        <v>631</v>
      </c>
      <c r="N27" t="str">
        <f ca="1">IF(TRIM(SUBSTITUTE($B27,CHAR(160)," "))="","",IFERROR(IF(ISNUMBER(SEARCH("INC",$B27)),"INC",IF(ISNUMBER(SEARCH("OPI",$B27)),"OPI",IF(ISNUMBER(SEARCH("DP",$B27)),"DP","CONC")))&amp;" "&amp;TEXT(LOOKUP(9.99E+307,--MID(SUBSTITUTE($B27,CHAR(160)," "),SUMPRODUCT(MIN(FIND({0,1,2,3,4,5,6,7,8,9},SUBSTITUTE($B27,CHAR(160)," ")&amp;"0123456789"))),ROW(INDIRECT("1:6")))),"0"),"SIN NUMERO"))</f>
        <v>CONC 1867</v>
      </c>
      <c r="O27" t="str">
        <f ca="1">IF($N27="","",IF(LEFT(UPPER($P27),9)="VERIFICAR","VERIFICAR",IF(AND($H27&lt;&gt;"",COUNTIFS($N$2:$N$1000,$N27,$H$2:$H$1000,$H27)&gt;1),"DUPLICADA",IF(TRIM(IF($A27="","tipo ","")&amp;IF($F27="","fecha de firma ","")&amp;IF($G27="","decisión ","")&amp;IF($H27="","N° resolución ","")&amp;IF($I27="","N° dictamen",""))&lt;&gt;"","INCOMPLETA: "&amp;TRIM(IF($A27="","tipo ","")&amp;IF($F27="","fecha de firma ","")&amp;IF($G27="","decisión ","")&amp;IF($H27="","N° resolución ","")&amp;IF($I27="","N° dictamen","")),IF(LEFT($N27,4)&lt;&gt;"CONC","OK",IF(N($Q27)=0,IF(AND(ISNUMBER($E27),$E27&gt;=DATE(2024,1,1)),"FALTA EN evol_conc","OK"),IF(INDEX(evol_conc!$H:$H,$Q27)&lt;&gt;$F27,"FIRMA DISTINTA EN evol_conc ("&amp;IF(INDEX(evol_conc!$H:$H,$Q27)="","vacía",DAY(INDEX(evol_conc!$H:$H,$Q27))&amp;"/"&amp;MONTH(INDEX(evol_conc!$H:$H,$Q27))&amp;"/"&amp;YEAR(INDEX(evol_conc!$H:$H,$Q27)))&amp;")",IF(INDEX(evol_conc!$G:$G,$Q27)&lt;&gt;$E27,"INGRESO DISTINTO EN evol_conc ("&amp;IF(INDEX(evol_conc!$G:$G,$Q27)="","vacía",DAY(INDEX(evol_conc!$G:$G,$Q27))&amp;"/"&amp;MONTH(INDEX(evol_conc!$G:$G,$Q27))&amp;"/"&amp;YEAR(INDEX(evol_conc!$G:$G,$Q27)))&amp;")","OK"))))))))</f>
        <v>OK</v>
      </c>
      <c r="Q27">
        <f ca="1">IF($N27="","",IFERROR(MATCH($N27,evol_conc!$P:$P,0),0))</f>
        <v>0</v>
      </c>
    </row>
    <row r="28" spans="1:17" ht="18" hidden="1" customHeight="1" x14ac:dyDescent="0.25">
      <c r="A28" t="s">
        <v>547</v>
      </c>
      <c r="B28" t="s">
        <v>686</v>
      </c>
      <c r="D28" t="s">
        <v>687</v>
      </c>
      <c r="E28" s="16">
        <v>45082</v>
      </c>
      <c r="F28" s="16">
        <v>45433</v>
      </c>
      <c r="G28" t="s">
        <v>550</v>
      </c>
      <c r="H28" t="s">
        <v>688</v>
      </c>
      <c r="I28" t="s">
        <v>689</v>
      </c>
      <c r="J28" t="s">
        <v>690</v>
      </c>
      <c r="K28" t="s">
        <v>592</v>
      </c>
      <c r="L28" s="53">
        <f t="shared" si="0"/>
        <v>11.7</v>
      </c>
      <c r="M28" s="19">
        <f t="shared" si="1"/>
        <v>351</v>
      </c>
      <c r="N28" t="str">
        <f ca="1">IF(TRIM(SUBSTITUTE($B28,CHAR(160)," "))="","",IFERROR(IF(ISNUMBER(SEARCH("INC",$B28)),"INC",IF(ISNUMBER(SEARCH("OPI",$B28)),"OPI",IF(ISNUMBER(SEARCH("DP",$B28)),"DP","CONC")))&amp;" "&amp;TEXT(LOOKUP(9.99E+307,--MID(SUBSTITUTE($B28,CHAR(160)," "),SUMPRODUCT(MIN(FIND({0,1,2,3,4,5,6,7,8,9},SUBSTITUTE($B28,CHAR(160)," ")&amp;"0123456789"))),ROW(INDIRECT("1:6")))),"0"),"SIN NUMERO"))</f>
        <v>CONC 1920</v>
      </c>
      <c r="O28" t="str">
        <f ca="1">IF($N28="","",IF(LEFT(UPPER($P28),9)="VERIFICAR","VERIFICAR",IF(AND($H28&lt;&gt;"",COUNTIFS($N$2:$N$1000,$N28,$H$2:$H$1000,$H28)&gt;1),"DUPLICADA",IF(TRIM(IF($A28="","tipo ","")&amp;IF($F28="","fecha de firma ","")&amp;IF($G28="","decisión ","")&amp;IF($H28="","N° resolución ","")&amp;IF($I28="","N° dictamen",""))&lt;&gt;"","INCOMPLETA: "&amp;TRIM(IF($A28="","tipo ","")&amp;IF($F28="","fecha de firma ","")&amp;IF($G28="","decisión ","")&amp;IF($H28="","N° resolución ","")&amp;IF($I28="","N° dictamen","")),IF(LEFT($N28,4)&lt;&gt;"CONC","OK",IF(N($Q28)=0,IF(AND(ISNUMBER($E28),$E28&gt;=DATE(2024,1,1)),"FALTA EN evol_conc","OK"),IF(INDEX(evol_conc!$H:$H,$Q28)&lt;&gt;$F28,"FIRMA DISTINTA EN evol_conc ("&amp;IF(INDEX(evol_conc!$H:$H,$Q28)="","vacía",DAY(INDEX(evol_conc!$H:$H,$Q28))&amp;"/"&amp;MONTH(INDEX(evol_conc!$H:$H,$Q28))&amp;"/"&amp;YEAR(INDEX(evol_conc!$H:$H,$Q28)))&amp;")",IF(INDEX(evol_conc!$G:$G,$Q28)&lt;&gt;$E28,"INGRESO DISTINTO EN evol_conc ("&amp;IF(INDEX(evol_conc!$G:$G,$Q28)="","vacía",DAY(INDEX(evol_conc!$G:$G,$Q28))&amp;"/"&amp;MONTH(INDEX(evol_conc!$G:$G,$Q28))&amp;"/"&amp;YEAR(INDEX(evol_conc!$G:$G,$Q28)))&amp;")","OK"))))))))</f>
        <v>OK</v>
      </c>
      <c r="Q28">
        <f ca="1">IF($N28="","",IFERROR(MATCH($N28,evol_conc!$P:$P,0),0))</f>
        <v>0</v>
      </c>
    </row>
    <row r="29" spans="1:17" ht="18" hidden="1" customHeight="1" x14ac:dyDescent="0.25">
      <c r="A29" t="s">
        <v>547</v>
      </c>
      <c r="B29" t="s">
        <v>691</v>
      </c>
      <c r="D29" t="s">
        <v>692</v>
      </c>
      <c r="E29" s="16">
        <v>44855</v>
      </c>
      <c r="F29" s="16">
        <v>45435</v>
      </c>
      <c r="G29" t="s">
        <v>550</v>
      </c>
      <c r="H29" t="s">
        <v>693</v>
      </c>
      <c r="I29" t="s">
        <v>694</v>
      </c>
      <c r="J29" t="s">
        <v>695</v>
      </c>
      <c r="K29" t="s">
        <v>592</v>
      </c>
      <c r="L29" s="53">
        <f t="shared" si="0"/>
        <v>19.333333333333332</v>
      </c>
      <c r="M29" s="19">
        <f t="shared" si="1"/>
        <v>580</v>
      </c>
      <c r="N29" t="str">
        <f ca="1">IF(TRIM(SUBSTITUTE($B29,CHAR(160)," "))="","",IFERROR(IF(ISNUMBER(SEARCH("INC",$B29)),"INC",IF(ISNUMBER(SEARCH("OPI",$B29)),"OPI",IF(ISNUMBER(SEARCH("DP",$B29)),"DP","CONC")))&amp;" "&amp;TEXT(LOOKUP(9.99E+307,--MID(SUBSTITUTE($B29,CHAR(160)," "),SUMPRODUCT(MIN(FIND({0,1,2,3,4,5,6,7,8,9},SUBSTITUTE($B29,CHAR(160)," ")&amp;"0123456789"))),ROW(INDIRECT("1:6")))),"0"),"SIN NUMERO"))</f>
        <v>CONC 1873</v>
      </c>
      <c r="O29" t="str">
        <f ca="1">IF($N29="","",IF(LEFT(UPPER($P29),9)="VERIFICAR","VERIFICAR",IF(AND($H29&lt;&gt;"",COUNTIFS($N$2:$N$1000,$N29,$H$2:$H$1000,$H29)&gt;1),"DUPLICADA",IF(TRIM(IF($A29="","tipo ","")&amp;IF($F29="","fecha de firma ","")&amp;IF($G29="","decisión ","")&amp;IF($H29="","N° resolución ","")&amp;IF($I29="","N° dictamen",""))&lt;&gt;"","INCOMPLETA: "&amp;TRIM(IF($A29="","tipo ","")&amp;IF($F29="","fecha de firma ","")&amp;IF($G29="","decisión ","")&amp;IF($H29="","N° resolución ","")&amp;IF($I29="","N° dictamen","")),IF(LEFT($N29,4)&lt;&gt;"CONC","OK",IF(N($Q29)=0,IF(AND(ISNUMBER($E29),$E29&gt;=DATE(2024,1,1)),"FALTA EN evol_conc","OK"),IF(INDEX(evol_conc!$H:$H,$Q29)&lt;&gt;$F29,"FIRMA DISTINTA EN evol_conc ("&amp;IF(INDEX(evol_conc!$H:$H,$Q29)="","vacía",DAY(INDEX(evol_conc!$H:$H,$Q29))&amp;"/"&amp;MONTH(INDEX(evol_conc!$H:$H,$Q29))&amp;"/"&amp;YEAR(INDEX(evol_conc!$H:$H,$Q29)))&amp;")",IF(INDEX(evol_conc!$G:$G,$Q29)&lt;&gt;$E29,"INGRESO DISTINTO EN evol_conc ("&amp;IF(INDEX(evol_conc!$G:$G,$Q29)="","vacía",DAY(INDEX(evol_conc!$G:$G,$Q29))&amp;"/"&amp;MONTH(INDEX(evol_conc!$G:$G,$Q29))&amp;"/"&amp;YEAR(INDEX(evol_conc!$G:$G,$Q29)))&amp;")","OK"))))))))</f>
        <v>OK</v>
      </c>
      <c r="Q29">
        <f ca="1">IF($N29="","",IFERROR(MATCH($N29,evol_conc!$P:$P,0),0))</f>
        <v>0</v>
      </c>
    </row>
    <row r="30" spans="1:17" ht="18" hidden="1" customHeight="1" x14ac:dyDescent="0.25">
      <c r="A30" t="s">
        <v>547</v>
      </c>
      <c r="B30" t="s">
        <v>696</v>
      </c>
      <c r="D30" t="s">
        <v>697</v>
      </c>
      <c r="E30" s="16">
        <v>45147</v>
      </c>
      <c r="F30" s="16">
        <v>45435</v>
      </c>
      <c r="G30" t="s">
        <v>550</v>
      </c>
      <c r="H30" t="s">
        <v>698</v>
      </c>
      <c r="I30" t="s">
        <v>699</v>
      </c>
      <c r="J30" t="s">
        <v>700</v>
      </c>
      <c r="K30" t="s">
        <v>592</v>
      </c>
      <c r="L30" s="53">
        <f t="shared" si="0"/>
        <v>9.6</v>
      </c>
      <c r="M30" s="19">
        <f t="shared" si="1"/>
        <v>288</v>
      </c>
      <c r="N30" t="str">
        <f ca="1">IF(TRIM(SUBSTITUTE($B30,CHAR(160)," "))="","",IFERROR(IF(ISNUMBER(SEARCH("INC",$B30)),"INC",IF(ISNUMBER(SEARCH("OPI",$B30)),"OPI",IF(ISNUMBER(SEARCH("DP",$B30)),"DP","CONC")))&amp;" "&amp;TEXT(LOOKUP(9.99E+307,--MID(SUBSTITUTE($B30,CHAR(160)," "),SUMPRODUCT(MIN(FIND({0,1,2,3,4,5,6,7,8,9},SUBSTITUTE($B30,CHAR(160)," ")&amp;"0123456789"))),ROW(INDIRECT("1:6")))),"0"),"SIN NUMERO"))</f>
        <v>CONC 1932</v>
      </c>
      <c r="O30" t="str">
        <f ca="1">IF($N30="","",IF(LEFT(UPPER($P30),9)="VERIFICAR","VERIFICAR",IF(AND($H30&lt;&gt;"",COUNTIFS($N$2:$N$1000,$N30,$H$2:$H$1000,$H30)&gt;1),"DUPLICADA",IF(TRIM(IF($A30="","tipo ","")&amp;IF($F30="","fecha de firma ","")&amp;IF($G30="","decisión ","")&amp;IF($H30="","N° resolución ","")&amp;IF($I30="","N° dictamen",""))&lt;&gt;"","INCOMPLETA: "&amp;TRIM(IF($A30="","tipo ","")&amp;IF($F30="","fecha de firma ","")&amp;IF($G30="","decisión ","")&amp;IF($H30="","N° resolución ","")&amp;IF($I30="","N° dictamen","")),IF(LEFT($N30,4)&lt;&gt;"CONC","OK",IF(N($Q30)=0,IF(AND(ISNUMBER($E30),$E30&gt;=DATE(2024,1,1)),"FALTA EN evol_conc","OK"),IF(INDEX(evol_conc!$H:$H,$Q30)&lt;&gt;$F30,"FIRMA DISTINTA EN evol_conc ("&amp;IF(INDEX(evol_conc!$H:$H,$Q30)="","vacía",DAY(INDEX(evol_conc!$H:$H,$Q30))&amp;"/"&amp;MONTH(INDEX(evol_conc!$H:$H,$Q30))&amp;"/"&amp;YEAR(INDEX(evol_conc!$H:$H,$Q30)))&amp;")",IF(INDEX(evol_conc!$G:$G,$Q30)&lt;&gt;$E30,"INGRESO DISTINTO EN evol_conc ("&amp;IF(INDEX(evol_conc!$G:$G,$Q30)="","vacía",DAY(INDEX(evol_conc!$G:$G,$Q30))&amp;"/"&amp;MONTH(INDEX(evol_conc!$G:$G,$Q30))&amp;"/"&amp;YEAR(INDEX(evol_conc!$G:$G,$Q30)))&amp;")","OK"))))))))</f>
        <v>OK</v>
      </c>
      <c r="Q30">
        <f ca="1">IF($N30="","",IFERROR(MATCH($N30,evol_conc!$P:$P,0),0))</f>
        <v>0</v>
      </c>
    </row>
    <row r="31" spans="1:17" ht="18" hidden="1" customHeight="1" x14ac:dyDescent="0.25">
      <c r="A31" t="s">
        <v>547</v>
      </c>
      <c r="B31" t="s">
        <v>701</v>
      </c>
      <c r="D31" t="s">
        <v>702</v>
      </c>
      <c r="E31" s="16">
        <v>44505</v>
      </c>
      <c r="F31" s="16">
        <v>45440</v>
      </c>
      <c r="G31" t="s">
        <v>550</v>
      </c>
      <c r="H31" t="s">
        <v>703</v>
      </c>
      <c r="I31" t="s">
        <v>704</v>
      </c>
      <c r="J31" t="s">
        <v>705</v>
      </c>
      <c r="K31" t="s">
        <v>560</v>
      </c>
      <c r="L31" s="53">
        <f t="shared" si="0"/>
        <v>31.166666666666668</v>
      </c>
      <c r="M31" s="19">
        <f t="shared" si="1"/>
        <v>935</v>
      </c>
      <c r="N31" t="str">
        <f ca="1">IF(TRIM(SUBSTITUTE($B31,CHAR(160)," "))="","",IFERROR(IF(ISNUMBER(SEARCH("INC",$B31)),"INC",IF(ISNUMBER(SEARCH("OPI",$B31)),"OPI",IF(ISNUMBER(SEARCH("DP",$B31)),"DP","CONC")))&amp;" "&amp;TEXT(LOOKUP(9.99E+307,--MID(SUBSTITUTE($B31,CHAR(160)," "),SUMPRODUCT(MIN(FIND({0,1,2,3,4,5,6,7,8,9},SUBSTITUTE($B31,CHAR(160)," ")&amp;"0123456789"))),ROW(INDIRECT("1:6")))),"0"),"SIN NUMERO"))</f>
        <v>CONC 1832</v>
      </c>
      <c r="O31" t="str">
        <f ca="1">IF($N31="","",IF(LEFT(UPPER($P31),9)="VERIFICAR","VERIFICAR",IF(AND($H31&lt;&gt;"",COUNTIFS($N$2:$N$1000,$N31,$H$2:$H$1000,$H31)&gt;1),"DUPLICADA",IF(TRIM(IF($A31="","tipo ","")&amp;IF($F31="","fecha de firma ","")&amp;IF($G31="","decisión ","")&amp;IF($H31="","N° resolución ","")&amp;IF($I31="","N° dictamen",""))&lt;&gt;"","INCOMPLETA: "&amp;TRIM(IF($A31="","tipo ","")&amp;IF($F31="","fecha de firma ","")&amp;IF($G31="","decisión ","")&amp;IF($H31="","N° resolución ","")&amp;IF($I31="","N° dictamen","")),IF(LEFT($N31,4)&lt;&gt;"CONC","OK",IF(N($Q31)=0,IF(AND(ISNUMBER($E31),$E31&gt;=DATE(2024,1,1)),"FALTA EN evol_conc","OK"),IF(INDEX(evol_conc!$H:$H,$Q31)&lt;&gt;$F31,"FIRMA DISTINTA EN evol_conc ("&amp;IF(INDEX(evol_conc!$H:$H,$Q31)="","vacía",DAY(INDEX(evol_conc!$H:$H,$Q31))&amp;"/"&amp;MONTH(INDEX(evol_conc!$H:$H,$Q31))&amp;"/"&amp;YEAR(INDEX(evol_conc!$H:$H,$Q31)))&amp;")",IF(INDEX(evol_conc!$G:$G,$Q31)&lt;&gt;$E31,"INGRESO DISTINTO EN evol_conc ("&amp;IF(INDEX(evol_conc!$G:$G,$Q31)="","vacía",DAY(INDEX(evol_conc!$G:$G,$Q31))&amp;"/"&amp;MONTH(INDEX(evol_conc!$G:$G,$Q31))&amp;"/"&amp;YEAR(INDEX(evol_conc!$G:$G,$Q31)))&amp;")","OK"))))))))</f>
        <v>OK</v>
      </c>
      <c r="Q31">
        <f ca="1">IF($N31="","",IFERROR(MATCH($N31,evol_conc!$P:$P,0),0))</f>
        <v>0</v>
      </c>
    </row>
    <row r="32" spans="1:17" ht="18" hidden="1" customHeight="1" x14ac:dyDescent="0.25">
      <c r="A32" t="s">
        <v>547</v>
      </c>
      <c r="B32" t="s">
        <v>706</v>
      </c>
      <c r="D32" t="s">
        <v>707</v>
      </c>
      <c r="E32" s="16">
        <v>44924</v>
      </c>
      <c r="F32" s="16">
        <v>45441</v>
      </c>
      <c r="G32" t="s">
        <v>550</v>
      </c>
      <c r="H32" t="s">
        <v>708</v>
      </c>
      <c r="I32" t="s">
        <v>709</v>
      </c>
      <c r="J32" t="s">
        <v>710</v>
      </c>
      <c r="K32" t="s">
        <v>581</v>
      </c>
      <c r="L32" s="53">
        <f t="shared" si="0"/>
        <v>17.233333333333334</v>
      </c>
      <c r="M32" s="19">
        <f t="shared" si="1"/>
        <v>517</v>
      </c>
      <c r="N32" t="str">
        <f ca="1">IF(TRIM(SUBSTITUTE($B32,CHAR(160)," "))="","",IFERROR(IF(ISNUMBER(SEARCH("INC",$B32)),"INC",IF(ISNUMBER(SEARCH("OPI",$B32)),"OPI",IF(ISNUMBER(SEARCH("DP",$B32)),"DP","CONC")))&amp;" "&amp;TEXT(LOOKUP(9.99E+307,--MID(SUBSTITUTE($B32,CHAR(160)," "),SUMPRODUCT(MIN(FIND({0,1,2,3,4,5,6,7,8,9},SUBSTITUTE($B32,CHAR(160)," ")&amp;"0123456789"))),ROW(INDIRECT("1:6")))),"0"),"SIN NUMERO"))</f>
        <v>CONC 1890</v>
      </c>
      <c r="O32" t="str">
        <f ca="1">IF($N32="","",IF(LEFT(UPPER($P32),9)="VERIFICAR","VERIFICAR",IF(AND($H32&lt;&gt;"",COUNTIFS($N$2:$N$1000,$N32,$H$2:$H$1000,$H32)&gt;1),"DUPLICADA",IF(TRIM(IF($A32="","tipo ","")&amp;IF($F32="","fecha de firma ","")&amp;IF($G32="","decisión ","")&amp;IF($H32="","N° resolución ","")&amp;IF($I32="","N° dictamen",""))&lt;&gt;"","INCOMPLETA: "&amp;TRIM(IF($A32="","tipo ","")&amp;IF($F32="","fecha de firma ","")&amp;IF($G32="","decisión ","")&amp;IF($H32="","N° resolución ","")&amp;IF($I32="","N° dictamen","")),IF(LEFT($N32,4)&lt;&gt;"CONC","OK",IF(N($Q32)=0,IF(AND(ISNUMBER($E32),$E32&gt;=DATE(2024,1,1)),"FALTA EN evol_conc","OK"),IF(INDEX(evol_conc!$H:$H,$Q32)&lt;&gt;$F32,"FIRMA DISTINTA EN evol_conc ("&amp;IF(INDEX(evol_conc!$H:$H,$Q32)="","vacía",DAY(INDEX(evol_conc!$H:$H,$Q32))&amp;"/"&amp;MONTH(INDEX(evol_conc!$H:$H,$Q32))&amp;"/"&amp;YEAR(INDEX(evol_conc!$H:$H,$Q32)))&amp;")",IF(INDEX(evol_conc!$G:$G,$Q32)&lt;&gt;$E32,"INGRESO DISTINTO EN evol_conc ("&amp;IF(INDEX(evol_conc!$G:$G,$Q32)="","vacía",DAY(INDEX(evol_conc!$G:$G,$Q32))&amp;"/"&amp;MONTH(INDEX(evol_conc!$G:$G,$Q32))&amp;"/"&amp;YEAR(INDEX(evol_conc!$G:$G,$Q32)))&amp;")","OK"))))))))</f>
        <v>OK</v>
      </c>
      <c r="Q32">
        <f ca="1">IF($N32="","",IFERROR(MATCH($N32,evol_conc!$P:$P,0),0))</f>
        <v>0</v>
      </c>
    </row>
    <row r="33" spans="1:17" ht="18" hidden="1" customHeight="1" x14ac:dyDescent="0.25">
      <c r="A33" t="s">
        <v>624</v>
      </c>
      <c r="B33" t="s">
        <v>711</v>
      </c>
      <c r="D33" t="s">
        <v>712</v>
      </c>
      <c r="E33" s="16">
        <v>45209</v>
      </c>
      <c r="F33" s="16">
        <v>45443</v>
      </c>
      <c r="G33" t="s">
        <v>550</v>
      </c>
      <c r="H33" t="s">
        <v>713</v>
      </c>
      <c r="I33" t="s">
        <v>714</v>
      </c>
      <c r="J33" t="s">
        <v>715</v>
      </c>
      <c r="K33" t="s">
        <v>592</v>
      </c>
      <c r="L33" s="53">
        <f t="shared" si="0"/>
        <v>7.8</v>
      </c>
      <c r="M33" s="19">
        <f t="shared" si="1"/>
        <v>234</v>
      </c>
      <c r="N33" t="str">
        <f ca="1">IF(TRIM(SUBSTITUTE($B33,CHAR(160)," "))="","",IFERROR(IF(ISNUMBER(SEARCH("INC",$B33)),"INC",IF(ISNUMBER(SEARCH("OPI",$B33)),"OPI",IF(ISNUMBER(SEARCH("DP",$B33)),"DP","CONC")))&amp;" "&amp;TEXT(LOOKUP(9.99E+307,--MID(SUBSTITUTE($B33,CHAR(160)," "),SUMPRODUCT(MIN(FIND({0,1,2,3,4,5,6,7,8,9},SUBSTITUTE($B33,CHAR(160)," ")&amp;"0123456789"))),ROW(INDIRECT("1:6")))),"0"),"SIN NUMERO"))</f>
        <v>CONC 1939</v>
      </c>
      <c r="O33" t="str">
        <f ca="1">IF($N33="","",IF(LEFT(UPPER($P33),9)="VERIFICAR","VERIFICAR",IF(AND($H33&lt;&gt;"",COUNTIFS($N$2:$N$1000,$N33,$H$2:$H$1000,$H33)&gt;1),"DUPLICADA",IF(TRIM(IF($A33="","tipo ","")&amp;IF($F33="","fecha de firma ","")&amp;IF($G33="","decisión ","")&amp;IF($H33="","N° resolución ","")&amp;IF($I33="","N° dictamen",""))&lt;&gt;"","INCOMPLETA: "&amp;TRIM(IF($A33="","tipo ","")&amp;IF($F33="","fecha de firma ","")&amp;IF($G33="","decisión ","")&amp;IF($H33="","N° resolución ","")&amp;IF($I33="","N° dictamen","")),IF(LEFT($N33,4)&lt;&gt;"CONC","OK",IF(N($Q33)=0,IF(AND(ISNUMBER($E33),$E33&gt;=DATE(2024,1,1)),"FALTA EN evol_conc","OK"),IF(INDEX(evol_conc!$H:$H,$Q33)&lt;&gt;$F33,"FIRMA DISTINTA EN evol_conc ("&amp;IF(INDEX(evol_conc!$H:$H,$Q33)="","vacía",DAY(INDEX(evol_conc!$H:$H,$Q33))&amp;"/"&amp;MONTH(INDEX(evol_conc!$H:$H,$Q33))&amp;"/"&amp;YEAR(INDEX(evol_conc!$H:$H,$Q33)))&amp;")",IF(INDEX(evol_conc!$G:$G,$Q33)&lt;&gt;$E33,"INGRESO DISTINTO EN evol_conc ("&amp;IF(INDEX(evol_conc!$G:$G,$Q33)="","vacía",DAY(INDEX(evol_conc!$G:$G,$Q33))&amp;"/"&amp;MONTH(INDEX(evol_conc!$G:$G,$Q33))&amp;"/"&amp;YEAR(INDEX(evol_conc!$G:$G,$Q33)))&amp;")","OK"))))))))</f>
        <v>OK</v>
      </c>
      <c r="Q33">
        <f ca="1">IF($N33="","",IFERROR(MATCH($N33,evol_conc!$P:$P,0),0))</f>
        <v>0</v>
      </c>
    </row>
    <row r="34" spans="1:17" ht="18" hidden="1" customHeight="1" x14ac:dyDescent="0.25">
      <c r="A34" t="s">
        <v>624</v>
      </c>
      <c r="B34" t="s">
        <v>716</v>
      </c>
      <c r="D34" t="s">
        <v>717</v>
      </c>
      <c r="E34" s="16">
        <v>45218</v>
      </c>
      <c r="F34" s="16">
        <v>45443</v>
      </c>
      <c r="G34" t="s">
        <v>550</v>
      </c>
      <c r="H34" t="s">
        <v>718</v>
      </c>
      <c r="I34" t="s">
        <v>719</v>
      </c>
      <c r="J34" t="s">
        <v>720</v>
      </c>
      <c r="K34" t="s">
        <v>592</v>
      </c>
      <c r="L34" s="53">
        <f t="shared" si="0"/>
        <v>7.5</v>
      </c>
      <c r="M34" s="19">
        <f t="shared" si="1"/>
        <v>225</v>
      </c>
      <c r="N34" t="str">
        <f ca="1">IF(TRIM(SUBSTITUTE($B34,CHAR(160)," "))="","",IFERROR(IF(ISNUMBER(SEARCH("INC",$B34)),"INC",IF(ISNUMBER(SEARCH("OPI",$B34)),"OPI",IF(ISNUMBER(SEARCH("DP",$B34)),"DP","CONC")))&amp;" "&amp;TEXT(LOOKUP(9.99E+307,--MID(SUBSTITUTE($B34,CHAR(160)," "),SUMPRODUCT(MIN(FIND({0,1,2,3,4,5,6,7,8,9},SUBSTITUTE($B34,CHAR(160)," ")&amp;"0123456789"))),ROW(INDIRECT("1:6")))),"0"),"SIN NUMERO"))</f>
        <v>CONC 1942</v>
      </c>
      <c r="O34" t="str">
        <f ca="1">IF($N34="","",IF(LEFT(UPPER($P34),9)="VERIFICAR","VERIFICAR",IF(AND($H34&lt;&gt;"",COUNTIFS($N$2:$N$1000,$N34,$H$2:$H$1000,$H34)&gt;1),"DUPLICADA",IF(TRIM(IF($A34="","tipo ","")&amp;IF($F34="","fecha de firma ","")&amp;IF($G34="","decisión ","")&amp;IF($H34="","N° resolución ","")&amp;IF($I34="","N° dictamen",""))&lt;&gt;"","INCOMPLETA: "&amp;TRIM(IF($A34="","tipo ","")&amp;IF($F34="","fecha de firma ","")&amp;IF($G34="","decisión ","")&amp;IF($H34="","N° resolución ","")&amp;IF($I34="","N° dictamen","")),IF(LEFT($N34,4)&lt;&gt;"CONC","OK",IF(N($Q34)=0,IF(AND(ISNUMBER($E34),$E34&gt;=DATE(2024,1,1)),"FALTA EN evol_conc","OK"),IF(INDEX(evol_conc!$H:$H,$Q34)&lt;&gt;$F34,"FIRMA DISTINTA EN evol_conc ("&amp;IF(INDEX(evol_conc!$H:$H,$Q34)="","vacía",DAY(INDEX(evol_conc!$H:$H,$Q34))&amp;"/"&amp;MONTH(INDEX(evol_conc!$H:$H,$Q34))&amp;"/"&amp;YEAR(INDEX(evol_conc!$H:$H,$Q34)))&amp;")",IF(INDEX(evol_conc!$G:$G,$Q34)&lt;&gt;$E34,"INGRESO DISTINTO EN evol_conc ("&amp;IF(INDEX(evol_conc!$G:$G,$Q34)="","vacía",DAY(INDEX(evol_conc!$G:$G,$Q34))&amp;"/"&amp;MONTH(INDEX(evol_conc!$G:$G,$Q34))&amp;"/"&amp;YEAR(INDEX(evol_conc!$G:$G,$Q34)))&amp;")","OK"))))))))</f>
        <v>OK</v>
      </c>
      <c r="Q34">
        <f ca="1">IF($N34="","",IFERROR(MATCH($N34,evol_conc!$P:$P,0),0))</f>
        <v>0</v>
      </c>
    </row>
    <row r="35" spans="1:17" ht="18" hidden="1" customHeight="1" x14ac:dyDescent="0.25">
      <c r="A35" t="s">
        <v>624</v>
      </c>
      <c r="B35" t="s">
        <v>721</v>
      </c>
      <c r="D35" t="s">
        <v>201</v>
      </c>
      <c r="E35" s="16">
        <v>45359</v>
      </c>
      <c r="F35" s="16">
        <v>45443</v>
      </c>
      <c r="G35" t="s">
        <v>550</v>
      </c>
      <c r="H35" t="s">
        <v>722</v>
      </c>
      <c r="I35" t="s">
        <v>723</v>
      </c>
      <c r="J35" t="s">
        <v>724</v>
      </c>
      <c r="K35" t="s">
        <v>581</v>
      </c>
      <c r="L35" s="53">
        <f t="shared" si="0"/>
        <v>2.8</v>
      </c>
      <c r="M35" s="19">
        <f t="shared" si="1"/>
        <v>84</v>
      </c>
      <c r="N35" t="str">
        <f ca="1">IF(TRIM(SUBSTITUTE($B35,CHAR(160)," "))="","",IFERROR(IF(ISNUMBER(SEARCH("INC",$B35)),"INC",IF(ISNUMBER(SEARCH("OPI",$B35)),"OPI",IF(ISNUMBER(SEARCH("DP",$B35)),"DP","CONC")))&amp;" "&amp;TEXT(LOOKUP(9.99E+307,--MID(SUBSTITUTE($B35,CHAR(160)," "),SUMPRODUCT(MIN(FIND({0,1,2,3,4,5,6,7,8,9},SUBSTITUTE($B35,CHAR(160)," ")&amp;"0123456789"))),ROW(INDIRECT("1:6")))),"0"),"SIN NUMERO"))</f>
        <v>CONC 1962</v>
      </c>
      <c r="O35" t="str">
        <f ca="1">IF($N35="","",IF(LEFT(UPPER($P35),9)="VERIFICAR","VERIFICAR",IF(AND($H35&lt;&gt;"",COUNTIFS($N$2:$N$1000,$N35,$H$2:$H$1000,$H35)&gt;1),"DUPLICADA",IF(TRIM(IF($A35="","tipo ","")&amp;IF($F35="","fecha de firma ","")&amp;IF($G35="","decisión ","")&amp;IF($H35="","N° resolución ","")&amp;IF($I35="","N° dictamen",""))&lt;&gt;"","INCOMPLETA: "&amp;TRIM(IF($A35="","tipo ","")&amp;IF($F35="","fecha de firma ","")&amp;IF($G35="","decisión ","")&amp;IF($H35="","N° resolución ","")&amp;IF($I35="","N° dictamen","")),IF(LEFT($N35,4)&lt;&gt;"CONC","OK",IF(N($Q35)=0,IF(AND(ISNUMBER($E35),$E35&gt;=DATE(2024,1,1)),"FALTA EN evol_conc","OK"),IF(INDEX(evol_conc!$H:$H,$Q35)&lt;&gt;$F35,"FIRMA DISTINTA EN evol_conc ("&amp;IF(INDEX(evol_conc!$H:$H,$Q35)="","vacía",DAY(INDEX(evol_conc!$H:$H,$Q35))&amp;"/"&amp;MONTH(INDEX(evol_conc!$H:$H,$Q35))&amp;"/"&amp;YEAR(INDEX(evol_conc!$H:$H,$Q35)))&amp;")",IF(INDEX(evol_conc!$G:$G,$Q35)&lt;&gt;$E35,"INGRESO DISTINTO EN evol_conc ("&amp;IF(INDEX(evol_conc!$G:$G,$Q35)="","vacía",DAY(INDEX(evol_conc!$G:$G,$Q35))&amp;"/"&amp;MONTH(INDEX(evol_conc!$G:$G,$Q35))&amp;"/"&amp;YEAR(INDEX(evol_conc!$G:$G,$Q35)))&amp;")","OK"))))))))</f>
        <v>OK</v>
      </c>
      <c r="Q35">
        <f ca="1">IF($N35="","",IFERROR(MATCH($N35,evol_conc!$P:$P,0),0))</f>
        <v>40</v>
      </c>
    </row>
    <row r="36" spans="1:17" ht="18" hidden="1" customHeight="1" x14ac:dyDescent="0.25">
      <c r="A36" t="s">
        <v>624</v>
      </c>
      <c r="B36" t="s">
        <v>725</v>
      </c>
      <c r="D36" t="s">
        <v>205</v>
      </c>
      <c r="E36" s="16">
        <v>45378</v>
      </c>
      <c r="F36" s="16">
        <v>45443</v>
      </c>
      <c r="G36" t="s">
        <v>550</v>
      </c>
      <c r="H36" t="s">
        <v>726</v>
      </c>
      <c r="I36" t="s">
        <v>727</v>
      </c>
      <c r="J36" t="s">
        <v>728</v>
      </c>
      <c r="K36" t="s">
        <v>581</v>
      </c>
      <c r="L36" s="53">
        <f t="shared" si="0"/>
        <v>2.1666666666666665</v>
      </c>
      <c r="M36" s="19">
        <f t="shared" si="1"/>
        <v>65</v>
      </c>
      <c r="N36" t="str">
        <f ca="1">IF(TRIM(SUBSTITUTE($B36,CHAR(160)," "))="","",IFERROR(IF(ISNUMBER(SEARCH("INC",$B36)),"INC",IF(ISNUMBER(SEARCH("OPI",$B36)),"OPI",IF(ISNUMBER(SEARCH("DP",$B36)),"DP","CONC")))&amp;" "&amp;TEXT(LOOKUP(9.99E+307,--MID(SUBSTITUTE($B36,CHAR(160)," "),SUMPRODUCT(MIN(FIND({0,1,2,3,4,5,6,7,8,9},SUBSTITUTE($B36,CHAR(160)," ")&amp;"0123456789"))),ROW(INDIRECT("1:6")))),"0"),"SIN NUMERO"))</f>
        <v>CONC 1965</v>
      </c>
      <c r="O36" t="str">
        <f ca="1">IF($N36="","",IF(LEFT(UPPER($P36),9)="VERIFICAR","VERIFICAR",IF(AND($H36&lt;&gt;"",COUNTIFS($N$2:$N$1000,$N36,$H$2:$H$1000,$H36)&gt;1),"DUPLICADA",IF(TRIM(IF($A36="","tipo ","")&amp;IF($F36="","fecha de firma ","")&amp;IF($G36="","decisión ","")&amp;IF($H36="","N° resolución ","")&amp;IF($I36="","N° dictamen",""))&lt;&gt;"","INCOMPLETA: "&amp;TRIM(IF($A36="","tipo ","")&amp;IF($F36="","fecha de firma ","")&amp;IF($G36="","decisión ","")&amp;IF($H36="","N° resolución ","")&amp;IF($I36="","N° dictamen","")),IF(LEFT($N36,4)&lt;&gt;"CONC","OK",IF(N($Q36)=0,IF(AND(ISNUMBER($E36),$E36&gt;=DATE(2024,1,1)),"FALTA EN evol_conc","OK"),IF(INDEX(evol_conc!$H:$H,$Q36)&lt;&gt;$F36,"FIRMA DISTINTA EN evol_conc ("&amp;IF(INDEX(evol_conc!$H:$H,$Q36)="","vacía",DAY(INDEX(evol_conc!$H:$H,$Q36))&amp;"/"&amp;MONTH(INDEX(evol_conc!$H:$H,$Q36))&amp;"/"&amp;YEAR(INDEX(evol_conc!$H:$H,$Q36)))&amp;")",IF(INDEX(evol_conc!$G:$G,$Q36)&lt;&gt;$E36,"INGRESO DISTINTO EN evol_conc ("&amp;IF(INDEX(evol_conc!$G:$G,$Q36)="","vacía",DAY(INDEX(evol_conc!$G:$G,$Q36))&amp;"/"&amp;MONTH(INDEX(evol_conc!$G:$G,$Q36))&amp;"/"&amp;YEAR(INDEX(evol_conc!$G:$G,$Q36)))&amp;")","OK"))))))))</f>
        <v>OK</v>
      </c>
      <c r="Q36">
        <f ca="1">IF($N36="","",IFERROR(MATCH($N36,evol_conc!$P:$P,0),0))</f>
        <v>43</v>
      </c>
    </row>
    <row r="37" spans="1:17" ht="18" hidden="1" customHeight="1" x14ac:dyDescent="0.25">
      <c r="A37" t="s">
        <v>547</v>
      </c>
      <c r="B37" t="s">
        <v>729</v>
      </c>
      <c r="D37" t="s">
        <v>730</v>
      </c>
      <c r="E37" s="16">
        <v>45065</v>
      </c>
      <c r="F37" s="16">
        <v>45454</v>
      </c>
      <c r="G37" t="s">
        <v>550</v>
      </c>
      <c r="H37" t="s">
        <v>731</v>
      </c>
      <c r="I37" t="s">
        <v>732</v>
      </c>
      <c r="J37" t="s">
        <v>733</v>
      </c>
      <c r="K37" t="s">
        <v>560</v>
      </c>
      <c r="L37" s="53">
        <f t="shared" si="0"/>
        <v>12.966666666666667</v>
      </c>
      <c r="M37" s="19">
        <f t="shared" si="1"/>
        <v>389</v>
      </c>
      <c r="N37" t="str">
        <f ca="1">IF(TRIM(SUBSTITUTE($B37,CHAR(160)," "))="","",IFERROR(IF(ISNUMBER(SEARCH("INC",$B37)),"INC",IF(ISNUMBER(SEARCH("OPI",$B37)),"OPI",IF(ISNUMBER(SEARCH("DP",$B37)),"DP","CONC")))&amp;" "&amp;TEXT(LOOKUP(9.99E+307,--MID(SUBSTITUTE($B37,CHAR(160)," "),SUMPRODUCT(MIN(FIND({0,1,2,3,4,5,6,7,8,9},SUBSTITUTE($B37,CHAR(160)," ")&amp;"0123456789"))),ROW(INDIRECT("1:6")))),"0"),"SIN NUMERO"))</f>
        <v>CONC 1917</v>
      </c>
      <c r="O37" t="str">
        <f ca="1">IF($N37="","",IF(LEFT(UPPER($P37),9)="VERIFICAR","VERIFICAR",IF(AND($H37&lt;&gt;"",COUNTIFS($N$2:$N$1000,$N37,$H$2:$H$1000,$H37)&gt;1),"DUPLICADA",IF(TRIM(IF($A37="","tipo ","")&amp;IF($F37="","fecha de firma ","")&amp;IF($G37="","decisión ","")&amp;IF($H37="","N° resolución ","")&amp;IF($I37="","N° dictamen",""))&lt;&gt;"","INCOMPLETA: "&amp;TRIM(IF($A37="","tipo ","")&amp;IF($F37="","fecha de firma ","")&amp;IF($G37="","decisión ","")&amp;IF($H37="","N° resolución ","")&amp;IF($I37="","N° dictamen","")),IF(LEFT($N37,4)&lt;&gt;"CONC","OK",IF(N($Q37)=0,IF(AND(ISNUMBER($E37),$E37&gt;=DATE(2024,1,1)),"FALTA EN evol_conc","OK"),IF(INDEX(evol_conc!$H:$H,$Q37)&lt;&gt;$F37,"FIRMA DISTINTA EN evol_conc ("&amp;IF(INDEX(evol_conc!$H:$H,$Q37)="","vacía",DAY(INDEX(evol_conc!$H:$H,$Q37))&amp;"/"&amp;MONTH(INDEX(evol_conc!$H:$H,$Q37))&amp;"/"&amp;YEAR(INDEX(evol_conc!$H:$H,$Q37)))&amp;")",IF(INDEX(evol_conc!$G:$G,$Q37)&lt;&gt;$E37,"INGRESO DISTINTO EN evol_conc ("&amp;IF(INDEX(evol_conc!$G:$G,$Q37)="","vacía",DAY(INDEX(evol_conc!$G:$G,$Q37))&amp;"/"&amp;MONTH(INDEX(evol_conc!$G:$G,$Q37))&amp;"/"&amp;YEAR(INDEX(evol_conc!$G:$G,$Q37)))&amp;")","OK"))))))))</f>
        <v>OK</v>
      </c>
      <c r="Q37">
        <f ca="1">IF($N37="","",IFERROR(MATCH($N37,evol_conc!$P:$P,0),0))</f>
        <v>0</v>
      </c>
    </row>
    <row r="38" spans="1:17" ht="18" hidden="1" customHeight="1" x14ac:dyDescent="0.25">
      <c r="A38" t="s">
        <v>547</v>
      </c>
      <c r="B38" t="s">
        <v>734</v>
      </c>
      <c r="D38" t="s">
        <v>735</v>
      </c>
      <c r="E38" s="16">
        <v>45112</v>
      </c>
      <c r="F38" s="16">
        <v>45455</v>
      </c>
      <c r="G38" t="s">
        <v>550</v>
      </c>
      <c r="H38" t="s">
        <v>736</v>
      </c>
      <c r="I38" t="s">
        <v>737</v>
      </c>
      <c r="J38" t="s">
        <v>700</v>
      </c>
      <c r="K38" t="s">
        <v>592</v>
      </c>
      <c r="L38" s="53">
        <f t="shared" si="0"/>
        <v>11.433333333333334</v>
      </c>
      <c r="M38" s="19">
        <f t="shared" si="1"/>
        <v>343</v>
      </c>
      <c r="N38" t="str">
        <f ca="1">IF(TRIM(SUBSTITUTE($B38,CHAR(160)," "))="","",IFERROR(IF(ISNUMBER(SEARCH("INC",$B38)),"INC",IF(ISNUMBER(SEARCH("OPI",$B38)),"OPI",IF(ISNUMBER(SEARCH("DP",$B38)),"DP","CONC")))&amp;" "&amp;TEXT(LOOKUP(9.99E+307,--MID(SUBSTITUTE($B38,CHAR(160)," "),SUMPRODUCT(MIN(FIND({0,1,2,3,4,5,6,7,8,9},SUBSTITUTE($B38,CHAR(160)," ")&amp;"0123456789"))),ROW(INDIRECT("1:6")))),"0"),"SIN NUMERO"))</f>
        <v>CONC 1921</v>
      </c>
      <c r="O38" t="str">
        <f ca="1">IF($N38="","",IF(LEFT(UPPER($P38),9)="VERIFICAR","VERIFICAR",IF(AND($H38&lt;&gt;"",COUNTIFS($N$2:$N$1000,$N38,$H$2:$H$1000,$H38)&gt;1),"DUPLICADA",IF(TRIM(IF($A38="","tipo ","")&amp;IF($F38="","fecha de firma ","")&amp;IF($G38="","decisión ","")&amp;IF($H38="","N° resolución ","")&amp;IF($I38="","N° dictamen",""))&lt;&gt;"","INCOMPLETA: "&amp;TRIM(IF($A38="","tipo ","")&amp;IF($F38="","fecha de firma ","")&amp;IF($G38="","decisión ","")&amp;IF($H38="","N° resolución ","")&amp;IF($I38="","N° dictamen","")),IF(LEFT($N38,4)&lt;&gt;"CONC","OK",IF(N($Q38)=0,IF(AND(ISNUMBER($E38),$E38&gt;=DATE(2024,1,1)),"FALTA EN evol_conc","OK"),IF(INDEX(evol_conc!$H:$H,$Q38)&lt;&gt;$F38,"FIRMA DISTINTA EN evol_conc ("&amp;IF(INDEX(evol_conc!$H:$H,$Q38)="","vacía",DAY(INDEX(evol_conc!$H:$H,$Q38))&amp;"/"&amp;MONTH(INDEX(evol_conc!$H:$H,$Q38))&amp;"/"&amp;YEAR(INDEX(evol_conc!$H:$H,$Q38)))&amp;")",IF(INDEX(evol_conc!$G:$G,$Q38)&lt;&gt;$E38,"INGRESO DISTINTO EN evol_conc ("&amp;IF(INDEX(evol_conc!$G:$G,$Q38)="","vacía",DAY(INDEX(evol_conc!$G:$G,$Q38))&amp;"/"&amp;MONTH(INDEX(evol_conc!$G:$G,$Q38))&amp;"/"&amp;YEAR(INDEX(evol_conc!$G:$G,$Q38)))&amp;")","OK"))))))))</f>
        <v>OK</v>
      </c>
      <c r="Q38">
        <f ca="1">IF($N38="","",IFERROR(MATCH($N38,evol_conc!$P:$P,0),0))</f>
        <v>0</v>
      </c>
    </row>
    <row r="39" spans="1:17" ht="18" hidden="1" customHeight="1" x14ac:dyDescent="0.25">
      <c r="A39" t="s">
        <v>547</v>
      </c>
      <c r="B39" t="s">
        <v>738</v>
      </c>
      <c r="D39" t="s">
        <v>739</v>
      </c>
      <c r="E39" s="16">
        <v>45211</v>
      </c>
      <c r="F39" s="16">
        <v>45455</v>
      </c>
      <c r="G39" t="s">
        <v>550</v>
      </c>
      <c r="H39" t="s">
        <v>740</v>
      </c>
      <c r="I39" t="s">
        <v>741</v>
      </c>
      <c r="J39" t="s">
        <v>742</v>
      </c>
      <c r="K39" t="s">
        <v>592</v>
      </c>
      <c r="L39" s="53">
        <f t="shared" si="0"/>
        <v>8.1333333333333329</v>
      </c>
      <c r="M39" s="19">
        <f t="shared" si="1"/>
        <v>244</v>
      </c>
      <c r="N39" t="str">
        <f ca="1">IF(TRIM(SUBSTITUTE($B39,CHAR(160)," "))="","",IFERROR(IF(ISNUMBER(SEARCH("INC",$B39)),"INC",IF(ISNUMBER(SEARCH("OPI",$B39)),"OPI",IF(ISNUMBER(SEARCH("DP",$B39)),"DP","CONC")))&amp;" "&amp;TEXT(LOOKUP(9.99E+307,--MID(SUBSTITUTE($B39,CHAR(160)," "),SUMPRODUCT(MIN(FIND({0,1,2,3,4,5,6,7,8,9},SUBSTITUTE($B39,CHAR(160)," ")&amp;"0123456789"))),ROW(INDIRECT("1:6")))),"0"),"SIN NUMERO"))</f>
        <v>CONC 1940</v>
      </c>
      <c r="O39" t="str">
        <f ca="1">IF($N39="","",IF(LEFT(UPPER($P39),9)="VERIFICAR","VERIFICAR",IF(AND($H39&lt;&gt;"",COUNTIFS($N$2:$N$1000,$N39,$H$2:$H$1000,$H39)&gt;1),"DUPLICADA",IF(TRIM(IF($A39="","tipo ","")&amp;IF($F39="","fecha de firma ","")&amp;IF($G39="","decisión ","")&amp;IF($H39="","N° resolución ","")&amp;IF($I39="","N° dictamen",""))&lt;&gt;"","INCOMPLETA: "&amp;TRIM(IF($A39="","tipo ","")&amp;IF($F39="","fecha de firma ","")&amp;IF($G39="","decisión ","")&amp;IF($H39="","N° resolución ","")&amp;IF($I39="","N° dictamen","")),IF(LEFT($N39,4)&lt;&gt;"CONC","OK",IF(N($Q39)=0,IF(AND(ISNUMBER($E39),$E39&gt;=DATE(2024,1,1)),"FALTA EN evol_conc","OK"),IF(INDEX(evol_conc!$H:$H,$Q39)&lt;&gt;$F39,"FIRMA DISTINTA EN evol_conc ("&amp;IF(INDEX(evol_conc!$H:$H,$Q39)="","vacía",DAY(INDEX(evol_conc!$H:$H,$Q39))&amp;"/"&amp;MONTH(INDEX(evol_conc!$H:$H,$Q39))&amp;"/"&amp;YEAR(INDEX(evol_conc!$H:$H,$Q39)))&amp;")",IF(INDEX(evol_conc!$G:$G,$Q39)&lt;&gt;$E39,"INGRESO DISTINTO EN evol_conc ("&amp;IF(INDEX(evol_conc!$G:$G,$Q39)="","vacía",DAY(INDEX(evol_conc!$G:$G,$Q39))&amp;"/"&amp;MONTH(INDEX(evol_conc!$G:$G,$Q39))&amp;"/"&amp;YEAR(INDEX(evol_conc!$G:$G,$Q39)))&amp;")","OK"))))))))</f>
        <v>OK</v>
      </c>
      <c r="Q39">
        <f ca="1">IF($N39="","",IFERROR(MATCH($N39,evol_conc!$P:$P,0),0))</f>
        <v>0</v>
      </c>
    </row>
    <row r="40" spans="1:17" ht="18" hidden="1" customHeight="1" x14ac:dyDescent="0.25">
      <c r="A40" t="s">
        <v>547</v>
      </c>
      <c r="B40" t="s">
        <v>743</v>
      </c>
      <c r="D40" t="s">
        <v>744</v>
      </c>
      <c r="E40" s="16">
        <v>45040</v>
      </c>
      <c r="F40" s="16">
        <v>45462</v>
      </c>
      <c r="G40" t="s">
        <v>550</v>
      </c>
      <c r="H40" t="s">
        <v>745</v>
      </c>
      <c r="I40" t="s">
        <v>746</v>
      </c>
      <c r="J40" t="s">
        <v>747</v>
      </c>
      <c r="K40" t="s">
        <v>748</v>
      </c>
      <c r="L40" s="53">
        <f t="shared" si="0"/>
        <v>14.066666666666666</v>
      </c>
      <c r="M40" s="19">
        <f t="shared" si="1"/>
        <v>422</v>
      </c>
      <c r="N40" t="str">
        <f ca="1">IF(TRIM(SUBSTITUTE($B40,CHAR(160)," "))="","",IFERROR(IF(ISNUMBER(SEARCH("INC",$B40)),"INC",IF(ISNUMBER(SEARCH("OPI",$B40)),"OPI",IF(ISNUMBER(SEARCH("DP",$B40)),"DP","CONC")))&amp;" "&amp;TEXT(LOOKUP(9.99E+307,--MID(SUBSTITUTE($B40,CHAR(160)," "),SUMPRODUCT(MIN(FIND({0,1,2,3,4,5,6,7,8,9},SUBSTITUTE($B40,CHAR(160)," ")&amp;"0123456789"))),ROW(INDIRECT("1:6")))),"0"),"SIN NUMERO"))</f>
        <v>CONC 1911</v>
      </c>
      <c r="O40" t="str">
        <f ca="1">IF($N40="","",IF(LEFT(UPPER($P40),9)="VERIFICAR","VERIFICAR",IF(AND($H40&lt;&gt;"",COUNTIFS($N$2:$N$1000,$N40,$H$2:$H$1000,$H40)&gt;1),"DUPLICADA",IF(TRIM(IF($A40="","tipo ","")&amp;IF($F40="","fecha de firma ","")&amp;IF($G40="","decisión ","")&amp;IF($H40="","N° resolución ","")&amp;IF($I40="","N° dictamen",""))&lt;&gt;"","INCOMPLETA: "&amp;TRIM(IF($A40="","tipo ","")&amp;IF($F40="","fecha de firma ","")&amp;IF($G40="","decisión ","")&amp;IF($H40="","N° resolución ","")&amp;IF($I40="","N° dictamen","")),IF(LEFT($N40,4)&lt;&gt;"CONC","OK",IF(N($Q40)=0,IF(AND(ISNUMBER($E40),$E40&gt;=DATE(2024,1,1)),"FALTA EN evol_conc","OK"),IF(INDEX(evol_conc!$H:$H,$Q40)&lt;&gt;$F40,"FIRMA DISTINTA EN evol_conc ("&amp;IF(INDEX(evol_conc!$H:$H,$Q40)="","vacía",DAY(INDEX(evol_conc!$H:$H,$Q40))&amp;"/"&amp;MONTH(INDEX(evol_conc!$H:$H,$Q40))&amp;"/"&amp;YEAR(INDEX(evol_conc!$H:$H,$Q40)))&amp;")",IF(INDEX(evol_conc!$G:$G,$Q40)&lt;&gt;$E40,"INGRESO DISTINTO EN evol_conc ("&amp;IF(INDEX(evol_conc!$G:$G,$Q40)="","vacía",DAY(INDEX(evol_conc!$G:$G,$Q40))&amp;"/"&amp;MONTH(INDEX(evol_conc!$G:$G,$Q40))&amp;"/"&amp;YEAR(INDEX(evol_conc!$G:$G,$Q40)))&amp;")","OK"))))))))</f>
        <v>OK</v>
      </c>
      <c r="Q40">
        <f ca="1">IF($N40="","",IFERROR(MATCH($N40,evol_conc!$P:$P,0),0))</f>
        <v>0</v>
      </c>
    </row>
    <row r="41" spans="1:17" ht="18" hidden="1" customHeight="1" x14ac:dyDescent="0.25">
      <c r="A41" t="s">
        <v>547</v>
      </c>
      <c r="B41" t="s">
        <v>749</v>
      </c>
      <c r="D41" t="s">
        <v>750</v>
      </c>
      <c r="E41" s="16">
        <v>44712</v>
      </c>
      <c r="F41" s="16">
        <v>45467</v>
      </c>
      <c r="G41" t="s">
        <v>550</v>
      </c>
      <c r="H41" t="s">
        <v>751</v>
      </c>
      <c r="I41" t="s">
        <v>752</v>
      </c>
      <c r="J41" t="s">
        <v>753</v>
      </c>
      <c r="K41" t="s">
        <v>592</v>
      </c>
      <c r="L41" s="53">
        <f t="shared" si="0"/>
        <v>25.166666666666668</v>
      </c>
      <c r="M41" s="19">
        <f t="shared" si="1"/>
        <v>755</v>
      </c>
      <c r="N41" t="str">
        <f ca="1">IF(TRIM(SUBSTITUTE($B41,CHAR(160)," "))="","",IFERROR(IF(ISNUMBER(SEARCH("INC",$B41)),"INC",IF(ISNUMBER(SEARCH("OPI",$B41)),"OPI",IF(ISNUMBER(SEARCH("DP",$B41)),"DP","CONC")))&amp;" "&amp;TEXT(LOOKUP(9.99E+307,--MID(SUBSTITUTE($B41,CHAR(160)," "),SUMPRODUCT(MIN(FIND({0,1,2,3,4,5,6,7,8,9},SUBSTITUTE($B41,CHAR(160)," ")&amp;"0123456789"))),ROW(INDIRECT("1:6")))),"0"),"SIN NUMERO"))</f>
        <v>CONC 1857</v>
      </c>
      <c r="O41" t="str">
        <f ca="1">IF($N41="","",IF(LEFT(UPPER($P41),9)="VERIFICAR","VERIFICAR",IF(AND($H41&lt;&gt;"",COUNTIFS($N$2:$N$1000,$N41,$H$2:$H$1000,$H41)&gt;1),"DUPLICADA",IF(TRIM(IF($A41="","tipo ","")&amp;IF($F41="","fecha de firma ","")&amp;IF($G41="","decisión ","")&amp;IF($H41="","N° resolución ","")&amp;IF($I41="","N° dictamen",""))&lt;&gt;"","INCOMPLETA: "&amp;TRIM(IF($A41="","tipo ","")&amp;IF($F41="","fecha de firma ","")&amp;IF($G41="","decisión ","")&amp;IF($H41="","N° resolución ","")&amp;IF($I41="","N° dictamen","")),IF(LEFT($N41,4)&lt;&gt;"CONC","OK",IF(N($Q41)=0,IF(AND(ISNUMBER($E41),$E41&gt;=DATE(2024,1,1)),"FALTA EN evol_conc","OK"),IF(INDEX(evol_conc!$H:$H,$Q41)&lt;&gt;$F41,"FIRMA DISTINTA EN evol_conc ("&amp;IF(INDEX(evol_conc!$H:$H,$Q41)="","vacía",DAY(INDEX(evol_conc!$H:$H,$Q41))&amp;"/"&amp;MONTH(INDEX(evol_conc!$H:$H,$Q41))&amp;"/"&amp;YEAR(INDEX(evol_conc!$H:$H,$Q41)))&amp;")",IF(INDEX(evol_conc!$G:$G,$Q41)&lt;&gt;$E41,"INGRESO DISTINTO EN evol_conc ("&amp;IF(INDEX(evol_conc!$G:$G,$Q41)="","vacía",DAY(INDEX(evol_conc!$G:$G,$Q41))&amp;"/"&amp;MONTH(INDEX(evol_conc!$G:$G,$Q41))&amp;"/"&amp;YEAR(INDEX(evol_conc!$G:$G,$Q41)))&amp;")","OK"))))))))</f>
        <v>OK</v>
      </c>
      <c r="Q41">
        <f ca="1">IF($N41="","",IFERROR(MATCH($N41,evol_conc!$P:$P,0),0))</f>
        <v>0</v>
      </c>
    </row>
    <row r="42" spans="1:17" ht="18" hidden="1" customHeight="1" x14ac:dyDescent="0.25">
      <c r="A42" t="s">
        <v>547</v>
      </c>
      <c r="B42" t="s">
        <v>754</v>
      </c>
      <c r="D42" t="s">
        <v>755</v>
      </c>
      <c r="E42" s="16">
        <v>45119</v>
      </c>
      <c r="F42" s="16">
        <v>45468</v>
      </c>
      <c r="G42" t="s">
        <v>550</v>
      </c>
      <c r="H42" t="s">
        <v>756</v>
      </c>
      <c r="I42" t="s">
        <v>757</v>
      </c>
      <c r="J42" t="s">
        <v>758</v>
      </c>
      <c r="K42" t="s">
        <v>581</v>
      </c>
      <c r="L42" s="53">
        <f t="shared" si="0"/>
        <v>11.633333333333333</v>
      </c>
      <c r="M42" s="19">
        <f t="shared" si="1"/>
        <v>349</v>
      </c>
      <c r="N42" t="str">
        <f ca="1">IF(TRIM(SUBSTITUTE($B42,CHAR(160)," "))="","",IFERROR(IF(ISNUMBER(SEARCH("INC",$B42)),"INC",IF(ISNUMBER(SEARCH("OPI",$B42)),"OPI",IF(ISNUMBER(SEARCH("DP",$B42)),"DP","CONC")))&amp;" "&amp;TEXT(LOOKUP(9.99E+307,--MID(SUBSTITUTE($B42,CHAR(160)," "),SUMPRODUCT(MIN(FIND({0,1,2,3,4,5,6,7,8,9},SUBSTITUTE($B42,CHAR(160)," ")&amp;"0123456789"))),ROW(INDIRECT("1:6")))),"0"),"SIN NUMERO"))</f>
        <v>CONC 1925</v>
      </c>
      <c r="O42" t="str">
        <f ca="1">IF($N42="","",IF(LEFT(UPPER($P42),9)="VERIFICAR","VERIFICAR",IF(AND($H42&lt;&gt;"",COUNTIFS($N$2:$N$1000,$N42,$H$2:$H$1000,$H42)&gt;1),"DUPLICADA",IF(TRIM(IF($A42="","tipo ","")&amp;IF($F42="","fecha de firma ","")&amp;IF($G42="","decisión ","")&amp;IF($H42="","N° resolución ","")&amp;IF($I42="","N° dictamen",""))&lt;&gt;"","INCOMPLETA: "&amp;TRIM(IF($A42="","tipo ","")&amp;IF($F42="","fecha de firma ","")&amp;IF($G42="","decisión ","")&amp;IF($H42="","N° resolución ","")&amp;IF($I42="","N° dictamen","")),IF(LEFT($N42,4)&lt;&gt;"CONC","OK",IF(N($Q42)=0,IF(AND(ISNUMBER($E42),$E42&gt;=DATE(2024,1,1)),"FALTA EN evol_conc","OK"),IF(INDEX(evol_conc!$H:$H,$Q42)&lt;&gt;$F42,"FIRMA DISTINTA EN evol_conc ("&amp;IF(INDEX(evol_conc!$H:$H,$Q42)="","vacía",DAY(INDEX(evol_conc!$H:$H,$Q42))&amp;"/"&amp;MONTH(INDEX(evol_conc!$H:$H,$Q42))&amp;"/"&amp;YEAR(INDEX(evol_conc!$H:$H,$Q42)))&amp;")",IF(INDEX(evol_conc!$G:$G,$Q42)&lt;&gt;$E42,"INGRESO DISTINTO EN evol_conc ("&amp;IF(INDEX(evol_conc!$G:$G,$Q42)="","vacía",DAY(INDEX(evol_conc!$G:$G,$Q42))&amp;"/"&amp;MONTH(INDEX(evol_conc!$G:$G,$Q42))&amp;"/"&amp;YEAR(INDEX(evol_conc!$G:$G,$Q42)))&amp;")","OK"))))))))</f>
        <v>OK</v>
      </c>
      <c r="Q42">
        <f ca="1">IF($N42="","",IFERROR(MATCH($N42,evol_conc!$P:$P,0),0))</f>
        <v>0</v>
      </c>
    </row>
    <row r="43" spans="1:17" ht="18" hidden="1" customHeight="1" x14ac:dyDescent="0.25">
      <c r="A43" t="s">
        <v>624</v>
      </c>
      <c r="B43" t="s">
        <v>759</v>
      </c>
      <c r="D43" t="s">
        <v>760</v>
      </c>
      <c r="E43" s="16">
        <v>44981</v>
      </c>
      <c r="F43" s="16">
        <v>45474</v>
      </c>
      <c r="G43" t="s">
        <v>550</v>
      </c>
      <c r="H43" t="s">
        <v>761</v>
      </c>
      <c r="I43" t="s">
        <v>762</v>
      </c>
      <c r="J43" t="s">
        <v>763</v>
      </c>
      <c r="K43" t="s">
        <v>592</v>
      </c>
      <c r="L43" s="53">
        <f t="shared" si="0"/>
        <v>16.433333333333334</v>
      </c>
      <c r="M43" s="19">
        <f t="shared" si="1"/>
        <v>493</v>
      </c>
      <c r="N43" t="str">
        <f ca="1">IF(TRIM(SUBSTITUTE($B43,CHAR(160)," "))="","",IFERROR(IF(ISNUMBER(SEARCH("INC",$B43)),"INC",IF(ISNUMBER(SEARCH("OPI",$B43)),"OPI",IF(ISNUMBER(SEARCH("DP",$B43)),"DP","CONC")))&amp;" "&amp;TEXT(LOOKUP(9.99E+307,--MID(SUBSTITUTE($B43,CHAR(160)," "),SUMPRODUCT(MIN(FIND({0,1,2,3,4,5,6,7,8,9},SUBSTITUTE($B43,CHAR(160)," ")&amp;"0123456789"))),ROW(INDIRECT("1:6")))),"0"),"SIN NUMERO"))</f>
        <v>CONC 1901</v>
      </c>
      <c r="O43" t="str">
        <f ca="1">IF($N43="","",IF(LEFT(UPPER($P43),9)="VERIFICAR","VERIFICAR",IF(AND($H43&lt;&gt;"",COUNTIFS($N$2:$N$1000,$N43,$H$2:$H$1000,$H43)&gt;1),"DUPLICADA",IF(TRIM(IF($A43="","tipo ","")&amp;IF($F43="","fecha de firma ","")&amp;IF($G43="","decisión ","")&amp;IF($H43="","N° resolución ","")&amp;IF($I43="","N° dictamen",""))&lt;&gt;"","INCOMPLETA: "&amp;TRIM(IF($A43="","tipo ","")&amp;IF($F43="","fecha de firma ","")&amp;IF($G43="","decisión ","")&amp;IF($H43="","N° resolución ","")&amp;IF($I43="","N° dictamen","")),IF(LEFT($N43,4)&lt;&gt;"CONC","OK",IF(N($Q43)=0,IF(AND(ISNUMBER($E43),$E43&gt;=DATE(2024,1,1)),"FALTA EN evol_conc","OK"),IF(INDEX(evol_conc!$H:$H,$Q43)&lt;&gt;$F43,"FIRMA DISTINTA EN evol_conc ("&amp;IF(INDEX(evol_conc!$H:$H,$Q43)="","vacía",DAY(INDEX(evol_conc!$H:$H,$Q43))&amp;"/"&amp;MONTH(INDEX(evol_conc!$H:$H,$Q43))&amp;"/"&amp;YEAR(INDEX(evol_conc!$H:$H,$Q43)))&amp;")",IF(INDEX(evol_conc!$G:$G,$Q43)&lt;&gt;$E43,"INGRESO DISTINTO EN evol_conc ("&amp;IF(INDEX(evol_conc!$G:$G,$Q43)="","vacía",DAY(INDEX(evol_conc!$G:$G,$Q43))&amp;"/"&amp;MONTH(INDEX(evol_conc!$G:$G,$Q43))&amp;"/"&amp;YEAR(INDEX(evol_conc!$G:$G,$Q43)))&amp;")","OK"))))))))</f>
        <v>OK</v>
      </c>
      <c r="Q43">
        <f ca="1">IF($N43="","",IFERROR(MATCH($N43,evol_conc!$P:$P,0),0))</f>
        <v>0</v>
      </c>
    </row>
    <row r="44" spans="1:17" ht="18" hidden="1" customHeight="1" x14ac:dyDescent="0.25">
      <c r="A44" t="s">
        <v>624</v>
      </c>
      <c r="B44" t="s">
        <v>764</v>
      </c>
      <c r="D44" t="s">
        <v>765</v>
      </c>
      <c r="E44" s="16">
        <v>45254</v>
      </c>
      <c r="F44" s="16">
        <v>45478</v>
      </c>
      <c r="G44" t="s">
        <v>550</v>
      </c>
      <c r="H44" t="s">
        <v>766</v>
      </c>
      <c r="I44" t="s">
        <v>767</v>
      </c>
      <c r="J44" t="s">
        <v>768</v>
      </c>
      <c r="K44" t="s">
        <v>581</v>
      </c>
      <c r="L44" s="53">
        <f t="shared" si="0"/>
        <v>7.4666666666666668</v>
      </c>
      <c r="M44" s="19">
        <f t="shared" si="1"/>
        <v>224</v>
      </c>
      <c r="N44" t="str">
        <f ca="1">IF(TRIM(SUBSTITUTE($B44,CHAR(160)," "))="","",IFERROR(IF(ISNUMBER(SEARCH("INC",$B44)),"INC",IF(ISNUMBER(SEARCH("OPI",$B44)),"OPI",IF(ISNUMBER(SEARCH("DP",$B44)),"DP","CONC")))&amp;" "&amp;TEXT(LOOKUP(9.99E+307,--MID(SUBSTITUTE($B44,CHAR(160)," "),SUMPRODUCT(MIN(FIND({0,1,2,3,4,5,6,7,8,9},SUBSTITUTE($B44,CHAR(160)," ")&amp;"0123456789"))),ROW(INDIRECT("1:6")))),"0"),"SIN NUMERO"))</f>
        <v>CONC 1949</v>
      </c>
      <c r="O44" t="str">
        <f ca="1">IF($N44="","",IF(LEFT(UPPER($P44),9)="VERIFICAR","VERIFICAR",IF(AND($H44&lt;&gt;"",COUNTIFS($N$2:$N$1000,$N44,$H$2:$H$1000,$H44)&gt;1),"DUPLICADA",IF(TRIM(IF($A44="","tipo ","")&amp;IF($F44="","fecha de firma ","")&amp;IF($G44="","decisión ","")&amp;IF($H44="","N° resolución ","")&amp;IF($I44="","N° dictamen",""))&lt;&gt;"","INCOMPLETA: "&amp;TRIM(IF($A44="","tipo ","")&amp;IF($F44="","fecha de firma ","")&amp;IF($G44="","decisión ","")&amp;IF($H44="","N° resolución ","")&amp;IF($I44="","N° dictamen","")),IF(LEFT($N44,4)&lt;&gt;"CONC","OK",IF(N($Q44)=0,IF(AND(ISNUMBER($E44),$E44&gt;=DATE(2024,1,1)),"FALTA EN evol_conc","OK"),IF(INDEX(evol_conc!$H:$H,$Q44)&lt;&gt;$F44,"FIRMA DISTINTA EN evol_conc ("&amp;IF(INDEX(evol_conc!$H:$H,$Q44)="","vacía",DAY(INDEX(evol_conc!$H:$H,$Q44))&amp;"/"&amp;MONTH(INDEX(evol_conc!$H:$H,$Q44))&amp;"/"&amp;YEAR(INDEX(evol_conc!$H:$H,$Q44)))&amp;")",IF(INDEX(evol_conc!$G:$G,$Q44)&lt;&gt;$E44,"INGRESO DISTINTO EN evol_conc ("&amp;IF(INDEX(evol_conc!$G:$G,$Q44)="","vacía",DAY(INDEX(evol_conc!$G:$G,$Q44))&amp;"/"&amp;MONTH(INDEX(evol_conc!$G:$G,$Q44))&amp;"/"&amp;YEAR(INDEX(evol_conc!$G:$G,$Q44)))&amp;")","OK"))))))))</f>
        <v>OK</v>
      </c>
      <c r="Q44">
        <f ca="1">IF($N44="","",IFERROR(MATCH($N44,evol_conc!$P:$P,0),0))</f>
        <v>0</v>
      </c>
    </row>
    <row r="45" spans="1:17" ht="18" hidden="1" customHeight="1" x14ac:dyDescent="0.25">
      <c r="A45" t="s">
        <v>624</v>
      </c>
      <c r="B45" t="s">
        <v>769</v>
      </c>
      <c r="D45" t="s">
        <v>770</v>
      </c>
      <c r="E45" s="16">
        <v>44494</v>
      </c>
      <c r="F45" s="16">
        <v>45488</v>
      </c>
      <c r="G45" t="s">
        <v>550</v>
      </c>
      <c r="H45" t="s">
        <v>771</v>
      </c>
      <c r="I45" t="s">
        <v>772</v>
      </c>
      <c r="J45" t="s">
        <v>773</v>
      </c>
      <c r="K45" t="s">
        <v>560</v>
      </c>
      <c r="L45" s="53">
        <f t="shared" si="0"/>
        <v>33.133333333333333</v>
      </c>
      <c r="M45" s="19">
        <f t="shared" si="1"/>
        <v>994</v>
      </c>
      <c r="N45" t="str">
        <f ca="1">IF(TRIM(SUBSTITUTE($B45,CHAR(160)," "))="","",IFERROR(IF(ISNUMBER(SEARCH("INC",$B45)),"INC",IF(ISNUMBER(SEARCH("OPI",$B45)),"OPI",IF(ISNUMBER(SEARCH("DP",$B45)),"DP","CONC")))&amp;" "&amp;TEXT(LOOKUP(9.99E+307,--MID(SUBSTITUTE($B45,CHAR(160)," "),SUMPRODUCT(MIN(FIND({0,1,2,3,4,5,6,7,8,9},SUBSTITUTE($B45,CHAR(160)," ")&amp;"0123456789"))),ROW(INDIRECT("1:6")))),"0"),"SIN NUMERO"))</f>
        <v>CONC 1830</v>
      </c>
      <c r="O45" t="str">
        <f ca="1">IF($N45="","",IF(LEFT(UPPER($P45),9)="VERIFICAR","VERIFICAR",IF(AND($H45&lt;&gt;"",COUNTIFS($N$2:$N$1000,$N45,$H$2:$H$1000,$H45)&gt;1),"DUPLICADA",IF(TRIM(IF($A45="","tipo ","")&amp;IF($F45="","fecha de firma ","")&amp;IF($G45="","decisión ","")&amp;IF($H45="","N° resolución ","")&amp;IF($I45="","N° dictamen",""))&lt;&gt;"","INCOMPLETA: "&amp;TRIM(IF($A45="","tipo ","")&amp;IF($F45="","fecha de firma ","")&amp;IF($G45="","decisión ","")&amp;IF($H45="","N° resolución ","")&amp;IF($I45="","N° dictamen","")),IF(LEFT($N45,4)&lt;&gt;"CONC","OK",IF(N($Q45)=0,IF(AND(ISNUMBER($E45),$E45&gt;=DATE(2024,1,1)),"FALTA EN evol_conc","OK"),IF(INDEX(evol_conc!$H:$H,$Q45)&lt;&gt;$F45,"FIRMA DISTINTA EN evol_conc ("&amp;IF(INDEX(evol_conc!$H:$H,$Q45)="","vacía",DAY(INDEX(evol_conc!$H:$H,$Q45))&amp;"/"&amp;MONTH(INDEX(evol_conc!$H:$H,$Q45))&amp;"/"&amp;YEAR(INDEX(evol_conc!$H:$H,$Q45)))&amp;")",IF(INDEX(evol_conc!$G:$G,$Q45)&lt;&gt;$E45,"INGRESO DISTINTO EN evol_conc ("&amp;IF(INDEX(evol_conc!$G:$G,$Q45)="","vacía",DAY(INDEX(evol_conc!$G:$G,$Q45))&amp;"/"&amp;MONTH(INDEX(evol_conc!$G:$G,$Q45))&amp;"/"&amp;YEAR(INDEX(evol_conc!$G:$G,$Q45)))&amp;")","OK"))))))))</f>
        <v>OK</v>
      </c>
      <c r="Q45">
        <f ca="1">IF($N45="","",IFERROR(MATCH($N45,evol_conc!$P:$P,0),0))</f>
        <v>0</v>
      </c>
    </row>
    <row r="46" spans="1:17" ht="18" hidden="1" customHeight="1" x14ac:dyDescent="0.25">
      <c r="A46" t="s">
        <v>624</v>
      </c>
      <c r="B46" t="s">
        <v>774</v>
      </c>
      <c r="D46" t="s">
        <v>775</v>
      </c>
      <c r="E46" s="16">
        <v>45020</v>
      </c>
      <c r="F46" s="16">
        <v>45488</v>
      </c>
      <c r="G46" t="s">
        <v>550</v>
      </c>
      <c r="H46" t="s">
        <v>776</v>
      </c>
      <c r="I46" t="s">
        <v>777</v>
      </c>
      <c r="J46" t="s">
        <v>778</v>
      </c>
      <c r="K46" t="s">
        <v>581</v>
      </c>
      <c r="L46" s="53">
        <f t="shared" si="0"/>
        <v>15.6</v>
      </c>
      <c r="M46" s="19">
        <f t="shared" si="1"/>
        <v>468</v>
      </c>
      <c r="N46" t="str">
        <f ca="1">IF(TRIM(SUBSTITUTE($B46,CHAR(160)," "))="","",IFERROR(IF(ISNUMBER(SEARCH("INC",$B46)),"INC",IF(ISNUMBER(SEARCH("OPI",$B46)),"OPI",IF(ISNUMBER(SEARCH("DP",$B46)),"DP","CONC")))&amp;" "&amp;TEXT(LOOKUP(9.99E+307,--MID(SUBSTITUTE($B46,CHAR(160)," "),SUMPRODUCT(MIN(FIND({0,1,2,3,4,5,6,7,8,9},SUBSTITUTE($B46,CHAR(160)," ")&amp;"0123456789"))),ROW(INDIRECT("1:6")))),"0"),"SIN NUMERO"))</f>
        <v>CONC 1907</v>
      </c>
      <c r="O46" t="str">
        <f ca="1">IF($N46="","",IF(LEFT(UPPER($P46),9)="VERIFICAR","VERIFICAR",IF(AND($H46&lt;&gt;"",COUNTIFS($N$2:$N$1000,$N46,$H$2:$H$1000,$H46)&gt;1),"DUPLICADA",IF(TRIM(IF($A46="","tipo ","")&amp;IF($F46="","fecha de firma ","")&amp;IF($G46="","decisión ","")&amp;IF($H46="","N° resolución ","")&amp;IF($I46="","N° dictamen",""))&lt;&gt;"","INCOMPLETA: "&amp;TRIM(IF($A46="","tipo ","")&amp;IF($F46="","fecha de firma ","")&amp;IF($G46="","decisión ","")&amp;IF($H46="","N° resolución ","")&amp;IF($I46="","N° dictamen","")),IF(LEFT($N46,4)&lt;&gt;"CONC","OK",IF(N($Q46)=0,IF(AND(ISNUMBER($E46),$E46&gt;=DATE(2024,1,1)),"FALTA EN evol_conc","OK"),IF(INDEX(evol_conc!$H:$H,$Q46)&lt;&gt;$F46,"FIRMA DISTINTA EN evol_conc ("&amp;IF(INDEX(evol_conc!$H:$H,$Q46)="","vacía",DAY(INDEX(evol_conc!$H:$H,$Q46))&amp;"/"&amp;MONTH(INDEX(evol_conc!$H:$H,$Q46))&amp;"/"&amp;YEAR(INDEX(evol_conc!$H:$H,$Q46)))&amp;")",IF(INDEX(evol_conc!$G:$G,$Q46)&lt;&gt;$E46,"INGRESO DISTINTO EN evol_conc ("&amp;IF(INDEX(evol_conc!$G:$G,$Q46)="","vacía",DAY(INDEX(evol_conc!$G:$G,$Q46))&amp;"/"&amp;MONTH(INDEX(evol_conc!$G:$G,$Q46))&amp;"/"&amp;YEAR(INDEX(evol_conc!$G:$G,$Q46)))&amp;")","OK"))))))))</f>
        <v>OK</v>
      </c>
      <c r="Q46">
        <f ca="1">IF($N46="","",IFERROR(MATCH($N46,evol_conc!$P:$P,0),0))</f>
        <v>0</v>
      </c>
    </row>
    <row r="47" spans="1:17" ht="18" hidden="1" customHeight="1" x14ac:dyDescent="0.25">
      <c r="A47" t="s">
        <v>624</v>
      </c>
      <c r="B47" t="s">
        <v>779</v>
      </c>
      <c r="D47" t="s">
        <v>780</v>
      </c>
      <c r="E47" s="16">
        <v>44659</v>
      </c>
      <c r="F47" s="16">
        <v>45491</v>
      </c>
      <c r="G47" t="s">
        <v>550</v>
      </c>
      <c r="H47" t="s">
        <v>781</v>
      </c>
      <c r="I47" t="s">
        <v>782</v>
      </c>
      <c r="J47" t="s">
        <v>783</v>
      </c>
      <c r="K47" t="s">
        <v>592</v>
      </c>
      <c r="L47" s="53">
        <f t="shared" si="0"/>
        <v>27.733333333333334</v>
      </c>
      <c r="M47" s="19">
        <f t="shared" si="1"/>
        <v>832</v>
      </c>
      <c r="N47" t="str">
        <f ca="1">IF(TRIM(SUBSTITUTE($B47,CHAR(160)," "))="","",IFERROR(IF(ISNUMBER(SEARCH("INC",$B47)),"INC",IF(ISNUMBER(SEARCH("OPI",$B47)),"OPI",IF(ISNUMBER(SEARCH("DP",$B47)),"DP","CONC")))&amp;" "&amp;TEXT(LOOKUP(9.99E+307,--MID(SUBSTITUTE($B47,CHAR(160)," "),SUMPRODUCT(MIN(FIND({0,1,2,3,4,5,6,7,8,9},SUBSTITUTE($B47,CHAR(160)," ")&amp;"0123456789"))),ROW(INDIRECT("1:6")))),"0"),"SIN NUMERO"))</f>
        <v>CONC 1848</v>
      </c>
      <c r="O47" t="str">
        <f ca="1">IF($N47="","",IF(LEFT(UPPER($P47),9)="VERIFICAR","VERIFICAR",IF(AND($H47&lt;&gt;"",COUNTIFS($N$2:$N$1000,$N47,$H$2:$H$1000,$H47)&gt;1),"DUPLICADA",IF(TRIM(IF($A47="","tipo ","")&amp;IF($F47="","fecha de firma ","")&amp;IF($G47="","decisión ","")&amp;IF($H47="","N° resolución ","")&amp;IF($I47="","N° dictamen",""))&lt;&gt;"","INCOMPLETA: "&amp;TRIM(IF($A47="","tipo ","")&amp;IF($F47="","fecha de firma ","")&amp;IF($G47="","decisión ","")&amp;IF($H47="","N° resolución ","")&amp;IF($I47="","N° dictamen","")),IF(LEFT($N47,4)&lt;&gt;"CONC","OK",IF(N($Q47)=0,IF(AND(ISNUMBER($E47),$E47&gt;=DATE(2024,1,1)),"FALTA EN evol_conc","OK"),IF(INDEX(evol_conc!$H:$H,$Q47)&lt;&gt;$F47,"FIRMA DISTINTA EN evol_conc ("&amp;IF(INDEX(evol_conc!$H:$H,$Q47)="","vacía",DAY(INDEX(evol_conc!$H:$H,$Q47))&amp;"/"&amp;MONTH(INDEX(evol_conc!$H:$H,$Q47))&amp;"/"&amp;YEAR(INDEX(evol_conc!$H:$H,$Q47)))&amp;")",IF(INDEX(evol_conc!$G:$G,$Q47)&lt;&gt;$E47,"INGRESO DISTINTO EN evol_conc ("&amp;IF(INDEX(evol_conc!$G:$G,$Q47)="","vacía",DAY(INDEX(evol_conc!$G:$G,$Q47))&amp;"/"&amp;MONTH(INDEX(evol_conc!$G:$G,$Q47))&amp;"/"&amp;YEAR(INDEX(evol_conc!$G:$G,$Q47)))&amp;")","OK"))))))))</f>
        <v>OK</v>
      </c>
      <c r="Q47">
        <f ca="1">IF($N47="","",IFERROR(MATCH($N47,evol_conc!$P:$P,0),0))</f>
        <v>0</v>
      </c>
    </row>
    <row r="48" spans="1:17" ht="18" hidden="1" customHeight="1" x14ac:dyDescent="0.25">
      <c r="A48" t="s">
        <v>624</v>
      </c>
      <c r="B48" t="s">
        <v>784</v>
      </c>
      <c r="D48" t="s">
        <v>785</v>
      </c>
      <c r="E48" s="16">
        <v>45075</v>
      </c>
      <c r="F48" s="16">
        <v>45491</v>
      </c>
      <c r="G48" t="s">
        <v>550</v>
      </c>
      <c r="H48" t="s">
        <v>786</v>
      </c>
      <c r="I48" t="s">
        <v>787</v>
      </c>
      <c r="J48" t="s">
        <v>788</v>
      </c>
      <c r="K48" t="s">
        <v>554</v>
      </c>
      <c r="L48" s="53">
        <f t="shared" si="0"/>
        <v>13.866666666666667</v>
      </c>
      <c r="M48" s="19">
        <f t="shared" si="1"/>
        <v>416</v>
      </c>
      <c r="N48" t="str">
        <f ca="1">IF(TRIM(SUBSTITUTE($B48,CHAR(160)," "))="","",IFERROR(IF(ISNUMBER(SEARCH("INC",$B48)),"INC",IF(ISNUMBER(SEARCH("OPI",$B48)),"OPI",IF(ISNUMBER(SEARCH("DP",$B48)),"DP","CONC")))&amp;" "&amp;TEXT(LOOKUP(9.99E+307,--MID(SUBSTITUTE($B48,CHAR(160)," "),SUMPRODUCT(MIN(FIND({0,1,2,3,4,5,6,7,8,9},SUBSTITUTE($B48,CHAR(160)," ")&amp;"0123456789"))),ROW(INDIRECT("1:6")))),"0"),"SIN NUMERO"))</f>
        <v>CONC 1918</v>
      </c>
      <c r="O48" t="str">
        <f ca="1">IF($N48="","",IF(LEFT(UPPER($P48),9)="VERIFICAR","VERIFICAR",IF(AND($H48&lt;&gt;"",COUNTIFS($N$2:$N$1000,$N48,$H$2:$H$1000,$H48)&gt;1),"DUPLICADA",IF(TRIM(IF($A48="","tipo ","")&amp;IF($F48="","fecha de firma ","")&amp;IF($G48="","decisión ","")&amp;IF($H48="","N° resolución ","")&amp;IF($I48="","N° dictamen",""))&lt;&gt;"","INCOMPLETA: "&amp;TRIM(IF($A48="","tipo ","")&amp;IF($F48="","fecha de firma ","")&amp;IF($G48="","decisión ","")&amp;IF($H48="","N° resolución ","")&amp;IF($I48="","N° dictamen","")),IF(LEFT($N48,4)&lt;&gt;"CONC","OK",IF(N($Q48)=0,IF(AND(ISNUMBER($E48),$E48&gt;=DATE(2024,1,1)),"FALTA EN evol_conc","OK"),IF(INDEX(evol_conc!$H:$H,$Q48)&lt;&gt;$F48,"FIRMA DISTINTA EN evol_conc ("&amp;IF(INDEX(evol_conc!$H:$H,$Q48)="","vacía",DAY(INDEX(evol_conc!$H:$H,$Q48))&amp;"/"&amp;MONTH(INDEX(evol_conc!$H:$H,$Q48))&amp;"/"&amp;YEAR(INDEX(evol_conc!$H:$H,$Q48)))&amp;")",IF(INDEX(evol_conc!$G:$G,$Q48)&lt;&gt;$E48,"INGRESO DISTINTO EN evol_conc ("&amp;IF(INDEX(evol_conc!$G:$G,$Q48)="","vacía",DAY(INDEX(evol_conc!$G:$G,$Q48))&amp;"/"&amp;MONTH(INDEX(evol_conc!$G:$G,$Q48))&amp;"/"&amp;YEAR(INDEX(evol_conc!$G:$G,$Q48)))&amp;")","OK"))))))))</f>
        <v>OK</v>
      </c>
      <c r="Q48">
        <f ca="1">IF($N48="","",IFERROR(MATCH($N48,evol_conc!$P:$P,0),0))</f>
        <v>0</v>
      </c>
    </row>
    <row r="49" spans="1:17" ht="18" hidden="1" customHeight="1" x14ac:dyDescent="0.25">
      <c r="A49" t="s">
        <v>624</v>
      </c>
      <c r="B49" t="s">
        <v>789</v>
      </c>
      <c r="D49" t="s">
        <v>790</v>
      </c>
      <c r="E49" s="16">
        <v>45197</v>
      </c>
      <c r="F49" s="16">
        <v>45504</v>
      </c>
      <c r="G49" t="s">
        <v>550</v>
      </c>
      <c r="H49" t="s">
        <v>791</v>
      </c>
      <c r="I49" t="s">
        <v>792</v>
      </c>
      <c r="J49" t="s">
        <v>793</v>
      </c>
      <c r="K49" t="s">
        <v>581</v>
      </c>
      <c r="L49" s="53">
        <f t="shared" si="0"/>
        <v>10.233333333333333</v>
      </c>
      <c r="M49" s="19">
        <f t="shared" si="1"/>
        <v>307</v>
      </c>
      <c r="N49" t="str">
        <f ca="1">IF(TRIM(SUBSTITUTE($B49,CHAR(160)," "))="","",IFERROR(IF(ISNUMBER(SEARCH("INC",$B49)),"INC",IF(ISNUMBER(SEARCH("OPI",$B49)),"OPI",IF(ISNUMBER(SEARCH("DP",$B49)),"DP","CONC")))&amp;" "&amp;TEXT(LOOKUP(9.99E+307,--MID(SUBSTITUTE($B49,CHAR(160)," "),SUMPRODUCT(MIN(FIND({0,1,2,3,4,5,6,7,8,9},SUBSTITUTE($B49,CHAR(160)," ")&amp;"0123456789"))),ROW(INDIRECT("1:6")))),"0"),"SIN NUMERO"))</f>
        <v>CONC 1937</v>
      </c>
      <c r="O49" t="str">
        <f ca="1">IF($N49="","",IF(LEFT(UPPER($P49),9)="VERIFICAR","VERIFICAR",IF(AND($H49&lt;&gt;"",COUNTIFS($N$2:$N$1000,$N49,$H$2:$H$1000,$H49)&gt;1),"DUPLICADA",IF(TRIM(IF($A49="","tipo ","")&amp;IF($F49="","fecha de firma ","")&amp;IF($G49="","decisión ","")&amp;IF($H49="","N° resolución ","")&amp;IF($I49="","N° dictamen",""))&lt;&gt;"","INCOMPLETA: "&amp;TRIM(IF($A49="","tipo ","")&amp;IF($F49="","fecha de firma ","")&amp;IF($G49="","decisión ","")&amp;IF($H49="","N° resolución ","")&amp;IF($I49="","N° dictamen","")),IF(LEFT($N49,4)&lt;&gt;"CONC","OK",IF(N($Q49)=0,IF(AND(ISNUMBER($E49),$E49&gt;=DATE(2024,1,1)),"FALTA EN evol_conc","OK"),IF(INDEX(evol_conc!$H:$H,$Q49)&lt;&gt;$F49,"FIRMA DISTINTA EN evol_conc ("&amp;IF(INDEX(evol_conc!$H:$H,$Q49)="","vacía",DAY(INDEX(evol_conc!$H:$H,$Q49))&amp;"/"&amp;MONTH(INDEX(evol_conc!$H:$H,$Q49))&amp;"/"&amp;YEAR(INDEX(evol_conc!$H:$H,$Q49)))&amp;")",IF(INDEX(evol_conc!$G:$G,$Q49)&lt;&gt;$E49,"INGRESO DISTINTO EN evol_conc ("&amp;IF(INDEX(evol_conc!$G:$G,$Q49)="","vacía",DAY(INDEX(evol_conc!$G:$G,$Q49))&amp;"/"&amp;MONTH(INDEX(evol_conc!$G:$G,$Q49))&amp;"/"&amp;YEAR(INDEX(evol_conc!$G:$G,$Q49)))&amp;")","OK"))))))))</f>
        <v>OK</v>
      </c>
      <c r="Q49">
        <f ca="1">IF($N49="","",IFERROR(MATCH($N49,evol_conc!$P:$P,0),0))</f>
        <v>0</v>
      </c>
    </row>
    <row r="50" spans="1:17" ht="18" hidden="1" customHeight="1" x14ac:dyDescent="0.25">
      <c r="A50" t="s">
        <v>624</v>
      </c>
      <c r="B50" t="s">
        <v>794</v>
      </c>
      <c r="D50" t="s">
        <v>203</v>
      </c>
      <c r="E50" s="16">
        <v>45369</v>
      </c>
      <c r="F50" s="16">
        <v>45504</v>
      </c>
      <c r="G50" t="s">
        <v>550</v>
      </c>
      <c r="H50" t="s">
        <v>795</v>
      </c>
      <c r="I50" t="s">
        <v>796</v>
      </c>
      <c r="J50" t="s">
        <v>797</v>
      </c>
      <c r="K50" t="s">
        <v>581</v>
      </c>
      <c r="L50" s="53">
        <f t="shared" si="0"/>
        <v>4.5</v>
      </c>
      <c r="M50" s="19">
        <f t="shared" si="1"/>
        <v>135</v>
      </c>
      <c r="N50" t="str">
        <f ca="1">IF(TRIM(SUBSTITUTE($B50,CHAR(160)," "))="","",IFERROR(IF(ISNUMBER(SEARCH("INC",$B50)),"INC",IF(ISNUMBER(SEARCH("OPI",$B50)),"OPI",IF(ISNUMBER(SEARCH("DP",$B50)),"DP","CONC")))&amp;" "&amp;TEXT(LOOKUP(9.99E+307,--MID(SUBSTITUTE($B50,CHAR(160)," "),SUMPRODUCT(MIN(FIND({0,1,2,3,4,5,6,7,8,9},SUBSTITUTE($B50,CHAR(160)," ")&amp;"0123456789"))),ROW(INDIRECT("1:6")))),"0"),"SIN NUMERO"))</f>
        <v>CONC 1963</v>
      </c>
      <c r="O50" t="str">
        <f ca="1">IF($N50="","",IF(LEFT(UPPER($P50),9)="VERIFICAR","VERIFICAR",IF(AND($H50&lt;&gt;"",COUNTIFS($N$2:$N$1000,$N50,$H$2:$H$1000,$H50)&gt;1),"DUPLICADA",IF(TRIM(IF($A50="","tipo ","")&amp;IF($F50="","fecha de firma ","")&amp;IF($G50="","decisión ","")&amp;IF($H50="","N° resolución ","")&amp;IF($I50="","N° dictamen",""))&lt;&gt;"","INCOMPLETA: "&amp;TRIM(IF($A50="","tipo ","")&amp;IF($F50="","fecha de firma ","")&amp;IF($G50="","decisión ","")&amp;IF($H50="","N° resolución ","")&amp;IF($I50="","N° dictamen","")),IF(LEFT($N50,4)&lt;&gt;"CONC","OK",IF(N($Q50)=0,IF(AND(ISNUMBER($E50),$E50&gt;=DATE(2024,1,1)),"FALTA EN evol_conc","OK"),IF(INDEX(evol_conc!$H:$H,$Q50)&lt;&gt;$F50,"FIRMA DISTINTA EN evol_conc ("&amp;IF(INDEX(evol_conc!$H:$H,$Q50)="","vacía",DAY(INDEX(evol_conc!$H:$H,$Q50))&amp;"/"&amp;MONTH(INDEX(evol_conc!$H:$H,$Q50))&amp;"/"&amp;YEAR(INDEX(evol_conc!$H:$H,$Q50)))&amp;")",IF(INDEX(evol_conc!$G:$G,$Q50)&lt;&gt;$E50,"INGRESO DISTINTO EN evol_conc ("&amp;IF(INDEX(evol_conc!$G:$G,$Q50)="","vacía",DAY(INDEX(evol_conc!$G:$G,$Q50))&amp;"/"&amp;MONTH(INDEX(evol_conc!$G:$G,$Q50))&amp;"/"&amp;YEAR(INDEX(evol_conc!$G:$G,$Q50)))&amp;")","OK"))))))))</f>
        <v>OK</v>
      </c>
      <c r="Q50">
        <f ca="1">IF($N50="","",IFERROR(MATCH($N50,evol_conc!$P:$P,0),0))</f>
        <v>41</v>
      </c>
    </row>
    <row r="51" spans="1:17" ht="18" hidden="1" customHeight="1" x14ac:dyDescent="0.25">
      <c r="A51" t="s">
        <v>624</v>
      </c>
      <c r="B51" t="s">
        <v>798</v>
      </c>
      <c r="D51" t="s">
        <v>799</v>
      </c>
      <c r="E51" s="16">
        <v>45231</v>
      </c>
      <c r="F51" s="16">
        <v>45511</v>
      </c>
      <c r="G51" t="s">
        <v>550</v>
      </c>
      <c r="H51" t="s">
        <v>800</v>
      </c>
      <c r="I51" t="s">
        <v>801</v>
      </c>
      <c r="J51" t="s">
        <v>802</v>
      </c>
      <c r="K51" t="s">
        <v>592</v>
      </c>
      <c r="L51" s="53">
        <f t="shared" si="0"/>
        <v>9.3333333333333339</v>
      </c>
      <c r="M51" s="19">
        <f t="shared" si="1"/>
        <v>280</v>
      </c>
      <c r="N51" t="str">
        <f ca="1">IF(TRIM(SUBSTITUTE($B51,CHAR(160)," "))="","",IFERROR(IF(ISNUMBER(SEARCH("INC",$B51)),"INC",IF(ISNUMBER(SEARCH("OPI",$B51)),"OPI",IF(ISNUMBER(SEARCH("DP",$B51)),"DP","CONC")))&amp;" "&amp;TEXT(LOOKUP(9.99E+307,--MID(SUBSTITUTE($B51,CHAR(160)," "),SUMPRODUCT(MIN(FIND({0,1,2,3,4,5,6,7,8,9},SUBSTITUTE($B51,CHAR(160)," ")&amp;"0123456789"))),ROW(INDIRECT("1:6")))),"0"),"SIN NUMERO"))</f>
        <v>CONC 1945</v>
      </c>
      <c r="O51" t="str">
        <f ca="1">IF($N51="","",IF(LEFT(UPPER($P51),9)="VERIFICAR","VERIFICAR",IF(AND($H51&lt;&gt;"",COUNTIFS($N$2:$N$1000,$N51,$H$2:$H$1000,$H51)&gt;1),"DUPLICADA",IF(TRIM(IF($A51="","tipo ","")&amp;IF($F51="","fecha de firma ","")&amp;IF($G51="","decisión ","")&amp;IF($H51="","N° resolución ","")&amp;IF($I51="","N° dictamen",""))&lt;&gt;"","INCOMPLETA: "&amp;TRIM(IF($A51="","tipo ","")&amp;IF($F51="","fecha de firma ","")&amp;IF($G51="","decisión ","")&amp;IF($H51="","N° resolución ","")&amp;IF($I51="","N° dictamen","")),IF(LEFT($N51,4)&lt;&gt;"CONC","OK",IF(N($Q51)=0,IF(AND(ISNUMBER($E51),$E51&gt;=DATE(2024,1,1)),"FALTA EN evol_conc","OK"),IF(INDEX(evol_conc!$H:$H,$Q51)&lt;&gt;$F51,"FIRMA DISTINTA EN evol_conc ("&amp;IF(INDEX(evol_conc!$H:$H,$Q51)="","vacía",DAY(INDEX(evol_conc!$H:$H,$Q51))&amp;"/"&amp;MONTH(INDEX(evol_conc!$H:$H,$Q51))&amp;"/"&amp;YEAR(INDEX(evol_conc!$H:$H,$Q51)))&amp;")",IF(INDEX(evol_conc!$G:$G,$Q51)&lt;&gt;$E51,"INGRESO DISTINTO EN evol_conc ("&amp;IF(INDEX(evol_conc!$G:$G,$Q51)="","vacía",DAY(INDEX(evol_conc!$G:$G,$Q51))&amp;"/"&amp;MONTH(INDEX(evol_conc!$G:$G,$Q51))&amp;"/"&amp;YEAR(INDEX(evol_conc!$G:$G,$Q51)))&amp;")","OK"))))))))</f>
        <v>OK</v>
      </c>
      <c r="Q51">
        <f ca="1">IF($N51="","",IFERROR(MATCH($N51,evol_conc!$P:$P,0),0))</f>
        <v>0</v>
      </c>
    </row>
    <row r="52" spans="1:17" ht="18" hidden="1" customHeight="1" x14ac:dyDescent="0.25">
      <c r="A52" t="s">
        <v>624</v>
      </c>
      <c r="B52" t="s">
        <v>803</v>
      </c>
      <c r="D52" t="s">
        <v>230</v>
      </c>
      <c r="E52" s="16">
        <v>45481</v>
      </c>
      <c r="F52" s="16">
        <v>45511</v>
      </c>
      <c r="G52" t="s">
        <v>550</v>
      </c>
      <c r="H52" t="s">
        <v>804</v>
      </c>
      <c r="I52" t="s">
        <v>805</v>
      </c>
      <c r="J52" t="s">
        <v>806</v>
      </c>
      <c r="K52" t="s">
        <v>581</v>
      </c>
      <c r="L52" s="53">
        <f t="shared" si="0"/>
        <v>1</v>
      </c>
      <c r="M52" s="19">
        <f t="shared" si="1"/>
        <v>30</v>
      </c>
      <c r="N52" t="str">
        <f ca="1">IF(TRIM(SUBSTITUTE($B52,CHAR(160)," "))="","",IFERROR(IF(ISNUMBER(SEARCH("INC",$B52)),"INC",IF(ISNUMBER(SEARCH("OPI",$B52)),"OPI",IF(ISNUMBER(SEARCH("DP",$B52)),"DP","CONC")))&amp;" "&amp;TEXT(LOOKUP(9.99E+307,--MID(SUBSTITUTE($B52,CHAR(160)," "),SUMPRODUCT(MIN(FIND({0,1,2,3,4,5,6,7,8,9},SUBSTITUTE($B52,CHAR(160)," ")&amp;"0123456789"))),ROW(INDIRECT("1:6")))),"0"),"SIN NUMERO"))</f>
        <v>CONC 1985</v>
      </c>
      <c r="O52" t="str">
        <f ca="1">IF($N52="","",IF(LEFT(UPPER($P52),9)="VERIFICAR","VERIFICAR",IF(AND($H52&lt;&gt;"",COUNTIFS($N$2:$N$1000,$N52,$H$2:$H$1000,$H52)&gt;1),"DUPLICADA",IF(TRIM(IF($A52="","tipo ","")&amp;IF($F52="","fecha de firma ","")&amp;IF($G52="","decisión ","")&amp;IF($H52="","N° resolución ","")&amp;IF($I52="","N° dictamen",""))&lt;&gt;"","INCOMPLETA: "&amp;TRIM(IF($A52="","tipo ","")&amp;IF($F52="","fecha de firma ","")&amp;IF($G52="","decisión ","")&amp;IF($H52="","N° resolución ","")&amp;IF($I52="","N° dictamen","")),IF(LEFT($N52,4)&lt;&gt;"CONC","OK",IF(N($Q52)=0,IF(AND(ISNUMBER($E52),$E52&gt;=DATE(2024,1,1)),"FALTA EN evol_conc","OK"),IF(INDEX(evol_conc!$H:$H,$Q52)&lt;&gt;$F52,"FIRMA DISTINTA EN evol_conc ("&amp;IF(INDEX(evol_conc!$H:$H,$Q52)="","vacía",DAY(INDEX(evol_conc!$H:$H,$Q52))&amp;"/"&amp;MONTH(INDEX(evol_conc!$H:$H,$Q52))&amp;"/"&amp;YEAR(INDEX(evol_conc!$H:$H,$Q52)))&amp;")",IF(INDEX(evol_conc!$G:$G,$Q52)&lt;&gt;$E52,"INGRESO DISTINTO EN evol_conc ("&amp;IF(INDEX(evol_conc!$G:$G,$Q52)="","vacía",DAY(INDEX(evol_conc!$G:$G,$Q52))&amp;"/"&amp;MONTH(INDEX(evol_conc!$G:$G,$Q52))&amp;"/"&amp;YEAR(INDEX(evol_conc!$G:$G,$Q52)))&amp;")","OK"))))))))</f>
        <v>OK</v>
      </c>
      <c r="Q52">
        <f ca="1">IF($N52="","",IFERROR(MATCH($N52,evol_conc!$P:$P,0),0))</f>
        <v>61</v>
      </c>
    </row>
    <row r="53" spans="1:17" ht="18" hidden="1" customHeight="1" x14ac:dyDescent="0.25">
      <c r="A53" t="s">
        <v>624</v>
      </c>
      <c r="B53" t="s">
        <v>807</v>
      </c>
      <c r="D53" t="s">
        <v>808</v>
      </c>
      <c r="E53" s="16">
        <v>44970</v>
      </c>
      <c r="F53" s="16">
        <v>45513</v>
      </c>
      <c r="G53" t="s">
        <v>550</v>
      </c>
      <c r="H53" t="s">
        <v>809</v>
      </c>
      <c r="I53" t="s">
        <v>810</v>
      </c>
      <c r="J53" t="s">
        <v>811</v>
      </c>
      <c r="K53" t="s">
        <v>592</v>
      </c>
      <c r="L53" s="53">
        <f t="shared" si="0"/>
        <v>18.100000000000001</v>
      </c>
      <c r="M53" s="19">
        <f t="shared" si="1"/>
        <v>543</v>
      </c>
      <c r="N53" t="str">
        <f ca="1">IF(TRIM(SUBSTITUTE($B53,CHAR(160)," "))="","",IFERROR(IF(ISNUMBER(SEARCH("INC",$B53)),"INC",IF(ISNUMBER(SEARCH("OPI",$B53)),"OPI",IF(ISNUMBER(SEARCH("DP",$B53)),"DP","CONC")))&amp;" "&amp;TEXT(LOOKUP(9.99E+307,--MID(SUBSTITUTE($B53,CHAR(160)," "),SUMPRODUCT(MIN(FIND({0,1,2,3,4,5,6,7,8,9},SUBSTITUTE($B53,CHAR(160)," ")&amp;"0123456789"))),ROW(INDIRECT("1:6")))),"0"),"SIN NUMERO"))</f>
        <v>CONC 1899</v>
      </c>
      <c r="O53" t="str">
        <f ca="1">IF($N53="","",IF(LEFT(UPPER($P53),9)="VERIFICAR","VERIFICAR",IF(AND($H53&lt;&gt;"",COUNTIFS($N$2:$N$1000,$N53,$H$2:$H$1000,$H53)&gt;1),"DUPLICADA",IF(TRIM(IF($A53="","tipo ","")&amp;IF($F53="","fecha de firma ","")&amp;IF($G53="","decisión ","")&amp;IF($H53="","N° resolución ","")&amp;IF($I53="","N° dictamen",""))&lt;&gt;"","INCOMPLETA: "&amp;TRIM(IF($A53="","tipo ","")&amp;IF($F53="","fecha de firma ","")&amp;IF($G53="","decisión ","")&amp;IF($H53="","N° resolución ","")&amp;IF($I53="","N° dictamen","")),IF(LEFT($N53,4)&lt;&gt;"CONC","OK",IF(N($Q53)=0,IF(AND(ISNUMBER($E53),$E53&gt;=DATE(2024,1,1)),"FALTA EN evol_conc","OK"),IF(INDEX(evol_conc!$H:$H,$Q53)&lt;&gt;$F53,"FIRMA DISTINTA EN evol_conc ("&amp;IF(INDEX(evol_conc!$H:$H,$Q53)="","vacía",DAY(INDEX(evol_conc!$H:$H,$Q53))&amp;"/"&amp;MONTH(INDEX(evol_conc!$H:$H,$Q53))&amp;"/"&amp;YEAR(INDEX(evol_conc!$H:$H,$Q53)))&amp;")",IF(INDEX(evol_conc!$G:$G,$Q53)&lt;&gt;$E53,"INGRESO DISTINTO EN evol_conc ("&amp;IF(INDEX(evol_conc!$G:$G,$Q53)="","vacía",DAY(INDEX(evol_conc!$G:$G,$Q53))&amp;"/"&amp;MONTH(INDEX(evol_conc!$G:$G,$Q53))&amp;"/"&amp;YEAR(INDEX(evol_conc!$G:$G,$Q53)))&amp;")","OK"))))))))</f>
        <v>OK</v>
      </c>
      <c r="Q53">
        <f ca="1">IF($N53="","",IFERROR(MATCH($N53,evol_conc!$P:$P,0),0))</f>
        <v>0</v>
      </c>
    </row>
    <row r="54" spans="1:17" ht="18" hidden="1" customHeight="1" x14ac:dyDescent="0.25">
      <c r="A54" t="s">
        <v>624</v>
      </c>
      <c r="B54" t="s">
        <v>812</v>
      </c>
      <c r="D54" s="22" t="s">
        <v>204</v>
      </c>
      <c r="E54" s="16">
        <v>45371</v>
      </c>
      <c r="F54" s="16">
        <v>45518</v>
      </c>
      <c r="G54" t="s">
        <v>550</v>
      </c>
      <c r="H54" t="s">
        <v>813</v>
      </c>
      <c r="I54" t="s">
        <v>814</v>
      </c>
      <c r="J54" t="s">
        <v>815</v>
      </c>
      <c r="K54" t="s">
        <v>592</v>
      </c>
      <c r="L54" s="53">
        <f t="shared" si="0"/>
        <v>4.9000000000000004</v>
      </c>
      <c r="M54" s="19">
        <f t="shared" si="1"/>
        <v>147</v>
      </c>
      <c r="N54" t="str">
        <f ca="1">IF(TRIM(SUBSTITUTE($B54,CHAR(160)," "))="","",IFERROR(IF(ISNUMBER(SEARCH("INC",$B54)),"INC",IF(ISNUMBER(SEARCH("OPI",$B54)),"OPI",IF(ISNUMBER(SEARCH("DP",$B54)),"DP","CONC")))&amp;" "&amp;TEXT(LOOKUP(9.99E+307,--MID(SUBSTITUTE($B54,CHAR(160)," "),SUMPRODUCT(MIN(FIND({0,1,2,3,4,5,6,7,8,9},SUBSTITUTE($B54,CHAR(160)," ")&amp;"0123456789"))),ROW(INDIRECT("1:6")))),"0"),"SIN NUMERO"))</f>
        <v>CONC 1964</v>
      </c>
      <c r="O54" t="str">
        <f ca="1">IF($N54="","",IF(LEFT(UPPER($P54),9)="VERIFICAR","VERIFICAR",IF(AND($H54&lt;&gt;"",COUNTIFS($N$2:$N$1000,$N54,$H$2:$H$1000,$H54)&gt;1),"DUPLICADA",IF(TRIM(IF($A54="","tipo ","")&amp;IF($F54="","fecha de firma ","")&amp;IF($G54="","decisión ","")&amp;IF($H54="","N° resolución ","")&amp;IF($I54="","N° dictamen",""))&lt;&gt;"","INCOMPLETA: "&amp;TRIM(IF($A54="","tipo ","")&amp;IF($F54="","fecha de firma ","")&amp;IF($G54="","decisión ","")&amp;IF($H54="","N° resolución ","")&amp;IF($I54="","N° dictamen","")),IF(LEFT($N54,4)&lt;&gt;"CONC","OK",IF(N($Q54)=0,IF(AND(ISNUMBER($E54),$E54&gt;=DATE(2024,1,1)),"FALTA EN evol_conc","OK"),IF(INDEX(evol_conc!$H:$H,$Q54)&lt;&gt;$F54,"FIRMA DISTINTA EN evol_conc ("&amp;IF(INDEX(evol_conc!$H:$H,$Q54)="","vacía",DAY(INDEX(evol_conc!$H:$H,$Q54))&amp;"/"&amp;MONTH(INDEX(evol_conc!$H:$H,$Q54))&amp;"/"&amp;YEAR(INDEX(evol_conc!$H:$H,$Q54)))&amp;")",IF(INDEX(evol_conc!$G:$G,$Q54)&lt;&gt;$E54,"INGRESO DISTINTO EN evol_conc ("&amp;IF(INDEX(evol_conc!$G:$G,$Q54)="","vacía",DAY(INDEX(evol_conc!$G:$G,$Q54))&amp;"/"&amp;MONTH(INDEX(evol_conc!$G:$G,$Q54))&amp;"/"&amp;YEAR(INDEX(evol_conc!$G:$G,$Q54)))&amp;")","OK"))))))))</f>
        <v>OK</v>
      </c>
      <c r="Q54">
        <f ca="1">IF($N54="","",IFERROR(MATCH($N54,evol_conc!$P:$P,0),0))</f>
        <v>42</v>
      </c>
    </row>
    <row r="55" spans="1:17" ht="18" hidden="1" customHeight="1" x14ac:dyDescent="0.25">
      <c r="A55" t="s">
        <v>624</v>
      </c>
      <c r="B55" t="s">
        <v>816</v>
      </c>
      <c r="D55" t="s">
        <v>221</v>
      </c>
      <c r="E55" s="16">
        <v>45448</v>
      </c>
      <c r="F55" s="16">
        <v>45518</v>
      </c>
      <c r="G55" t="s">
        <v>550</v>
      </c>
      <c r="H55" t="s">
        <v>817</v>
      </c>
      <c r="I55" t="s">
        <v>818</v>
      </c>
      <c r="J55" t="s">
        <v>819</v>
      </c>
      <c r="K55" t="s">
        <v>560</v>
      </c>
      <c r="L55" s="53">
        <f t="shared" si="0"/>
        <v>2.3333333333333335</v>
      </c>
      <c r="M55" s="19">
        <f t="shared" si="1"/>
        <v>70</v>
      </c>
      <c r="N55" t="str">
        <f ca="1">IF(TRIM(SUBSTITUTE($B55,CHAR(160)," "))="","",IFERROR(IF(ISNUMBER(SEARCH("INC",$B55)),"INC",IF(ISNUMBER(SEARCH("OPI",$B55)),"OPI",IF(ISNUMBER(SEARCH("DP",$B55)),"DP","CONC")))&amp;" "&amp;TEXT(LOOKUP(9.99E+307,--MID(SUBSTITUTE($B55,CHAR(160)," "),SUMPRODUCT(MIN(FIND({0,1,2,3,4,5,6,7,8,9},SUBSTITUTE($B55,CHAR(160)," ")&amp;"0123456789"))),ROW(INDIRECT("1:6")))),"0"),"SIN NUMERO"))</f>
        <v>CONC 1980</v>
      </c>
      <c r="O55" t="str">
        <f ca="1">IF($N55="","",IF(LEFT(UPPER($P55),9)="VERIFICAR","VERIFICAR",IF(AND($H55&lt;&gt;"",COUNTIFS($N$2:$N$1000,$N55,$H$2:$H$1000,$H55)&gt;1),"DUPLICADA",IF(TRIM(IF($A55="","tipo ","")&amp;IF($F55="","fecha de firma ","")&amp;IF($G55="","decisión ","")&amp;IF($H55="","N° resolución ","")&amp;IF($I55="","N° dictamen",""))&lt;&gt;"","INCOMPLETA: "&amp;TRIM(IF($A55="","tipo ","")&amp;IF($F55="","fecha de firma ","")&amp;IF($G55="","decisión ","")&amp;IF($H55="","N° resolución ","")&amp;IF($I55="","N° dictamen","")),IF(LEFT($N55,4)&lt;&gt;"CONC","OK",IF(N($Q55)=0,IF(AND(ISNUMBER($E55),$E55&gt;=DATE(2024,1,1)),"FALTA EN evol_conc","OK"),IF(INDEX(evol_conc!$H:$H,$Q55)&lt;&gt;$F55,"FIRMA DISTINTA EN evol_conc ("&amp;IF(INDEX(evol_conc!$H:$H,$Q55)="","vacía",DAY(INDEX(evol_conc!$H:$H,$Q55))&amp;"/"&amp;MONTH(INDEX(evol_conc!$H:$H,$Q55))&amp;"/"&amp;YEAR(INDEX(evol_conc!$H:$H,$Q55)))&amp;")",IF(INDEX(evol_conc!$G:$G,$Q55)&lt;&gt;$E55,"INGRESO DISTINTO EN evol_conc ("&amp;IF(INDEX(evol_conc!$G:$G,$Q55)="","vacía",DAY(INDEX(evol_conc!$G:$G,$Q55))&amp;"/"&amp;MONTH(INDEX(evol_conc!$G:$G,$Q55))&amp;"/"&amp;YEAR(INDEX(evol_conc!$G:$G,$Q55)))&amp;")","OK"))))))))</f>
        <v>OK</v>
      </c>
      <c r="Q55">
        <f ca="1">IF($N55="","",IFERROR(MATCH($N55,evol_conc!$P:$P,0),0))</f>
        <v>56</v>
      </c>
    </row>
    <row r="56" spans="1:17" ht="18" hidden="1" customHeight="1" x14ac:dyDescent="0.25">
      <c r="A56" t="s">
        <v>624</v>
      </c>
      <c r="B56" t="s">
        <v>820</v>
      </c>
      <c r="D56" s="22" t="s">
        <v>821</v>
      </c>
      <c r="E56" s="16">
        <v>44936</v>
      </c>
      <c r="F56" s="16">
        <v>45519</v>
      </c>
      <c r="G56" t="s">
        <v>550</v>
      </c>
      <c r="H56" t="s">
        <v>822</v>
      </c>
      <c r="I56" t="s">
        <v>823</v>
      </c>
      <c r="J56" t="s">
        <v>824</v>
      </c>
      <c r="K56" t="s">
        <v>581</v>
      </c>
      <c r="L56" s="53">
        <f t="shared" si="0"/>
        <v>19.433333333333334</v>
      </c>
      <c r="M56" s="19">
        <f t="shared" si="1"/>
        <v>583</v>
      </c>
      <c r="N56" t="str">
        <f ca="1">IF(TRIM(SUBSTITUTE($B56,CHAR(160)," "))="","",IFERROR(IF(ISNUMBER(SEARCH("INC",$B56)),"INC",IF(ISNUMBER(SEARCH("OPI",$B56)),"OPI",IF(ISNUMBER(SEARCH("DP",$B56)),"DP","CONC")))&amp;" "&amp;TEXT(LOOKUP(9.99E+307,--MID(SUBSTITUTE($B56,CHAR(160)," "),SUMPRODUCT(MIN(FIND({0,1,2,3,4,5,6,7,8,9},SUBSTITUTE($B56,CHAR(160)," ")&amp;"0123456789"))),ROW(INDIRECT("1:6")))),"0"),"SIN NUMERO"))</f>
        <v>CONC 1895</v>
      </c>
      <c r="O56" t="str">
        <f ca="1">IF($N56="","",IF(LEFT(UPPER($P56),9)="VERIFICAR","VERIFICAR",IF(AND($H56&lt;&gt;"",COUNTIFS($N$2:$N$1000,$N56,$H$2:$H$1000,$H56)&gt;1),"DUPLICADA",IF(TRIM(IF($A56="","tipo ","")&amp;IF($F56="","fecha de firma ","")&amp;IF($G56="","decisión ","")&amp;IF($H56="","N° resolución ","")&amp;IF($I56="","N° dictamen",""))&lt;&gt;"","INCOMPLETA: "&amp;TRIM(IF($A56="","tipo ","")&amp;IF($F56="","fecha de firma ","")&amp;IF($G56="","decisión ","")&amp;IF($H56="","N° resolución ","")&amp;IF($I56="","N° dictamen","")),IF(LEFT($N56,4)&lt;&gt;"CONC","OK",IF(N($Q56)=0,IF(AND(ISNUMBER($E56),$E56&gt;=DATE(2024,1,1)),"FALTA EN evol_conc","OK"),IF(INDEX(evol_conc!$H:$H,$Q56)&lt;&gt;$F56,"FIRMA DISTINTA EN evol_conc ("&amp;IF(INDEX(evol_conc!$H:$H,$Q56)="","vacía",DAY(INDEX(evol_conc!$H:$H,$Q56))&amp;"/"&amp;MONTH(INDEX(evol_conc!$H:$H,$Q56))&amp;"/"&amp;YEAR(INDEX(evol_conc!$H:$H,$Q56)))&amp;")",IF(INDEX(evol_conc!$G:$G,$Q56)&lt;&gt;$E56,"INGRESO DISTINTO EN evol_conc ("&amp;IF(INDEX(evol_conc!$G:$G,$Q56)="","vacía",DAY(INDEX(evol_conc!$G:$G,$Q56))&amp;"/"&amp;MONTH(INDEX(evol_conc!$G:$G,$Q56))&amp;"/"&amp;YEAR(INDEX(evol_conc!$G:$G,$Q56)))&amp;")","OK"))))))))</f>
        <v>OK</v>
      </c>
      <c r="Q56">
        <f ca="1">IF($N56="","",IFERROR(MATCH($N56,evol_conc!$P:$P,0),0))</f>
        <v>0</v>
      </c>
    </row>
    <row r="57" spans="1:17" ht="18" hidden="1" customHeight="1" x14ac:dyDescent="0.25">
      <c r="A57" t="s">
        <v>624</v>
      </c>
      <c r="B57" t="s">
        <v>825</v>
      </c>
      <c r="D57" s="22" t="s">
        <v>826</v>
      </c>
      <c r="E57" s="16">
        <v>45252</v>
      </c>
      <c r="F57" s="16">
        <v>45520</v>
      </c>
      <c r="G57" t="s">
        <v>550</v>
      </c>
      <c r="H57" t="s">
        <v>827</v>
      </c>
      <c r="I57" t="s">
        <v>828</v>
      </c>
      <c r="J57" t="s">
        <v>829</v>
      </c>
      <c r="K57" t="s">
        <v>560</v>
      </c>
      <c r="L57" s="53">
        <f t="shared" si="0"/>
        <v>8.9333333333333336</v>
      </c>
      <c r="M57" s="19">
        <f t="shared" si="1"/>
        <v>268</v>
      </c>
      <c r="N57" t="str">
        <f ca="1">IF(TRIM(SUBSTITUTE($B57,CHAR(160)," "))="","",IFERROR(IF(ISNUMBER(SEARCH("INC",$B57)),"INC",IF(ISNUMBER(SEARCH("OPI",$B57)),"OPI",IF(ISNUMBER(SEARCH("DP",$B57)),"DP","CONC")))&amp;" "&amp;TEXT(LOOKUP(9.99E+307,--MID(SUBSTITUTE($B57,CHAR(160)," "),SUMPRODUCT(MIN(FIND({0,1,2,3,4,5,6,7,8,9},SUBSTITUTE($B57,CHAR(160)," ")&amp;"0123456789"))),ROW(INDIRECT("1:6")))),"0"),"SIN NUMERO"))</f>
        <v>CONC 1947</v>
      </c>
      <c r="O57" t="str">
        <f ca="1">IF($N57="","",IF(LEFT(UPPER($P57),9)="VERIFICAR","VERIFICAR",IF(AND($H57&lt;&gt;"",COUNTIFS($N$2:$N$1000,$N57,$H$2:$H$1000,$H57)&gt;1),"DUPLICADA",IF(TRIM(IF($A57="","tipo ","")&amp;IF($F57="","fecha de firma ","")&amp;IF($G57="","decisión ","")&amp;IF($H57="","N° resolución ","")&amp;IF($I57="","N° dictamen",""))&lt;&gt;"","INCOMPLETA: "&amp;TRIM(IF($A57="","tipo ","")&amp;IF($F57="","fecha de firma ","")&amp;IF($G57="","decisión ","")&amp;IF($H57="","N° resolución ","")&amp;IF($I57="","N° dictamen","")),IF(LEFT($N57,4)&lt;&gt;"CONC","OK",IF(N($Q57)=0,IF(AND(ISNUMBER($E57),$E57&gt;=DATE(2024,1,1)),"FALTA EN evol_conc","OK"),IF(INDEX(evol_conc!$H:$H,$Q57)&lt;&gt;$F57,"FIRMA DISTINTA EN evol_conc ("&amp;IF(INDEX(evol_conc!$H:$H,$Q57)="","vacía",DAY(INDEX(evol_conc!$H:$H,$Q57))&amp;"/"&amp;MONTH(INDEX(evol_conc!$H:$H,$Q57))&amp;"/"&amp;YEAR(INDEX(evol_conc!$H:$H,$Q57)))&amp;")",IF(INDEX(evol_conc!$G:$G,$Q57)&lt;&gt;$E57,"INGRESO DISTINTO EN evol_conc ("&amp;IF(INDEX(evol_conc!$G:$G,$Q57)="","vacía",DAY(INDEX(evol_conc!$G:$G,$Q57))&amp;"/"&amp;MONTH(INDEX(evol_conc!$G:$G,$Q57))&amp;"/"&amp;YEAR(INDEX(evol_conc!$G:$G,$Q57)))&amp;")","OK"))))))))</f>
        <v>OK</v>
      </c>
      <c r="Q57">
        <f ca="1">IF($N57="","",IFERROR(MATCH($N57,evol_conc!$P:$P,0),0))</f>
        <v>0</v>
      </c>
    </row>
    <row r="58" spans="1:17" ht="18" hidden="1" customHeight="1" x14ac:dyDescent="0.25">
      <c r="A58" t="s">
        <v>624</v>
      </c>
      <c r="B58" t="s">
        <v>830</v>
      </c>
      <c r="D58" s="22" t="s">
        <v>217</v>
      </c>
      <c r="E58" s="16">
        <v>45446</v>
      </c>
      <c r="F58" s="16">
        <v>45520</v>
      </c>
      <c r="G58" t="s">
        <v>831</v>
      </c>
      <c r="H58" t="s">
        <v>832</v>
      </c>
      <c r="I58" t="s">
        <v>833</v>
      </c>
      <c r="J58" t="s">
        <v>834</v>
      </c>
      <c r="L58" s="53">
        <f t="shared" si="0"/>
        <v>2.4666666666666668</v>
      </c>
      <c r="M58" s="19">
        <f t="shared" si="1"/>
        <v>74</v>
      </c>
      <c r="N58" t="str">
        <f ca="1">IF(TRIM(SUBSTITUTE($B58,CHAR(160)," "))="","",IFERROR(IF(ISNUMBER(SEARCH("INC",$B58)),"INC",IF(ISNUMBER(SEARCH("OPI",$B58)),"OPI",IF(ISNUMBER(SEARCH("DP",$B58)),"DP","CONC")))&amp;" "&amp;TEXT(LOOKUP(9.99E+307,--MID(SUBSTITUTE($B58,CHAR(160)," "),SUMPRODUCT(MIN(FIND({0,1,2,3,4,5,6,7,8,9},SUBSTITUTE($B58,CHAR(160)," ")&amp;"0123456789"))),ROW(INDIRECT("1:6")))),"0"),"SIN NUMERO"))</f>
        <v>CONC 1978</v>
      </c>
      <c r="O58" t="str">
        <f ca="1">IF($N58="","",IF(LEFT(UPPER($P58),9)="VERIFICAR","VERIFICAR",IF(AND($H58&lt;&gt;"",COUNTIFS($N$2:$N$1000,$N58,$H$2:$H$1000,$H58)&gt;1),"DUPLICADA",IF(TRIM(IF($A58="","tipo ","")&amp;IF($F58="","fecha de firma ","")&amp;IF($G58="","decisión ","")&amp;IF($H58="","N° resolución ","")&amp;IF($I58="","N° dictamen",""))&lt;&gt;"","INCOMPLETA: "&amp;TRIM(IF($A58="","tipo ","")&amp;IF($F58="","fecha de firma ","")&amp;IF($G58="","decisión ","")&amp;IF($H58="","N° resolución ","")&amp;IF($I58="","N° dictamen","")),IF(LEFT($N58,4)&lt;&gt;"CONC","OK",IF(N($Q58)=0,IF(AND(ISNUMBER($E58),$E58&gt;=DATE(2024,1,1)),"FALTA EN evol_conc","OK"),IF(INDEX(evol_conc!$H:$H,$Q58)&lt;&gt;$F58,"FIRMA DISTINTA EN evol_conc ("&amp;IF(INDEX(evol_conc!$H:$H,$Q58)="","vacía",DAY(INDEX(evol_conc!$H:$H,$Q58))&amp;"/"&amp;MONTH(INDEX(evol_conc!$H:$H,$Q58))&amp;"/"&amp;YEAR(INDEX(evol_conc!$H:$H,$Q58)))&amp;")",IF(INDEX(evol_conc!$G:$G,$Q58)&lt;&gt;$E58,"INGRESO DISTINTO EN evol_conc ("&amp;IF(INDEX(evol_conc!$G:$G,$Q58)="","vacía",DAY(INDEX(evol_conc!$G:$G,$Q58))&amp;"/"&amp;MONTH(INDEX(evol_conc!$G:$G,$Q58))&amp;"/"&amp;YEAR(INDEX(evol_conc!$G:$G,$Q58)))&amp;")","OK"))))))))</f>
        <v>OK</v>
      </c>
      <c r="Q58">
        <f ca="1">IF($N58="","",IFERROR(MATCH($N58,evol_conc!$P:$P,0),0))</f>
        <v>54</v>
      </c>
    </row>
    <row r="59" spans="1:17" ht="18" hidden="1" customHeight="1" x14ac:dyDescent="0.25">
      <c r="A59" t="s">
        <v>624</v>
      </c>
      <c r="B59" t="s">
        <v>835</v>
      </c>
      <c r="D59" s="22" t="s">
        <v>836</v>
      </c>
      <c r="E59" s="16">
        <v>44965</v>
      </c>
      <c r="F59" s="16">
        <v>45530</v>
      </c>
      <c r="G59" t="s">
        <v>550</v>
      </c>
      <c r="H59" t="s">
        <v>837</v>
      </c>
      <c r="I59" t="s">
        <v>838</v>
      </c>
      <c r="J59" t="s">
        <v>839</v>
      </c>
      <c r="K59" t="s">
        <v>592</v>
      </c>
      <c r="L59" s="53">
        <f t="shared" si="0"/>
        <v>18.833333333333332</v>
      </c>
      <c r="M59" s="19">
        <f t="shared" si="1"/>
        <v>565</v>
      </c>
      <c r="N59" t="str">
        <f ca="1">IF(TRIM(SUBSTITUTE($B59,CHAR(160)," "))="","",IFERROR(IF(ISNUMBER(SEARCH("INC",$B59)),"INC",IF(ISNUMBER(SEARCH("OPI",$B59)),"OPI",IF(ISNUMBER(SEARCH("DP",$B59)),"DP","CONC")))&amp;" "&amp;TEXT(LOOKUP(9.99E+307,--MID(SUBSTITUTE($B59,CHAR(160)," "),SUMPRODUCT(MIN(FIND({0,1,2,3,4,5,6,7,8,9},SUBSTITUTE($B59,CHAR(160)," ")&amp;"0123456789"))),ROW(INDIRECT("1:6")))),"0"),"SIN NUMERO"))</f>
        <v>CONC 1897</v>
      </c>
      <c r="O59" t="str">
        <f ca="1">IF($N59="","",IF(LEFT(UPPER($P59),9)="VERIFICAR","VERIFICAR",IF(AND($H59&lt;&gt;"",COUNTIFS($N$2:$N$1000,$N59,$H$2:$H$1000,$H59)&gt;1),"DUPLICADA",IF(TRIM(IF($A59="","tipo ","")&amp;IF($F59="","fecha de firma ","")&amp;IF($G59="","decisión ","")&amp;IF($H59="","N° resolución ","")&amp;IF($I59="","N° dictamen",""))&lt;&gt;"","INCOMPLETA: "&amp;TRIM(IF($A59="","tipo ","")&amp;IF($F59="","fecha de firma ","")&amp;IF($G59="","decisión ","")&amp;IF($H59="","N° resolución ","")&amp;IF($I59="","N° dictamen","")),IF(LEFT($N59,4)&lt;&gt;"CONC","OK",IF(N($Q59)=0,IF(AND(ISNUMBER($E59),$E59&gt;=DATE(2024,1,1)),"FALTA EN evol_conc","OK"),IF(INDEX(evol_conc!$H:$H,$Q59)&lt;&gt;$F59,"FIRMA DISTINTA EN evol_conc ("&amp;IF(INDEX(evol_conc!$H:$H,$Q59)="","vacía",DAY(INDEX(evol_conc!$H:$H,$Q59))&amp;"/"&amp;MONTH(INDEX(evol_conc!$H:$H,$Q59))&amp;"/"&amp;YEAR(INDEX(evol_conc!$H:$H,$Q59)))&amp;")",IF(INDEX(evol_conc!$G:$G,$Q59)&lt;&gt;$E59,"INGRESO DISTINTO EN evol_conc ("&amp;IF(INDEX(evol_conc!$G:$G,$Q59)="","vacía",DAY(INDEX(evol_conc!$G:$G,$Q59))&amp;"/"&amp;MONTH(INDEX(evol_conc!$G:$G,$Q59))&amp;"/"&amp;YEAR(INDEX(evol_conc!$G:$G,$Q59)))&amp;")","OK"))))))))</f>
        <v>OK</v>
      </c>
      <c r="Q59">
        <f ca="1">IF($N59="","",IFERROR(MATCH($N59,evol_conc!$P:$P,0),0))</f>
        <v>0</v>
      </c>
    </row>
    <row r="60" spans="1:17" ht="18" hidden="1" customHeight="1" x14ac:dyDescent="0.25">
      <c r="A60" t="s">
        <v>624</v>
      </c>
      <c r="B60" t="s">
        <v>840</v>
      </c>
      <c r="D60" s="22" t="s">
        <v>841</v>
      </c>
      <c r="E60" s="16">
        <v>45028</v>
      </c>
      <c r="F60" s="16">
        <v>45530</v>
      </c>
      <c r="G60" t="s">
        <v>550</v>
      </c>
      <c r="H60" t="s">
        <v>842</v>
      </c>
      <c r="I60" t="s">
        <v>843</v>
      </c>
      <c r="J60" t="s">
        <v>844</v>
      </c>
      <c r="K60" t="s">
        <v>560</v>
      </c>
      <c r="L60" s="53">
        <f t="shared" si="0"/>
        <v>16.733333333333334</v>
      </c>
      <c r="M60" s="19">
        <f t="shared" si="1"/>
        <v>502</v>
      </c>
      <c r="N60" t="str">
        <f ca="1">IF(TRIM(SUBSTITUTE($B60,CHAR(160)," "))="","",IFERROR(IF(ISNUMBER(SEARCH("INC",$B60)),"INC",IF(ISNUMBER(SEARCH("OPI",$B60)),"OPI",IF(ISNUMBER(SEARCH("DP",$B60)),"DP","CONC")))&amp;" "&amp;TEXT(LOOKUP(9.99E+307,--MID(SUBSTITUTE($B60,CHAR(160)," "),SUMPRODUCT(MIN(FIND({0,1,2,3,4,5,6,7,8,9},SUBSTITUTE($B60,CHAR(160)," ")&amp;"0123456789"))),ROW(INDIRECT("1:6")))),"0"),"SIN NUMERO"))</f>
        <v>CONC 1909</v>
      </c>
      <c r="O60" t="str">
        <f ca="1">IF($N60="","",IF(LEFT(UPPER($P60),9)="VERIFICAR","VERIFICAR",IF(AND($H60&lt;&gt;"",COUNTIFS($N$2:$N$1000,$N60,$H$2:$H$1000,$H60)&gt;1),"DUPLICADA",IF(TRIM(IF($A60="","tipo ","")&amp;IF($F60="","fecha de firma ","")&amp;IF($G60="","decisión ","")&amp;IF($H60="","N° resolución ","")&amp;IF($I60="","N° dictamen",""))&lt;&gt;"","INCOMPLETA: "&amp;TRIM(IF($A60="","tipo ","")&amp;IF($F60="","fecha de firma ","")&amp;IF($G60="","decisión ","")&amp;IF($H60="","N° resolución ","")&amp;IF($I60="","N° dictamen","")),IF(LEFT($N60,4)&lt;&gt;"CONC","OK",IF(N($Q60)=0,IF(AND(ISNUMBER($E60),$E60&gt;=DATE(2024,1,1)),"FALTA EN evol_conc","OK"),IF(INDEX(evol_conc!$H:$H,$Q60)&lt;&gt;$F60,"FIRMA DISTINTA EN evol_conc ("&amp;IF(INDEX(evol_conc!$H:$H,$Q60)="","vacía",DAY(INDEX(evol_conc!$H:$H,$Q60))&amp;"/"&amp;MONTH(INDEX(evol_conc!$H:$H,$Q60))&amp;"/"&amp;YEAR(INDEX(evol_conc!$H:$H,$Q60)))&amp;")",IF(INDEX(evol_conc!$G:$G,$Q60)&lt;&gt;$E60,"INGRESO DISTINTO EN evol_conc ("&amp;IF(INDEX(evol_conc!$G:$G,$Q60)="","vacía",DAY(INDEX(evol_conc!$G:$G,$Q60))&amp;"/"&amp;MONTH(INDEX(evol_conc!$G:$G,$Q60))&amp;"/"&amp;YEAR(INDEX(evol_conc!$G:$G,$Q60)))&amp;")","OK"))))))))</f>
        <v>OK</v>
      </c>
      <c r="Q60">
        <f ca="1">IF($N60="","",IFERROR(MATCH($N60,evol_conc!$P:$P,0),0))</f>
        <v>0</v>
      </c>
    </row>
    <row r="61" spans="1:17" ht="18" hidden="1" customHeight="1" x14ac:dyDescent="0.25">
      <c r="A61" t="s">
        <v>624</v>
      </c>
      <c r="B61" t="s">
        <v>845</v>
      </c>
      <c r="D61" s="22" t="s">
        <v>846</v>
      </c>
      <c r="E61" s="16">
        <v>44966</v>
      </c>
      <c r="F61" s="16">
        <v>45532</v>
      </c>
      <c r="G61" t="s">
        <v>550</v>
      </c>
      <c r="H61" t="s">
        <v>847</v>
      </c>
      <c r="I61" t="s">
        <v>848</v>
      </c>
      <c r="J61" t="s">
        <v>839</v>
      </c>
      <c r="K61" t="s">
        <v>592</v>
      </c>
      <c r="L61" s="53">
        <f t="shared" si="0"/>
        <v>18.866666666666667</v>
      </c>
      <c r="M61" s="19">
        <f t="shared" si="1"/>
        <v>566</v>
      </c>
      <c r="N61" t="str">
        <f ca="1">IF(TRIM(SUBSTITUTE($B61,CHAR(160)," "))="","",IFERROR(IF(ISNUMBER(SEARCH("INC",$B61)),"INC",IF(ISNUMBER(SEARCH("OPI",$B61)),"OPI",IF(ISNUMBER(SEARCH("DP",$B61)),"DP","CONC")))&amp;" "&amp;TEXT(LOOKUP(9.99E+307,--MID(SUBSTITUTE($B61,CHAR(160)," "),SUMPRODUCT(MIN(FIND({0,1,2,3,4,5,6,7,8,9},SUBSTITUTE($B61,CHAR(160)," ")&amp;"0123456789"))),ROW(INDIRECT("1:6")))),"0"),"SIN NUMERO"))</f>
        <v>CONC 1898</v>
      </c>
      <c r="O61" t="str">
        <f ca="1">IF($N61="","",IF(LEFT(UPPER($P61),9)="VERIFICAR","VERIFICAR",IF(AND($H61&lt;&gt;"",COUNTIFS($N$2:$N$1000,$N61,$H$2:$H$1000,$H61)&gt;1),"DUPLICADA",IF(TRIM(IF($A61="","tipo ","")&amp;IF($F61="","fecha de firma ","")&amp;IF($G61="","decisión ","")&amp;IF($H61="","N° resolución ","")&amp;IF($I61="","N° dictamen",""))&lt;&gt;"","INCOMPLETA: "&amp;TRIM(IF($A61="","tipo ","")&amp;IF($F61="","fecha de firma ","")&amp;IF($G61="","decisión ","")&amp;IF($H61="","N° resolución ","")&amp;IF($I61="","N° dictamen","")),IF(LEFT($N61,4)&lt;&gt;"CONC","OK",IF(N($Q61)=0,IF(AND(ISNUMBER($E61),$E61&gt;=DATE(2024,1,1)),"FALTA EN evol_conc","OK"),IF(INDEX(evol_conc!$H:$H,$Q61)&lt;&gt;$F61,"FIRMA DISTINTA EN evol_conc ("&amp;IF(INDEX(evol_conc!$H:$H,$Q61)="","vacía",DAY(INDEX(evol_conc!$H:$H,$Q61))&amp;"/"&amp;MONTH(INDEX(evol_conc!$H:$H,$Q61))&amp;"/"&amp;YEAR(INDEX(evol_conc!$H:$H,$Q61)))&amp;")",IF(INDEX(evol_conc!$G:$G,$Q61)&lt;&gt;$E61,"INGRESO DISTINTO EN evol_conc ("&amp;IF(INDEX(evol_conc!$G:$G,$Q61)="","vacía",DAY(INDEX(evol_conc!$G:$G,$Q61))&amp;"/"&amp;MONTH(INDEX(evol_conc!$G:$G,$Q61))&amp;"/"&amp;YEAR(INDEX(evol_conc!$G:$G,$Q61)))&amp;")","OK"))))))))</f>
        <v>OK</v>
      </c>
      <c r="Q61">
        <f ca="1">IF($N61="","",IFERROR(MATCH($N61,evol_conc!$P:$P,0),0))</f>
        <v>0</v>
      </c>
    </row>
    <row r="62" spans="1:17" ht="18" hidden="1" customHeight="1" x14ac:dyDescent="0.25">
      <c r="A62" t="s">
        <v>624</v>
      </c>
      <c r="B62" t="s">
        <v>849</v>
      </c>
      <c r="D62" s="22" t="s">
        <v>210</v>
      </c>
      <c r="E62" s="16">
        <v>45406</v>
      </c>
      <c r="F62" s="16">
        <v>45533</v>
      </c>
      <c r="G62" t="s">
        <v>550</v>
      </c>
      <c r="H62" t="s">
        <v>850</v>
      </c>
      <c r="I62" t="s">
        <v>851</v>
      </c>
      <c r="J62" t="s">
        <v>852</v>
      </c>
      <c r="K62" t="s">
        <v>592</v>
      </c>
      <c r="L62" s="53">
        <f t="shared" si="0"/>
        <v>4.2333333333333334</v>
      </c>
      <c r="M62" s="19">
        <f t="shared" si="1"/>
        <v>127</v>
      </c>
      <c r="N62" t="str">
        <f ca="1">IF(TRIM(SUBSTITUTE($B62,CHAR(160)," "))="","",IFERROR(IF(ISNUMBER(SEARCH("INC",$B62)),"INC",IF(ISNUMBER(SEARCH("OPI",$B62)),"OPI",IF(ISNUMBER(SEARCH("DP",$B62)),"DP","CONC")))&amp;" "&amp;TEXT(LOOKUP(9.99E+307,--MID(SUBSTITUTE($B62,CHAR(160)," "),SUMPRODUCT(MIN(FIND({0,1,2,3,4,5,6,7,8,9},SUBSTITUTE($B62,CHAR(160)," ")&amp;"0123456789"))),ROW(INDIRECT("1:6")))),"0"),"SIN NUMERO"))</f>
        <v>CONC 1971</v>
      </c>
      <c r="O62" t="str">
        <f ca="1">IF($N62="","",IF(LEFT(UPPER($P62),9)="VERIFICAR","VERIFICAR",IF(AND($H62&lt;&gt;"",COUNTIFS($N$2:$N$1000,$N62,$H$2:$H$1000,$H62)&gt;1),"DUPLICADA",IF(TRIM(IF($A62="","tipo ","")&amp;IF($F62="","fecha de firma ","")&amp;IF($G62="","decisión ","")&amp;IF($H62="","N° resolución ","")&amp;IF($I62="","N° dictamen",""))&lt;&gt;"","INCOMPLETA: "&amp;TRIM(IF($A62="","tipo ","")&amp;IF($F62="","fecha de firma ","")&amp;IF($G62="","decisión ","")&amp;IF($H62="","N° resolución ","")&amp;IF($I62="","N° dictamen","")),IF(LEFT($N62,4)&lt;&gt;"CONC","OK",IF(N($Q62)=0,IF(AND(ISNUMBER($E62),$E62&gt;=DATE(2024,1,1)),"FALTA EN evol_conc","OK"),IF(INDEX(evol_conc!$H:$H,$Q62)&lt;&gt;$F62,"FIRMA DISTINTA EN evol_conc ("&amp;IF(INDEX(evol_conc!$H:$H,$Q62)="","vacía",DAY(INDEX(evol_conc!$H:$H,$Q62))&amp;"/"&amp;MONTH(INDEX(evol_conc!$H:$H,$Q62))&amp;"/"&amp;YEAR(INDEX(evol_conc!$H:$H,$Q62)))&amp;")",IF(INDEX(evol_conc!$G:$G,$Q62)&lt;&gt;$E62,"INGRESO DISTINTO EN evol_conc ("&amp;IF(INDEX(evol_conc!$G:$G,$Q62)="","vacía",DAY(INDEX(evol_conc!$G:$G,$Q62))&amp;"/"&amp;MONTH(INDEX(evol_conc!$G:$G,$Q62))&amp;"/"&amp;YEAR(INDEX(evol_conc!$G:$G,$Q62)))&amp;")","OK"))))))))</f>
        <v>OK</v>
      </c>
      <c r="Q62">
        <f ca="1">IF($N62="","",IFERROR(MATCH($N62,evol_conc!$P:$P,0),0))</f>
        <v>48</v>
      </c>
    </row>
    <row r="63" spans="1:17" ht="18" hidden="1" customHeight="1" x14ac:dyDescent="0.25">
      <c r="A63" t="s">
        <v>624</v>
      </c>
      <c r="B63" t="s">
        <v>853</v>
      </c>
      <c r="D63" s="22" t="s">
        <v>225</v>
      </c>
      <c r="E63" s="16">
        <v>45462</v>
      </c>
      <c r="F63" s="16">
        <v>45533</v>
      </c>
      <c r="G63" t="s">
        <v>550</v>
      </c>
      <c r="H63" t="s">
        <v>854</v>
      </c>
      <c r="I63" t="s">
        <v>855</v>
      </c>
      <c r="J63" t="s">
        <v>856</v>
      </c>
      <c r="K63" t="s">
        <v>581</v>
      </c>
      <c r="L63" s="53">
        <f t="shared" si="0"/>
        <v>2.3666666666666667</v>
      </c>
      <c r="M63" s="19">
        <f t="shared" si="1"/>
        <v>71</v>
      </c>
      <c r="N63" t="str">
        <f ca="1">IF(TRIM(SUBSTITUTE($B63,CHAR(160)," "))="","",IFERROR(IF(ISNUMBER(SEARCH("INC",$B63)),"INC",IF(ISNUMBER(SEARCH("OPI",$B63)),"OPI",IF(ISNUMBER(SEARCH("DP",$B63)),"DP","CONC")))&amp;" "&amp;TEXT(LOOKUP(9.99E+307,--MID(SUBSTITUTE($B63,CHAR(160)," "),SUMPRODUCT(MIN(FIND({0,1,2,3,4,5,6,7,8,9},SUBSTITUTE($B63,CHAR(160)," ")&amp;"0123456789"))),ROW(INDIRECT("1:6")))),"0"),"SIN NUMERO"))</f>
        <v>CONC 1983</v>
      </c>
      <c r="O63" t="str">
        <f ca="1">IF($N63="","",IF(LEFT(UPPER($P63),9)="VERIFICAR","VERIFICAR",IF(AND($H63&lt;&gt;"",COUNTIFS($N$2:$N$1000,$N63,$H$2:$H$1000,$H63)&gt;1),"DUPLICADA",IF(TRIM(IF($A63="","tipo ","")&amp;IF($F63="","fecha de firma ","")&amp;IF($G63="","decisión ","")&amp;IF($H63="","N° resolución ","")&amp;IF($I63="","N° dictamen",""))&lt;&gt;"","INCOMPLETA: "&amp;TRIM(IF($A63="","tipo ","")&amp;IF($F63="","fecha de firma ","")&amp;IF($G63="","decisión ","")&amp;IF($H63="","N° resolución ","")&amp;IF($I63="","N° dictamen","")),IF(LEFT($N63,4)&lt;&gt;"CONC","OK",IF(N($Q63)=0,IF(AND(ISNUMBER($E63),$E63&gt;=DATE(2024,1,1)),"FALTA EN evol_conc","OK"),IF(INDEX(evol_conc!$H:$H,$Q63)&lt;&gt;$F63,"FIRMA DISTINTA EN evol_conc ("&amp;IF(INDEX(evol_conc!$H:$H,$Q63)="","vacía",DAY(INDEX(evol_conc!$H:$H,$Q63))&amp;"/"&amp;MONTH(INDEX(evol_conc!$H:$H,$Q63))&amp;"/"&amp;YEAR(INDEX(evol_conc!$H:$H,$Q63)))&amp;")",IF(INDEX(evol_conc!$G:$G,$Q63)&lt;&gt;$E63,"INGRESO DISTINTO EN evol_conc ("&amp;IF(INDEX(evol_conc!$G:$G,$Q63)="","vacía",DAY(INDEX(evol_conc!$G:$G,$Q63))&amp;"/"&amp;MONTH(INDEX(evol_conc!$G:$G,$Q63))&amp;"/"&amp;YEAR(INDEX(evol_conc!$G:$G,$Q63)))&amp;")","OK"))))))))</f>
        <v>OK</v>
      </c>
      <c r="Q63">
        <f ca="1">IF($N63="","",IFERROR(MATCH($N63,evol_conc!$P:$P,0),0))</f>
        <v>59</v>
      </c>
    </row>
    <row r="64" spans="1:17" ht="18" hidden="1" customHeight="1" x14ac:dyDescent="0.25">
      <c r="A64" t="s">
        <v>624</v>
      </c>
      <c r="B64" t="s">
        <v>857</v>
      </c>
      <c r="D64" s="22" t="s">
        <v>858</v>
      </c>
      <c r="E64" s="16">
        <v>44413</v>
      </c>
      <c r="F64" s="16">
        <v>45540</v>
      </c>
      <c r="G64" t="s">
        <v>859</v>
      </c>
      <c r="H64" t="s">
        <v>860</v>
      </c>
      <c r="I64" t="s">
        <v>861</v>
      </c>
      <c r="J64" t="s">
        <v>862</v>
      </c>
      <c r="K64" t="s">
        <v>560</v>
      </c>
      <c r="L64" s="53">
        <f t="shared" si="0"/>
        <v>37.56666666666667</v>
      </c>
      <c r="M64" s="19">
        <f t="shared" si="1"/>
        <v>1127</v>
      </c>
      <c r="N64" t="str">
        <f ca="1">IF(TRIM(SUBSTITUTE($B64,CHAR(160)," "))="","",IFERROR(IF(ISNUMBER(SEARCH("INC",$B64)),"INC",IF(ISNUMBER(SEARCH("OPI",$B64)),"OPI",IF(ISNUMBER(SEARCH("DP",$B64)),"DP","CONC")))&amp;" "&amp;TEXT(LOOKUP(9.99E+307,--MID(SUBSTITUTE($B64,CHAR(160)," "),SUMPRODUCT(MIN(FIND({0,1,2,3,4,5,6,7,8,9},SUBSTITUTE($B64,CHAR(160)," ")&amp;"0123456789"))),ROW(INDIRECT("1:6")))),"0"),"SIN NUMERO"))</f>
        <v>CONC 1815</v>
      </c>
      <c r="O64" t="str">
        <f ca="1">IF($N64="","",IF(LEFT(UPPER($P64),9)="VERIFICAR","VERIFICAR",IF(AND($H64&lt;&gt;"",COUNTIFS($N$2:$N$1000,$N64,$H$2:$H$1000,$H64)&gt;1),"DUPLICADA",IF(TRIM(IF($A64="","tipo ","")&amp;IF($F64="","fecha de firma ","")&amp;IF($G64="","decisión ","")&amp;IF($H64="","N° resolución ","")&amp;IF($I64="","N° dictamen",""))&lt;&gt;"","INCOMPLETA: "&amp;TRIM(IF($A64="","tipo ","")&amp;IF($F64="","fecha de firma ","")&amp;IF($G64="","decisión ","")&amp;IF($H64="","N° resolución ","")&amp;IF($I64="","N° dictamen","")),IF(LEFT($N64,4)&lt;&gt;"CONC","OK",IF(N($Q64)=0,IF(AND(ISNUMBER($E64),$E64&gt;=DATE(2024,1,1)),"FALTA EN evol_conc","OK"),IF(INDEX(evol_conc!$H:$H,$Q64)&lt;&gt;$F64,"FIRMA DISTINTA EN evol_conc ("&amp;IF(INDEX(evol_conc!$H:$H,$Q64)="","vacía",DAY(INDEX(evol_conc!$H:$H,$Q64))&amp;"/"&amp;MONTH(INDEX(evol_conc!$H:$H,$Q64))&amp;"/"&amp;YEAR(INDEX(evol_conc!$H:$H,$Q64)))&amp;")",IF(INDEX(evol_conc!$G:$G,$Q64)&lt;&gt;$E64,"INGRESO DISTINTO EN evol_conc ("&amp;IF(INDEX(evol_conc!$G:$G,$Q64)="","vacía",DAY(INDEX(evol_conc!$G:$G,$Q64))&amp;"/"&amp;MONTH(INDEX(evol_conc!$G:$G,$Q64))&amp;"/"&amp;YEAR(INDEX(evol_conc!$G:$G,$Q64)))&amp;")","OK"))))))))</f>
        <v>OK</v>
      </c>
      <c r="Q64">
        <f ca="1">IF($N64="","",IFERROR(MATCH($N64,evol_conc!$P:$P,0),0))</f>
        <v>26</v>
      </c>
    </row>
    <row r="65" spans="1:17" ht="18" hidden="1" customHeight="1" x14ac:dyDescent="0.25">
      <c r="A65" t="s">
        <v>624</v>
      </c>
      <c r="B65" t="s">
        <v>863</v>
      </c>
      <c r="D65" s="22" t="s">
        <v>208</v>
      </c>
      <c r="E65" s="16">
        <v>45397</v>
      </c>
      <c r="F65" s="16">
        <v>45540</v>
      </c>
      <c r="G65" t="s">
        <v>550</v>
      </c>
      <c r="H65" t="s">
        <v>864</v>
      </c>
      <c r="I65" t="s">
        <v>865</v>
      </c>
      <c r="J65" t="s">
        <v>866</v>
      </c>
      <c r="K65" t="s">
        <v>592</v>
      </c>
      <c r="L65" s="53">
        <f t="shared" si="0"/>
        <v>4.7666666666666666</v>
      </c>
      <c r="M65" s="19">
        <f t="shared" si="1"/>
        <v>143</v>
      </c>
      <c r="N65" t="str">
        <f ca="1">IF(TRIM(SUBSTITUTE($B65,CHAR(160)," "))="","",IFERROR(IF(ISNUMBER(SEARCH("INC",$B65)),"INC",IF(ISNUMBER(SEARCH("OPI",$B65)),"OPI",IF(ISNUMBER(SEARCH("DP",$B65)),"DP","CONC")))&amp;" "&amp;TEXT(LOOKUP(9.99E+307,--MID(SUBSTITUTE($B65,CHAR(160)," "),SUMPRODUCT(MIN(FIND({0,1,2,3,4,5,6,7,8,9},SUBSTITUTE($B65,CHAR(160)," ")&amp;"0123456789"))),ROW(INDIRECT("1:6")))),"0"),"SIN NUMERO"))</f>
        <v>CONC 1969</v>
      </c>
      <c r="O65" t="str">
        <f ca="1">IF($N65="","",IF(LEFT(UPPER($P65),9)="VERIFICAR","VERIFICAR",IF(AND($H65&lt;&gt;"",COUNTIFS($N$2:$N$1000,$N65,$H$2:$H$1000,$H65)&gt;1),"DUPLICADA",IF(TRIM(IF($A65="","tipo ","")&amp;IF($F65="","fecha de firma ","")&amp;IF($G65="","decisión ","")&amp;IF($H65="","N° resolución ","")&amp;IF($I65="","N° dictamen",""))&lt;&gt;"","INCOMPLETA: "&amp;TRIM(IF($A65="","tipo ","")&amp;IF($F65="","fecha de firma ","")&amp;IF($G65="","decisión ","")&amp;IF($H65="","N° resolución ","")&amp;IF($I65="","N° dictamen","")),IF(LEFT($N65,4)&lt;&gt;"CONC","OK",IF(N($Q65)=0,IF(AND(ISNUMBER($E65),$E65&gt;=DATE(2024,1,1)),"FALTA EN evol_conc","OK"),IF(INDEX(evol_conc!$H:$H,$Q65)&lt;&gt;$F65,"FIRMA DISTINTA EN evol_conc ("&amp;IF(INDEX(evol_conc!$H:$H,$Q65)="","vacía",DAY(INDEX(evol_conc!$H:$H,$Q65))&amp;"/"&amp;MONTH(INDEX(evol_conc!$H:$H,$Q65))&amp;"/"&amp;YEAR(INDEX(evol_conc!$H:$H,$Q65)))&amp;")",IF(INDEX(evol_conc!$G:$G,$Q65)&lt;&gt;$E65,"INGRESO DISTINTO EN evol_conc ("&amp;IF(INDEX(evol_conc!$G:$G,$Q65)="","vacía",DAY(INDEX(evol_conc!$G:$G,$Q65))&amp;"/"&amp;MONTH(INDEX(evol_conc!$G:$G,$Q65))&amp;"/"&amp;YEAR(INDEX(evol_conc!$G:$G,$Q65)))&amp;")","OK"))))))))</f>
        <v>OK</v>
      </c>
      <c r="Q65">
        <f ca="1">IF($N65="","",IFERROR(MATCH($N65,evol_conc!$P:$P,0),0))</f>
        <v>46</v>
      </c>
    </row>
    <row r="66" spans="1:17" ht="18" hidden="1" customHeight="1" x14ac:dyDescent="0.25">
      <c r="A66" t="s">
        <v>624</v>
      </c>
      <c r="B66" t="s">
        <v>867</v>
      </c>
      <c r="D66" s="22" t="s">
        <v>868</v>
      </c>
      <c r="E66" s="16">
        <v>44901</v>
      </c>
      <c r="F66" s="16">
        <v>45552</v>
      </c>
      <c r="G66" t="s">
        <v>550</v>
      </c>
      <c r="H66" t="s">
        <v>869</v>
      </c>
      <c r="I66" t="s">
        <v>870</v>
      </c>
      <c r="J66" t="s">
        <v>871</v>
      </c>
      <c r="K66" t="s">
        <v>581</v>
      </c>
      <c r="L66" s="53">
        <f t="shared" ref="L66:L129" si="2">IF(OR($E66="",$F66=""),"",($F66-$E66)/30)</f>
        <v>21.7</v>
      </c>
      <c r="M66" s="19">
        <f t="shared" ref="M66:M129" si="3">IF(OR($E66="",$F66=""),"",$F66-$E66)</f>
        <v>651</v>
      </c>
      <c r="N66" t="str">
        <f ca="1">IF(TRIM(SUBSTITUTE($B66,CHAR(160)," "))="","",IFERROR(IF(ISNUMBER(SEARCH("INC",$B66)),"INC",IF(ISNUMBER(SEARCH("OPI",$B66)),"OPI",IF(ISNUMBER(SEARCH("DP",$B66)),"DP","CONC")))&amp;" "&amp;TEXT(LOOKUP(9.99E+307,--MID(SUBSTITUTE($B66,CHAR(160)," "),SUMPRODUCT(MIN(FIND({0,1,2,3,4,5,6,7,8,9},SUBSTITUTE($B66,CHAR(160)," ")&amp;"0123456789"))),ROW(INDIRECT("1:6")))),"0"),"SIN NUMERO"))</f>
        <v>CONC 1883</v>
      </c>
      <c r="O66" t="str">
        <f ca="1">IF($N66="","",IF(LEFT(UPPER($P66),9)="VERIFICAR","VERIFICAR",IF(AND($H66&lt;&gt;"",COUNTIFS($N$2:$N$1000,$N66,$H$2:$H$1000,$H66)&gt;1),"DUPLICADA",IF(TRIM(IF($A66="","tipo ","")&amp;IF($F66="","fecha de firma ","")&amp;IF($G66="","decisión ","")&amp;IF($H66="","N° resolución ","")&amp;IF($I66="","N° dictamen",""))&lt;&gt;"","INCOMPLETA: "&amp;TRIM(IF($A66="","tipo ","")&amp;IF($F66="","fecha de firma ","")&amp;IF($G66="","decisión ","")&amp;IF($H66="","N° resolución ","")&amp;IF($I66="","N° dictamen","")),IF(LEFT($N66,4)&lt;&gt;"CONC","OK",IF(N($Q66)=0,IF(AND(ISNUMBER($E66),$E66&gt;=DATE(2024,1,1)),"FALTA EN evol_conc","OK"),IF(INDEX(evol_conc!$H:$H,$Q66)&lt;&gt;$F66,"FIRMA DISTINTA EN evol_conc ("&amp;IF(INDEX(evol_conc!$H:$H,$Q66)="","vacía",DAY(INDEX(evol_conc!$H:$H,$Q66))&amp;"/"&amp;MONTH(INDEX(evol_conc!$H:$H,$Q66))&amp;"/"&amp;YEAR(INDEX(evol_conc!$H:$H,$Q66)))&amp;")",IF(INDEX(evol_conc!$G:$G,$Q66)&lt;&gt;$E66,"INGRESO DISTINTO EN evol_conc ("&amp;IF(INDEX(evol_conc!$G:$G,$Q66)="","vacía",DAY(INDEX(evol_conc!$G:$G,$Q66))&amp;"/"&amp;MONTH(INDEX(evol_conc!$G:$G,$Q66))&amp;"/"&amp;YEAR(INDEX(evol_conc!$G:$G,$Q66)))&amp;")","OK"))))))))</f>
        <v>OK</v>
      </c>
      <c r="Q66">
        <f ca="1">IF($N66="","",IFERROR(MATCH($N66,evol_conc!$P:$P,0),0))</f>
        <v>0</v>
      </c>
    </row>
    <row r="67" spans="1:17" ht="18" hidden="1" customHeight="1" x14ac:dyDescent="0.25">
      <c r="A67" t="s">
        <v>624</v>
      </c>
      <c r="B67" t="s">
        <v>872</v>
      </c>
      <c r="D67" s="22" t="s">
        <v>209</v>
      </c>
      <c r="E67" s="16">
        <v>45399</v>
      </c>
      <c r="F67" s="16">
        <v>45552</v>
      </c>
      <c r="G67" t="s">
        <v>550</v>
      </c>
      <c r="H67" t="s">
        <v>873</v>
      </c>
      <c r="I67" t="s">
        <v>874</v>
      </c>
      <c r="J67" t="s">
        <v>875</v>
      </c>
      <c r="K67" t="s">
        <v>581</v>
      </c>
      <c r="L67" s="53">
        <f t="shared" si="2"/>
        <v>5.0999999999999996</v>
      </c>
      <c r="M67" s="19">
        <f t="shared" si="3"/>
        <v>153</v>
      </c>
      <c r="N67" t="str">
        <f ca="1">IF(TRIM(SUBSTITUTE($B67,CHAR(160)," "))="","",IFERROR(IF(ISNUMBER(SEARCH("INC",$B67)),"INC",IF(ISNUMBER(SEARCH("OPI",$B67)),"OPI",IF(ISNUMBER(SEARCH("DP",$B67)),"DP","CONC")))&amp;" "&amp;TEXT(LOOKUP(9.99E+307,--MID(SUBSTITUTE($B67,CHAR(160)," "),SUMPRODUCT(MIN(FIND({0,1,2,3,4,5,6,7,8,9},SUBSTITUTE($B67,CHAR(160)," ")&amp;"0123456789"))),ROW(INDIRECT("1:6")))),"0"),"SIN NUMERO"))</f>
        <v>CONC 1970</v>
      </c>
      <c r="O67" t="str">
        <f ca="1">IF($N67="","",IF(LEFT(UPPER($P67),9)="VERIFICAR","VERIFICAR",IF(AND($H67&lt;&gt;"",COUNTIFS($N$2:$N$1000,$N67,$H$2:$H$1000,$H67)&gt;1),"DUPLICADA",IF(TRIM(IF($A67="","tipo ","")&amp;IF($F67="","fecha de firma ","")&amp;IF($G67="","decisión ","")&amp;IF($H67="","N° resolución ","")&amp;IF($I67="","N° dictamen",""))&lt;&gt;"","INCOMPLETA: "&amp;TRIM(IF($A67="","tipo ","")&amp;IF($F67="","fecha de firma ","")&amp;IF($G67="","decisión ","")&amp;IF($H67="","N° resolución ","")&amp;IF($I67="","N° dictamen","")),IF(LEFT($N67,4)&lt;&gt;"CONC","OK",IF(N($Q67)=0,IF(AND(ISNUMBER($E67),$E67&gt;=DATE(2024,1,1)),"FALTA EN evol_conc","OK"),IF(INDEX(evol_conc!$H:$H,$Q67)&lt;&gt;$F67,"FIRMA DISTINTA EN evol_conc ("&amp;IF(INDEX(evol_conc!$H:$H,$Q67)="","vacía",DAY(INDEX(evol_conc!$H:$H,$Q67))&amp;"/"&amp;MONTH(INDEX(evol_conc!$H:$H,$Q67))&amp;"/"&amp;YEAR(INDEX(evol_conc!$H:$H,$Q67)))&amp;")",IF(INDEX(evol_conc!$G:$G,$Q67)&lt;&gt;$E67,"INGRESO DISTINTO EN evol_conc ("&amp;IF(INDEX(evol_conc!$G:$G,$Q67)="","vacía",DAY(INDEX(evol_conc!$G:$G,$Q67))&amp;"/"&amp;MONTH(INDEX(evol_conc!$G:$G,$Q67))&amp;"/"&amp;YEAR(INDEX(evol_conc!$G:$G,$Q67)))&amp;")","OK"))))))))</f>
        <v>OK</v>
      </c>
      <c r="Q67">
        <f ca="1">IF($N67="","",IFERROR(MATCH($N67,evol_conc!$P:$P,0),0))</f>
        <v>47</v>
      </c>
    </row>
    <row r="68" spans="1:17" ht="18" hidden="1" customHeight="1" x14ac:dyDescent="0.25">
      <c r="A68" t="s">
        <v>624</v>
      </c>
      <c r="B68" t="s">
        <v>876</v>
      </c>
      <c r="D68" s="22" t="s">
        <v>877</v>
      </c>
      <c r="E68" s="16">
        <v>44704</v>
      </c>
      <c r="F68" s="16">
        <v>45554</v>
      </c>
      <c r="G68" t="s">
        <v>550</v>
      </c>
      <c r="H68" t="s">
        <v>878</v>
      </c>
      <c r="I68" t="s">
        <v>879</v>
      </c>
      <c r="J68" t="s">
        <v>880</v>
      </c>
      <c r="K68" t="s">
        <v>592</v>
      </c>
      <c r="L68" s="53">
        <f t="shared" si="2"/>
        <v>28.333333333333332</v>
      </c>
      <c r="M68" s="19">
        <f t="shared" si="3"/>
        <v>850</v>
      </c>
      <c r="N68" t="str">
        <f ca="1">IF(TRIM(SUBSTITUTE($B68,CHAR(160)," "))="","",IFERROR(IF(ISNUMBER(SEARCH("INC",$B68)),"INC",IF(ISNUMBER(SEARCH("OPI",$B68)),"OPI",IF(ISNUMBER(SEARCH("DP",$B68)),"DP","CONC")))&amp;" "&amp;TEXT(LOOKUP(9.99E+307,--MID(SUBSTITUTE($B68,CHAR(160)," "),SUMPRODUCT(MIN(FIND({0,1,2,3,4,5,6,7,8,9},SUBSTITUTE($B68,CHAR(160)," ")&amp;"0123456789"))),ROW(INDIRECT("1:6")))),"0"),"SIN NUMERO"))</f>
        <v>CONC 1855</v>
      </c>
      <c r="O68" t="str">
        <f ca="1">IF($N68="","",IF(LEFT(UPPER($P68),9)="VERIFICAR","VERIFICAR",IF(AND($H68&lt;&gt;"",COUNTIFS($N$2:$N$1000,$N68,$H$2:$H$1000,$H68)&gt;1),"DUPLICADA",IF(TRIM(IF($A68="","tipo ","")&amp;IF($F68="","fecha de firma ","")&amp;IF($G68="","decisión ","")&amp;IF($H68="","N° resolución ","")&amp;IF($I68="","N° dictamen",""))&lt;&gt;"","INCOMPLETA: "&amp;TRIM(IF($A68="","tipo ","")&amp;IF($F68="","fecha de firma ","")&amp;IF($G68="","decisión ","")&amp;IF($H68="","N° resolución ","")&amp;IF($I68="","N° dictamen","")),IF(LEFT($N68,4)&lt;&gt;"CONC","OK",IF(N($Q68)=0,IF(AND(ISNUMBER($E68),$E68&gt;=DATE(2024,1,1)),"FALTA EN evol_conc","OK"),IF(INDEX(evol_conc!$H:$H,$Q68)&lt;&gt;$F68,"FIRMA DISTINTA EN evol_conc ("&amp;IF(INDEX(evol_conc!$H:$H,$Q68)="","vacía",DAY(INDEX(evol_conc!$H:$H,$Q68))&amp;"/"&amp;MONTH(INDEX(evol_conc!$H:$H,$Q68))&amp;"/"&amp;YEAR(INDEX(evol_conc!$H:$H,$Q68)))&amp;")",IF(INDEX(evol_conc!$G:$G,$Q68)&lt;&gt;$E68,"INGRESO DISTINTO EN evol_conc ("&amp;IF(INDEX(evol_conc!$G:$G,$Q68)="","vacía",DAY(INDEX(evol_conc!$G:$G,$Q68))&amp;"/"&amp;MONTH(INDEX(evol_conc!$G:$G,$Q68))&amp;"/"&amp;YEAR(INDEX(evol_conc!$G:$G,$Q68)))&amp;")","OK"))))))))</f>
        <v>OK</v>
      </c>
      <c r="Q68">
        <f ca="1">IF($N68="","",IFERROR(MATCH($N68,evol_conc!$P:$P,0),0))</f>
        <v>0</v>
      </c>
    </row>
    <row r="69" spans="1:17" ht="18" hidden="1" customHeight="1" x14ac:dyDescent="0.25">
      <c r="A69" t="s">
        <v>624</v>
      </c>
      <c r="B69" t="s">
        <v>881</v>
      </c>
      <c r="D69" s="22" t="s">
        <v>207</v>
      </c>
      <c r="E69" s="16">
        <v>45397</v>
      </c>
      <c r="F69" s="16">
        <v>45554</v>
      </c>
      <c r="G69" t="s">
        <v>550</v>
      </c>
      <c r="H69" t="s">
        <v>882</v>
      </c>
      <c r="I69" t="s">
        <v>883</v>
      </c>
      <c r="J69" t="s">
        <v>884</v>
      </c>
      <c r="K69" t="s">
        <v>592</v>
      </c>
      <c r="L69" s="53">
        <f t="shared" si="2"/>
        <v>5.2333333333333334</v>
      </c>
      <c r="M69" s="19">
        <f t="shared" si="3"/>
        <v>157</v>
      </c>
      <c r="N69" t="str">
        <f ca="1">IF(TRIM(SUBSTITUTE($B69,CHAR(160)," "))="","",IFERROR(IF(ISNUMBER(SEARCH("INC",$B69)),"INC",IF(ISNUMBER(SEARCH("OPI",$B69)),"OPI",IF(ISNUMBER(SEARCH("DP",$B69)),"DP","CONC")))&amp;" "&amp;TEXT(LOOKUP(9.99E+307,--MID(SUBSTITUTE($B69,CHAR(160)," "),SUMPRODUCT(MIN(FIND({0,1,2,3,4,5,6,7,8,9},SUBSTITUTE($B69,CHAR(160)," ")&amp;"0123456789"))),ROW(INDIRECT("1:6")))),"0"),"SIN NUMERO"))</f>
        <v>CONC 1968</v>
      </c>
      <c r="O69" t="str">
        <f ca="1">IF($N69="","",IF(LEFT(UPPER($P69),9)="VERIFICAR","VERIFICAR",IF(AND($H69&lt;&gt;"",COUNTIFS($N$2:$N$1000,$N69,$H$2:$H$1000,$H69)&gt;1),"DUPLICADA",IF(TRIM(IF($A69="","tipo ","")&amp;IF($F69="","fecha de firma ","")&amp;IF($G69="","decisión ","")&amp;IF($H69="","N° resolución ","")&amp;IF($I69="","N° dictamen",""))&lt;&gt;"","INCOMPLETA: "&amp;TRIM(IF($A69="","tipo ","")&amp;IF($F69="","fecha de firma ","")&amp;IF($G69="","decisión ","")&amp;IF($H69="","N° resolución ","")&amp;IF($I69="","N° dictamen","")),IF(LEFT($N69,4)&lt;&gt;"CONC","OK",IF(N($Q69)=0,IF(AND(ISNUMBER($E69),$E69&gt;=DATE(2024,1,1)),"FALTA EN evol_conc","OK"),IF(INDEX(evol_conc!$H:$H,$Q69)&lt;&gt;$F69,"FIRMA DISTINTA EN evol_conc ("&amp;IF(INDEX(evol_conc!$H:$H,$Q69)="","vacía",DAY(INDEX(evol_conc!$H:$H,$Q69))&amp;"/"&amp;MONTH(INDEX(evol_conc!$H:$H,$Q69))&amp;"/"&amp;YEAR(INDEX(evol_conc!$H:$H,$Q69)))&amp;")",IF(INDEX(evol_conc!$G:$G,$Q69)&lt;&gt;$E69,"INGRESO DISTINTO EN evol_conc ("&amp;IF(INDEX(evol_conc!$G:$G,$Q69)="","vacía",DAY(INDEX(evol_conc!$G:$G,$Q69))&amp;"/"&amp;MONTH(INDEX(evol_conc!$G:$G,$Q69))&amp;"/"&amp;YEAR(INDEX(evol_conc!$G:$G,$Q69)))&amp;")","OK"))))))))</f>
        <v>OK</v>
      </c>
      <c r="Q69">
        <f ca="1">IF($N69="","",IFERROR(MATCH($N69,evol_conc!$P:$P,0),0))</f>
        <v>45</v>
      </c>
    </row>
    <row r="70" spans="1:17" ht="18" hidden="1" customHeight="1" x14ac:dyDescent="0.25">
      <c r="A70" t="s">
        <v>624</v>
      </c>
      <c r="B70" t="s">
        <v>885</v>
      </c>
      <c r="D70" s="22" t="s">
        <v>886</v>
      </c>
      <c r="E70" s="16">
        <v>45006</v>
      </c>
      <c r="F70" s="16">
        <v>45569</v>
      </c>
      <c r="G70" t="s">
        <v>550</v>
      </c>
      <c r="H70" t="s">
        <v>887</v>
      </c>
      <c r="I70" t="s">
        <v>888</v>
      </c>
      <c r="J70" t="s">
        <v>889</v>
      </c>
      <c r="K70" t="s">
        <v>560</v>
      </c>
      <c r="L70" s="53">
        <f t="shared" si="2"/>
        <v>18.766666666666666</v>
      </c>
      <c r="M70" s="19">
        <f t="shared" si="3"/>
        <v>563</v>
      </c>
      <c r="N70" t="str">
        <f ca="1">IF(TRIM(SUBSTITUTE($B70,CHAR(160)," "))="","",IFERROR(IF(ISNUMBER(SEARCH("INC",$B70)),"INC",IF(ISNUMBER(SEARCH("OPI",$B70)),"OPI",IF(ISNUMBER(SEARCH("DP",$B70)),"DP","CONC")))&amp;" "&amp;TEXT(LOOKUP(9.99E+307,--MID(SUBSTITUTE($B70,CHAR(160)," "),SUMPRODUCT(MIN(FIND({0,1,2,3,4,5,6,7,8,9},SUBSTITUTE($B70,CHAR(160)," ")&amp;"0123456789"))),ROW(INDIRECT("1:6")))),"0"),"SIN NUMERO"))</f>
        <v>CONC 1906</v>
      </c>
      <c r="O70" t="str">
        <f ca="1">IF($N70="","",IF(LEFT(UPPER($P70),9)="VERIFICAR","VERIFICAR",IF(AND($H70&lt;&gt;"",COUNTIFS($N$2:$N$1000,$N70,$H$2:$H$1000,$H70)&gt;1),"DUPLICADA",IF(TRIM(IF($A70="","tipo ","")&amp;IF($F70="","fecha de firma ","")&amp;IF($G70="","decisión ","")&amp;IF($H70="","N° resolución ","")&amp;IF($I70="","N° dictamen",""))&lt;&gt;"","INCOMPLETA: "&amp;TRIM(IF($A70="","tipo ","")&amp;IF($F70="","fecha de firma ","")&amp;IF($G70="","decisión ","")&amp;IF($H70="","N° resolución ","")&amp;IF($I70="","N° dictamen","")),IF(LEFT($N70,4)&lt;&gt;"CONC","OK",IF(N($Q70)=0,IF(AND(ISNUMBER($E70),$E70&gt;=DATE(2024,1,1)),"FALTA EN evol_conc","OK"),IF(INDEX(evol_conc!$H:$H,$Q70)&lt;&gt;$F70,"FIRMA DISTINTA EN evol_conc ("&amp;IF(INDEX(evol_conc!$H:$H,$Q70)="","vacía",DAY(INDEX(evol_conc!$H:$H,$Q70))&amp;"/"&amp;MONTH(INDEX(evol_conc!$H:$H,$Q70))&amp;"/"&amp;YEAR(INDEX(evol_conc!$H:$H,$Q70)))&amp;")",IF(INDEX(evol_conc!$G:$G,$Q70)&lt;&gt;$E70,"INGRESO DISTINTO EN evol_conc ("&amp;IF(INDEX(evol_conc!$G:$G,$Q70)="","vacía",DAY(INDEX(evol_conc!$G:$G,$Q70))&amp;"/"&amp;MONTH(INDEX(evol_conc!$G:$G,$Q70))&amp;"/"&amp;YEAR(INDEX(evol_conc!$G:$G,$Q70)))&amp;")","OK"))))))))</f>
        <v>OK</v>
      </c>
      <c r="Q70">
        <f ca="1">IF($N70="","",IFERROR(MATCH($N70,evol_conc!$P:$P,0),0))</f>
        <v>0</v>
      </c>
    </row>
    <row r="71" spans="1:17" ht="18" hidden="1" customHeight="1" x14ac:dyDescent="0.25">
      <c r="A71" t="s">
        <v>624</v>
      </c>
      <c r="B71" t="s">
        <v>890</v>
      </c>
      <c r="D71" s="22" t="s">
        <v>891</v>
      </c>
      <c r="E71" s="16">
        <v>45240</v>
      </c>
      <c r="F71" s="16">
        <v>45569</v>
      </c>
      <c r="G71" t="s">
        <v>550</v>
      </c>
      <c r="H71" t="s">
        <v>892</v>
      </c>
      <c r="I71" t="s">
        <v>893</v>
      </c>
      <c r="J71" t="s">
        <v>894</v>
      </c>
      <c r="K71" t="s">
        <v>592</v>
      </c>
      <c r="L71" s="53">
        <f t="shared" si="2"/>
        <v>10.966666666666667</v>
      </c>
      <c r="M71" s="19">
        <f t="shared" si="3"/>
        <v>329</v>
      </c>
      <c r="N71" t="str">
        <f ca="1">IF(TRIM(SUBSTITUTE($B71,CHAR(160)," "))="","",IFERROR(IF(ISNUMBER(SEARCH("INC",$B71)),"INC",IF(ISNUMBER(SEARCH("OPI",$B71)),"OPI",IF(ISNUMBER(SEARCH("DP",$B71)),"DP","CONC")))&amp;" "&amp;TEXT(LOOKUP(9.99E+307,--MID(SUBSTITUTE($B71,CHAR(160)," "),SUMPRODUCT(MIN(FIND({0,1,2,3,4,5,6,7,8,9},SUBSTITUTE($B71,CHAR(160)," ")&amp;"0123456789"))),ROW(INDIRECT("1:6")))),"0"),"SIN NUMERO"))</f>
        <v>CONC 1946</v>
      </c>
      <c r="O71" t="str">
        <f ca="1">IF($N71="","",IF(LEFT(UPPER($P71),9)="VERIFICAR","VERIFICAR",IF(AND($H71&lt;&gt;"",COUNTIFS($N$2:$N$1000,$N71,$H$2:$H$1000,$H71)&gt;1),"DUPLICADA",IF(TRIM(IF($A71="","tipo ","")&amp;IF($F71="","fecha de firma ","")&amp;IF($G71="","decisión ","")&amp;IF($H71="","N° resolución ","")&amp;IF($I71="","N° dictamen",""))&lt;&gt;"","INCOMPLETA: "&amp;TRIM(IF($A71="","tipo ","")&amp;IF($F71="","fecha de firma ","")&amp;IF($G71="","decisión ","")&amp;IF($H71="","N° resolución ","")&amp;IF($I71="","N° dictamen","")),IF(LEFT($N71,4)&lt;&gt;"CONC","OK",IF(N($Q71)=0,IF(AND(ISNUMBER($E71),$E71&gt;=DATE(2024,1,1)),"FALTA EN evol_conc","OK"),IF(INDEX(evol_conc!$H:$H,$Q71)&lt;&gt;$F71,"FIRMA DISTINTA EN evol_conc ("&amp;IF(INDEX(evol_conc!$H:$H,$Q71)="","vacía",DAY(INDEX(evol_conc!$H:$H,$Q71))&amp;"/"&amp;MONTH(INDEX(evol_conc!$H:$H,$Q71))&amp;"/"&amp;YEAR(INDEX(evol_conc!$H:$H,$Q71)))&amp;")",IF(INDEX(evol_conc!$G:$G,$Q71)&lt;&gt;$E71,"INGRESO DISTINTO EN evol_conc ("&amp;IF(INDEX(evol_conc!$G:$G,$Q71)="","vacía",DAY(INDEX(evol_conc!$G:$G,$Q71))&amp;"/"&amp;MONTH(INDEX(evol_conc!$G:$G,$Q71))&amp;"/"&amp;YEAR(INDEX(evol_conc!$G:$G,$Q71)))&amp;")","OK"))))))))</f>
        <v>OK</v>
      </c>
      <c r="Q71">
        <f ca="1">IF($N71="","",IFERROR(MATCH($N71,evol_conc!$P:$P,0),0))</f>
        <v>0</v>
      </c>
    </row>
    <row r="72" spans="1:17" ht="18" hidden="1" customHeight="1" x14ac:dyDescent="0.25">
      <c r="A72" t="s">
        <v>624</v>
      </c>
      <c r="B72" t="s">
        <v>895</v>
      </c>
      <c r="D72" s="22" t="s">
        <v>896</v>
      </c>
      <c r="E72" s="16">
        <v>45026</v>
      </c>
      <c r="F72" s="16">
        <v>45573</v>
      </c>
      <c r="G72" t="s">
        <v>550</v>
      </c>
      <c r="H72" t="s">
        <v>897</v>
      </c>
      <c r="I72" t="s">
        <v>898</v>
      </c>
      <c r="J72" t="s">
        <v>899</v>
      </c>
      <c r="K72" t="s">
        <v>592</v>
      </c>
      <c r="L72" s="53">
        <f t="shared" si="2"/>
        <v>18.233333333333334</v>
      </c>
      <c r="M72" s="19">
        <f t="shared" si="3"/>
        <v>547</v>
      </c>
      <c r="N72" t="str">
        <f ca="1">IF(TRIM(SUBSTITUTE($B72,CHAR(160)," "))="","",IFERROR(IF(ISNUMBER(SEARCH("INC",$B72)),"INC",IF(ISNUMBER(SEARCH("OPI",$B72)),"OPI",IF(ISNUMBER(SEARCH("DP",$B72)),"DP","CONC")))&amp;" "&amp;TEXT(LOOKUP(9.99E+307,--MID(SUBSTITUTE($B72,CHAR(160)," "),SUMPRODUCT(MIN(FIND({0,1,2,3,4,5,6,7,8,9},SUBSTITUTE($B72,CHAR(160)," ")&amp;"0123456789"))),ROW(INDIRECT("1:6")))),"0"),"SIN NUMERO"))</f>
        <v>CONC 1908</v>
      </c>
      <c r="O72" t="str">
        <f ca="1">IF($N72="","",IF(LEFT(UPPER($P72),9)="VERIFICAR","VERIFICAR",IF(AND($H72&lt;&gt;"",COUNTIFS($N$2:$N$1000,$N72,$H$2:$H$1000,$H72)&gt;1),"DUPLICADA",IF(TRIM(IF($A72="","tipo ","")&amp;IF($F72="","fecha de firma ","")&amp;IF($G72="","decisión ","")&amp;IF($H72="","N° resolución ","")&amp;IF($I72="","N° dictamen",""))&lt;&gt;"","INCOMPLETA: "&amp;TRIM(IF($A72="","tipo ","")&amp;IF($F72="","fecha de firma ","")&amp;IF($G72="","decisión ","")&amp;IF($H72="","N° resolución ","")&amp;IF($I72="","N° dictamen","")),IF(LEFT($N72,4)&lt;&gt;"CONC","OK",IF(N($Q72)=0,IF(AND(ISNUMBER($E72),$E72&gt;=DATE(2024,1,1)),"FALTA EN evol_conc","OK"),IF(INDEX(evol_conc!$H:$H,$Q72)&lt;&gt;$F72,"FIRMA DISTINTA EN evol_conc ("&amp;IF(INDEX(evol_conc!$H:$H,$Q72)="","vacía",DAY(INDEX(evol_conc!$H:$H,$Q72))&amp;"/"&amp;MONTH(INDEX(evol_conc!$H:$H,$Q72))&amp;"/"&amp;YEAR(INDEX(evol_conc!$H:$H,$Q72)))&amp;")",IF(INDEX(evol_conc!$G:$G,$Q72)&lt;&gt;$E72,"INGRESO DISTINTO EN evol_conc ("&amp;IF(INDEX(evol_conc!$G:$G,$Q72)="","vacía",DAY(INDEX(evol_conc!$G:$G,$Q72))&amp;"/"&amp;MONTH(INDEX(evol_conc!$G:$G,$Q72))&amp;"/"&amp;YEAR(INDEX(evol_conc!$G:$G,$Q72)))&amp;")","OK"))))))))</f>
        <v>OK</v>
      </c>
      <c r="Q72">
        <f ca="1">IF($N72="","",IFERROR(MATCH($N72,evol_conc!$P:$P,0),0))</f>
        <v>0</v>
      </c>
    </row>
    <row r="73" spans="1:17" ht="18" hidden="1" customHeight="1" x14ac:dyDescent="0.25">
      <c r="A73" t="s">
        <v>624</v>
      </c>
      <c r="B73" t="s">
        <v>900</v>
      </c>
      <c r="D73" s="22" t="s">
        <v>232</v>
      </c>
      <c r="E73" s="16">
        <v>45490</v>
      </c>
      <c r="F73" s="16">
        <v>45579</v>
      </c>
      <c r="G73" t="s">
        <v>550</v>
      </c>
      <c r="H73" t="s">
        <v>901</v>
      </c>
      <c r="I73" t="s">
        <v>902</v>
      </c>
      <c r="J73" t="s">
        <v>700</v>
      </c>
      <c r="K73" t="s">
        <v>592</v>
      </c>
      <c r="L73" s="53">
        <f t="shared" si="2"/>
        <v>2.9666666666666668</v>
      </c>
      <c r="M73" s="19">
        <f t="shared" si="3"/>
        <v>89</v>
      </c>
      <c r="N73" t="str">
        <f ca="1">IF(TRIM(SUBSTITUTE($B73,CHAR(160)," "))="","",IFERROR(IF(ISNUMBER(SEARCH("INC",$B73)),"INC",IF(ISNUMBER(SEARCH("OPI",$B73)),"OPI",IF(ISNUMBER(SEARCH("DP",$B73)),"DP","CONC")))&amp;" "&amp;TEXT(LOOKUP(9.99E+307,--MID(SUBSTITUTE($B73,CHAR(160)," "),SUMPRODUCT(MIN(FIND({0,1,2,3,4,5,6,7,8,9},SUBSTITUTE($B73,CHAR(160)," ")&amp;"0123456789"))),ROW(INDIRECT("1:6")))),"0"),"SIN NUMERO"))</f>
        <v>CONC 1987</v>
      </c>
      <c r="O73" t="str">
        <f ca="1">IF($N73="","",IF(LEFT(UPPER($P73),9)="VERIFICAR","VERIFICAR",IF(AND($H73&lt;&gt;"",COUNTIFS($N$2:$N$1000,$N73,$H$2:$H$1000,$H73)&gt;1),"DUPLICADA",IF(TRIM(IF($A73="","tipo ","")&amp;IF($F73="","fecha de firma ","")&amp;IF($G73="","decisión ","")&amp;IF($H73="","N° resolución ","")&amp;IF($I73="","N° dictamen",""))&lt;&gt;"","INCOMPLETA: "&amp;TRIM(IF($A73="","tipo ","")&amp;IF($F73="","fecha de firma ","")&amp;IF($G73="","decisión ","")&amp;IF($H73="","N° resolución ","")&amp;IF($I73="","N° dictamen","")),IF(LEFT($N73,4)&lt;&gt;"CONC","OK",IF(N($Q73)=0,IF(AND(ISNUMBER($E73),$E73&gt;=DATE(2024,1,1)),"FALTA EN evol_conc","OK"),IF(INDEX(evol_conc!$H:$H,$Q73)&lt;&gt;$F73,"FIRMA DISTINTA EN evol_conc ("&amp;IF(INDEX(evol_conc!$H:$H,$Q73)="","vacía",DAY(INDEX(evol_conc!$H:$H,$Q73))&amp;"/"&amp;MONTH(INDEX(evol_conc!$H:$H,$Q73))&amp;"/"&amp;YEAR(INDEX(evol_conc!$H:$H,$Q73)))&amp;")",IF(INDEX(evol_conc!$G:$G,$Q73)&lt;&gt;$E73,"INGRESO DISTINTO EN evol_conc ("&amp;IF(INDEX(evol_conc!$G:$G,$Q73)="","vacía",DAY(INDEX(evol_conc!$G:$G,$Q73))&amp;"/"&amp;MONTH(INDEX(evol_conc!$G:$G,$Q73))&amp;"/"&amp;YEAR(INDEX(evol_conc!$G:$G,$Q73)))&amp;")","OK"))))))))</f>
        <v>OK</v>
      </c>
      <c r="Q73">
        <f ca="1">IF($N73="","",IFERROR(MATCH($N73,evol_conc!$P:$P,0),0))</f>
        <v>63</v>
      </c>
    </row>
    <row r="74" spans="1:17" ht="18" hidden="1" customHeight="1" x14ac:dyDescent="0.25">
      <c r="A74" t="s">
        <v>624</v>
      </c>
      <c r="B74" t="s">
        <v>903</v>
      </c>
      <c r="D74" s="22" t="s">
        <v>904</v>
      </c>
      <c r="E74" s="16">
        <v>43840</v>
      </c>
      <c r="F74" s="16">
        <v>45588</v>
      </c>
      <c r="G74" t="s">
        <v>859</v>
      </c>
      <c r="H74" t="s">
        <v>905</v>
      </c>
      <c r="I74" t="s">
        <v>906</v>
      </c>
      <c r="J74" t="s">
        <v>907</v>
      </c>
      <c r="K74" t="s">
        <v>592</v>
      </c>
      <c r="L74" s="53">
        <f t="shared" si="2"/>
        <v>58.266666666666666</v>
      </c>
      <c r="M74" s="19">
        <f t="shared" si="3"/>
        <v>1748</v>
      </c>
      <c r="N74" t="str">
        <f ca="1">IF(TRIM(SUBSTITUTE($B74,CHAR(160)," "))="","",IFERROR(IF(ISNUMBER(SEARCH("INC",$B74)),"INC",IF(ISNUMBER(SEARCH("OPI",$B74)),"OPI",IF(ISNUMBER(SEARCH("DP",$B74)),"DP","CONC")))&amp;" "&amp;TEXT(LOOKUP(9.99E+307,--MID(SUBSTITUTE($B74,CHAR(160)," "),SUMPRODUCT(MIN(FIND({0,1,2,3,4,5,6,7,8,9},SUBSTITUTE($B74,CHAR(160)," ")&amp;"0123456789"))),ROW(INDIRECT("1:6")))),"0"),"SIN NUMERO"))</f>
        <v>CONC 1739</v>
      </c>
      <c r="O74" t="str">
        <f ca="1">IF($N74="","",IF(LEFT(UPPER($P74),9)="VERIFICAR","VERIFICAR",IF(AND($H74&lt;&gt;"",COUNTIFS($N$2:$N$1000,$N74,$H$2:$H$1000,$H74)&gt;1),"DUPLICADA",IF(TRIM(IF($A74="","tipo ","")&amp;IF($F74="","fecha de firma ","")&amp;IF($G74="","decisión ","")&amp;IF($H74="","N° resolución ","")&amp;IF($I74="","N° dictamen",""))&lt;&gt;"","INCOMPLETA: "&amp;TRIM(IF($A74="","tipo ","")&amp;IF($F74="","fecha de firma ","")&amp;IF($G74="","decisión ","")&amp;IF($H74="","N° resolución ","")&amp;IF($I74="","N° dictamen","")),IF(LEFT($N74,4)&lt;&gt;"CONC","OK",IF(N($Q74)=0,IF(AND(ISNUMBER($E74),$E74&gt;=DATE(2024,1,1)),"FALTA EN evol_conc","OK"),IF(INDEX(evol_conc!$H:$H,$Q74)&lt;&gt;$F74,"FIRMA DISTINTA EN evol_conc ("&amp;IF(INDEX(evol_conc!$H:$H,$Q74)="","vacía",DAY(INDEX(evol_conc!$H:$H,$Q74))&amp;"/"&amp;MONTH(INDEX(evol_conc!$H:$H,$Q74))&amp;"/"&amp;YEAR(INDEX(evol_conc!$H:$H,$Q74)))&amp;")",IF(INDEX(evol_conc!$G:$G,$Q74)&lt;&gt;$E74,"INGRESO DISTINTO EN evol_conc ("&amp;IF(INDEX(evol_conc!$G:$G,$Q74)="","vacía",DAY(INDEX(evol_conc!$G:$G,$Q74))&amp;"/"&amp;MONTH(INDEX(evol_conc!$G:$G,$Q74))&amp;"/"&amp;YEAR(INDEX(evol_conc!$G:$G,$Q74)))&amp;")","OK"))))))))</f>
        <v>OK</v>
      </c>
      <c r="Q74">
        <f ca="1">IF($N74="","",IFERROR(MATCH($N74,evol_conc!$P:$P,0),0))</f>
        <v>20</v>
      </c>
    </row>
    <row r="75" spans="1:17" ht="18" hidden="1" customHeight="1" x14ac:dyDescent="0.25">
      <c r="A75" t="s">
        <v>624</v>
      </c>
      <c r="B75" t="s">
        <v>908</v>
      </c>
      <c r="D75" s="22" t="s">
        <v>909</v>
      </c>
      <c r="E75" s="16">
        <v>45036</v>
      </c>
      <c r="F75" s="16">
        <v>45593</v>
      </c>
      <c r="G75" t="s">
        <v>550</v>
      </c>
      <c r="H75" t="s">
        <v>910</v>
      </c>
      <c r="I75" t="s">
        <v>911</v>
      </c>
      <c r="J75" t="s">
        <v>912</v>
      </c>
      <c r="K75" t="s">
        <v>592</v>
      </c>
      <c r="L75" s="53">
        <f t="shared" si="2"/>
        <v>18.566666666666666</v>
      </c>
      <c r="M75" s="19">
        <f t="shared" si="3"/>
        <v>557</v>
      </c>
      <c r="N75" t="str">
        <f ca="1">IF(TRIM(SUBSTITUTE($B75,CHAR(160)," "))="","",IFERROR(IF(ISNUMBER(SEARCH("INC",$B75)),"INC",IF(ISNUMBER(SEARCH("OPI",$B75)),"OPI",IF(ISNUMBER(SEARCH("DP",$B75)),"DP","CONC")))&amp;" "&amp;TEXT(LOOKUP(9.99E+307,--MID(SUBSTITUTE($B75,CHAR(160)," "),SUMPRODUCT(MIN(FIND({0,1,2,3,4,5,6,7,8,9},SUBSTITUTE($B75,CHAR(160)," ")&amp;"0123456789"))),ROW(INDIRECT("1:6")))),"0"),"SIN NUMERO"))</f>
        <v>CONC 1910</v>
      </c>
      <c r="O75" t="str">
        <f ca="1">IF($N75="","",IF(LEFT(UPPER($P75),9)="VERIFICAR","VERIFICAR",IF(AND($H75&lt;&gt;"",COUNTIFS($N$2:$N$1000,$N75,$H$2:$H$1000,$H75)&gt;1),"DUPLICADA",IF(TRIM(IF($A75="","tipo ","")&amp;IF($F75="","fecha de firma ","")&amp;IF($G75="","decisión ","")&amp;IF($H75="","N° resolución ","")&amp;IF($I75="","N° dictamen",""))&lt;&gt;"","INCOMPLETA: "&amp;TRIM(IF($A75="","tipo ","")&amp;IF($F75="","fecha de firma ","")&amp;IF($G75="","decisión ","")&amp;IF($H75="","N° resolución ","")&amp;IF($I75="","N° dictamen","")),IF(LEFT($N75,4)&lt;&gt;"CONC","OK",IF(N($Q75)=0,IF(AND(ISNUMBER($E75),$E75&gt;=DATE(2024,1,1)),"FALTA EN evol_conc","OK"),IF(INDEX(evol_conc!$H:$H,$Q75)&lt;&gt;$F75,"FIRMA DISTINTA EN evol_conc ("&amp;IF(INDEX(evol_conc!$H:$H,$Q75)="","vacía",DAY(INDEX(evol_conc!$H:$H,$Q75))&amp;"/"&amp;MONTH(INDEX(evol_conc!$H:$H,$Q75))&amp;"/"&amp;YEAR(INDEX(evol_conc!$H:$H,$Q75)))&amp;")",IF(INDEX(evol_conc!$G:$G,$Q75)&lt;&gt;$E75,"INGRESO DISTINTO EN evol_conc ("&amp;IF(INDEX(evol_conc!$G:$G,$Q75)="","vacía",DAY(INDEX(evol_conc!$G:$G,$Q75))&amp;"/"&amp;MONTH(INDEX(evol_conc!$G:$G,$Q75))&amp;"/"&amp;YEAR(INDEX(evol_conc!$G:$G,$Q75)))&amp;")","OK"))))))))</f>
        <v>OK</v>
      </c>
      <c r="Q75">
        <f ca="1">IF($N75="","",IFERROR(MATCH($N75,evol_conc!$P:$P,0),0))</f>
        <v>0</v>
      </c>
    </row>
    <row r="76" spans="1:17" ht="18" hidden="1" customHeight="1" x14ac:dyDescent="0.25">
      <c r="A76" t="s">
        <v>624</v>
      </c>
      <c r="B76" t="s">
        <v>913</v>
      </c>
      <c r="D76" s="22" t="s">
        <v>914</v>
      </c>
      <c r="E76" s="16">
        <v>44683</v>
      </c>
      <c r="F76" s="16">
        <v>45594</v>
      </c>
      <c r="G76" t="s">
        <v>550</v>
      </c>
      <c r="H76" t="s">
        <v>915</v>
      </c>
      <c r="I76" t="s">
        <v>916</v>
      </c>
      <c r="J76" t="s">
        <v>917</v>
      </c>
      <c r="K76" t="s">
        <v>560</v>
      </c>
      <c r="L76" s="53">
        <f t="shared" si="2"/>
        <v>30.366666666666667</v>
      </c>
      <c r="M76" s="19">
        <f t="shared" si="3"/>
        <v>911</v>
      </c>
      <c r="N76" t="str">
        <f ca="1">IF(TRIM(SUBSTITUTE($B76,CHAR(160)," "))="","",IFERROR(IF(ISNUMBER(SEARCH("INC",$B76)),"INC",IF(ISNUMBER(SEARCH("OPI",$B76)),"OPI",IF(ISNUMBER(SEARCH("DP",$B76)),"DP","CONC")))&amp;" "&amp;TEXT(LOOKUP(9.99E+307,--MID(SUBSTITUTE($B76,CHAR(160)," "),SUMPRODUCT(MIN(FIND({0,1,2,3,4,5,6,7,8,9},SUBSTITUTE($B76,CHAR(160)," ")&amp;"0123456789"))),ROW(INDIRECT("1:6")))),"0"),"SIN NUMERO"))</f>
        <v>CONC 1852</v>
      </c>
      <c r="O76" t="str">
        <f ca="1">IF($N76="","",IF(LEFT(UPPER($P76),9)="VERIFICAR","VERIFICAR",IF(AND($H76&lt;&gt;"",COUNTIFS($N$2:$N$1000,$N76,$H$2:$H$1000,$H76)&gt;1),"DUPLICADA",IF(TRIM(IF($A76="","tipo ","")&amp;IF($F76="","fecha de firma ","")&amp;IF($G76="","decisión ","")&amp;IF($H76="","N° resolución ","")&amp;IF($I76="","N° dictamen",""))&lt;&gt;"","INCOMPLETA: "&amp;TRIM(IF($A76="","tipo ","")&amp;IF($F76="","fecha de firma ","")&amp;IF($G76="","decisión ","")&amp;IF($H76="","N° resolución ","")&amp;IF($I76="","N° dictamen","")),IF(LEFT($N76,4)&lt;&gt;"CONC","OK",IF(N($Q76)=0,IF(AND(ISNUMBER($E76),$E76&gt;=DATE(2024,1,1)),"FALTA EN evol_conc","OK"),IF(INDEX(evol_conc!$H:$H,$Q76)&lt;&gt;$F76,"FIRMA DISTINTA EN evol_conc ("&amp;IF(INDEX(evol_conc!$H:$H,$Q76)="","vacía",DAY(INDEX(evol_conc!$H:$H,$Q76))&amp;"/"&amp;MONTH(INDEX(evol_conc!$H:$H,$Q76))&amp;"/"&amp;YEAR(INDEX(evol_conc!$H:$H,$Q76)))&amp;")",IF(INDEX(evol_conc!$G:$G,$Q76)&lt;&gt;$E76,"INGRESO DISTINTO EN evol_conc ("&amp;IF(INDEX(evol_conc!$G:$G,$Q76)="","vacía",DAY(INDEX(evol_conc!$G:$G,$Q76))&amp;"/"&amp;MONTH(INDEX(evol_conc!$G:$G,$Q76))&amp;"/"&amp;YEAR(INDEX(evol_conc!$G:$G,$Q76)))&amp;")","OK"))))))))</f>
        <v>OK</v>
      </c>
      <c r="Q76">
        <f ca="1">IF($N76="","",IFERROR(MATCH($N76,evol_conc!$P:$P,0),0))</f>
        <v>0</v>
      </c>
    </row>
    <row r="77" spans="1:17" ht="18" hidden="1" customHeight="1" x14ac:dyDescent="0.25">
      <c r="A77" t="s">
        <v>624</v>
      </c>
      <c r="B77" t="s">
        <v>918</v>
      </c>
      <c r="D77" s="22" t="s">
        <v>212</v>
      </c>
      <c r="E77" s="16">
        <v>45425</v>
      </c>
      <c r="F77" s="16">
        <v>45594</v>
      </c>
      <c r="G77" t="s">
        <v>550</v>
      </c>
      <c r="H77" t="s">
        <v>919</v>
      </c>
      <c r="I77" t="s">
        <v>920</v>
      </c>
      <c r="J77" t="s">
        <v>921</v>
      </c>
      <c r="K77" t="s">
        <v>560</v>
      </c>
      <c r="L77" s="53">
        <f t="shared" si="2"/>
        <v>5.6333333333333337</v>
      </c>
      <c r="M77" s="19">
        <f t="shared" si="3"/>
        <v>169</v>
      </c>
      <c r="N77" t="str">
        <f ca="1">IF(TRIM(SUBSTITUTE($B77,CHAR(160)," "))="","",IFERROR(IF(ISNUMBER(SEARCH("INC",$B77)),"INC",IF(ISNUMBER(SEARCH("OPI",$B77)),"OPI",IF(ISNUMBER(SEARCH("DP",$B77)),"DP","CONC")))&amp;" "&amp;TEXT(LOOKUP(9.99E+307,--MID(SUBSTITUTE($B77,CHAR(160)," "),SUMPRODUCT(MIN(FIND({0,1,2,3,4,5,6,7,8,9},SUBSTITUTE($B77,CHAR(160)," ")&amp;"0123456789"))),ROW(INDIRECT("1:6")))),"0"),"SIN NUMERO"))</f>
        <v>CONC 1973</v>
      </c>
      <c r="O77" t="str">
        <f ca="1">IF($N77="","",IF(LEFT(UPPER($P77),9)="VERIFICAR","VERIFICAR",IF(AND($H77&lt;&gt;"",COUNTIFS($N$2:$N$1000,$N77,$H$2:$H$1000,$H77)&gt;1),"DUPLICADA",IF(TRIM(IF($A77="","tipo ","")&amp;IF($F77="","fecha de firma ","")&amp;IF($G77="","decisión ","")&amp;IF($H77="","N° resolución ","")&amp;IF($I77="","N° dictamen",""))&lt;&gt;"","INCOMPLETA: "&amp;TRIM(IF($A77="","tipo ","")&amp;IF($F77="","fecha de firma ","")&amp;IF($G77="","decisión ","")&amp;IF($H77="","N° resolución ","")&amp;IF($I77="","N° dictamen","")),IF(LEFT($N77,4)&lt;&gt;"CONC","OK",IF(N($Q77)=0,IF(AND(ISNUMBER($E77),$E77&gt;=DATE(2024,1,1)),"FALTA EN evol_conc","OK"),IF(INDEX(evol_conc!$H:$H,$Q77)&lt;&gt;$F77,"FIRMA DISTINTA EN evol_conc ("&amp;IF(INDEX(evol_conc!$H:$H,$Q77)="","vacía",DAY(INDEX(evol_conc!$H:$H,$Q77))&amp;"/"&amp;MONTH(INDEX(evol_conc!$H:$H,$Q77))&amp;"/"&amp;YEAR(INDEX(evol_conc!$H:$H,$Q77)))&amp;")",IF(INDEX(evol_conc!$G:$G,$Q77)&lt;&gt;$E77,"INGRESO DISTINTO EN evol_conc ("&amp;IF(INDEX(evol_conc!$G:$G,$Q77)="","vacía",DAY(INDEX(evol_conc!$G:$G,$Q77))&amp;"/"&amp;MONTH(INDEX(evol_conc!$G:$G,$Q77))&amp;"/"&amp;YEAR(INDEX(evol_conc!$G:$G,$Q77)))&amp;")","OK"))))))))</f>
        <v>OK</v>
      </c>
      <c r="Q77">
        <f ca="1">IF($N77="","",IFERROR(MATCH($N77,evol_conc!$P:$P,0),0))</f>
        <v>50</v>
      </c>
    </row>
    <row r="78" spans="1:17" ht="18" hidden="1" customHeight="1" x14ac:dyDescent="0.25">
      <c r="A78" t="s">
        <v>624</v>
      </c>
      <c r="B78" t="s">
        <v>922</v>
      </c>
      <c r="D78" s="22" t="s">
        <v>923</v>
      </c>
      <c r="E78" s="16">
        <v>45154</v>
      </c>
      <c r="F78" s="16">
        <v>45595</v>
      </c>
      <c r="G78" t="s">
        <v>550</v>
      </c>
      <c r="H78" t="s">
        <v>924</v>
      </c>
      <c r="I78" t="s">
        <v>925</v>
      </c>
      <c r="J78" t="s">
        <v>926</v>
      </c>
      <c r="K78" t="s">
        <v>560</v>
      </c>
      <c r="L78" s="53">
        <f t="shared" si="2"/>
        <v>14.7</v>
      </c>
      <c r="M78" s="19">
        <f t="shared" si="3"/>
        <v>441</v>
      </c>
      <c r="N78" t="str">
        <f ca="1">IF(TRIM(SUBSTITUTE($B78,CHAR(160)," "))="","",IFERROR(IF(ISNUMBER(SEARCH("INC",$B78)),"INC",IF(ISNUMBER(SEARCH("OPI",$B78)),"OPI",IF(ISNUMBER(SEARCH("DP",$B78)),"DP","CONC")))&amp;" "&amp;TEXT(LOOKUP(9.99E+307,--MID(SUBSTITUTE($B78,CHAR(160)," "),SUMPRODUCT(MIN(FIND({0,1,2,3,4,5,6,7,8,9},SUBSTITUTE($B78,CHAR(160)," ")&amp;"0123456789"))),ROW(INDIRECT("1:6")))),"0"),"SIN NUMERO"))</f>
        <v>CONC 1933</v>
      </c>
      <c r="O78" t="str">
        <f ca="1">IF($N78="","",IF(LEFT(UPPER($P78),9)="VERIFICAR","VERIFICAR",IF(AND($H78&lt;&gt;"",COUNTIFS($N$2:$N$1000,$N78,$H$2:$H$1000,$H78)&gt;1),"DUPLICADA",IF(TRIM(IF($A78="","tipo ","")&amp;IF($F78="","fecha de firma ","")&amp;IF($G78="","decisión ","")&amp;IF($H78="","N° resolución ","")&amp;IF($I78="","N° dictamen",""))&lt;&gt;"","INCOMPLETA: "&amp;TRIM(IF($A78="","tipo ","")&amp;IF($F78="","fecha de firma ","")&amp;IF($G78="","decisión ","")&amp;IF($H78="","N° resolución ","")&amp;IF($I78="","N° dictamen","")),IF(LEFT($N78,4)&lt;&gt;"CONC","OK",IF(N($Q78)=0,IF(AND(ISNUMBER($E78),$E78&gt;=DATE(2024,1,1)),"FALTA EN evol_conc","OK"),IF(INDEX(evol_conc!$H:$H,$Q78)&lt;&gt;$F78,"FIRMA DISTINTA EN evol_conc ("&amp;IF(INDEX(evol_conc!$H:$H,$Q78)="","vacía",DAY(INDEX(evol_conc!$H:$H,$Q78))&amp;"/"&amp;MONTH(INDEX(evol_conc!$H:$H,$Q78))&amp;"/"&amp;YEAR(INDEX(evol_conc!$H:$H,$Q78)))&amp;")",IF(INDEX(evol_conc!$G:$G,$Q78)&lt;&gt;$E78,"INGRESO DISTINTO EN evol_conc ("&amp;IF(INDEX(evol_conc!$G:$G,$Q78)="","vacía",DAY(INDEX(evol_conc!$G:$G,$Q78))&amp;"/"&amp;MONTH(INDEX(evol_conc!$G:$G,$Q78))&amp;"/"&amp;YEAR(INDEX(evol_conc!$G:$G,$Q78)))&amp;")","OK"))))))))</f>
        <v>OK</v>
      </c>
      <c r="Q78">
        <f ca="1">IF($N78="","",IFERROR(MATCH($N78,evol_conc!$P:$P,0),0))</f>
        <v>0</v>
      </c>
    </row>
    <row r="79" spans="1:17" ht="18" hidden="1" customHeight="1" x14ac:dyDescent="0.25">
      <c r="A79" t="s">
        <v>624</v>
      </c>
      <c r="B79" t="s">
        <v>927</v>
      </c>
      <c r="D79" s="22" t="s">
        <v>231</v>
      </c>
      <c r="E79" s="16">
        <v>45485</v>
      </c>
      <c r="F79" s="16">
        <v>45595</v>
      </c>
      <c r="G79" t="s">
        <v>550</v>
      </c>
      <c r="H79" t="s">
        <v>928</v>
      </c>
      <c r="I79" t="s">
        <v>929</v>
      </c>
      <c r="J79" t="s">
        <v>930</v>
      </c>
      <c r="K79" t="s">
        <v>592</v>
      </c>
      <c r="L79" s="53">
        <f t="shared" si="2"/>
        <v>3.6666666666666665</v>
      </c>
      <c r="M79" s="19">
        <f t="shared" si="3"/>
        <v>110</v>
      </c>
      <c r="N79" t="str">
        <f ca="1">IF(TRIM(SUBSTITUTE($B79,CHAR(160)," "))="","",IFERROR(IF(ISNUMBER(SEARCH("INC",$B79)),"INC",IF(ISNUMBER(SEARCH("OPI",$B79)),"OPI",IF(ISNUMBER(SEARCH("DP",$B79)),"DP","CONC")))&amp;" "&amp;TEXT(LOOKUP(9.99E+307,--MID(SUBSTITUTE($B79,CHAR(160)," "),SUMPRODUCT(MIN(FIND({0,1,2,3,4,5,6,7,8,9},SUBSTITUTE($B79,CHAR(160)," ")&amp;"0123456789"))),ROW(INDIRECT("1:6")))),"0"),"SIN NUMERO"))</f>
        <v>CONC 1986</v>
      </c>
      <c r="O79" t="str">
        <f ca="1">IF($N79="","",IF(LEFT(UPPER($P79),9)="VERIFICAR","VERIFICAR",IF(AND($H79&lt;&gt;"",COUNTIFS($N$2:$N$1000,$N79,$H$2:$H$1000,$H79)&gt;1),"DUPLICADA",IF(TRIM(IF($A79="","tipo ","")&amp;IF($F79="","fecha de firma ","")&amp;IF($G79="","decisión ","")&amp;IF($H79="","N° resolución ","")&amp;IF($I79="","N° dictamen",""))&lt;&gt;"","INCOMPLETA: "&amp;TRIM(IF($A79="","tipo ","")&amp;IF($F79="","fecha de firma ","")&amp;IF($G79="","decisión ","")&amp;IF($H79="","N° resolución ","")&amp;IF($I79="","N° dictamen","")),IF(LEFT($N79,4)&lt;&gt;"CONC","OK",IF(N($Q79)=0,IF(AND(ISNUMBER($E79),$E79&gt;=DATE(2024,1,1)),"FALTA EN evol_conc","OK"),IF(INDEX(evol_conc!$H:$H,$Q79)&lt;&gt;$F79,"FIRMA DISTINTA EN evol_conc ("&amp;IF(INDEX(evol_conc!$H:$H,$Q79)="","vacía",DAY(INDEX(evol_conc!$H:$H,$Q79))&amp;"/"&amp;MONTH(INDEX(evol_conc!$H:$H,$Q79))&amp;"/"&amp;YEAR(INDEX(evol_conc!$H:$H,$Q79)))&amp;")",IF(INDEX(evol_conc!$G:$G,$Q79)&lt;&gt;$E79,"INGRESO DISTINTO EN evol_conc ("&amp;IF(INDEX(evol_conc!$G:$G,$Q79)="","vacía",DAY(INDEX(evol_conc!$G:$G,$Q79))&amp;"/"&amp;MONTH(INDEX(evol_conc!$G:$G,$Q79))&amp;"/"&amp;YEAR(INDEX(evol_conc!$G:$G,$Q79)))&amp;")","OK"))))))))</f>
        <v>OK</v>
      </c>
      <c r="Q79">
        <f ca="1">IF($N79="","",IFERROR(MATCH($N79,evol_conc!$P:$P,0),0))</f>
        <v>62</v>
      </c>
    </row>
    <row r="80" spans="1:17" ht="18" hidden="1" customHeight="1" x14ac:dyDescent="0.25">
      <c r="A80" t="s">
        <v>624</v>
      </c>
      <c r="B80" t="s">
        <v>931</v>
      </c>
      <c r="D80" s="22" t="s">
        <v>932</v>
      </c>
      <c r="E80" s="16">
        <v>44889</v>
      </c>
      <c r="F80" s="16">
        <v>45597</v>
      </c>
      <c r="G80" t="s">
        <v>550</v>
      </c>
      <c r="H80" t="s">
        <v>933</v>
      </c>
      <c r="I80" t="s">
        <v>934</v>
      </c>
      <c r="J80" t="s">
        <v>935</v>
      </c>
      <c r="K80" t="s">
        <v>581</v>
      </c>
      <c r="L80" s="53">
        <f t="shared" si="2"/>
        <v>23.6</v>
      </c>
      <c r="M80" s="19">
        <f t="shared" si="3"/>
        <v>708</v>
      </c>
      <c r="N80" t="str">
        <f ca="1">IF(TRIM(SUBSTITUTE($B80,CHAR(160)," "))="","",IFERROR(IF(ISNUMBER(SEARCH("INC",$B80)),"INC",IF(ISNUMBER(SEARCH("OPI",$B80)),"OPI",IF(ISNUMBER(SEARCH("DP",$B80)),"DP","CONC")))&amp;" "&amp;TEXT(LOOKUP(9.99E+307,--MID(SUBSTITUTE($B80,CHAR(160)," "),SUMPRODUCT(MIN(FIND({0,1,2,3,4,5,6,7,8,9},SUBSTITUTE($B80,CHAR(160)," ")&amp;"0123456789"))),ROW(INDIRECT("1:6")))),"0"),"SIN NUMERO"))</f>
        <v>CONC 1879</v>
      </c>
      <c r="O80" t="str">
        <f ca="1">IF($N80="","",IF(LEFT(UPPER($P80),9)="VERIFICAR","VERIFICAR",IF(AND($H80&lt;&gt;"",COUNTIFS($N$2:$N$1000,$N80,$H$2:$H$1000,$H80)&gt;1),"DUPLICADA",IF(TRIM(IF($A80="","tipo ","")&amp;IF($F80="","fecha de firma ","")&amp;IF($G80="","decisión ","")&amp;IF($H80="","N° resolución ","")&amp;IF($I80="","N° dictamen",""))&lt;&gt;"","INCOMPLETA: "&amp;TRIM(IF($A80="","tipo ","")&amp;IF($F80="","fecha de firma ","")&amp;IF($G80="","decisión ","")&amp;IF($H80="","N° resolución ","")&amp;IF($I80="","N° dictamen","")),IF(LEFT($N80,4)&lt;&gt;"CONC","OK",IF(N($Q80)=0,IF(AND(ISNUMBER($E80),$E80&gt;=DATE(2024,1,1)),"FALTA EN evol_conc","OK"),IF(INDEX(evol_conc!$H:$H,$Q80)&lt;&gt;$F80,"FIRMA DISTINTA EN evol_conc ("&amp;IF(INDEX(evol_conc!$H:$H,$Q80)="","vacía",DAY(INDEX(evol_conc!$H:$H,$Q80))&amp;"/"&amp;MONTH(INDEX(evol_conc!$H:$H,$Q80))&amp;"/"&amp;YEAR(INDEX(evol_conc!$H:$H,$Q80)))&amp;")",IF(INDEX(evol_conc!$G:$G,$Q80)&lt;&gt;$E80,"INGRESO DISTINTO EN evol_conc ("&amp;IF(INDEX(evol_conc!$G:$G,$Q80)="","vacía",DAY(INDEX(evol_conc!$G:$G,$Q80))&amp;"/"&amp;MONTH(INDEX(evol_conc!$G:$G,$Q80))&amp;"/"&amp;YEAR(INDEX(evol_conc!$G:$G,$Q80)))&amp;")","OK"))))))))</f>
        <v>OK</v>
      </c>
      <c r="Q80">
        <f ca="1">IF($N80="","",IFERROR(MATCH($N80,evol_conc!$P:$P,0),0))</f>
        <v>0</v>
      </c>
    </row>
    <row r="81" spans="1:17" ht="18" hidden="1" customHeight="1" x14ac:dyDescent="0.25">
      <c r="A81" t="s">
        <v>624</v>
      </c>
      <c r="B81" t="s">
        <v>936</v>
      </c>
      <c r="D81" s="22" t="s">
        <v>937</v>
      </c>
      <c r="E81" s="16">
        <v>44679</v>
      </c>
      <c r="F81" s="16">
        <v>45601</v>
      </c>
      <c r="G81" t="s">
        <v>550</v>
      </c>
      <c r="H81" t="s">
        <v>938</v>
      </c>
      <c r="I81" t="s">
        <v>939</v>
      </c>
      <c r="J81" t="s">
        <v>940</v>
      </c>
      <c r="K81" t="s">
        <v>592</v>
      </c>
      <c r="L81" s="53">
        <f t="shared" si="2"/>
        <v>30.733333333333334</v>
      </c>
      <c r="M81" s="19">
        <f t="shared" si="3"/>
        <v>922</v>
      </c>
      <c r="N81" t="str">
        <f ca="1">IF(TRIM(SUBSTITUTE($B81,CHAR(160)," "))="","",IFERROR(IF(ISNUMBER(SEARCH("INC",$B81)),"INC",IF(ISNUMBER(SEARCH("OPI",$B81)),"OPI",IF(ISNUMBER(SEARCH("DP",$B81)),"DP","CONC")))&amp;" "&amp;TEXT(LOOKUP(9.99E+307,--MID(SUBSTITUTE($B81,CHAR(160)," "),SUMPRODUCT(MIN(FIND({0,1,2,3,4,5,6,7,8,9},SUBSTITUTE($B81,CHAR(160)," ")&amp;"0123456789"))),ROW(INDIRECT("1:6")))),"0"),"SIN NUMERO"))</f>
        <v>CONC 1851</v>
      </c>
      <c r="O81" t="str">
        <f ca="1">IF($N81="","",IF(LEFT(UPPER($P81),9)="VERIFICAR","VERIFICAR",IF(AND($H81&lt;&gt;"",COUNTIFS($N$2:$N$1000,$N81,$H$2:$H$1000,$H81)&gt;1),"DUPLICADA",IF(TRIM(IF($A81="","tipo ","")&amp;IF($F81="","fecha de firma ","")&amp;IF($G81="","decisión ","")&amp;IF($H81="","N° resolución ","")&amp;IF($I81="","N° dictamen",""))&lt;&gt;"","INCOMPLETA: "&amp;TRIM(IF($A81="","tipo ","")&amp;IF($F81="","fecha de firma ","")&amp;IF($G81="","decisión ","")&amp;IF($H81="","N° resolución ","")&amp;IF($I81="","N° dictamen","")),IF(LEFT($N81,4)&lt;&gt;"CONC","OK",IF(N($Q81)=0,IF(AND(ISNUMBER($E81),$E81&gt;=DATE(2024,1,1)),"FALTA EN evol_conc","OK"),IF(INDEX(evol_conc!$H:$H,$Q81)&lt;&gt;$F81,"FIRMA DISTINTA EN evol_conc ("&amp;IF(INDEX(evol_conc!$H:$H,$Q81)="","vacía",DAY(INDEX(evol_conc!$H:$H,$Q81))&amp;"/"&amp;MONTH(INDEX(evol_conc!$H:$H,$Q81))&amp;"/"&amp;YEAR(INDEX(evol_conc!$H:$H,$Q81)))&amp;")",IF(INDEX(evol_conc!$G:$G,$Q81)&lt;&gt;$E81,"INGRESO DISTINTO EN evol_conc ("&amp;IF(INDEX(evol_conc!$G:$G,$Q81)="","vacía",DAY(INDEX(evol_conc!$G:$G,$Q81))&amp;"/"&amp;MONTH(INDEX(evol_conc!$G:$G,$Q81))&amp;"/"&amp;YEAR(INDEX(evol_conc!$G:$G,$Q81)))&amp;")","OK"))))))))</f>
        <v>OK</v>
      </c>
      <c r="Q81">
        <f ca="1">IF($N81="","",IFERROR(MATCH($N81,evol_conc!$P:$P,0),0))</f>
        <v>0</v>
      </c>
    </row>
    <row r="82" spans="1:17" ht="18" hidden="1" customHeight="1" x14ac:dyDescent="0.25">
      <c r="A82" t="s">
        <v>624</v>
      </c>
      <c r="B82" t="s">
        <v>941</v>
      </c>
      <c r="D82" s="22" t="s">
        <v>942</v>
      </c>
      <c r="E82" s="16">
        <v>45216</v>
      </c>
      <c r="F82" s="16">
        <v>45601</v>
      </c>
      <c r="G82" t="s">
        <v>550</v>
      </c>
      <c r="H82" t="s">
        <v>943</v>
      </c>
      <c r="I82" t="s">
        <v>944</v>
      </c>
      <c r="J82" t="s">
        <v>945</v>
      </c>
      <c r="K82" t="s">
        <v>581</v>
      </c>
      <c r="L82" s="53">
        <f t="shared" si="2"/>
        <v>12.833333333333334</v>
      </c>
      <c r="M82" s="19">
        <f t="shared" si="3"/>
        <v>385</v>
      </c>
      <c r="N82" t="str">
        <f ca="1">IF(TRIM(SUBSTITUTE($B82,CHAR(160)," "))="","",IFERROR(IF(ISNUMBER(SEARCH("INC",$B82)),"INC",IF(ISNUMBER(SEARCH("OPI",$B82)),"OPI",IF(ISNUMBER(SEARCH("DP",$B82)),"DP","CONC")))&amp;" "&amp;TEXT(LOOKUP(9.99E+307,--MID(SUBSTITUTE($B82,CHAR(160)," "),SUMPRODUCT(MIN(FIND({0,1,2,3,4,5,6,7,8,9},SUBSTITUTE($B82,CHAR(160)," ")&amp;"0123456789"))),ROW(INDIRECT("1:6")))),"0"),"SIN NUMERO"))</f>
        <v>CONC 1941</v>
      </c>
      <c r="O82" t="str">
        <f ca="1">IF($N82="","",IF(LEFT(UPPER($P82),9)="VERIFICAR","VERIFICAR",IF(AND($H82&lt;&gt;"",COUNTIFS($N$2:$N$1000,$N82,$H$2:$H$1000,$H82)&gt;1),"DUPLICADA",IF(TRIM(IF($A82="","tipo ","")&amp;IF($F82="","fecha de firma ","")&amp;IF($G82="","decisión ","")&amp;IF($H82="","N° resolución ","")&amp;IF($I82="","N° dictamen",""))&lt;&gt;"","INCOMPLETA: "&amp;TRIM(IF($A82="","tipo ","")&amp;IF($F82="","fecha de firma ","")&amp;IF($G82="","decisión ","")&amp;IF($H82="","N° resolución ","")&amp;IF($I82="","N° dictamen","")),IF(LEFT($N82,4)&lt;&gt;"CONC","OK",IF(N($Q82)=0,IF(AND(ISNUMBER($E82),$E82&gt;=DATE(2024,1,1)),"FALTA EN evol_conc","OK"),IF(INDEX(evol_conc!$H:$H,$Q82)&lt;&gt;$F82,"FIRMA DISTINTA EN evol_conc ("&amp;IF(INDEX(evol_conc!$H:$H,$Q82)="","vacía",DAY(INDEX(evol_conc!$H:$H,$Q82))&amp;"/"&amp;MONTH(INDEX(evol_conc!$H:$H,$Q82))&amp;"/"&amp;YEAR(INDEX(evol_conc!$H:$H,$Q82)))&amp;")",IF(INDEX(evol_conc!$G:$G,$Q82)&lt;&gt;$E82,"INGRESO DISTINTO EN evol_conc ("&amp;IF(INDEX(evol_conc!$G:$G,$Q82)="","vacía",DAY(INDEX(evol_conc!$G:$G,$Q82))&amp;"/"&amp;MONTH(INDEX(evol_conc!$G:$G,$Q82))&amp;"/"&amp;YEAR(INDEX(evol_conc!$G:$G,$Q82)))&amp;")","OK"))))))))</f>
        <v>OK</v>
      </c>
      <c r="Q82">
        <f ca="1">IF($N82="","",IFERROR(MATCH($N82,evol_conc!$P:$P,0),0))</f>
        <v>0</v>
      </c>
    </row>
    <row r="83" spans="1:17" ht="18" hidden="1" customHeight="1" x14ac:dyDescent="0.25">
      <c r="A83" t="s">
        <v>624</v>
      </c>
      <c r="B83" t="s">
        <v>946</v>
      </c>
      <c r="D83" s="22" t="s">
        <v>947</v>
      </c>
      <c r="E83" s="16">
        <v>45134</v>
      </c>
      <c r="F83" s="16">
        <v>45610</v>
      </c>
      <c r="G83" t="s">
        <v>550</v>
      </c>
      <c r="H83" t="s">
        <v>948</v>
      </c>
      <c r="I83" t="s">
        <v>949</v>
      </c>
      <c r="J83" t="s">
        <v>950</v>
      </c>
      <c r="K83" t="s">
        <v>554</v>
      </c>
      <c r="L83" s="53">
        <f t="shared" si="2"/>
        <v>15.866666666666667</v>
      </c>
      <c r="M83" s="19">
        <f t="shared" si="3"/>
        <v>476</v>
      </c>
      <c r="N83" t="str">
        <f ca="1">IF(TRIM(SUBSTITUTE($B83,CHAR(160)," "))="","",IFERROR(IF(ISNUMBER(SEARCH("INC",$B83)),"INC",IF(ISNUMBER(SEARCH("OPI",$B83)),"OPI",IF(ISNUMBER(SEARCH("DP",$B83)),"DP","CONC")))&amp;" "&amp;TEXT(LOOKUP(9.99E+307,--MID(SUBSTITUTE($B83,CHAR(160)," "),SUMPRODUCT(MIN(FIND({0,1,2,3,4,5,6,7,8,9},SUBSTITUTE($B83,CHAR(160)," ")&amp;"0123456789"))),ROW(INDIRECT("1:6")))),"0"),"SIN NUMERO"))</f>
        <v>CONC 1930</v>
      </c>
      <c r="O83" t="str">
        <f ca="1">IF($N83="","",IF(LEFT(UPPER($P83),9)="VERIFICAR","VERIFICAR",IF(AND($H83&lt;&gt;"",COUNTIFS($N$2:$N$1000,$N83,$H$2:$H$1000,$H83)&gt;1),"DUPLICADA",IF(TRIM(IF($A83="","tipo ","")&amp;IF($F83="","fecha de firma ","")&amp;IF($G83="","decisión ","")&amp;IF($H83="","N° resolución ","")&amp;IF($I83="","N° dictamen",""))&lt;&gt;"","INCOMPLETA: "&amp;TRIM(IF($A83="","tipo ","")&amp;IF($F83="","fecha de firma ","")&amp;IF($G83="","decisión ","")&amp;IF($H83="","N° resolución ","")&amp;IF($I83="","N° dictamen","")),IF(LEFT($N83,4)&lt;&gt;"CONC","OK",IF(N($Q83)=0,IF(AND(ISNUMBER($E83),$E83&gt;=DATE(2024,1,1)),"FALTA EN evol_conc","OK"),IF(INDEX(evol_conc!$H:$H,$Q83)&lt;&gt;$F83,"FIRMA DISTINTA EN evol_conc ("&amp;IF(INDEX(evol_conc!$H:$H,$Q83)="","vacía",DAY(INDEX(evol_conc!$H:$H,$Q83))&amp;"/"&amp;MONTH(INDEX(evol_conc!$H:$H,$Q83))&amp;"/"&amp;YEAR(INDEX(evol_conc!$H:$H,$Q83)))&amp;")",IF(INDEX(evol_conc!$G:$G,$Q83)&lt;&gt;$E83,"INGRESO DISTINTO EN evol_conc ("&amp;IF(INDEX(evol_conc!$G:$G,$Q83)="","vacía",DAY(INDEX(evol_conc!$G:$G,$Q83))&amp;"/"&amp;MONTH(INDEX(evol_conc!$G:$G,$Q83))&amp;"/"&amp;YEAR(INDEX(evol_conc!$G:$G,$Q83)))&amp;")","OK"))))))))</f>
        <v>OK</v>
      </c>
      <c r="Q83">
        <f ca="1">IF($N83="","",IFERROR(MATCH($N83,evol_conc!$P:$P,0),0))</f>
        <v>0</v>
      </c>
    </row>
    <row r="84" spans="1:17" ht="18" hidden="1" customHeight="1" x14ac:dyDescent="0.25">
      <c r="A84" t="s">
        <v>624</v>
      </c>
      <c r="B84" t="s">
        <v>951</v>
      </c>
      <c r="D84" s="22" t="s">
        <v>233</v>
      </c>
      <c r="E84" s="16">
        <v>45511</v>
      </c>
      <c r="F84" s="16">
        <v>45616</v>
      </c>
      <c r="G84" t="s">
        <v>550</v>
      </c>
      <c r="H84" t="s">
        <v>952</v>
      </c>
      <c r="I84" t="s">
        <v>953</v>
      </c>
      <c r="J84" t="s">
        <v>954</v>
      </c>
      <c r="K84" t="s">
        <v>592</v>
      </c>
      <c r="L84" s="53">
        <f t="shared" si="2"/>
        <v>3.5</v>
      </c>
      <c r="M84" s="19">
        <f t="shared" si="3"/>
        <v>105</v>
      </c>
      <c r="N84" t="str">
        <f ca="1">IF(TRIM(SUBSTITUTE($B84,CHAR(160)," "))="","",IFERROR(IF(ISNUMBER(SEARCH("INC",$B84)),"INC",IF(ISNUMBER(SEARCH("OPI",$B84)),"OPI",IF(ISNUMBER(SEARCH("DP",$B84)),"DP","CONC")))&amp;" "&amp;TEXT(LOOKUP(9.99E+307,--MID(SUBSTITUTE($B84,CHAR(160)," "),SUMPRODUCT(MIN(FIND({0,1,2,3,4,5,6,7,8,9},SUBSTITUTE($B84,CHAR(160)," ")&amp;"0123456789"))),ROW(INDIRECT("1:6")))),"0"),"SIN NUMERO"))</f>
        <v>CONC 1988</v>
      </c>
      <c r="O84" t="str">
        <f ca="1">IF($N84="","",IF(LEFT(UPPER($P84),9)="VERIFICAR","VERIFICAR",IF(AND($H84&lt;&gt;"",COUNTIFS($N$2:$N$1000,$N84,$H$2:$H$1000,$H84)&gt;1),"DUPLICADA",IF(TRIM(IF($A84="","tipo ","")&amp;IF($F84="","fecha de firma ","")&amp;IF($G84="","decisión ","")&amp;IF($H84="","N° resolución ","")&amp;IF($I84="","N° dictamen",""))&lt;&gt;"","INCOMPLETA: "&amp;TRIM(IF($A84="","tipo ","")&amp;IF($F84="","fecha de firma ","")&amp;IF($G84="","decisión ","")&amp;IF($H84="","N° resolución ","")&amp;IF($I84="","N° dictamen","")),IF(LEFT($N84,4)&lt;&gt;"CONC","OK",IF(N($Q84)=0,IF(AND(ISNUMBER($E84),$E84&gt;=DATE(2024,1,1)),"FALTA EN evol_conc","OK"),IF(INDEX(evol_conc!$H:$H,$Q84)&lt;&gt;$F84,"FIRMA DISTINTA EN evol_conc ("&amp;IF(INDEX(evol_conc!$H:$H,$Q84)="","vacía",DAY(INDEX(evol_conc!$H:$H,$Q84))&amp;"/"&amp;MONTH(INDEX(evol_conc!$H:$H,$Q84))&amp;"/"&amp;YEAR(INDEX(evol_conc!$H:$H,$Q84)))&amp;")",IF(INDEX(evol_conc!$G:$G,$Q84)&lt;&gt;$E84,"INGRESO DISTINTO EN evol_conc ("&amp;IF(INDEX(evol_conc!$G:$G,$Q84)="","vacía",DAY(INDEX(evol_conc!$G:$G,$Q84))&amp;"/"&amp;MONTH(INDEX(evol_conc!$G:$G,$Q84))&amp;"/"&amp;YEAR(INDEX(evol_conc!$G:$G,$Q84)))&amp;")","OK"))))))))</f>
        <v>OK</v>
      </c>
      <c r="Q84">
        <f ca="1">IF($N84="","",IFERROR(MATCH($N84,evol_conc!$P:$P,0),0))</f>
        <v>64</v>
      </c>
    </row>
    <row r="85" spans="1:17" ht="18" hidden="1" customHeight="1" x14ac:dyDescent="0.25">
      <c r="A85" t="s">
        <v>624</v>
      </c>
      <c r="B85" t="s">
        <v>955</v>
      </c>
      <c r="D85" s="22" t="s">
        <v>186</v>
      </c>
      <c r="E85" s="16">
        <v>45308</v>
      </c>
      <c r="F85" s="16">
        <v>45628</v>
      </c>
      <c r="G85" t="s">
        <v>550</v>
      </c>
      <c r="H85" t="s">
        <v>956</v>
      </c>
      <c r="I85" t="s">
        <v>957</v>
      </c>
      <c r="J85" t="s">
        <v>958</v>
      </c>
      <c r="K85" t="s">
        <v>592</v>
      </c>
      <c r="L85" s="53">
        <f t="shared" si="2"/>
        <v>10.666666666666666</v>
      </c>
      <c r="M85" s="19">
        <f t="shared" si="3"/>
        <v>320</v>
      </c>
      <c r="N85" t="str">
        <f ca="1">IF(TRIM(SUBSTITUTE($B85,CHAR(160)," "))="","",IFERROR(IF(ISNUMBER(SEARCH("INC",$B85)),"INC",IF(ISNUMBER(SEARCH("OPI",$B85)),"OPI",IF(ISNUMBER(SEARCH("DP",$B85)),"DP","CONC")))&amp;" "&amp;TEXT(LOOKUP(9.99E+307,--MID(SUBSTITUTE($B85,CHAR(160)," "),SUMPRODUCT(MIN(FIND({0,1,2,3,4,5,6,7,8,9},SUBSTITUTE($B85,CHAR(160)," ")&amp;"0123456789"))),ROW(INDIRECT("1:6")))),"0"),"SIN NUMERO"))</f>
        <v>CONC 1957</v>
      </c>
      <c r="O85" t="str">
        <f ca="1">IF($N85="","",IF(LEFT(UPPER($P85),9)="VERIFICAR","VERIFICAR",IF(AND($H85&lt;&gt;"",COUNTIFS($N$2:$N$1000,$N85,$H$2:$H$1000,$H85)&gt;1),"DUPLICADA",IF(TRIM(IF($A85="","tipo ","")&amp;IF($F85="","fecha de firma ","")&amp;IF($G85="","decisión ","")&amp;IF($H85="","N° resolución ","")&amp;IF($I85="","N° dictamen",""))&lt;&gt;"","INCOMPLETA: "&amp;TRIM(IF($A85="","tipo ","")&amp;IF($F85="","fecha de firma ","")&amp;IF($G85="","decisión ","")&amp;IF($H85="","N° resolución ","")&amp;IF($I85="","N° dictamen","")),IF(LEFT($N85,4)&lt;&gt;"CONC","OK",IF(N($Q85)=0,IF(AND(ISNUMBER($E85),$E85&gt;=DATE(2024,1,1)),"FALTA EN evol_conc","OK"),IF(INDEX(evol_conc!$H:$H,$Q85)&lt;&gt;$F85,"FIRMA DISTINTA EN evol_conc ("&amp;IF(INDEX(evol_conc!$H:$H,$Q85)="","vacía",DAY(INDEX(evol_conc!$H:$H,$Q85))&amp;"/"&amp;MONTH(INDEX(evol_conc!$H:$H,$Q85))&amp;"/"&amp;YEAR(INDEX(evol_conc!$H:$H,$Q85)))&amp;")",IF(INDEX(evol_conc!$G:$G,$Q85)&lt;&gt;$E85,"INGRESO DISTINTO EN evol_conc ("&amp;IF(INDEX(evol_conc!$G:$G,$Q85)="","vacía",DAY(INDEX(evol_conc!$G:$G,$Q85))&amp;"/"&amp;MONTH(INDEX(evol_conc!$G:$G,$Q85))&amp;"/"&amp;YEAR(INDEX(evol_conc!$G:$G,$Q85)))&amp;")","OK"))))))))</f>
        <v>OK</v>
      </c>
      <c r="Q85">
        <f ca="1">IF($N85="","",IFERROR(MATCH($N85,evol_conc!$P:$P,0),0))</f>
        <v>35</v>
      </c>
    </row>
    <row r="86" spans="1:17" ht="18" hidden="1" customHeight="1" x14ac:dyDescent="0.25">
      <c r="A86" t="s">
        <v>624</v>
      </c>
      <c r="B86" t="s">
        <v>959</v>
      </c>
      <c r="D86" s="22" t="s">
        <v>960</v>
      </c>
      <c r="E86" s="16">
        <v>44866</v>
      </c>
      <c r="F86" s="16">
        <v>45630</v>
      </c>
      <c r="G86" t="s">
        <v>550</v>
      </c>
      <c r="H86" t="s">
        <v>961</v>
      </c>
      <c r="I86" t="s">
        <v>962</v>
      </c>
      <c r="J86" t="s">
        <v>963</v>
      </c>
      <c r="K86" t="s">
        <v>554</v>
      </c>
      <c r="L86" s="53">
        <f t="shared" si="2"/>
        <v>25.466666666666665</v>
      </c>
      <c r="M86" s="19">
        <f t="shared" si="3"/>
        <v>764</v>
      </c>
      <c r="N86" t="str">
        <f ca="1">IF(TRIM(SUBSTITUTE($B86,CHAR(160)," "))="","",IFERROR(IF(ISNUMBER(SEARCH("INC",$B86)),"INC",IF(ISNUMBER(SEARCH("OPI",$B86)),"OPI",IF(ISNUMBER(SEARCH("DP",$B86)),"DP","CONC")))&amp;" "&amp;TEXT(LOOKUP(9.99E+307,--MID(SUBSTITUTE($B86,CHAR(160)," "),SUMPRODUCT(MIN(FIND({0,1,2,3,4,5,6,7,8,9},SUBSTITUTE($B86,CHAR(160)," ")&amp;"0123456789"))),ROW(INDIRECT("1:6")))),"0"),"SIN NUMERO"))</f>
        <v>CONC 1876</v>
      </c>
      <c r="O86" t="str">
        <f ca="1">IF($N86="","",IF(LEFT(UPPER($P86),9)="VERIFICAR","VERIFICAR",IF(AND($H86&lt;&gt;"",COUNTIFS($N$2:$N$1000,$N86,$H$2:$H$1000,$H86)&gt;1),"DUPLICADA",IF(TRIM(IF($A86="","tipo ","")&amp;IF($F86="","fecha de firma ","")&amp;IF($G86="","decisión ","")&amp;IF($H86="","N° resolución ","")&amp;IF($I86="","N° dictamen",""))&lt;&gt;"","INCOMPLETA: "&amp;TRIM(IF($A86="","tipo ","")&amp;IF($F86="","fecha de firma ","")&amp;IF($G86="","decisión ","")&amp;IF($H86="","N° resolución ","")&amp;IF($I86="","N° dictamen","")),IF(LEFT($N86,4)&lt;&gt;"CONC","OK",IF(N($Q86)=0,IF(AND(ISNUMBER($E86),$E86&gt;=DATE(2024,1,1)),"FALTA EN evol_conc","OK"),IF(INDEX(evol_conc!$H:$H,$Q86)&lt;&gt;$F86,"FIRMA DISTINTA EN evol_conc ("&amp;IF(INDEX(evol_conc!$H:$H,$Q86)="","vacía",DAY(INDEX(evol_conc!$H:$H,$Q86))&amp;"/"&amp;MONTH(INDEX(evol_conc!$H:$H,$Q86))&amp;"/"&amp;YEAR(INDEX(evol_conc!$H:$H,$Q86)))&amp;")",IF(INDEX(evol_conc!$G:$G,$Q86)&lt;&gt;$E86,"INGRESO DISTINTO EN evol_conc ("&amp;IF(INDEX(evol_conc!$G:$G,$Q86)="","vacía",DAY(INDEX(evol_conc!$G:$G,$Q86))&amp;"/"&amp;MONTH(INDEX(evol_conc!$G:$G,$Q86))&amp;"/"&amp;YEAR(INDEX(evol_conc!$G:$G,$Q86)))&amp;")","OK"))))))))</f>
        <v>OK</v>
      </c>
      <c r="Q86">
        <f ca="1">IF($N86="","",IFERROR(MATCH($N86,evol_conc!$P:$P,0),0))</f>
        <v>0</v>
      </c>
    </row>
    <row r="87" spans="1:17" ht="18" hidden="1" customHeight="1" x14ac:dyDescent="0.25">
      <c r="A87" t="s">
        <v>624</v>
      </c>
      <c r="B87" t="s">
        <v>964</v>
      </c>
      <c r="D87" s="22" t="s">
        <v>215</v>
      </c>
      <c r="E87" s="16">
        <v>45434</v>
      </c>
      <c r="F87" s="16">
        <v>45642</v>
      </c>
      <c r="G87" t="s">
        <v>550</v>
      </c>
      <c r="H87" t="s">
        <v>965</v>
      </c>
      <c r="I87" t="s">
        <v>966</v>
      </c>
      <c r="J87" t="s">
        <v>967</v>
      </c>
      <c r="K87" t="s">
        <v>560</v>
      </c>
      <c r="L87" s="53">
        <f t="shared" si="2"/>
        <v>6.9333333333333336</v>
      </c>
      <c r="M87" s="19">
        <f t="shared" si="3"/>
        <v>208</v>
      </c>
      <c r="N87" t="str">
        <f ca="1">IF(TRIM(SUBSTITUTE($B87,CHAR(160)," "))="","",IFERROR(IF(ISNUMBER(SEARCH("INC",$B87)),"INC",IF(ISNUMBER(SEARCH("OPI",$B87)),"OPI",IF(ISNUMBER(SEARCH("DP",$B87)),"DP","CONC")))&amp;" "&amp;TEXT(LOOKUP(9.99E+307,--MID(SUBSTITUTE($B87,CHAR(160)," "),SUMPRODUCT(MIN(FIND({0,1,2,3,4,5,6,7,8,9},SUBSTITUTE($B87,CHAR(160)," ")&amp;"0123456789"))),ROW(INDIRECT("1:6")))),"0"),"SIN NUMERO"))</f>
        <v>CONC 1976</v>
      </c>
      <c r="O87" t="str">
        <f ca="1">IF($N87="","",IF(LEFT(UPPER($P87),9)="VERIFICAR","VERIFICAR",IF(AND($H87&lt;&gt;"",COUNTIFS($N$2:$N$1000,$N87,$H$2:$H$1000,$H87)&gt;1),"DUPLICADA",IF(TRIM(IF($A87="","tipo ","")&amp;IF($F87="","fecha de firma ","")&amp;IF($G87="","decisión ","")&amp;IF($H87="","N° resolución ","")&amp;IF($I87="","N° dictamen",""))&lt;&gt;"","INCOMPLETA: "&amp;TRIM(IF($A87="","tipo ","")&amp;IF($F87="","fecha de firma ","")&amp;IF($G87="","decisión ","")&amp;IF($H87="","N° resolución ","")&amp;IF($I87="","N° dictamen","")),IF(LEFT($N87,4)&lt;&gt;"CONC","OK",IF(N($Q87)=0,IF(AND(ISNUMBER($E87),$E87&gt;=DATE(2024,1,1)),"FALTA EN evol_conc","OK"),IF(INDEX(evol_conc!$H:$H,$Q87)&lt;&gt;$F87,"FIRMA DISTINTA EN evol_conc ("&amp;IF(INDEX(evol_conc!$H:$H,$Q87)="","vacía",DAY(INDEX(evol_conc!$H:$H,$Q87))&amp;"/"&amp;MONTH(INDEX(evol_conc!$H:$H,$Q87))&amp;"/"&amp;YEAR(INDEX(evol_conc!$H:$H,$Q87)))&amp;")",IF(INDEX(evol_conc!$G:$G,$Q87)&lt;&gt;$E87,"INGRESO DISTINTO EN evol_conc ("&amp;IF(INDEX(evol_conc!$G:$G,$Q87)="","vacía",DAY(INDEX(evol_conc!$G:$G,$Q87))&amp;"/"&amp;MONTH(INDEX(evol_conc!$G:$G,$Q87))&amp;"/"&amp;YEAR(INDEX(evol_conc!$G:$G,$Q87)))&amp;")","OK"))))))))</f>
        <v>OK</v>
      </c>
      <c r="Q87">
        <f ca="1">IF($N87="","",IFERROR(MATCH($N87,evol_conc!$P:$P,0),0))</f>
        <v>52</v>
      </c>
    </row>
    <row r="88" spans="1:17" ht="18" hidden="1" customHeight="1" x14ac:dyDescent="0.25">
      <c r="A88" t="s">
        <v>624</v>
      </c>
      <c r="B88" t="s">
        <v>968</v>
      </c>
      <c r="D88" s="22" t="s">
        <v>969</v>
      </c>
      <c r="E88" s="16">
        <v>44658</v>
      </c>
      <c r="F88" s="16">
        <v>45646</v>
      </c>
      <c r="G88" t="s">
        <v>550</v>
      </c>
      <c r="H88" t="s">
        <v>970</v>
      </c>
      <c r="I88" t="s">
        <v>971</v>
      </c>
      <c r="J88" t="s">
        <v>972</v>
      </c>
      <c r="K88" t="s">
        <v>554</v>
      </c>
      <c r="L88" s="53">
        <f t="shared" si="2"/>
        <v>32.93333333333333</v>
      </c>
      <c r="M88" s="19">
        <f t="shared" si="3"/>
        <v>988</v>
      </c>
      <c r="N88" t="str">
        <f ca="1">IF(TRIM(SUBSTITUTE($B88,CHAR(160)," "))="","",IFERROR(IF(ISNUMBER(SEARCH("INC",$B88)),"INC",IF(ISNUMBER(SEARCH("OPI",$B88)),"OPI",IF(ISNUMBER(SEARCH("DP",$B88)),"DP","CONC")))&amp;" "&amp;TEXT(LOOKUP(9.99E+307,--MID(SUBSTITUTE($B88,CHAR(160)," "),SUMPRODUCT(MIN(FIND({0,1,2,3,4,5,6,7,8,9},SUBSTITUTE($B88,CHAR(160)," ")&amp;"0123456789"))),ROW(INDIRECT("1:6")))),"0"),"SIN NUMERO"))</f>
        <v>CONC 1847</v>
      </c>
      <c r="O88" t="str">
        <f ca="1">IF($N88="","",IF(LEFT(UPPER($P88),9)="VERIFICAR","VERIFICAR",IF(AND($H88&lt;&gt;"",COUNTIFS($N$2:$N$1000,$N88,$H$2:$H$1000,$H88)&gt;1),"DUPLICADA",IF(TRIM(IF($A88="","tipo ","")&amp;IF($F88="","fecha de firma ","")&amp;IF($G88="","decisión ","")&amp;IF($H88="","N° resolución ","")&amp;IF($I88="","N° dictamen",""))&lt;&gt;"","INCOMPLETA: "&amp;TRIM(IF($A88="","tipo ","")&amp;IF($F88="","fecha de firma ","")&amp;IF($G88="","decisión ","")&amp;IF($H88="","N° resolución ","")&amp;IF($I88="","N° dictamen","")),IF(LEFT($N88,4)&lt;&gt;"CONC","OK",IF(N($Q88)=0,IF(AND(ISNUMBER($E88),$E88&gt;=DATE(2024,1,1)),"FALTA EN evol_conc","OK"),IF(INDEX(evol_conc!$H:$H,$Q88)&lt;&gt;$F88,"FIRMA DISTINTA EN evol_conc ("&amp;IF(INDEX(evol_conc!$H:$H,$Q88)="","vacía",DAY(INDEX(evol_conc!$H:$H,$Q88))&amp;"/"&amp;MONTH(INDEX(evol_conc!$H:$H,$Q88))&amp;"/"&amp;YEAR(INDEX(evol_conc!$H:$H,$Q88)))&amp;")",IF(INDEX(evol_conc!$G:$G,$Q88)&lt;&gt;$E88,"INGRESO DISTINTO EN evol_conc ("&amp;IF(INDEX(evol_conc!$G:$G,$Q88)="","vacía",DAY(INDEX(evol_conc!$G:$G,$Q88))&amp;"/"&amp;MONTH(INDEX(evol_conc!$G:$G,$Q88))&amp;"/"&amp;YEAR(INDEX(evol_conc!$G:$G,$Q88)))&amp;")","OK"))))))))</f>
        <v>OK</v>
      </c>
      <c r="Q88">
        <f ca="1">IF($N88="","",IFERROR(MATCH($N88,evol_conc!$P:$P,0),0))</f>
        <v>0</v>
      </c>
    </row>
    <row r="89" spans="1:17" ht="18" hidden="1" customHeight="1" x14ac:dyDescent="0.25">
      <c r="A89" t="s">
        <v>624</v>
      </c>
      <c r="B89" t="s">
        <v>973</v>
      </c>
      <c r="D89" s="22" t="s">
        <v>974</v>
      </c>
      <c r="E89" s="16">
        <v>45124</v>
      </c>
      <c r="F89" s="16">
        <v>45646</v>
      </c>
      <c r="G89" t="s">
        <v>831</v>
      </c>
      <c r="H89" t="s">
        <v>975</v>
      </c>
      <c r="I89" t="s">
        <v>976</v>
      </c>
      <c r="J89" t="s">
        <v>977</v>
      </c>
      <c r="L89" s="53">
        <f t="shared" si="2"/>
        <v>17.399999999999999</v>
      </c>
      <c r="M89" s="19">
        <f t="shared" si="3"/>
        <v>522</v>
      </c>
      <c r="N89" t="str">
        <f ca="1">IF(TRIM(SUBSTITUTE($B89,CHAR(160)," "))="","",IFERROR(IF(ISNUMBER(SEARCH("INC",$B89)),"INC",IF(ISNUMBER(SEARCH("OPI",$B89)),"OPI",IF(ISNUMBER(SEARCH("DP",$B89)),"DP","CONC")))&amp;" "&amp;TEXT(LOOKUP(9.99E+307,--MID(SUBSTITUTE($B89,CHAR(160)," "),SUMPRODUCT(MIN(FIND({0,1,2,3,4,5,6,7,8,9},SUBSTITUTE($B89,CHAR(160)," ")&amp;"0123456789"))),ROW(INDIRECT("1:6")))),"0"),"SIN NUMERO"))</f>
        <v>CONC 1926</v>
      </c>
      <c r="O89" t="str">
        <f ca="1">IF($N89="","",IF(LEFT(UPPER($P89),9)="VERIFICAR","VERIFICAR",IF(AND($H89&lt;&gt;"",COUNTIFS($N$2:$N$1000,$N89,$H$2:$H$1000,$H89)&gt;1),"DUPLICADA",IF(TRIM(IF($A89="","tipo ","")&amp;IF($F89="","fecha de firma ","")&amp;IF($G89="","decisión ","")&amp;IF($H89="","N° resolución ","")&amp;IF($I89="","N° dictamen",""))&lt;&gt;"","INCOMPLETA: "&amp;TRIM(IF($A89="","tipo ","")&amp;IF($F89="","fecha de firma ","")&amp;IF($G89="","decisión ","")&amp;IF($H89="","N° resolución ","")&amp;IF($I89="","N° dictamen","")),IF(LEFT($N89,4)&lt;&gt;"CONC","OK",IF(N($Q89)=0,IF(AND(ISNUMBER($E89),$E89&gt;=DATE(2024,1,1)),"FALTA EN evol_conc","OK"),IF(INDEX(evol_conc!$H:$H,$Q89)&lt;&gt;$F89,"FIRMA DISTINTA EN evol_conc ("&amp;IF(INDEX(evol_conc!$H:$H,$Q89)="","vacía",DAY(INDEX(evol_conc!$H:$H,$Q89))&amp;"/"&amp;MONTH(INDEX(evol_conc!$H:$H,$Q89))&amp;"/"&amp;YEAR(INDEX(evol_conc!$H:$H,$Q89)))&amp;")",IF(INDEX(evol_conc!$G:$G,$Q89)&lt;&gt;$E89,"INGRESO DISTINTO EN evol_conc ("&amp;IF(INDEX(evol_conc!$G:$G,$Q89)="","vacía",DAY(INDEX(evol_conc!$G:$G,$Q89))&amp;"/"&amp;MONTH(INDEX(evol_conc!$G:$G,$Q89))&amp;"/"&amp;YEAR(INDEX(evol_conc!$G:$G,$Q89)))&amp;")","OK"))))))))</f>
        <v>OK</v>
      </c>
      <c r="Q89">
        <f ca="1">IF($N89="","",IFERROR(MATCH($N89,evol_conc!$P:$P,0),0))</f>
        <v>0</v>
      </c>
    </row>
    <row r="90" spans="1:17" ht="18" hidden="1" customHeight="1" x14ac:dyDescent="0.25">
      <c r="A90" t="s">
        <v>547</v>
      </c>
      <c r="B90" t="s">
        <v>978</v>
      </c>
      <c r="D90" s="22" t="s">
        <v>979</v>
      </c>
      <c r="E90" s="16">
        <v>45176</v>
      </c>
      <c r="F90" s="16">
        <v>45656</v>
      </c>
      <c r="G90" t="s">
        <v>980</v>
      </c>
      <c r="H90" t="s">
        <v>981</v>
      </c>
      <c r="I90" t="s">
        <v>982</v>
      </c>
      <c r="J90" t="s">
        <v>983</v>
      </c>
      <c r="K90" t="s">
        <v>581</v>
      </c>
      <c r="L90" s="53">
        <f t="shared" si="2"/>
        <v>16</v>
      </c>
      <c r="M90" s="19">
        <f t="shared" si="3"/>
        <v>480</v>
      </c>
      <c r="N90" t="str">
        <f ca="1">IF(TRIM(SUBSTITUTE($B90,CHAR(160)," "))="","",IFERROR(IF(ISNUMBER(SEARCH("INC",$B90)),"INC",IF(ISNUMBER(SEARCH("OPI",$B90)),"OPI",IF(ISNUMBER(SEARCH("DP",$B90)),"DP","CONC")))&amp;" "&amp;TEXT(LOOKUP(9.99E+307,--MID(SUBSTITUTE($B90,CHAR(160)," "),SUMPRODUCT(MIN(FIND({0,1,2,3,4,5,6,7,8,9},SUBSTITUTE($B90,CHAR(160)," ")&amp;"0123456789"))),ROW(INDIRECT("1:6")))),"0"),"SIN NUMERO"))</f>
        <v>CONC 1936</v>
      </c>
      <c r="O90" t="str">
        <f ca="1">IF($N90="","",IF(LEFT(UPPER($P90),9)="VERIFICAR","VERIFICAR",IF(AND($H90&lt;&gt;"",COUNTIFS($N$2:$N$1000,$N90,$H$2:$H$1000,$H90)&gt;1),"DUPLICADA",IF(TRIM(IF($A90="","tipo ","")&amp;IF($F90="","fecha de firma ","")&amp;IF($G90="","decisión ","")&amp;IF($H90="","N° resolución ","")&amp;IF($I90="","N° dictamen",""))&lt;&gt;"","INCOMPLETA: "&amp;TRIM(IF($A90="","tipo ","")&amp;IF($F90="","fecha de firma ","")&amp;IF($G90="","decisión ","")&amp;IF($H90="","N° resolución ","")&amp;IF($I90="","N° dictamen","")),IF(LEFT($N90,4)&lt;&gt;"CONC","OK",IF(N($Q90)=0,IF(AND(ISNUMBER($E90),$E90&gt;=DATE(2024,1,1)),"FALTA EN evol_conc","OK"),IF(INDEX(evol_conc!$H:$H,$Q90)&lt;&gt;$F90,"FIRMA DISTINTA EN evol_conc ("&amp;IF(INDEX(evol_conc!$H:$H,$Q90)="","vacía",DAY(INDEX(evol_conc!$H:$H,$Q90))&amp;"/"&amp;MONTH(INDEX(evol_conc!$H:$H,$Q90))&amp;"/"&amp;YEAR(INDEX(evol_conc!$H:$H,$Q90)))&amp;")",IF(INDEX(evol_conc!$G:$G,$Q90)&lt;&gt;$E90,"INGRESO DISTINTO EN evol_conc ("&amp;IF(INDEX(evol_conc!$G:$G,$Q90)="","vacía",DAY(INDEX(evol_conc!$G:$G,$Q90))&amp;"/"&amp;MONTH(INDEX(evol_conc!$G:$G,$Q90))&amp;"/"&amp;YEAR(INDEX(evol_conc!$G:$G,$Q90)))&amp;")","OK"))))))))</f>
        <v>OK</v>
      </c>
      <c r="Q90">
        <f ca="1">IF($N90="","",IFERROR(MATCH($N90,evol_conc!$P:$P,0),0))</f>
        <v>0</v>
      </c>
    </row>
    <row r="91" spans="1:17" ht="18" hidden="1" customHeight="1" x14ac:dyDescent="0.25">
      <c r="A91" t="s">
        <v>624</v>
      </c>
      <c r="B91" t="s">
        <v>984</v>
      </c>
      <c r="D91" s="22" t="s">
        <v>985</v>
      </c>
      <c r="E91" s="16">
        <v>45281</v>
      </c>
      <c r="F91" s="16">
        <v>45656</v>
      </c>
      <c r="G91" t="s">
        <v>550</v>
      </c>
      <c r="H91" t="s">
        <v>986</v>
      </c>
      <c r="I91" t="s">
        <v>987</v>
      </c>
      <c r="J91" t="s">
        <v>988</v>
      </c>
      <c r="K91" t="s">
        <v>592</v>
      </c>
      <c r="L91" s="53">
        <f t="shared" si="2"/>
        <v>12.5</v>
      </c>
      <c r="M91" s="19">
        <f t="shared" si="3"/>
        <v>375</v>
      </c>
      <c r="N91" t="str">
        <f ca="1">IF(TRIM(SUBSTITUTE($B91,CHAR(160)," "))="","",IFERROR(IF(ISNUMBER(SEARCH("INC",$B91)),"INC",IF(ISNUMBER(SEARCH("OPI",$B91)),"OPI",IF(ISNUMBER(SEARCH("DP",$B91)),"DP","CONC")))&amp;" "&amp;TEXT(LOOKUP(9.99E+307,--MID(SUBSTITUTE($B91,CHAR(160)," "),SUMPRODUCT(MIN(FIND({0,1,2,3,4,5,6,7,8,9},SUBSTITUTE($B91,CHAR(160)," ")&amp;"0123456789"))),ROW(INDIRECT("1:6")))),"0"),"SIN NUMERO"))</f>
        <v>CONC 1954</v>
      </c>
      <c r="O91" t="str">
        <f ca="1">IF($N91="","",IF(LEFT(UPPER($P91),9)="VERIFICAR","VERIFICAR",IF(AND($H91&lt;&gt;"",COUNTIFS($N$2:$N$1000,$N91,$H$2:$H$1000,$H91)&gt;1),"DUPLICADA",IF(TRIM(IF($A91="","tipo ","")&amp;IF($F91="","fecha de firma ","")&amp;IF($G91="","decisión ","")&amp;IF($H91="","N° resolución ","")&amp;IF($I91="","N° dictamen",""))&lt;&gt;"","INCOMPLETA: "&amp;TRIM(IF($A91="","tipo ","")&amp;IF($F91="","fecha de firma ","")&amp;IF($G91="","decisión ","")&amp;IF($H91="","N° resolución ","")&amp;IF($I91="","N° dictamen","")),IF(LEFT($N91,4)&lt;&gt;"CONC","OK",IF(N($Q91)=0,IF(AND(ISNUMBER($E91),$E91&gt;=DATE(2024,1,1)),"FALTA EN evol_conc","OK"),IF(INDEX(evol_conc!$H:$H,$Q91)&lt;&gt;$F91,"FIRMA DISTINTA EN evol_conc ("&amp;IF(INDEX(evol_conc!$H:$H,$Q91)="","vacía",DAY(INDEX(evol_conc!$H:$H,$Q91))&amp;"/"&amp;MONTH(INDEX(evol_conc!$H:$H,$Q91))&amp;"/"&amp;YEAR(INDEX(evol_conc!$H:$H,$Q91)))&amp;")",IF(INDEX(evol_conc!$G:$G,$Q91)&lt;&gt;$E91,"INGRESO DISTINTO EN evol_conc ("&amp;IF(INDEX(evol_conc!$G:$G,$Q91)="","vacía",DAY(INDEX(evol_conc!$G:$G,$Q91))&amp;"/"&amp;MONTH(INDEX(evol_conc!$G:$G,$Q91))&amp;"/"&amp;YEAR(INDEX(evol_conc!$G:$G,$Q91)))&amp;")","OK"))))))))</f>
        <v>OK</v>
      </c>
      <c r="Q91">
        <f ca="1">IF($N91="","",IFERROR(MATCH($N91,evol_conc!$P:$P,0),0))</f>
        <v>0</v>
      </c>
    </row>
    <row r="92" spans="1:17" ht="18" hidden="1" customHeight="1" x14ac:dyDescent="0.25">
      <c r="A92" t="s">
        <v>624</v>
      </c>
      <c r="B92" t="s">
        <v>989</v>
      </c>
      <c r="D92" s="22" t="s">
        <v>224</v>
      </c>
      <c r="E92" s="16">
        <v>45455</v>
      </c>
      <c r="F92" s="16">
        <v>45656</v>
      </c>
      <c r="G92" t="s">
        <v>550</v>
      </c>
      <c r="H92" t="s">
        <v>990</v>
      </c>
      <c r="I92" t="s">
        <v>991</v>
      </c>
      <c r="J92" t="s">
        <v>992</v>
      </c>
      <c r="K92" t="s">
        <v>560</v>
      </c>
      <c r="L92" s="53">
        <f t="shared" si="2"/>
        <v>6.7</v>
      </c>
      <c r="M92" s="19">
        <f t="shared" si="3"/>
        <v>201</v>
      </c>
      <c r="N92" t="str">
        <f ca="1">IF(TRIM(SUBSTITUTE($B92,CHAR(160)," "))="","",IFERROR(IF(ISNUMBER(SEARCH("INC",$B92)),"INC",IF(ISNUMBER(SEARCH("OPI",$B92)),"OPI",IF(ISNUMBER(SEARCH("DP",$B92)),"DP","CONC")))&amp;" "&amp;TEXT(LOOKUP(9.99E+307,--MID(SUBSTITUTE($B92,CHAR(160)," "),SUMPRODUCT(MIN(FIND({0,1,2,3,4,5,6,7,8,9},SUBSTITUTE($B92,CHAR(160)," ")&amp;"0123456789"))),ROW(INDIRECT("1:6")))),"0"),"SIN NUMERO"))</f>
        <v>CONC 1982</v>
      </c>
      <c r="O92" t="str">
        <f ca="1">IF($N92="","",IF(LEFT(UPPER($P92),9)="VERIFICAR","VERIFICAR",IF(AND($H92&lt;&gt;"",COUNTIFS($N$2:$N$1000,$N92,$H$2:$H$1000,$H92)&gt;1),"DUPLICADA",IF(TRIM(IF($A92="","tipo ","")&amp;IF($F92="","fecha de firma ","")&amp;IF($G92="","decisión ","")&amp;IF($H92="","N° resolución ","")&amp;IF($I92="","N° dictamen",""))&lt;&gt;"","INCOMPLETA: "&amp;TRIM(IF($A92="","tipo ","")&amp;IF($F92="","fecha de firma ","")&amp;IF($G92="","decisión ","")&amp;IF($H92="","N° resolución ","")&amp;IF($I92="","N° dictamen","")),IF(LEFT($N92,4)&lt;&gt;"CONC","OK",IF(N($Q92)=0,IF(AND(ISNUMBER($E92),$E92&gt;=DATE(2024,1,1)),"FALTA EN evol_conc","OK"),IF(INDEX(evol_conc!$H:$H,$Q92)&lt;&gt;$F92,"FIRMA DISTINTA EN evol_conc ("&amp;IF(INDEX(evol_conc!$H:$H,$Q92)="","vacía",DAY(INDEX(evol_conc!$H:$H,$Q92))&amp;"/"&amp;MONTH(INDEX(evol_conc!$H:$H,$Q92))&amp;"/"&amp;YEAR(INDEX(evol_conc!$H:$H,$Q92)))&amp;")",IF(INDEX(evol_conc!$G:$G,$Q92)&lt;&gt;$E92,"INGRESO DISTINTO EN evol_conc ("&amp;IF(INDEX(evol_conc!$G:$G,$Q92)="","vacía",DAY(INDEX(evol_conc!$G:$G,$Q92))&amp;"/"&amp;MONTH(INDEX(evol_conc!$G:$G,$Q92))&amp;"/"&amp;YEAR(INDEX(evol_conc!$G:$G,$Q92)))&amp;")","OK"))))))))</f>
        <v>OK</v>
      </c>
      <c r="Q92">
        <f ca="1">IF($N92="","",IFERROR(MATCH($N92,evol_conc!$P:$P,0),0))</f>
        <v>58</v>
      </c>
    </row>
    <row r="93" spans="1:17" ht="18" hidden="1" customHeight="1" x14ac:dyDescent="0.25">
      <c r="A93" t="s">
        <v>624</v>
      </c>
      <c r="B93" t="s">
        <v>993</v>
      </c>
      <c r="D93" t="s">
        <v>994</v>
      </c>
      <c r="E93" s="16">
        <v>45132</v>
      </c>
      <c r="F93" s="16">
        <v>45666</v>
      </c>
      <c r="G93" t="s">
        <v>550</v>
      </c>
      <c r="H93" t="s">
        <v>995</v>
      </c>
      <c r="I93" t="s">
        <v>996</v>
      </c>
      <c r="J93" t="s">
        <v>997</v>
      </c>
      <c r="K93" t="s">
        <v>560</v>
      </c>
      <c r="L93" s="53">
        <f t="shared" si="2"/>
        <v>17.8</v>
      </c>
      <c r="M93" s="19">
        <f t="shared" si="3"/>
        <v>534</v>
      </c>
      <c r="N93" t="str">
        <f ca="1">IF(TRIM(SUBSTITUTE($B93,CHAR(160)," "))="","",IFERROR(IF(ISNUMBER(SEARCH("INC",$B93)),"INC",IF(ISNUMBER(SEARCH("OPI",$B93)),"OPI",IF(ISNUMBER(SEARCH("DP",$B93)),"DP","CONC")))&amp;" "&amp;TEXT(LOOKUP(9.99E+307,--MID(SUBSTITUTE($B93,CHAR(160)," "),SUMPRODUCT(MIN(FIND({0,1,2,3,4,5,6,7,8,9},SUBSTITUTE($B93,CHAR(160)," ")&amp;"0123456789"))),ROW(INDIRECT("1:6")))),"0"),"SIN NUMERO"))</f>
        <v>CONC 1929</v>
      </c>
      <c r="O93" t="str">
        <f ca="1">IF($N93="","",IF(LEFT(UPPER($P93),9)="VERIFICAR","VERIFICAR",IF(AND($H93&lt;&gt;"",COUNTIFS($N$2:$N$1000,$N93,$H$2:$H$1000,$H93)&gt;1),"DUPLICADA",IF(TRIM(IF($A93="","tipo ","")&amp;IF($F93="","fecha de firma ","")&amp;IF($G93="","decisión ","")&amp;IF($H93="","N° resolución ","")&amp;IF($I93="","N° dictamen",""))&lt;&gt;"","INCOMPLETA: "&amp;TRIM(IF($A93="","tipo ","")&amp;IF($F93="","fecha de firma ","")&amp;IF($G93="","decisión ","")&amp;IF($H93="","N° resolución ","")&amp;IF($I93="","N° dictamen","")),IF(LEFT($N93,4)&lt;&gt;"CONC","OK",IF(N($Q93)=0,IF(AND(ISNUMBER($E93),$E93&gt;=DATE(2024,1,1)),"FALTA EN evol_conc","OK"),IF(INDEX(evol_conc!$H:$H,$Q93)&lt;&gt;$F93,"FIRMA DISTINTA EN evol_conc ("&amp;IF(INDEX(evol_conc!$H:$H,$Q93)="","vacía",DAY(INDEX(evol_conc!$H:$H,$Q93))&amp;"/"&amp;MONTH(INDEX(evol_conc!$H:$H,$Q93))&amp;"/"&amp;YEAR(INDEX(evol_conc!$H:$H,$Q93)))&amp;")",IF(INDEX(evol_conc!$G:$G,$Q93)&lt;&gt;$E93,"INGRESO DISTINTO EN evol_conc ("&amp;IF(INDEX(evol_conc!$G:$G,$Q93)="","vacía",DAY(INDEX(evol_conc!$G:$G,$Q93))&amp;"/"&amp;MONTH(INDEX(evol_conc!$G:$G,$Q93))&amp;"/"&amp;YEAR(INDEX(evol_conc!$G:$G,$Q93)))&amp;")","OK"))))))))</f>
        <v>OK</v>
      </c>
      <c r="Q93">
        <f ca="1">IF($N93="","",IFERROR(MATCH($N93,evol_conc!$P:$P,0),0))</f>
        <v>0</v>
      </c>
    </row>
    <row r="94" spans="1:17" ht="18" hidden="1" customHeight="1" x14ac:dyDescent="0.25">
      <c r="A94" t="s">
        <v>624</v>
      </c>
      <c r="B94" t="s">
        <v>998</v>
      </c>
      <c r="D94" s="22" t="s">
        <v>999</v>
      </c>
      <c r="E94" s="16">
        <v>44181</v>
      </c>
      <c r="F94" s="16">
        <v>45680</v>
      </c>
      <c r="G94" t="s">
        <v>550</v>
      </c>
      <c r="H94" t="s">
        <v>1000</v>
      </c>
      <c r="I94" t="s">
        <v>1001</v>
      </c>
      <c r="J94" t="s">
        <v>1002</v>
      </c>
      <c r="K94" t="s">
        <v>554</v>
      </c>
      <c r="L94" s="53">
        <f t="shared" si="2"/>
        <v>49.966666666666669</v>
      </c>
      <c r="M94" s="19">
        <f t="shared" si="3"/>
        <v>1499</v>
      </c>
      <c r="N94" t="str">
        <f ca="1">IF(TRIM(SUBSTITUTE($B94,CHAR(160)," "))="","",IFERROR(IF(ISNUMBER(SEARCH("INC",$B94)),"INC",IF(ISNUMBER(SEARCH("OPI",$B94)),"OPI",IF(ISNUMBER(SEARCH("DP",$B94)),"DP","CONC")))&amp;" "&amp;TEXT(LOOKUP(9.99E+307,--MID(SUBSTITUTE($B94,CHAR(160)," "),SUMPRODUCT(MIN(FIND({0,1,2,3,4,5,6,7,8,9},SUBSTITUTE($B94,CHAR(160)," ")&amp;"0123456789"))),ROW(INDIRECT("1:6")))),"0"),"SIN NUMERO"))</f>
        <v>CONC 1782</v>
      </c>
      <c r="O94" t="str">
        <f ca="1">IF($N94="","",IF(LEFT(UPPER($P94),9)="VERIFICAR","VERIFICAR",IF(AND($H94&lt;&gt;"",COUNTIFS($N$2:$N$1000,$N94,$H$2:$H$1000,$H94)&gt;1),"DUPLICADA",IF(TRIM(IF($A94="","tipo ","")&amp;IF($F94="","fecha de firma ","")&amp;IF($G94="","decisión ","")&amp;IF($H94="","N° resolución ","")&amp;IF($I94="","N° dictamen",""))&lt;&gt;"","INCOMPLETA: "&amp;TRIM(IF($A94="","tipo ","")&amp;IF($F94="","fecha de firma ","")&amp;IF($G94="","decisión ","")&amp;IF($H94="","N° resolución ","")&amp;IF($I94="","N° dictamen","")),IF(LEFT($N94,4)&lt;&gt;"CONC","OK",IF(N($Q94)=0,IF(AND(ISNUMBER($E94),$E94&gt;=DATE(2024,1,1)),"FALTA EN evol_conc","OK"),IF(INDEX(evol_conc!$H:$H,$Q94)&lt;&gt;$F94,"FIRMA DISTINTA EN evol_conc ("&amp;IF(INDEX(evol_conc!$H:$H,$Q94)="","vacía",DAY(INDEX(evol_conc!$H:$H,$Q94))&amp;"/"&amp;MONTH(INDEX(evol_conc!$H:$H,$Q94))&amp;"/"&amp;YEAR(INDEX(evol_conc!$H:$H,$Q94)))&amp;")",IF(INDEX(evol_conc!$G:$G,$Q94)&lt;&gt;$E94,"INGRESO DISTINTO EN evol_conc ("&amp;IF(INDEX(evol_conc!$G:$G,$Q94)="","vacía",DAY(INDEX(evol_conc!$G:$G,$Q94))&amp;"/"&amp;MONTH(INDEX(evol_conc!$G:$G,$Q94))&amp;"/"&amp;YEAR(INDEX(evol_conc!$G:$G,$Q94)))&amp;")","OK"))))))))</f>
        <v>OK</v>
      </c>
      <c r="Q94">
        <f ca="1">IF($N94="","",IFERROR(MATCH($N94,evol_conc!$P:$P,0),0))</f>
        <v>0</v>
      </c>
    </row>
    <row r="95" spans="1:17" ht="18" hidden="1" customHeight="1" x14ac:dyDescent="0.25">
      <c r="A95" t="s">
        <v>624</v>
      </c>
      <c r="B95" t="s">
        <v>1003</v>
      </c>
      <c r="D95" s="22" t="s">
        <v>1004</v>
      </c>
      <c r="E95" s="16">
        <v>45056</v>
      </c>
      <c r="F95" s="16">
        <v>45684</v>
      </c>
      <c r="G95" t="s">
        <v>550</v>
      </c>
      <c r="H95" t="s">
        <v>1005</v>
      </c>
      <c r="I95" t="s">
        <v>1006</v>
      </c>
      <c r="J95" t="s">
        <v>1007</v>
      </c>
      <c r="K95" t="s">
        <v>592</v>
      </c>
      <c r="L95" s="53">
        <f t="shared" si="2"/>
        <v>20.933333333333334</v>
      </c>
      <c r="M95" s="19">
        <f t="shared" si="3"/>
        <v>628</v>
      </c>
      <c r="N95" t="str">
        <f ca="1">IF(TRIM(SUBSTITUTE($B95,CHAR(160)," "))="","",IFERROR(IF(ISNUMBER(SEARCH("INC",$B95)),"INC",IF(ISNUMBER(SEARCH("OPI",$B95)),"OPI",IF(ISNUMBER(SEARCH("DP",$B95)),"DP","CONC")))&amp;" "&amp;TEXT(LOOKUP(9.99E+307,--MID(SUBSTITUTE($B95,CHAR(160)," "),SUMPRODUCT(MIN(FIND({0,1,2,3,4,5,6,7,8,9},SUBSTITUTE($B95,CHAR(160)," ")&amp;"0123456789"))),ROW(INDIRECT("1:6")))),"0"),"SIN NUMERO"))</f>
        <v>CONC 1916</v>
      </c>
      <c r="O95" t="str">
        <f ca="1">IF($N95="","",IF(LEFT(UPPER($P95),9)="VERIFICAR","VERIFICAR",IF(AND($H95&lt;&gt;"",COUNTIFS($N$2:$N$1000,$N95,$H$2:$H$1000,$H95)&gt;1),"DUPLICADA",IF(TRIM(IF($A95="","tipo ","")&amp;IF($F95="","fecha de firma ","")&amp;IF($G95="","decisión ","")&amp;IF($H95="","N° resolución ","")&amp;IF($I95="","N° dictamen",""))&lt;&gt;"","INCOMPLETA: "&amp;TRIM(IF($A95="","tipo ","")&amp;IF($F95="","fecha de firma ","")&amp;IF($G95="","decisión ","")&amp;IF($H95="","N° resolución ","")&amp;IF($I95="","N° dictamen","")),IF(LEFT($N95,4)&lt;&gt;"CONC","OK",IF(N($Q95)=0,IF(AND(ISNUMBER($E95),$E95&gt;=DATE(2024,1,1)),"FALTA EN evol_conc","OK"),IF(INDEX(evol_conc!$H:$H,$Q95)&lt;&gt;$F95,"FIRMA DISTINTA EN evol_conc ("&amp;IF(INDEX(evol_conc!$H:$H,$Q95)="","vacía",DAY(INDEX(evol_conc!$H:$H,$Q95))&amp;"/"&amp;MONTH(INDEX(evol_conc!$H:$H,$Q95))&amp;"/"&amp;YEAR(INDEX(evol_conc!$H:$H,$Q95)))&amp;")",IF(INDEX(evol_conc!$G:$G,$Q95)&lt;&gt;$E95,"INGRESO DISTINTO EN evol_conc ("&amp;IF(INDEX(evol_conc!$G:$G,$Q95)="","vacía",DAY(INDEX(evol_conc!$G:$G,$Q95))&amp;"/"&amp;MONTH(INDEX(evol_conc!$G:$G,$Q95))&amp;"/"&amp;YEAR(INDEX(evol_conc!$G:$G,$Q95)))&amp;")","OK"))))))))</f>
        <v>OK</v>
      </c>
      <c r="Q95">
        <f ca="1">IF($N95="","",IFERROR(MATCH($N95,evol_conc!$P:$P,0),0))</f>
        <v>0</v>
      </c>
    </row>
    <row r="96" spans="1:17" ht="18" hidden="1" customHeight="1" x14ac:dyDescent="0.25">
      <c r="A96" t="s">
        <v>624</v>
      </c>
      <c r="B96" t="s">
        <v>1008</v>
      </c>
      <c r="D96" s="22" t="s">
        <v>183</v>
      </c>
      <c r="E96" s="16">
        <v>45302</v>
      </c>
      <c r="F96" s="16">
        <v>45684</v>
      </c>
      <c r="G96" t="s">
        <v>550</v>
      </c>
      <c r="H96" t="s">
        <v>1009</v>
      </c>
      <c r="I96" t="s">
        <v>1010</v>
      </c>
      <c r="J96" t="s">
        <v>1011</v>
      </c>
      <c r="K96" t="s">
        <v>560</v>
      </c>
      <c r="L96" s="53">
        <f t="shared" si="2"/>
        <v>12.733333333333333</v>
      </c>
      <c r="M96" s="19">
        <f t="shared" si="3"/>
        <v>382</v>
      </c>
      <c r="N96" t="str">
        <f ca="1">IF(TRIM(SUBSTITUTE($B96,CHAR(160)," "))="","",IFERROR(IF(ISNUMBER(SEARCH("INC",$B96)),"INC",IF(ISNUMBER(SEARCH("OPI",$B96)),"OPI",IF(ISNUMBER(SEARCH("DP",$B96)),"DP","CONC")))&amp;" "&amp;TEXT(LOOKUP(9.99E+307,--MID(SUBSTITUTE($B96,CHAR(160)," "),SUMPRODUCT(MIN(FIND({0,1,2,3,4,5,6,7,8,9},SUBSTITUTE($B96,CHAR(160)," ")&amp;"0123456789"))),ROW(INDIRECT("1:6")))),"0"),"SIN NUMERO"))</f>
        <v>CONC 1956</v>
      </c>
      <c r="O96" t="str">
        <f ca="1">IF($N96="","",IF(LEFT(UPPER($P96),9)="VERIFICAR","VERIFICAR",IF(AND($H96&lt;&gt;"",COUNTIFS($N$2:$N$1000,$N96,$H$2:$H$1000,$H96)&gt;1),"DUPLICADA",IF(TRIM(IF($A96="","tipo ","")&amp;IF($F96="","fecha de firma ","")&amp;IF($G96="","decisión ","")&amp;IF($H96="","N° resolución ","")&amp;IF($I96="","N° dictamen",""))&lt;&gt;"","INCOMPLETA: "&amp;TRIM(IF($A96="","tipo ","")&amp;IF($F96="","fecha de firma ","")&amp;IF($G96="","decisión ","")&amp;IF($H96="","N° resolución ","")&amp;IF($I96="","N° dictamen","")),IF(LEFT($N96,4)&lt;&gt;"CONC","OK",IF(N($Q96)=0,IF(AND(ISNUMBER($E96),$E96&gt;=DATE(2024,1,1)),"FALTA EN evol_conc","OK"),IF(INDEX(evol_conc!$H:$H,$Q96)&lt;&gt;$F96,"FIRMA DISTINTA EN evol_conc ("&amp;IF(INDEX(evol_conc!$H:$H,$Q96)="","vacía",DAY(INDEX(evol_conc!$H:$H,$Q96))&amp;"/"&amp;MONTH(INDEX(evol_conc!$H:$H,$Q96))&amp;"/"&amp;YEAR(INDEX(evol_conc!$H:$H,$Q96)))&amp;")",IF(INDEX(evol_conc!$G:$G,$Q96)&lt;&gt;$E96,"INGRESO DISTINTO EN evol_conc ("&amp;IF(INDEX(evol_conc!$G:$G,$Q96)="","vacía",DAY(INDEX(evol_conc!$G:$G,$Q96))&amp;"/"&amp;MONTH(INDEX(evol_conc!$G:$G,$Q96))&amp;"/"&amp;YEAR(INDEX(evol_conc!$G:$G,$Q96)))&amp;")","OK"))))))))</f>
        <v>OK</v>
      </c>
      <c r="Q96">
        <f ca="1">IF($N96="","",IFERROR(MATCH($N96,evol_conc!$P:$P,0),0))</f>
        <v>34</v>
      </c>
    </row>
    <row r="97" spans="1:17" ht="18" hidden="1" customHeight="1" x14ac:dyDescent="0.25">
      <c r="A97" t="s">
        <v>624</v>
      </c>
      <c r="B97" t="s">
        <v>1012</v>
      </c>
      <c r="D97" s="22" t="s">
        <v>1013</v>
      </c>
      <c r="E97" s="16">
        <v>44981</v>
      </c>
      <c r="F97" s="16">
        <v>45686</v>
      </c>
      <c r="G97" t="s">
        <v>550</v>
      </c>
      <c r="H97" t="s">
        <v>1014</v>
      </c>
      <c r="I97" t="s">
        <v>1015</v>
      </c>
      <c r="J97" t="s">
        <v>852</v>
      </c>
      <c r="K97" t="s">
        <v>592</v>
      </c>
      <c r="L97" s="53">
        <f t="shared" si="2"/>
        <v>23.5</v>
      </c>
      <c r="M97" s="19">
        <f t="shared" si="3"/>
        <v>705</v>
      </c>
      <c r="N97" t="str">
        <f ca="1">IF(TRIM(SUBSTITUTE($B97,CHAR(160)," "))="","",IFERROR(IF(ISNUMBER(SEARCH("INC",$B97)),"INC",IF(ISNUMBER(SEARCH("OPI",$B97)),"OPI",IF(ISNUMBER(SEARCH("DP",$B97)),"DP","CONC")))&amp;" "&amp;TEXT(LOOKUP(9.99E+307,--MID(SUBSTITUTE($B97,CHAR(160)," "),SUMPRODUCT(MIN(FIND({0,1,2,3,4,5,6,7,8,9},SUBSTITUTE($B97,CHAR(160)," ")&amp;"0123456789"))),ROW(INDIRECT("1:6")))),"0"),"SIN NUMERO"))</f>
        <v>CONC 1902</v>
      </c>
      <c r="O97" t="str">
        <f ca="1">IF($N97="","",IF(LEFT(UPPER($P97),9)="VERIFICAR","VERIFICAR",IF(AND($H97&lt;&gt;"",COUNTIFS($N$2:$N$1000,$N97,$H$2:$H$1000,$H97)&gt;1),"DUPLICADA",IF(TRIM(IF($A97="","tipo ","")&amp;IF($F97="","fecha de firma ","")&amp;IF($G97="","decisión ","")&amp;IF($H97="","N° resolución ","")&amp;IF($I97="","N° dictamen",""))&lt;&gt;"","INCOMPLETA: "&amp;TRIM(IF($A97="","tipo ","")&amp;IF($F97="","fecha de firma ","")&amp;IF($G97="","decisión ","")&amp;IF($H97="","N° resolución ","")&amp;IF($I97="","N° dictamen","")),IF(LEFT($N97,4)&lt;&gt;"CONC","OK",IF(N($Q97)=0,IF(AND(ISNUMBER($E97),$E97&gt;=DATE(2024,1,1)),"FALTA EN evol_conc","OK"),IF(INDEX(evol_conc!$H:$H,$Q97)&lt;&gt;$F97,"FIRMA DISTINTA EN evol_conc ("&amp;IF(INDEX(evol_conc!$H:$H,$Q97)="","vacía",DAY(INDEX(evol_conc!$H:$H,$Q97))&amp;"/"&amp;MONTH(INDEX(evol_conc!$H:$H,$Q97))&amp;"/"&amp;YEAR(INDEX(evol_conc!$H:$H,$Q97)))&amp;")",IF(INDEX(evol_conc!$G:$G,$Q97)&lt;&gt;$E97,"INGRESO DISTINTO EN evol_conc ("&amp;IF(INDEX(evol_conc!$G:$G,$Q97)="","vacía",DAY(INDEX(evol_conc!$G:$G,$Q97))&amp;"/"&amp;MONTH(INDEX(evol_conc!$G:$G,$Q97))&amp;"/"&amp;YEAR(INDEX(evol_conc!$G:$G,$Q97)))&amp;")","OK"))))))))</f>
        <v>OK</v>
      </c>
      <c r="Q97">
        <f ca="1">IF($N97="","",IFERROR(MATCH($N97,evol_conc!$P:$P,0),0))</f>
        <v>0</v>
      </c>
    </row>
    <row r="98" spans="1:17" ht="18" hidden="1" customHeight="1" x14ac:dyDescent="0.25">
      <c r="A98" t="s">
        <v>624</v>
      </c>
      <c r="B98" t="s">
        <v>1016</v>
      </c>
      <c r="D98" s="22" t="s">
        <v>1017</v>
      </c>
      <c r="E98" s="16">
        <v>44992</v>
      </c>
      <c r="F98" s="16">
        <v>45707</v>
      </c>
      <c r="G98" t="s">
        <v>550</v>
      </c>
      <c r="H98" t="s">
        <v>1018</v>
      </c>
      <c r="I98" t="s">
        <v>1019</v>
      </c>
      <c r="J98" t="s">
        <v>1020</v>
      </c>
      <c r="K98" t="s">
        <v>592</v>
      </c>
      <c r="L98" s="53">
        <f t="shared" si="2"/>
        <v>23.833333333333332</v>
      </c>
      <c r="M98" s="19">
        <f t="shared" si="3"/>
        <v>715</v>
      </c>
      <c r="N98" t="str">
        <f ca="1">IF(TRIM(SUBSTITUTE($B98,CHAR(160)," "))="","",IFERROR(IF(ISNUMBER(SEARCH("INC",$B98)),"INC",IF(ISNUMBER(SEARCH("OPI",$B98)),"OPI",IF(ISNUMBER(SEARCH("DP",$B98)),"DP","CONC")))&amp;" "&amp;TEXT(LOOKUP(9.99E+307,--MID(SUBSTITUTE($B98,CHAR(160)," "),SUMPRODUCT(MIN(FIND({0,1,2,3,4,5,6,7,8,9},SUBSTITUTE($B98,CHAR(160)," ")&amp;"0123456789"))),ROW(INDIRECT("1:6")))),"0"),"SIN NUMERO"))</f>
        <v>CONC 1903</v>
      </c>
      <c r="O98" t="str">
        <f ca="1">IF($N98="","",IF(LEFT(UPPER($P98),9)="VERIFICAR","VERIFICAR",IF(AND($H98&lt;&gt;"",COUNTIFS($N$2:$N$1000,$N98,$H$2:$H$1000,$H98)&gt;1),"DUPLICADA",IF(TRIM(IF($A98="","tipo ","")&amp;IF($F98="","fecha de firma ","")&amp;IF($G98="","decisión ","")&amp;IF($H98="","N° resolución ","")&amp;IF($I98="","N° dictamen",""))&lt;&gt;"","INCOMPLETA: "&amp;TRIM(IF($A98="","tipo ","")&amp;IF($F98="","fecha de firma ","")&amp;IF($G98="","decisión ","")&amp;IF($H98="","N° resolución ","")&amp;IF($I98="","N° dictamen","")),IF(LEFT($N98,4)&lt;&gt;"CONC","OK",IF(N($Q98)=0,IF(AND(ISNUMBER($E98),$E98&gt;=DATE(2024,1,1)),"FALTA EN evol_conc","OK"),IF(INDEX(evol_conc!$H:$H,$Q98)&lt;&gt;$F98,"FIRMA DISTINTA EN evol_conc ("&amp;IF(INDEX(evol_conc!$H:$H,$Q98)="","vacía",DAY(INDEX(evol_conc!$H:$H,$Q98))&amp;"/"&amp;MONTH(INDEX(evol_conc!$H:$H,$Q98))&amp;"/"&amp;YEAR(INDEX(evol_conc!$H:$H,$Q98)))&amp;")",IF(INDEX(evol_conc!$G:$G,$Q98)&lt;&gt;$E98,"INGRESO DISTINTO EN evol_conc ("&amp;IF(INDEX(evol_conc!$G:$G,$Q98)="","vacía",DAY(INDEX(evol_conc!$G:$G,$Q98))&amp;"/"&amp;MONTH(INDEX(evol_conc!$G:$G,$Q98))&amp;"/"&amp;YEAR(INDEX(evol_conc!$G:$G,$Q98)))&amp;")","OK"))))))))</f>
        <v>OK</v>
      </c>
      <c r="Q98">
        <f ca="1">IF($N98="","",IFERROR(MATCH($N98,evol_conc!$P:$P,0),0))</f>
        <v>0</v>
      </c>
    </row>
    <row r="99" spans="1:17" ht="18" hidden="1" customHeight="1" x14ac:dyDescent="0.25">
      <c r="A99" t="s">
        <v>624</v>
      </c>
      <c r="B99" t="s">
        <v>1021</v>
      </c>
      <c r="D99" s="22" t="s">
        <v>194</v>
      </c>
      <c r="E99" s="16">
        <v>45336</v>
      </c>
      <c r="F99" s="16">
        <v>45707</v>
      </c>
      <c r="G99" t="s">
        <v>1022</v>
      </c>
      <c r="H99" t="s">
        <v>1023</v>
      </c>
      <c r="I99" t="s">
        <v>1024</v>
      </c>
      <c r="J99" t="s">
        <v>1025</v>
      </c>
      <c r="L99" s="53">
        <f t="shared" si="2"/>
        <v>12.366666666666667</v>
      </c>
      <c r="M99" s="19">
        <f t="shared" si="3"/>
        <v>371</v>
      </c>
      <c r="N99" t="str">
        <f ca="1">IF(TRIM(SUBSTITUTE($B99,CHAR(160)," "))="","",IFERROR(IF(ISNUMBER(SEARCH("INC",$B99)),"INC",IF(ISNUMBER(SEARCH("OPI",$B99)),"OPI",IF(ISNUMBER(SEARCH("DP",$B99)),"DP","CONC")))&amp;" "&amp;TEXT(LOOKUP(9.99E+307,--MID(SUBSTITUTE($B99,CHAR(160)," "),SUMPRODUCT(MIN(FIND({0,1,2,3,4,5,6,7,8,9},SUBSTITUTE($B99,CHAR(160)," ")&amp;"0123456789"))),ROW(INDIRECT("1:6")))),"0"),"SIN NUMERO"))</f>
        <v>CONC 1959</v>
      </c>
      <c r="O99" t="str">
        <f ca="1">IF($N99="","",IF(LEFT(UPPER($P99),9)="VERIFICAR","VERIFICAR",IF(AND($H99&lt;&gt;"",COUNTIFS($N$2:$N$1000,$N99,$H$2:$H$1000,$H99)&gt;1),"DUPLICADA",IF(TRIM(IF($A99="","tipo ","")&amp;IF($F99="","fecha de firma ","")&amp;IF($G99="","decisión ","")&amp;IF($H99="","N° resolución ","")&amp;IF($I99="","N° dictamen",""))&lt;&gt;"","INCOMPLETA: "&amp;TRIM(IF($A99="","tipo ","")&amp;IF($F99="","fecha de firma ","")&amp;IF($G99="","decisión ","")&amp;IF($H99="","N° resolución ","")&amp;IF($I99="","N° dictamen","")),IF(LEFT($N99,4)&lt;&gt;"CONC","OK",IF(N($Q99)=0,IF(AND(ISNUMBER($E99),$E99&gt;=DATE(2024,1,1)),"FALTA EN evol_conc","OK"),IF(INDEX(evol_conc!$H:$H,$Q99)&lt;&gt;$F99,"FIRMA DISTINTA EN evol_conc ("&amp;IF(INDEX(evol_conc!$H:$H,$Q99)="","vacía",DAY(INDEX(evol_conc!$H:$H,$Q99))&amp;"/"&amp;MONTH(INDEX(evol_conc!$H:$H,$Q99))&amp;"/"&amp;YEAR(INDEX(evol_conc!$H:$H,$Q99)))&amp;")",IF(INDEX(evol_conc!$G:$G,$Q99)&lt;&gt;$E99,"INGRESO DISTINTO EN evol_conc ("&amp;IF(INDEX(evol_conc!$G:$G,$Q99)="","vacía",DAY(INDEX(evol_conc!$G:$G,$Q99))&amp;"/"&amp;MONTH(INDEX(evol_conc!$G:$G,$Q99))&amp;"/"&amp;YEAR(INDEX(evol_conc!$G:$G,$Q99)))&amp;")","OK"))))))))</f>
        <v>OK</v>
      </c>
      <c r="Q99">
        <f ca="1">IF($N99="","",IFERROR(MATCH($N99,evol_conc!$P:$P,0),0))</f>
        <v>37</v>
      </c>
    </row>
    <row r="100" spans="1:17" ht="18" hidden="1" customHeight="1" x14ac:dyDescent="0.25">
      <c r="A100" t="s">
        <v>547</v>
      </c>
      <c r="B100" t="s">
        <v>1026</v>
      </c>
      <c r="D100" s="22" t="s">
        <v>1027</v>
      </c>
      <c r="E100" s="16">
        <v>40375</v>
      </c>
      <c r="F100" s="16">
        <v>45727</v>
      </c>
      <c r="G100" t="s">
        <v>1028</v>
      </c>
      <c r="H100" t="s">
        <v>1029</v>
      </c>
      <c r="I100" t="s">
        <v>1030</v>
      </c>
      <c r="J100" t="s">
        <v>1031</v>
      </c>
      <c r="L100" s="53">
        <f t="shared" si="2"/>
        <v>178.4</v>
      </c>
      <c r="M100" s="19">
        <f t="shared" si="3"/>
        <v>5352</v>
      </c>
      <c r="N100" t="str">
        <f ca="1">IF(TRIM(SUBSTITUTE($B100,CHAR(160)," "))="","",IFERROR(IF(ISNUMBER(SEARCH("INC",$B100)),"INC",IF(ISNUMBER(SEARCH("OPI",$B100)),"OPI",IF(ISNUMBER(SEARCH("DP",$B100)),"DP","CONC")))&amp;" "&amp;TEXT(LOOKUP(9.99E+307,--MID(SUBSTITUTE($B100,CHAR(160)," "),SUMPRODUCT(MIN(FIND({0,1,2,3,4,5,6,7,8,9},SUBSTITUTE($B100,CHAR(160)," ")&amp;"0123456789"))),ROW(INDIRECT("1:6")))),"0"),"SIN NUMERO"))</f>
        <v>CONC 840</v>
      </c>
      <c r="O100" t="str">
        <f ca="1">IF($N100="","",IF(LEFT(UPPER($P100),9)="VERIFICAR","VERIFICAR",IF(AND($H100&lt;&gt;"",COUNTIFS($N$2:$N$1000,$N100,$H$2:$H$1000,$H100)&gt;1),"DUPLICADA",IF(TRIM(IF($A100="","tipo ","")&amp;IF($F100="","fecha de firma ","")&amp;IF($G100="","decisión ","")&amp;IF($H100="","N° resolución ","")&amp;IF($I100="","N° dictamen",""))&lt;&gt;"","INCOMPLETA: "&amp;TRIM(IF($A100="","tipo ","")&amp;IF($F100="","fecha de firma ","")&amp;IF($G100="","decisión ","")&amp;IF($H100="","N° resolución ","")&amp;IF($I100="","N° dictamen","")),IF(LEFT($N100,4)&lt;&gt;"CONC","OK",IF(N($Q100)=0,IF(AND(ISNUMBER($E100),$E100&gt;=DATE(2024,1,1)),"FALTA EN evol_conc","OK"),IF(INDEX(evol_conc!$H:$H,$Q100)&lt;&gt;$F100,"FIRMA DISTINTA EN evol_conc ("&amp;IF(INDEX(evol_conc!$H:$H,$Q100)="","vacía",DAY(INDEX(evol_conc!$H:$H,$Q100))&amp;"/"&amp;MONTH(INDEX(evol_conc!$H:$H,$Q100))&amp;"/"&amp;YEAR(INDEX(evol_conc!$H:$H,$Q100)))&amp;")",IF(INDEX(evol_conc!$G:$G,$Q100)&lt;&gt;$E100,"INGRESO DISTINTO EN evol_conc ("&amp;IF(INDEX(evol_conc!$G:$G,$Q100)="","vacía",DAY(INDEX(evol_conc!$G:$G,$Q100))&amp;"/"&amp;MONTH(INDEX(evol_conc!$G:$G,$Q100))&amp;"/"&amp;YEAR(INDEX(evol_conc!$G:$G,$Q100)))&amp;")","OK"))))))))</f>
        <v>OK</v>
      </c>
      <c r="Q100">
        <f ca="1">IF($N100="","",IFERROR(MATCH($N100,evol_conc!$P:$P,0),0))</f>
        <v>0</v>
      </c>
    </row>
    <row r="101" spans="1:17" ht="18" hidden="1" customHeight="1" x14ac:dyDescent="0.25">
      <c r="A101" t="s">
        <v>624</v>
      </c>
      <c r="B101" t="s">
        <v>1032</v>
      </c>
      <c r="D101" s="22" t="s">
        <v>236</v>
      </c>
      <c r="E101" s="16">
        <v>45540</v>
      </c>
      <c r="F101" s="16">
        <v>45729</v>
      </c>
      <c r="G101" t="s">
        <v>550</v>
      </c>
      <c r="H101" t="s">
        <v>1033</v>
      </c>
      <c r="I101" t="s">
        <v>1034</v>
      </c>
      <c r="J101" t="s">
        <v>1035</v>
      </c>
      <c r="K101" t="s">
        <v>560</v>
      </c>
      <c r="L101" s="53">
        <f t="shared" si="2"/>
        <v>6.3</v>
      </c>
      <c r="M101" s="19">
        <f t="shared" si="3"/>
        <v>189</v>
      </c>
      <c r="N101" t="str">
        <f ca="1">IF(TRIM(SUBSTITUTE($B101,CHAR(160)," "))="","",IFERROR(IF(ISNUMBER(SEARCH("INC",$B101)),"INC",IF(ISNUMBER(SEARCH("OPI",$B101)),"OPI",IF(ISNUMBER(SEARCH("DP",$B101)),"DP","CONC")))&amp;" "&amp;TEXT(LOOKUP(9.99E+307,--MID(SUBSTITUTE($B101,CHAR(160)," "),SUMPRODUCT(MIN(FIND({0,1,2,3,4,5,6,7,8,9},SUBSTITUTE($B101,CHAR(160)," ")&amp;"0123456789"))),ROW(INDIRECT("1:6")))),"0"),"SIN NUMERO"))</f>
        <v>CONC 1990</v>
      </c>
      <c r="O101" t="str">
        <f ca="1">IF($N101="","",IF(LEFT(UPPER($P101),9)="VERIFICAR","VERIFICAR",IF(AND($H101&lt;&gt;"",COUNTIFS($N$2:$N$1000,$N101,$H$2:$H$1000,$H101)&gt;1),"DUPLICADA",IF(TRIM(IF($A101="","tipo ","")&amp;IF($F101="","fecha de firma ","")&amp;IF($G101="","decisión ","")&amp;IF($H101="","N° resolución ","")&amp;IF($I101="","N° dictamen",""))&lt;&gt;"","INCOMPLETA: "&amp;TRIM(IF($A101="","tipo ","")&amp;IF($F101="","fecha de firma ","")&amp;IF($G101="","decisión ","")&amp;IF($H101="","N° resolución ","")&amp;IF($I101="","N° dictamen","")),IF(LEFT($N101,4)&lt;&gt;"CONC","OK",IF(N($Q101)=0,IF(AND(ISNUMBER($E101),$E101&gt;=DATE(2024,1,1)),"FALTA EN evol_conc","OK"),IF(INDEX(evol_conc!$H:$H,$Q101)&lt;&gt;$F101,"FIRMA DISTINTA EN evol_conc ("&amp;IF(INDEX(evol_conc!$H:$H,$Q101)="","vacía",DAY(INDEX(evol_conc!$H:$H,$Q101))&amp;"/"&amp;MONTH(INDEX(evol_conc!$H:$H,$Q101))&amp;"/"&amp;YEAR(INDEX(evol_conc!$H:$H,$Q101)))&amp;")",IF(INDEX(evol_conc!$G:$G,$Q101)&lt;&gt;$E101,"INGRESO DISTINTO EN evol_conc ("&amp;IF(INDEX(evol_conc!$G:$G,$Q101)="","vacía",DAY(INDEX(evol_conc!$G:$G,$Q101))&amp;"/"&amp;MONTH(INDEX(evol_conc!$G:$G,$Q101))&amp;"/"&amp;YEAR(INDEX(evol_conc!$G:$G,$Q101)))&amp;")","OK"))))))))</f>
        <v>OK</v>
      </c>
      <c r="Q101">
        <f ca="1">IF($N101="","",IFERROR(MATCH($N101,evol_conc!$P:$P,0),0))</f>
        <v>66</v>
      </c>
    </row>
    <row r="102" spans="1:17" ht="18" hidden="1" customHeight="1" x14ac:dyDescent="0.25">
      <c r="A102" t="s">
        <v>50</v>
      </c>
      <c r="B102" t="s">
        <v>1036</v>
      </c>
      <c r="D102" t="s">
        <v>1037</v>
      </c>
      <c r="E102" s="16">
        <v>45440</v>
      </c>
      <c r="F102" s="16">
        <v>45730</v>
      </c>
      <c r="G102" t="s">
        <v>1038</v>
      </c>
      <c r="H102" t="s">
        <v>1039</v>
      </c>
      <c r="I102" t="s">
        <v>1040</v>
      </c>
      <c r="J102" t="s">
        <v>1041</v>
      </c>
      <c r="L102" s="53">
        <f t="shared" si="2"/>
        <v>9.6666666666666661</v>
      </c>
      <c r="M102" s="19">
        <f t="shared" si="3"/>
        <v>290</v>
      </c>
      <c r="N102" t="str">
        <f ca="1">IF(TRIM(SUBSTITUTE($B102,CHAR(160)," "))="","",IFERROR(IF(ISNUMBER(SEARCH("INC",$B102)),"INC",IF(ISNUMBER(SEARCH("OPI",$B102)),"OPI",IF(ISNUMBER(SEARCH("DP",$B102)),"DP","CONC")))&amp;" "&amp;TEXT(LOOKUP(9.99E+307,--MID(SUBSTITUTE($B102,CHAR(160)," "),SUMPRODUCT(MIN(FIND({0,1,2,3,4,5,6,7,8,9},SUBSTITUTE($B102,CHAR(160)," ")&amp;"0123456789"))),ROW(INDIRECT("1:6")))),"0"),"SIN NUMERO"))</f>
        <v>DP 138</v>
      </c>
      <c r="O102" t="str">
        <f ca="1">IF($N102="","",IF(LEFT(UPPER($P102),9)="VERIFICAR","VERIFICAR",IF(AND($H102&lt;&gt;"",COUNTIFS($N$2:$N$1000,$N102,$H$2:$H$1000,$H102)&gt;1),"DUPLICADA",IF(TRIM(IF($A102="","tipo ","")&amp;IF($F102="","fecha de firma ","")&amp;IF($G102="","decisión ","")&amp;IF($H102="","N° resolución ","")&amp;IF($I102="","N° dictamen",""))&lt;&gt;"","INCOMPLETA: "&amp;TRIM(IF($A102="","tipo ","")&amp;IF($F102="","fecha de firma ","")&amp;IF($G102="","decisión ","")&amp;IF($H102="","N° resolución ","")&amp;IF($I102="","N° dictamen","")),IF(LEFT($N102,4)&lt;&gt;"CONC","OK",IF(N($Q102)=0,IF(AND(ISNUMBER($E102),$E102&gt;=DATE(2024,1,1)),"FALTA EN evol_conc","OK"),IF(INDEX(evol_conc!$H:$H,$Q102)&lt;&gt;$F102,"FIRMA DISTINTA EN evol_conc ("&amp;IF(INDEX(evol_conc!$H:$H,$Q102)="","vacía",DAY(INDEX(evol_conc!$H:$H,$Q102))&amp;"/"&amp;MONTH(INDEX(evol_conc!$H:$H,$Q102))&amp;"/"&amp;YEAR(INDEX(evol_conc!$H:$H,$Q102)))&amp;")",IF(INDEX(evol_conc!$G:$G,$Q102)&lt;&gt;$E102,"INGRESO DISTINTO EN evol_conc ("&amp;IF(INDEX(evol_conc!$G:$G,$Q102)="","vacía",DAY(INDEX(evol_conc!$G:$G,$Q102))&amp;"/"&amp;MONTH(INDEX(evol_conc!$G:$G,$Q102))&amp;"/"&amp;YEAR(INDEX(evol_conc!$G:$G,$Q102)))&amp;")","OK"))))))))</f>
        <v>OK</v>
      </c>
      <c r="Q102">
        <f ca="1">IF($N102="","",IFERROR(MATCH($N102,evol_conc!$P:$P,0),0))</f>
        <v>0</v>
      </c>
    </row>
    <row r="103" spans="1:17" ht="18" hidden="1" customHeight="1" x14ac:dyDescent="0.25">
      <c r="A103" t="s">
        <v>50</v>
      </c>
      <c r="B103" t="s">
        <v>1042</v>
      </c>
      <c r="D103" t="s">
        <v>1043</v>
      </c>
      <c r="E103" s="16">
        <v>44334</v>
      </c>
      <c r="F103" s="16">
        <v>45733</v>
      </c>
      <c r="G103" t="s">
        <v>1038</v>
      </c>
      <c r="H103" t="s">
        <v>1044</v>
      </c>
      <c r="I103" t="s">
        <v>1045</v>
      </c>
      <c r="J103" t="s">
        <v>1046</v>
      </c>
      <c r="L103" s="53">
        <f t="shared" si="2"/>
        <v>46.633333333333333</v>
      </c>
      <c r="M103" s="19">
        <f t="shared" si="3"/>
        <v>1399</v>
      </c>
      <c r="N103" t="str">
        <f ca="1">IF(TRIM(SUBSTITUTE($B103,CHAR(160)," "))="","",IFERROR(IF(ISNUMBER(SEARCH("INC",$B103)),"INC",IF(ISNUMBER(SEARCH("OPI",$B103)),"OPI",IF(ISNUMBER(SEARCH("DP",$B103)),"DP","CONC")))&amp;" "&amp;TEXT(LOOKUP(9.99E+307,--MID(SUBSTITUTE($B103,CHAR(160)," "),SUMPRODUCT(MIN(FIND({0,1,2,3,4,5,6,7,8,9},SUBSTITUTE($B103,CHAR(160)," ")&amp;"0123456789"))),ROW(INDIRECT("1:6")))),"0"),"SIN NUMERO"))</f>
        <v>DP 117</v>
      </c>
      <c r="O103" t="str">
        <f ca="1">IF($N103="","",IF(LEFT(UPPER($P103),9)="VERIFICAR","VERIFICAR",IF(AND($H103&lt;&gt;"",COUNTIFS($N$2:$N$1000,$N103,$H$2:$H$1000,$H103)&gt;1),"DUPLICADA",IF(TRIM(IF($A103="","tipo ","")&amp;IF($F103="","fecha de firma ","")&amp;IF($G103="","decisión ","")&amp;IF($H103="","N° resolución ","")&amp;IF($I103="","N° dictamen",""))&lt;&gt;"","INCOMPLETA: "&amp;TRIM(IF($A103="","tipo ","")&amp;IF($F103="","fecha de firma ","")&amp;IF($G103="","decisión ","")&amp;IF($H103="","N° resolución ","")&amp;IF($I103="","N° dictamen","")),IF(LEFT($N103,4)&lt;&gt;"CONC","OK",IF(N($Q103)=0,IF(AND(ISNUMBER($E103),$E103&gt;=DATE(2024,1,1)),"FALTA EN evol_conc","OK"),IF(INDEX(evol_conc!$H:$H,$Q103)&lt;&gt;$F103,"FIRMA DISTINTA EN evol_conc ("&amp;IF(INDEX(evol_conc!$H:$H,$Q103)="","vacía",DAY(INDEX(evol_conc!$H:$H,$Q103))&amp;"/"&amp;MONTH(INDEX(evol_conc!$H:$H,$Q103))&amp;"/"&amp;YEAR(INDEX(evol_conc!$H:$H,$Q103)))&amp;")",IF(INDEX(evol_conc!$G:$G,$Q103)&lt;&gt;$E103,"INGRESO DISTINTO EN evol_conc ("&amp;IF(INDEX(evol_conc!$G:$G,$Q103)="","vacía",DAY(INDEX(evol_conc!$G:$G,$Q103))&amp;"/"&amp;MONTH(INDEX(evol_conc!$G:$G,$Q103))&amp;"/"&amp;YEAR(INDEX(evol_conc!$G:$G,$Q103)))&amp;")","OK"))))))))</f>
        <v>OK</v>
      </c>
      <c r="Q103">
        <f ca="1">IF($N103="","",IFERROR(MATCH($N103,evol_conc!$P:$P,0),0))</f>
        <v>0</v>
      </c>
    </row>
    <row r="104" spans="1:17" ht="18" hidden="1" customHeight="1" x14ac:dyDescent="0.25">
      <c r="A104" t="s">
        <v>547</v>
      </c>
      <c r="B104" t="s">
        <v>1047</v>
      </c>
      <c r="D104" s="22" t="s">
        <v>1048</v>
      </c>
      <c r="E104" s="16">
        <v>44854</v>
      </c>
      <c r="F104" s="16">
        <v>45735</v>
      </c>
      <c r="G104" t="s">
        <v>550</v>
      </c>
      <c r="H104" t="s">
        <v>1049</v>
      </c>
      <c r="I104" t="s">
        <v>1050</v>
      </c>
      <c r="J104" t="s">
        <v>1051</v>
      </c>
      <c r="K104" t="s">
        <v>581</v>
      </c>
      <c r="L104" s="53">
        <f t="shared" si="2"/>
        <v>29.366666666666667</v>
      </c>
      <c r="M104" s="19">
        <f t="shared" si="3"/>
        <v>881</v>
      </c>
      <c r="N104" t="str">
        <f ca="1">IF(TRIM(SUBSTITUTE($B104,CHAR(160)," "))="","",IFERROR(IF(ISNUMBER(SEARCH("INC",$B104)),"INC",IF(ISNUMBER(SEARCH("OPI",$B104)),"OPI",IF(ISNUMBER(SEARCH("DP",$B104)),"DP","CONC")))&amp;" "&amp;TEXT(LOOKUP(9.99E+307,--MID(SUBSTITUTE($B104,CHAR(160)," "),SUMPRODUCT(MIN(FIND({0,1,2,3,4,5,6,7,8,9},SUBSTITUTE($B104,CHAR(160)," ")&amp;"0123456789"))),ROW(INDIRECT("1:6")))),"0"),"SIN NUMERO"))</f>
        <v>CONC 1872</v>
      </c>
      <c r="O104" t="str">
        <f ca="1">IF($N104="","",IF(LEFT(UPPER($P104),9)="VERIFICAR","VERIFICAR",IF(AND($H104&lt;&gt;"",COUNTIFS($N$2:$N$1000,$N104,$H$2:$H$1000,$H104)&gt;1),"DUPLICADA",IF(TRIM(IF($A104="","tipo ","")&amp;IF($F104="","fecha de firma ","")&amp;IF($G104="","decisión ","")&amp;IF($H104="","N° resolución ","")&amp;IF($I104="","N° dictamen",""))&lt;&gt;"","INCOMPLETA: "&amp;TRIM(IF($A104="","tipo ","")&amp;IF($F104="","fecha de firma ","")&amp;IF($G104="","decisión ","")&amp;IF($H104="","N° resolución ","")&amp;IF($I104="","N° dictamen","")),IF(LEFT($N104,4)&lt;&gt;"CONC","OK",IF(N($Q104)=0,IF(AND(ISNUMBER($E104),$E104&gt;=DATE(2024,1,1)),"FALTA EN evol_conc","OK"),IF(INDEX(evol_conc!$H:$H,$Q104)&lt;&gt;$F104,"FIRMA DISTINTA EN evol_conc ("&amp;IF(INDEX(evol_conc!$H:$H,$Q104)="","vacía",DAY(INDEX(evol_conc!$H:$H,$Q104))&amp;"/"&amp;MONTH(INDEX(evol_conc!$H:$H,$Q104))&amp;"/"&amp;YEAR(INDEX(evol_conc!$H:$H,$Q104)))&amp;")",IF(INDEX(evol_conc!$G:$G,$Q104)&lt;&gt;$E104,"INGRESO DISTINTO EN evol_conc ("&amp;IF(INDEX(evol_conc!$G:$G,$Q104)="","vacía",DAY(INDEX(evol_conc!$G:$G,$Q104))&amp;"/"&amp;MONTH(INDEX(evol_conc!$G:$G,$Q104))&amp;"/"&amp;YEAR(INDEX(evol_conc!$G:$G,$Q104)))&amp;")","OK"))))))))</f>
        <v>OK</v>
      </c>
      <c r="Q104">
        <f ca="1">IF($N104="","",IFERROR(MATCH($N104,evol_conc!$P:$P,0),0))</f>
        <v>0</v>
      </c>
    </row>
    <row r="105" spans="1:17" ht="18" hidden="1" customHeight="1" x14ac:dyDescent="0.25">
      <c r="A105" t="s">
        <v>624</v>
      </c>
      <c r="B105" t="s">
        <v>1052</v>
      </c>
      <c r="D105" s="22" t="s">
        <v>1053</v>
      </c>
      <c r="E105" s="16">
        <v>45224</v>
      </c>
      <c r="F105" s="16">
        <v>45735</v>
      </c>
      <c r="G105" t="s">
        <v>550</v>
      </c>
      <c r="H105" t="s">
        <v>1054</v>
      </c>
      <c r="I105" t="s">
        <v>1055</v>
      </c>
      <c r="J105" t="s">
        <v>1056</v>
      </c>
      <c r="K105" t="s">
        <v>592</v>
      </c>
      <c r="L105" s="53">
        <f t="shared" si="2"/>
        <v>17.033333333333335</v>
      </c>
      <c r="M105" s="19">
        <f t="shared" si="3"/>
        <v>511</v>
      </c>
      <c r="N105" t="str">
        <f ca="1">IF(TRIM(SUBSTITUTE($B105,CHAR(160)," "))="","",IFERROR(IF(ISNUMBER(SEARCH("INC",$B105)),"INC",IF(ISNUMBER(SEARCH("OPI",$B105)),"OPI",IF(ISNUMBER(SEARCH("DP",$B105)),"DP","CONC")))&amp;" "&amp;TEXT(LOOKUP(9.99E+307,--MID(SUBSTITUTE($B105,CHAR(160)," "),SUMPRODUCT(MIN(FIND({0,1,2,3,4,5,6,7,8,9},SUBSTITUTE($B105,CHAR(160)," ")&amp;"0123456789"))),ROW(INDIRECT("1:6")))),"0"),"SIN NUMERO"))</f>
        <v>CONC 1943</v>
      </c>
      <c r="O105" t="str">
        <f ca="1">IF($N105="","",IF(LEFT(UPPER($P105),9)="VERIFICAR","VERIFICAR",IF(AND($H105&lt;&gt;"",COUNTIFS($N$2:$N$1000,$N105,$H$2:$H$1000,$H105)&gt;1),"DUPLICADA",IF(TRIM(IF($A105="","tipo ","")&amp;IF($F105="","fecha de firma ","")&amp;IF($G105="","decisión ","")&amp;IF($H105="","N° resolución ","")&amp;IF($I105="","N° dictamen",""))&lt;&gt;"","INCOMPLETA: "&amp;TRIM(IF($A105="","tipo ","")&amp;IF($F105="","fecha de firma ","")&amp;IF($G105="","decisión ","")&amp;IF($H105="","N° resolución ","")&amp;IF($I105="","N° dictamen","")),IF(LEFT($N105,4)&lt;&gt;"CONC","OK",IF(N($Q105)=0,IF(AND(ISNUMBER($E105),$E105&gt;=DATE(2024,1,1)),"FALTA EN evol_conc","OK"),IF(INDEX(evol_conc!$H:$H,$Q105)&lt;&gt;$F105,"FIRMA DISTINTA EN evol_conc ("&amp;IF(INDEX(evol_conc!$H:$H,$Q105)="","vacía",DAY(INDEX(evol_conc!$H:$H,$Q105))&amp;"/"&amp;MONTH(INDEX(evol_conc!$H:$H,$Q105))&amp;"/"&amp;YEAR(INDEX(evol_conc!$H:$H,$Q105)))&amp;")",IF(INDEX(evol_conc!$G:$G,$Q105)&lt;&gt;$E105,"INGRESO DISTINTO EN evol_conc ("&amp;IF(INDEX(evol_conc!$G:$G,$Q105)="","vacía",DAY(INDEX(evol_conc!$G:$G,$Q105))&amp;"/"&amp;MONTH(INDEX(evol_conc!$G:$G,$Q105))&amp;"/"&amp;YEAR(INDEX(evol_conc!$G:$G,$Q105)))&amp;")","OK"))))))))</f>
        <v>OK</v>
      </c>
      <c r="Q105">
        <f ca="1">IF($N105="","",IFERROR(MATCH($N105,evol_conc!$P:$P,0),0))</f>
        <v>0</v>
      </c>
    </row>
    <row r="106" spans="1:17" ht="18" hidden="1" customHeight="1" x14ac:dyDescent="0.25">
      <c r="A106" t="s">
        <v>624</v>
      </c>
      <c r="B106" t="s">
        <v>1057</v>
      </c>
      <c r="D106" s="22" t="s">
        <v>239</v>
      </c>
      <c r="E106" s="16">
        <v>45545</v>
      </c>
      <c r="F106" s="16">
        <v>45735</v>
      </c>
      <c r="G106" t="s">
        <v>550</v>
      </c>
      <c r="H106" t="s">
        <v>1058</v>
      </c>
      <c r="I106" t="s">
        <v>1059</v>
      </c>
      <c r="J106" t="s">
        <v>1060</v>
      </c>
      <c r="K106" t="s">
        <v>581</v>
      </c>
      <c r="L106" s="53">
        <f t="shared" si="2"/>
        <v>6.333333333333333</v>
      </c>
      <c r="M106" s="19">
        <f t="shared" si="3"/>
        <v>190</v>
      </c>
      <c r="N106" t="str">
        <f ca="1">IF(TRIM(SUBSTITUTE($B106,CHAR(160)," "))="","",IFERROR(IF(ISNUMBER(SEARCH("INC",$B106)),"INC",IF(ISNUMBER(SEARCH("OPI",$B106)),"OPI",IF(ISNUMBER(SEARCH("DP",$B106)),"DP","CONC")))&amp;" "&amp;TEXT(LOOKUP(9.99E+307,--MID(SUBSTITUTE($B106,CHAR(160)," "),SUMPRODUCT(MIN(FIND({0,1,2,3,4,5,6,7,8,9},SUBSTITUTE($B106,CHAR(160)," ")&amp;"0123456789"))),ROW(INDIRECT("1:6")))),"0"),"SIN NUMERO"))</f>
        <v>CONC 1993</v>
      </c>
      <c r="O106" t="str">
        <f ca="1">IF($N106="","",IF(LEFT(UPPER($P106),9)="VERIFICAR","VERIFICAR",IF(AND($H106&lt;&gt;"",COUNTIFS($N$2:$N$1000,$N106,$H$2:$H$1000,$H106)&gt;1),"DUPLICADA",IF(TRIM(IF($A106="","tipo ","")&amp;IF($F106="","fecha de firma ","")&amp;IF($G106="","decisión ","")&amp;IF($H106="","N° resolución ","")&amp;IF($I106="","N° dictamen",""))&lt;&gt;"","INCOMPLETA: "&amp;TRIM(IF($A106="","tipo ","")&amp;IF($F106="","fecha de firma ","")&amp;IF($G106="","decisión ","")&amp;IF($H106="","N° resolución ","")&amp;IF($I106="","N° dictamen","")),IF(LEFT($N106,4)&lt;&gt;"CONC","OK",IF(N($Q106)=0,IF(AND(ISNUMBER($E106),$E106&gt;=DATE(2024,1,1)),"FALTA EN evol_conc","OK"),IF(INDEX(evol_conc!$H:$H,$Q106)&lt;&gt;$F106,"FIRMA DISTINTA EN evol_conc ("&amp;IF(INDEX(evol_conc!$H:$H,$Q106)="","vacía",DAY(INDEX(evol_conc!$H:$H,$Q106))&amp;"/"&amp;MONTH(INDEX(evol_conc!$H:$H,$Q106))&amp;"/"&amp;YEAR(INDEX(evol_conc!$H:$H,$Q106)))&amp;")",IF(INDEX(evol_conc!$G:$G,$Q106)&lt;&gt;$E106,"INGRESO DISTINTO EN evol_conc ("&amp;IF(INDEX(evol_conc!$G:$G,$Q106)="","vacía",DAY(INDEX(evol_conc!$G:$G,$Q106))&amp;"/"&amp;MONTH(INDEX(evol_conc!$G:$G,$Q106))&amp;"/"&amp;YEAR(INDEX(evol_conc!$G:$G,$Q106)))&amp;")","OK"))))))))</f>
        <v>OK</v>
      </c>
      <c r="Q106">
        <f ca="1">IF($N106="","",IFERROR(MATCH($N106,evol_conc!$P:$P,0),0))</f>
        <v>69</v>
      </c>
    </row>
    <row r="107" spans="1:17" ht="18" hidden="1" customHeight="1" x14ac:dyDescent="0.25">
      <c r="A107" t="s">
        <v>1061</v>
      </c>
      <c r="B107" t="s">
        <v>1062</v>
      </c>
      <c r="D107" t="s">
        <v>1063</v>
      </c>
      <c r="E107" s="16">
        <v>45721</v>
      </c>
      <c r="F107" s="16">
        <v>45737</v>
      </c>
      <c r="G107" t="s">
        <v>1064</v>
      </c>
      <c r="H107" t="s">
        <v>1065</v>
      </c>
      <c r="I107" t="s">
        <v>1066</v>
      </c>
      <c r="J107" t="s">
        <v>1067</v>
      </c>
      <c r="K107" t="s">
        <v>560</v>
      </c>
      <c r="L107" s="53">
        <f t="shared" si="2"/>
        <v>0.53333333333333333</v>
      </c>
      <c r="M107" s="19">
        <f t="shared" si="3"/>
        <v>16</v>
      </c>
      <c r="N107" t="str">
        <f ca="1">IF(TRIM(SUBSTITUTE($B107,CHAR(160)," "))="","",IFERROR(IF(ISNUMBER(SEARCH("INC",$B107)),"INC",IF(ISNUMBER(SEARCH("OPI",$B107)),"OPI",IF(ISNUMBER(SEARCH("DP",$B107)),"DP","CONC")))&amp;" "&amp;TEXT(LOOKUP(9.99E+307,--MID(SUBSTITUTE($B107,CHAR(160)," "),SUMPRODUCT(MIN(FIND({0,1,2,3,4,5,6,7,8,9},SUBSTITUTE($B107,CHAR(160)," ")&amp;"0123456789"))),ROW(INDIRECT("1:6")))),"0"),"SIN NUMERO"))</f>
        <v>INC 2025</v>
      </c>
      <c r="O107" t="str">
        <f ca="1">IF($N107="","",IF(LEFT(UPPER($P107),9)="VERIFICAR","VERIFICAR",IF(AND($H107&lt;&gt;"",COUNTIFS($N$2:$N$1000,$N107,$H$2:$H$1000,$H107)&gt;1),"DUPLICADA",IF(TRIM(IF($A107="","tipo ","")&amp;IF($F107="","fecha de firma ","")&amp;IF($G107="","decisión ","")&amp;IF($H107="","N° resolución ","")&amp;IF($I107="","N° dictamen",""))&lt;&gt;"","INCOMPLETA: "&amp;TRIM(IF($A107="","tipo ","")&amp;IF($F107="","fecha de firma ","")&amp;IF($G107="","decisión ","")&amp;IF($H107="","N° resolución ","")&amp;IF($I107="","N° dictamen","")),IF(LEFT($N107,4)&lt;&gt;"CONC","OK",IF(N($Q107)=0,IF(AND(ISNUMBER($E107),$E107&gt;=DATE(2024,1,1)),"FALTA EN evol_conc","OK"),IF(INDEX(evol_conc!$H:$H,$Q107)&lt;&gt;$F107,"FIRMA DISTINTA EN evol_conc ("&amp;IF(INDEX(evol_conc!$H:$H,$Q107)="","vacía",DAY(INDEX(evol_conc!$H:$H,$Q107))&amp;"/"&amp;MONTH(INDEX(evol_conc!$H:$H,$Q107))&amp;"/"&amp;YEAR(INDEX(evol_conc!$H:$H,$Q107)))&amp;")",IF(INDEX(evol_conc!$G:$G,$Q107)&lt;&gt;$E107,"INGRESO DISTINTO EN evol_conc ("&amp;IF(INDEX(evol_conc!$G:$G,$Q107)="","vacía",DAY(INDEX(evol_conc!$G:$G,$Q107))&amp;"/"&amp;MONTH(INDEX(evol_conc!$G:$G,$Q107))&amp;"/"&amp;YEAR(INDEX(evol_conc!$G:$G,$Q107)))&amp;")","OK"))))))))</f>
        <v>OK</v>
      </c>
      <c r="Q107">
        <f ca="1">IF($N107="","",IFERROR(MATCH($N107,evol_conc!$P:$P,0),0))</f>
        <v>0</v>
      </c>
    </row>
    <row r="108" spans="1:17" ht="18" hidden="1" customHeight="1" x14ac:dyDescent="0.25">
      <c r="A108" t="s">
        <v>547</v>
      </c>
      <c r="B108" t="s">
        <v>1068</v>
      </c>
      <c r="D108" s="22" t="s">
        <v>1069</v>
      </c>
      <c r="E108" s="16">
        <v>42941</v>
      </c>
      <c r="F108" s="16">
        <v>45757</v>
      </c>
      <c r="G108" t="s">
        <v>1070</v>
      </c>
      <c r="H108" t="s">
        <v>1071</v>
      </c>
      <c r="I108" t="s">
        <v>1072</v>
      </c>
      <c r="J108" t="s">
        <v>1073</v>
      </c>
      <c r="K108" t="s">
        <v>592</v>
      </c>
      <c r="L108" s="53">
        <f t="shared" si="2"/>
        <v>93.86666666666666</v>
      </c>
      <c r="M108" s="19">
        <f t="shared" si="3"/>
        <v>2816</v>
      </c>
      <c r="N108" t="str">
        <f ca="1">IF(TRIM(SUBSTITUTE($B108,CHAR(160)," "))="","",IFERROR(IF(ISNUMBER(SEARCH("INC",$B108)),"INC",IF(ISNUMBER(SEARCH("OPI",$B108)),"OPI",IF(ISNUMBER(SEARCH("DP",$B108)),"DP","CONC")))&amp;" "&amp;TEXT(LOOKUP(9.99E+307,--MID(SUBSTITUTE($B108,CHAR(160)," "),SUMPRODUCT(MIN(FIND({0,1,2,3,4,5,6,7,8,9},SUBSTITUTE($B108,CHAR(160)," ")&amp;"0123456789"))),ROW(INDIRECT("1:6")))),"0"),"SIN NUMERO"))</f>
        <v>CONC 1490</v>
      </c>
      <c r="O108" t="str">
        <f ca="1">IF($N108="","",IF(LEFT(UPPER($P108),9)="VERIFICAR","VERIFICAR",IF(AND($H108&lt;&gt;"",COUNTIFS($N$2:$N$1000,$N108,$H$2:$H$1000,$H108)&gt;1),"DUPLICADA",IF(TRIM(IF($A108="","tipo ","")&amp;IF($F108="","fecha de firma ","")&amp;IF($G108="","decisión ","")&amp;IF($H108="","N° resolución ","")&amp;IF($I108="","N° dictamen",""))&lt;&gt;"","INCOMPLETA: "&amp;TRIM(IF($A108="","tipo ","")&amp;IF($F108="","fecha de firma ","")&amp;IF($G108="","decisión ","")&amp;IF($H108="","N° resolución ","")&amp;IF($I108="","N° dictamen","")),IF(LEFT($N108,4)&lt;&gt;"CONC","OK",IF(N($Q108)=0,IF(AND(ISNUMBER($E108),$E108&gt;=DATE(2024,1,1)),"FALTA EN evol_conc","OK"),IF(INDEX(evol_conc!$H:$H,$Q108)&lt;&gt;$F108,"FIRMA DISTINTA EN evol_conc ("&amp;IF(INDEX(evol_conc!$H:$H,$Q108)="","vacía",DAY(INDEX(evol_conc!$H:$H,$Q108))&amp;"/"&amp;MONTH(INDEX(evol_conc!$H:$H,$Q108))&amp;"/"&amp;YEAR(INDEX(evol_conc!$H:$H,$Q108)))&amp;")",IF(INDEX(evol_conc!$G:$G,$Q108)&lt;&gt;$E108,"INGRESO DISTINTO EN evol_conc ("&amp;IF(INDEX(evol_conc!$G:$G,$Q108)="","vacía",DAY(INDEX(evol_conc!$G:$G,$Q108))&amp;"/"&amp;MONTH(INDEX(evol_conc!$G:$G,$Q108))&amp;"/"&amp;YEAR(INDEX(evol_conc!$G:$G,$Q108)))&amp;")","OK"))))))))</f>
        <v>OK</v>
      </c>
      <c r="Q108">
        <f ca="1">IF($N108="","",IFERROR(MATCH($N108,evol_conc!$P:$P,0),0))</f>
        <v>0</v>
      </c>
    </row>
    <row r="109" spans="1:17" ht="18" hidden="1" customHeight="1" x14ac:dyDescent="0.25">
      <c r="A109" t="s">
        <v>624</v>
      </c>
      <c r="B109" t="s">
        <v>1074</v>
      </c>
      <c r="D109" s="22" t="s">
        <v>206</v>
      </c>
      <c r="E109" s="16">
        <v>45392</v>
      </c>
      <c r="F109" s="16">
        <v>45772</v>
      </c>
      <c r="G109" t="s">
        <v>550</v>
      </c>
      <c r="H109" t="s">
        <v>1075</v>
      </c>
      <c r="I109" t="s">
        <v>1076</v>
      </c>
      <c r="J109" t="s">
        <v>1077</v>
      </c>
      <c r="K109" t="s">
        <v>560</v>
      </c>
      <c r="L109" s="53">
        <f t="shared" si="2"/>
        <v>12.666666666666666</v>
      </c>
      <c r="M109" s="19">
        <f t="shared" si="3"/>
        <v>380</v>
      </c>
      <c r="N109" t="str">
        <f ca="1">IF(TRIM(SUBSTITUTE($B109,CHAR(160)," "))="","",IFERROR(IF(ISNUMBER(SEARCH("INC",$B109)),"INC",IF(ISNUMBER(SEARCH("OPI",$B109)),"OPI",IF(ISNUMBER(SEARCH("DP",$B109)),"DP","CONC")))&amp;" "&amp;TEXT(LOOKUP(9.99E+307,--MID(SUBSTITUTE($B109,CHAR(160)," "),SUMPRODUCT(MIN(FIND({0,1,2,3,4,5,6,7,8,9},SUBSTITUTE($B109,CHAR(160)," ")&amp;"0123456789"))),ROW(INDIRECT("1:6")))),"0"),"SIN NUMERO"))</f>
        <v>CONC 1967</v>
      </c>
      <c r="O109" t="str">
        <f ca="1">IF($N109="","",IF(LEFT(UPPER($P109),9)="VERIFICAR","VERIFICAR",IF(AND($H109&lt;&gt;"",COUNTIFS($N$2:$N$1000,$N109,$H$2:$H$1000,$H109)&gt;1),"DUPLICADA",IF(TRIM(IF($A109="","tipo ","")&amp;IF($F109="","fecha de firma ","")&amp;IF($G109="","decisión ","")&amp;IF($H109="","N° resolución ","")&amp;IF($I109="","N° dictamen",""))&lt;&gt;"","INCOMPLETA: "&amp;TRIM(IF($A109="","tipo ","")&amp;IF($F109="","fecha de firma ","")&amp;IF($G109="","decisión ","")&amp;IF($H109="","N° resolución ","")&amp;IF($I109="","N° dictamen","")),IF(LEFT($N109,4)&lt;&gt;"CONC","OK",IF(N($Q109)=0,IF(AND(ISNUMBER($E109),$E109&gt;=DATE(2024,1,1)),"FALTA EN evol_conc","OK"),IF(INDEX(evol_conc!$H:$H,$Q109)&lt;&gt;$F109,"FIRMA DISTINTA EN evol_conc ("&amp;IF(INDEX(evol_conc!$H:$H,$Q109)="","vacía",DAY(INDEX(evol_conc!$H:$H,$Q109))&amp;"/"&amp;MONTH(INDEX(evol_conc!$H:$H,$Q109))&amp;"/"&amp;YEAR(INDEX(evol_conc!$H:$H,$Q109)))&amp;")",IF(INDEX(evol_conc!$G:$G,$Q109)&lt;&gt;$E109,"INGRESO DISTINTO EN evol_conc ("&amp;IF(INDEX(evol_conc!$G:$G,$Q109)="","vacía",DAY(INDEX(evol_conc!$G:$G,$Q109))&amp;"/"&amp;MONTH(INDEX(evol_conc!$G:$G,$Q109))&amp;"/"&amp;YEAR(INDEX(evol_conc!$G:$G,$Q109)))&amp;")","OK"))))))))</f>
        <v>OK</v>
      </c>
      <c r="Q109">
        <f ca="1">IF($N109="","",IFERROR(MATCH($N109,evol_conc!$P:$P,0),0))</f>
        <v>44</v>
      </c>
    </row>
    <row r="110" spans="1:17" ht="18" hidden="1" customHeight="1" x14ac:dyDescent="0.25">
      <c r="A110" t="s">
        <v>624</v>
      </c>
      <c r="B110" t="s">
        <v>1078</v>
      </c>
      <c r="D110" t="s">
        <v>255</v>
      </c>
      <c r="E110" s="16">
        <v>45603</v>
      </c>
      <c r="F110" s="16">
        <v>45772</v>
      </c>
      <c r="G110" s="16" t="s">
        <v>550</v>
      </c>
      <c r="H110" t="s">
        <v>1079</v>
      </c>
      <c r="I110" t="s">
        <v>1080</v>
      </c>
      <c r="J110" t="s">
        <v>1081</v>
      </c>
      <c r="K110" t="s">
        <v>554</v>
      </c>
      <c r="L110" s="53">
        <f t="shared" si="2"/>
        <v>5.6333333333333337</v>
      </c>
      <c r="M110" s="19">
        <f t="shared" si="3"/>
        <v>169</v>
      </c>
      <c r="N110" t="str">
        <f ca="1">IF(TRIM(SUBSTITUTE($B110,CHAR(160)," "))="","",IFERROR(IF(ISNUMBER(SEARCH("INC",$B110)),"INC",IF(ISNUMBER(SEARCH("OPI",$B110)),"OPI",IF(ISNUMBER(SEARCH("DP",$B110)),"DP","CONC")))&amp;" "&amp;TEXT(LOOKUP(9.99E+307,--MID(SUBSTITUTE($B110,CHAR(160)," "),SUMPRODUCT(MIN(FIND({0,1,2,3,4,5,6,7,8,9},SUBSTITUTE($B110,CHAR(160)," ")&amp;"0123456789"))),ROW(INDIRECT("1:6")))),"0"),"SIN NUMERO"))</f>
        <v>CONC 2001</v>
      </c>
      <c r="O110" t="str">
        <f ca="1">IF($N110="","",IF(LEFT(UPPER($P110),9)="VERIFICAR","VERIFICAR",IF(AND($H110&lt;&gt;"",COUNTIFS($N$2:$N$1000,$N110,$H$2:$H$1000,$H110)&gt;1),"DUPLICADA",IF(TRIM(IF($A110="","tipo ","")&amp;IF($F110="","fecha de firma ","")&amp;IF($G110="","decisión ","")&amp;IF($H110="","N° resolución ","")&amp;IF($I110="","N° dictamen",""))&lt;&gt;"","INCOMPLETA: "&amp;TRIM(IF($A110="","tipo ","")&amp;IF($F110="","fecha de firma ","")&amp;IF($G110="","decisión ","")&amp;IF($H110="","N° resolución ","")&amp;IF($I110="","N° dictamen","")),IF(LEFT($N110,4)&lt;&gt;"CONC","OK",IF(N($Q110)=0,IF(AND(ISNUMBER($E110),$E110&gt;=DATE(2024,1,1)),"FALTA EN evol_conc","OK"),IF(INDEX(evol_conc!$H:$H,$Q110)&lt;&gt;$F110,"FIRMA DISTINTA EN evol_conc ("&amp;IF(INDEX(evol_conc!$H:$H,$Q110)="","vacía",DAY(INDEX(evol_conc!$H:$H,$Q110))&amp;"/"&amp;MONTH(INDEX(evol_conc!$H:$H,$Q110))&amp;"/"&amp;YEAR(INDEX(evol_conc!$H:$H,$Q110)))&amp;")",IF(INDEX(evol_conc!$G:$G,$Q110)&lt;&gt;$E110,"INGRESO DISTINTO EN evol_conc ("&amp;IF(INDEX(evol_conc!$G:$G,$Q110)="","vacía",DAY(INDEX(evol_conc!$G:$G,$Q110))&amp;"/"&amp;MONTH(INDEX(evol_conc!$G:$G,$Q110))&amp;"/"&amp;YEAR(INDEX(evol_conc!$G:$G,$Q110)))&amp;")","OK"))))))))</f>
        <v>OK</v>
      </c>
      <c r="Q110">
        <f ca="1">IF($N110="","",IFERROR(MATCH($N110,evol_conc!$P:$P,0),0))</f>
        <v>79</v>
      </c>
    </row>
    <row r="111" spans="1:17" ht="18" hidden="1" customHeight="1" x14ac:dyDescent="0.25">
      <c r="A111" t="s">
        <v>624</v>
      </c>
      <c r="B111" t="s">
        <v>1082</v>
      </c>
      <c r="D111" s="22" t="s">
        <v>256</v>
      </c>
      <c r="E111" s="16">
        <v>45607</v>
      </c>
      <c r="F111" s="16">
        <v>45772</v>
      </c>
      <c r="G111" t="s">
        <v>550</v>
      </c>
      <c r="H111" t="s">
        <v>1083</v>
      </c>
      <c r="I111" t="s">
        <v>1084</v>
      </c>
      <c r="J111" t="s">
        <v>1085</v>
      </c>
      <c r="K111" t="s">
        <v>592</v>
      </c>
      <c r="L111" s="53">
        <f t="shared" si="2"/>
        <v>5.5</v>
      </c>
      <c r="M111" s="19">
        <f t="shared" si="3"/>
        <v>165</v>
      </c>
      <c r="N111" t="str">
        <f ca="1">IF(TRIM(SUBSTITUTE($B111,CHAR(160)," "))="","",IFERROR(IF(ISNUMBER(SEARCH("INC",$B111)),"INC",IF(ISNUMBER(SEARCH("OPI",$B111)),"OPI",IF(ISNUMBER(SEARCH("DP",$B111)),"DP","CONC")))&amp;" "&amp;TEXT(LOOKUP(9.99E+307,--MID(SUBSTITUTE($B111,CHAR(160)," "),SUMPRODUCT(MIN(FIND({0,1,2,3,4,5,6,7,8,9},SUBSTITUTE($B111,CHAR(160)," ")&amp;"0123456789"))),ROW(INDIRECT("1:6")))),"0"),"SIN NUMERO"))</f>
        <v>CONC 2003</v>
      </c>
      <c r="O111" t="str">
        <f ca="1">IF($N111="","",IF(LEFT(UPPER($P111),9)="VERIFICAR","VERIFICAR",IF(AND($H111&lt;&gt;"",COUNTIFS($N$2:$N$1000,$N111,$H$2:$H$1000,$H111)&gt;1),"DUPLICADA",IF(TRIM(IF($A111="","tipo ","")&amp;IF($F111="","fecha de firma ","")&amp;IF($G111="","decisión ","")&amp;IF($H111="","N° resolución ","")&amp;IF($I111="","N° dictamen",""))&lt;&gt;"","INCOMPLETA: "&amp;TRIM(IF($A111="","tipo ","")&amp;IF($F111="","fecha de firma ","")&amp;IF($G111="","decisión ","")&amp;IF($H111="","N° resolución ","")&amp;IF($I111="","N° dictamen","")),IF(LEFT($N111,4)&lt;&gt;"CONC","OK",IF(N($Q111)=0,IF(AND(ISNUMBER($E111),$E111&gt;=DATE(2024,1,1)),"FALTA EN evol_conc","OK"),IF(INDEX(evol_conc!$H:$H,$Q111)&lt;&gt;$F111,"FIRMA DISTINTA EN evol_conc ("&amp;IF(INDEX(evol_conc!$H:$H,$Q111)="","vacía",DAY(INDEX(evol_conc!$H:$H,$Q111))&amp;"/"&amp;MONTH(INDEX(evol_conc!$H:$H,$Q111))&amp;"/"&amp;YEAR(INDEX(evol_conc!$H:$H,$Q111)))&amp;")",IF(INDEX(evol_conc!$G:$G,$Q111)&lt;&gt;$E111,"INGRESO DISTINTO EN evol_conc ("&amp;IF(INDEX(evol_conc!$G:$G,$Q111)="","vacía",DAY(INDEX(evol_conc!$G:$G,$Q111))&amp;"/"&amp;MONTH(INDEX(evol_conc!$G:$G,$Q111))&amp;"/"&amp;YEAR(INDEX(evol_conc!$G:$G,$Q111)))&amp;")","OK"))))))))</f>
        <v>OK</v>
      </c>
      <c r="Q111">
        <f ca="1">IF($N111="","",IFERROR(MATCH($N111,evol_conc!$P:$P,0),0))</f>
        <v>80</v>
      </c>
    </row>
    <row r="112" spans="1:17" ht="18" hidden="1" customHeight="1" x14ac:dyDescent="0.25">
      <c r="A112" t="s">
        <v>624</v>
      </c>
      <c r="B112" t="s">
        <v>1086</v>
      </c>
      <c r="D112" s="22" t="s">
        <v>266</v>
      </c>
      <c r="E112" s="16">
        <v>45638</v>
      </c>
      <c r="F112" s="16">
        <v>45772</v>
      </c>
      <c r="G112" t="s">
        <v>550</v>
      </c>
      <c r="H112" t="s">
        <v>1087</v>
      </c>
      <c r="I112" t="s">
        <v>1076</v>
      </c>
      <c r="J112" t="s">
        <v>1088</v>
      </c>
      <c r="K112" t="s">
        <v>592</v>
      </c>
      <c r="L112" s="53">
        <f t="shared" si="2"/>
        <v>4.4666666666666668</v>
      </c>
      <c r="M112" s="19">
        <f t="shared" si="3"/>
        <v>134</v>
      </c>
      <c r="N112" t="str">
        <f ca="1">IF(TRIM(SUBSTITUTE($B112,CHAR(160)," "))="","",IFERROR(IF(ISNUMBER(SEARCH("INC",$B112)),"INC",IF(ISNUMBER(SEARCH("OPI",$B112)),"OPI",IF(ISNUMBER(SEARCH("DP",$B112)),"DP","CONC")))&amp;" "&amp;TEXT(LOOKUP(9.99E+307,--MID(SUBSTITUTE($B112,CHAR(160)," "),SUMPRODUCT(MIN(FIND({0,1,2,3,4,5,6,7,8,9},SUBSTITUTE($B112,CHAR(160)," ")&amp;"0123456789"))),ROW(INDIRECT("1:6")))),"0"),"SIN NUMERO"))</f>
        <v>CONC 2009</v>
      </c>
      <c r="O112" t="str">
        <f ca="1">IF($N112="","",IF(LEFT(UPPER($P112),9)="VERIFICAR","VERIFICAR",IF(AND($H112&lt;&gt;"",COUNTIFS($N$2:$N$1000,$N112,$H$2:$H$1000,$H112)&gt;1),"DUPLICADA",IF(TRIM(IF($A112="","tipo ","")&amp;IF($F112="","fecha de firma ","")&amp;IF($G112="","decisión ","")&amp;IF($H112="","N° resolución ","")&amp;IF($I112="","N° dictamen",""))&lt;&gt;"","INCOMPLETA: "&amp;TRIM(IF($A112="","tipo ","")&amp;IF($F112="","fecha de firma ","")&amp;IF($G112="","decisión ","")&amp;IF($H112="","N° resolución ","")&amp;IF($I112="","N° dictamen","")),IF(LEFT($N112,4)&lt;&gt;"CONC","OK",IF(N($Q112)=0,IF(AND(ISNUMBER($E112),$E112&gt;=DATE(2024,1,1)),"FALTA EN evol_conc","OK"),IF(INDEX(evol_conc!$H:$H,$Q112)&lt;&gt;$F112,"FIRMA DISTINTA EN evol_conc ("&amp;IF(INDEX(evol_conc!$H:$H,$Q112)="","vacía",DAY(INDEX(evol_conc!$H:$H,$Q112))&amp;"/"&amp;MONTH(INDEX(evol_conc!$H:$H,$Q112))&amp;"/"&amp;YEAR(INDEX(evol_conc!$H:$H,$Q112)))&amp;")",IF(INDEX(evol_conc!$G:$G,$Q112)&lt;&gt;$E112,"INGRESO DISTINTO EN evol_conc ("&amp;IF(INDEX(evol_conc!$G:$G,$Q112)="","vacía",DAY(INDEX(evol_conc!$G:$G,$Q112))&amp;"/"&amp;MONTH(INDEX(evol_conc!$G:$G,$Q112))&amp;"/"&amp;YEAR(INDEX(evol_conc!$G:$G,$Q112)))&amp;")","OK"))))))))</f>
        <v>OK</v>
      </c>
      <c r="Q112">
        <f ca="1">IF($N112="","",IFERROR(MATCH($N112,evol_conc!$P:$P,0),0))</f>
        <v>86</v>
      </c>
    </row>
    <row r="113" spans="1:17" ht="18" hidden="1" customHeight="1" x14ac:dyDescent="0.25">
      <c r="A113" t="s">
        <v>1089</v>
      </c>
      <c r="B113" t="s">
        <v>1090</v>
      </c>
      <c r="D113" t="s">
        <v>1091</v>
      </c>
      <c r="E113" s="16">
        <v>45716</v>
      </c>
      <c r="F113" s="16">
        <v>45784</v>
      </c>
      <c r="G113" t="s">
        <v>1092</v>
      </c>
      <c r="H113" t="s">
        <v>1093</v>
      </c>
      <c r="I113" t="s">
        <v>1094</v>
      </c>
      <c r="L113" s="53">
        <f t="shared" si="2"/>
        <v>2.2666666666666666</v>
      </c>
      <c r="M113" s="19">
        <f t="shared" si="3"/>
        <v>68</v>
      </c>
      <c r="N113" t="str">
        <f ca="1">IF(TRIM(SUBSTITUTE($B113,CHAR(160)," "))="","",IFERROR(IF(ISNUMBER(SEARCH("INC",$B113)),"INC",IF(ISNUMBER(SEARCH("OPI",$B113)),"OPI",IF(ISNUMBER(SEARCH("DP",$B113)),"DP","CONC")))&amp;" "&amp;TEXT(LOOKUP(9.99E+307,--MID(SUBSTITUTE($B113,CHAR(160)," "),SUMPRODUCT(MIN(FIND({0,1,2,3,4,5,6,7,8,9},SUBSTITUTE($B113,CHAR(160)," ")&amp;"0123456789"))),ROW(INDIRECT("1:6")))),"0"),"SIN NUMERO"))</f>
        <v>OPI 377</v>
      </c>
      <c r="O113" t="str">
        <f ca="1">IF($N113="","",IF(LEFT(UPPER($P113),9)="VERIFICAR","VERIFICAR",IF(AND($H113&lt;&gt;"",COUNTIFS($N$2:$N$1000,$N113,$H$2:$H$1000,$H113)&gt;1),"DUPLICADA",IF(TRIM(IF($A113="","tipo ","")&amp;IF($F113="","fecha de firma ","")&amp;IF($G113="","decisión ","")&amp;IF($H113="","N° resolución ","")&amp;IF($I113="","N° dictamen",""))&lt;&gt;"","INCOMPLETA: "&amp;TRIM(IF($A113="","tipo ","")&amp;IF($F113="","fecha de firma ","")&amp;IF($G113="","decisión ","")&amp;IF($H113="","N° resolución ","")&amp;IF($I113="","N° dictamen","")),IF(LEFT($N113,4)&lt;&gt;"CONC","OK",IF(N($Q113)=0,IF(AND(ISNUMBER($E113),$E113&gt;=DATE(2024,1,1)),"FALTA EN evol_conc","OK"),IF(INDEX(evol_conc!$H:$H,$Q113)&lt;&gt;$F113,"FIRMA DISTINTA EN evol_conc ("&amp;IF(INDEX(evol_conc!$H:$H,$Q113)="","vacía",DAY(INDEX(evol_conc!$H:$H,$Q113))&amp;"/"&amp;MONTH(INDEX(evol_conc!$H:$H,$Q113))&amp;"/"&amp;YEAR(INDEX(evol_conc!$H:$H,$Q113)))&amp;")",IF(INDEX(evol_conc!$G:$G,$Q113)&lt;&gt;$E113,"INGRESO DISTINTO EN evol_conc ("&amp;IF(INDEX(evol_conc!$G:$G,$Q113)="","vacía",DAY(INDEX(evol_conc!$G:$G,$Q113))&amp;"/"&amp;MONTH(INDEX(evol_conc!$G:$G,$Q113))&amp;"/"&amp;YEAR(INDEX(evol_conc!$G:$G,$Q113)))&amp;")","OK"))))))))</f>
        <v>OK</v>
      </c>
      <c r="Q113">
        <f ca="1">IF($N113="","",IFERROR(MATCH($N113,evol_conc!$P:$P,0),0))</f>
        <v>0</v>
      </c>
    </row>
    <row r="114" spans="1:17" ht="18" hidden="1" customHeight="1" x14ac:dyDescent="0.25">
      <c r="A114" t="s">
        <v>547</v>
      </c>
      <c r="B114" t="s">
        <v>1095</v>
      </c>
      <c r="D114" s="22" t="s">
        <v>1096</v>
      </c>
      <c r="E114" s="16">
        <v>45540</v>
      </c>
      <c r="F114" s="16">
        <v>45807</v>
      </c>
      <c r="G114" t="s">
        <v>550</v>
      </c>
      <c r="H114" t="s">
        <v>1097</v>
      </c>
      <c r="I114" t="s">
        <v>1098</v>
      </c>
      <c r="J114" t="s">
        <v>1099</v>
      </c>
      <c r="K114" t="s">
        <v>560</v>
      </c>
      <c r="L114" s="53">
        <f t="shared" si="2"/>
        <v>8.9</v>
      </c>
      <c r="M114" s="19">
        <f t="shared" si="3"/>
        <v>267</v>
      </c>
      <c r="N114" t="str">
        <f ca="1">IF(TRIM(SUBSTITUTE($B114,CHAR(160)," "))="","",IFERROR(IF(ISNUMBER(SEARCH("INC",$B114)),"INC",IF(ISNUMBER(SEARCH("OPI",$B114)),"OPI",IF(ISNUMBER(SEARCH("DP",$B114)),"DP","CONC")))&amp;" "&amp;TEXT(LOOKUP(9.99E+307,--MID(SUBSTITUTE($B114,CHAR(160)," "),SUMPRODUCT(MIN(FIND({0,1,2,3,4,5,6,7,8,9},SUBSTITUTE($B114,CHAR(160)," ")&amp;"0123456789"))),ROW(INDIRECT("1:6")))),"0"),"SIN NUMERO"))</f>
        <v>CONC 1991</v>
      </c>
      <c r="O114" t="str">
        <f ca="1">IF($N114="","",IF(LEFT(UPPER($P114),9)="VERIFICAR","VERIFICAR",IF(AND($H114&lt;&gt;"",COUNTIFS($N$2:$N$1000,$N114,$H$2:$H$1000,$H114)&gt;1),"DUPLICADA",IF(TRIM(IF($A114="","tipo ","")&amp;IF($F114="","fecha de firma ","")&amp;IF($G114="","decisión ","")&amp;IF($H114="","N° resolución ","")&amp;IF($I114="","N° dictamen",""))&lt;&gt;"","INCOMPLETA: "&amp;TRIM(IF($A114="","tipo ","")&amp;IF($F114="","fecha de firma ","")&amp;IF($G114="","decisión ","")&amp;IF($H114="","N° resolución ","")&amp;IF($I114="","N° dictamen","")),IF(LEFT($N114,4)&lt;&gt;"CONC","OK",IF(N($Q114)=0,IF(AND(ISNUMBER($E114),$E114&gt;=DATE(2024,1,1)),"FALTA EN evol_conc","OK"),IF(INDEX(evol_conc!$H:$H,$Q114)&lt;&gt;$F114,"FIRMA DISTINTA EN evol_conc ("&amp;IF(INDEX(evol_conc!$H:$H,$Q114)="","vacía",DAY(INDEX(evol_conc!$H:$H,$Q114))&amp;"/"&amp;MONTH(INDEX(evol_conc!$H:$H,$Q114))&amp;"/"&amp;YEAR(INDEX(evol_conc!$H:$H,$Q114)))&amp;")",IF(INDEX(evol_conc!$G:$G,$Q114)&lt;&gt;$E114,"INGRESO DISTINTO EN evol_conc ("&amp;IF(INDEX(evol_conc!$G:$G,$Q114)="","vacía",DAY(INDEX(evol_conc!$G:$G,$Q114))&amp;"/"&amp;MONTH(INDEX(evol_conc!$G:$G,$Q114))&amp;"/"&amp;YEAR(INDEX(evol_conc!$G:$G,$Q114)))&amp;")","OK"))))))))</f>
        <v>OK</v>
      </c>
      <c r="Q114">
        <f ca="1">IF($N114="","",IFERROR(MATCH($N114,evol_conc!$P:$P,0),0))</f>
        <v>67</v>
      </c>
    </row>
    <row r="115" spans="1:17" ht="18" hidden="1" customHeight="1" x14ac:dyDescent="0.25">
      <c r="A115" t="s">
        <v>547</v>
      </c>
      <c r="B115" t="s">
        <v>1100</v>
      </c>
      <c r="D115" s="22" t="s">
        <v>191</v>
      </c>
      <c r="E115" s="16">
        <v>45327</v>
      </c>
      <c r="F115" s="16">
        <v>45812</v>
      </c>
      <c r="G115" t="s">
        <v>1101</v>
      </c>
      <c r="H115" t="s">
        <v>1102</v>
      </c>
      <c r="I115" t="s">
        <v>1103</v>
      </c>
      <c r="J115" t="s">
        <v>1104</v>
      </c>
      <c r="K115" t="s">
        <v>560</v>
      </c>
      <c r="L115" s="53">
        <f t="shared" si="2"/>
        <v>16.166666666666668</v>
      </c>
      <c r="M115" s="19">
        <f t="shared" si="3"/>
        <v>485</v>
      </c>
      <c r="N115" t="str">
        <f ca="1">IF(TRIM(SUBSTITUTE($B115,CHAR(160)," "))="","",IFERROR(IF(ISNUMBER(SEARCH("INC",$B115)),"INC",IF(ISNUMBER(SEARCH("OPI",$B115)),"OPI",IF(ISNUMBER(SEARCH("DP",$B115)),"DP","CONC")))&amp;" "&amp;TEXT(LOOKUP(9.99E+307,--MID(SUBSTITUTE($B115,CHAR(160)," "),SUMPRODUCT(MIN(FIND({0,1,2,3,4,5,6,7,8,9},SUBSTITUTE($B115,CHAR(160)," ")&amp;"0123456789"))),ROW(INDIRECT("1:6")))),"0"),"SIN NUMERO"))</f>
        <v>CONC 1958</v>
      </c>
      <c r="O115" t="str">
        <f ca="1">IF($N115="","",IF(LEFT(UPPER($P115),9)="VERIFICAR","VERIFICAR",IF(AND($H115&lt;&gt;"",COUNTIFS($N$2:$N$1000,$N115,$H$2:$H$1000,$H115)&gt;1),"DUPLICADA",IF(TRIM(IF($A115="","tipo ","")&amp;IF($F115="","fecha de firma ","")&amp;IF($G115="","decisión ","")&amp;IF($H115="","N° resolución ","")&amp;IF($I115="","N° dictamen",""))&lt;&gt;"","INCOMPLETA: "&amp;TRIM(IF($A115="","tipo ","")&amp;IF($F115="","fecha de firma ","")&amp;IF($G115="","decisión ","")&amp;IF($H115="","N° resolución ","")&amp;IF($I115="","N° dictamen","")),IF(LEFT($N115,4)&lt;&gt;"CONC","OK",IF(N($Q115)=0,IF(AND(ISNUMBER($E115),$E115&gt;=DATE(2024,1,1)),"FALTA EN evol_conc","OK"),IF(INDEX(evol_conc!$H:$H,$Q115)&lt;&gt;$F115,"FIRMA DISTINTA EN evol_conc ("&amp;IF(INDEX(evol_conc!$H:$H,$Q115)="","vacía",DAY(INDEX(evol_conc!$H:$H,$Q115))&amp;"/"&amp;MONTH(INDEX(evol_conc!$H:$H,$Q115))&amp;"/"&amp;YEAR(INDEX(evol_conc!$H:$H,$Q115)))&amp;")",IF(INDEX(evol_conc!$G:$G,$Q115)&lt;&gt;$E115,"INGRESO DISTINTO EN evol_conc ("&amp;IF(INDEX(evol_conc!$G:$G,$Q115)="","vacía",DAY(INDEX(evol_conc!$G:$G,$Q115))&amp;"/"&amp;MONTH(INDEX(evol_conc!$G:$G,$Q115))&amp;"/"&amp;YEAR(INDEX(evol_conc!$G:$G,$Q115)))&amp;")","OK"))))))))</f>
        <v>OK</v>
      </c>
      <c r="Q115">
        <f ca="1">IF($N115="","",IFERROR(MATCH($N115,evol_conc!$P:$P,0),0))</f>
        <v>36</v>
      </c>
    </row>
    <row r="116" spans="1:17" ht="18" hidden="1" customHeight="1" x14ac:dyDescent="0.25">
      <c r="A116" t="s">
        <v>547</v>
      </c>
      <c r="B116" t="s">
        <v>1105</v>
      </c>
      <c r="D116" s="22" t="s">
        <v>270</v>
      </c>
      <c r="E116" s="16">
        <v>45652</v>
      </c>
      <c r="F116" s="16">
        <v>45812</v>
      </c>
      <c r="G116" t="s">
        <v>1101</v>
      </c>
      <c r="H116" t="s">
        <v>1106</v>
      </c>
      <c r="I116" t="s">
        <v>1107</v>
      </c>
      <c r="J116" t="s">
        <v>1108</v>
      </c>
      <c r="K116" t="s">
        <v>592</v>
      </c>
      <c r="L116" s="53">
        <f t="shared" si="2"/>
        <v>5.333333333333333</v>
      </c>
      <c r="M116" s="19">
        <f t="shared" si="3"/>
        <v>160</v>
      </c>
      <c r="N116" t="str">
        <f ca="1">IF(TRIM(SUBSTITUTE($B116,CHAR(160)," "))="","",IFERROR(IF(ISNUMBER(SEARCH("INC",$B116)),"INC",IF(ISNUMBER(SEARCH("OPI",$B116)),"OPI",IF(ISNUMBER(SEARCH("DP",$B116)),"DP","CONC")))&amp;" "&amp;TEXT(LOOKUP(9.99E+307,--MID(SUBSTITUTE($B116,CHAR(160)," "),SUMPRODUCT(MIN(FIND({0,1,2,3,4,5,6,7,8,9},SUBSTITUTE($B116,CHAR(160)," ")&amp;"0123456789"))),ROW(INDIRECT("1:6")))),"0"),"SIN NUMERO"))</f>
        <v>CONC 2012</v>
      </c>
      <c r="O116" t="str">
        <f ca="1">IF($N116="","",IF(LEFT(UPPER($P116),9)="VERIFICAR","VERIFICAR",IF(AND($H116&lt;&gt;"",COUNTIFS($N$2:$N$1000,$N116,$H$2:$H$1000,$H116)&gt;1),"DUPLICADA",IF(TRIM(IF($A116="","tipo ","")&amp;IF($F116="","fecha de firma ","")&amp;IF($G116="","decisión ","")&amp;IF($H116="","N° resolución ","")&amp;IF($I116="","N° dictamen",""))&lt;&gt;"","INCOMPLETA: "&amp;TRIM(IF($A116="","tipo ","")&amp;IF($F116="","fecha de firma ","")&amp;IF($G116="","decisión ","")&amp;IF($H116="","N° resolución ","")&amp;IF($I116="","N° dictamen","")),IF(LEFT($N116,4)&lt;&gt;"CONC","OK",IF(N($Q116)=0,IF(AND(ISNUMBER($E116),$E116&gt;=DATE(2024,1,1)),"FALTA EN evol_conc","OK"),IF(INDEX(evol_conc!$H:$H,$Q116)&lt;&gt;$F116,"FIRMA DISTINTA EN evol_conc ("&amp;IF(INDEX(evol_conc!$H:$H,$Q116)="","vacía",DAY(INDEX(evol_conc!$H:$H,$Q116))&amp;"/"&amp;MONTH(INDEX(evol_conc!$H:$H,$Q116))&amp;"/"&amp;YEAR(INDEX(evol_conc!$H:$H,$Q116)))&amp;")",IF(INDEX(evol_conc!$G:$G,$Q116)&lt;&gt;$E116,"INGRESO DISTINTO EN evol_conc ("&amp;IF(INDEX(evol_conc!$G:$G,$Q116)="","vacía",DAY(INDEX(evol_conc!$G:$G,$Q116))&amp;"/"&amp;MONTH(INDEX(evol_conc!$G:$G,$Q116))&amp;"/"&amp;YEAR(INDEX(evol_conc!$G:$G,$Q116)))&amp;")","OK"))))))))</f>
        <v>OK</v>
      </c>
      <c r="Q116">
        <f ca="1">IF($N116="","",IFERROR(MATCH($N116,evol_conc!$P:$P,0),0))</f>
        <v>89</v>
      </c>
    </row>
    <row r="117" spans="1:17" ht="18" hidden="1" customHeight="1" x14ac:dyDescent="0.25">
      <c r="A117" t="s">
        <v>50</v>
      </c>
      <c r="B117" t="s">
        <v>1109</v>
      </c>
      <c r="D117" t="s">
        <v>1110</v>
      </c>
      <c r="E117" s="16">
        <v>45440</v>
      </c>
      <c r="F117" s="16">
        <v>45812</v>
      </c>
      <c r="G117" t="s">
        <v>1111</v>
      </c>
      <c r="H117" t="s">
        <v>1112</v>
      </c>
      <c r="I117" t="s">
        <v>1113</v>
      </c>
      <c r="L117" s="53">
        <f t="shared" si="2"/>
        <v>12.4</v>
      </c>
      <c r="M117" s="19">
        <f t="shared" si="3"/>
        <v>372</v>
      </c>
      <c r="N117" t="str">
        <f ca="1">IF(TRIM(SUBSTITUTE($B117,CHAR(160)," "))="","",IFERROR(IF(ISNUMBER(SEARCH("INC",$B117)),"INC",IF(ISNUMBER(SEARCH("OPI",$B117)),"OPI",IF(ISNUMBER(SEARCH("DP",$B117)),"DP","CONC")))&amp;" "&amp;TEXT(LOOKUP(9.99E+307,--MID(SUBSTITUTE($B117,CHAR(160)," "),SUMPRODUCT(MIN(FIND({0,1,2,3,4,5,6,7,8,9},SUBSTITUTE($B117,CHAR(160)," ")&amp;"0123456789"))),ROW(INDIRECT("1:6")))),"0"),"SIN NUMERO"))</f>
        <v>DP 133</v>
      </c>
      <c r="O117" t="str">
        <f ca="1">IF($N117="","",IF(LEFT(UPPER($P117),9)="VERIFICAR","VERIFICAR",IF(AND($H117&lt;&gt;"",COUNTIFS($N$2:$N$1000,$N117,$H$2:$H$1000,$H117)&gt;1),"DUPLICADA",IF(TRIM(IF($A117="","tipo ","")&amp;IF($F117="","fecha de firma ","")&amp;IF($G117="","decisión ","")&amp;IF($H117="","N° resolución ","")&amp;IF($I117="","N° dictamen",""))&lt;&gt;"","INCOMPLETA: "&amp;TRIM(IF($A117="","tipo ","")&amp;IF($F117="","fecha de firma ","")&amp;IF($G117="","decisión ","")&amp;IF($H117="","N° resolución ","")&amp;IF($I117="","N° dictamen","")),IF(LEFT($N117,4)&lt;&gt;"CONC","OK",IF(N($Q117)=0,IF(AND(ISNUMBER($E117),$E117&gt;=DATE(2024,1,1)),"FALTA EN evol_conc","OK"),IF(INDEX(evol_conc!$H:$H,$Q117)&lt;&gt;$F117,"FIRMA DISTINTA EN evol_conc ("&amp;IF(INDEX(evol_conc!$H:$H,$Q117)="","vacía",DAY(INDEX(evol_conc!$H:$H,$Q117))&amp;"/"&amp;MONTH(INDEX(evol_conc!$H:$H,$Q117))&amp;"/"&amp;YEAR(INDEX(evol_conc!$H:$H,$Q117)))&amp;")",IF(INDEX(evol_conc!$G:$G,$Q117)&lt;&gt;$E117,"INGRESO DISTINTO EN evol_conc ("&amp;IF(INDEX(evol_conc!$G:$G,$Q117)="","vacía",DAY(INDEX(evol_conc!$G:$G,$Q117))&amp;"/"&amp;MONTH(INDEX(evol_conc!$G:$G,$Q117))&amp;"/"&amp;YEAR(INDEX(evol_conc!$G:$G,$Q117)))&amp;")","OK"))))))))</f>
        <v>OK</v>
      </c>
      <c r="Q117">
        <f ca="1">IF($N117="","",IFERROR(MATCH($N117,evol_conc!$P:$P,0),0))</f>
        <v>0</v>
      </c>
    </row>
    <row r="118" spans="1:17" ht="18" hidden="1" customHeight="1" x14ac:dyDescent="0.25">
      <c r="A118" t="s">
        <v>1089</v>
      </c>
      <c r="B118" t="s">
        <v>1114</v>
      </c>
      <c r="D118" t="s">
        <v>1115</v>
      </c>
      <c r="E118" s="16">
        <v>45615</v>
      </c>
      <c r="F118" s="16">
        <v>45812</v>
      </c>
      <c r="G118" t="s">
        <v>1116</v>
      </c>
      <c r="H118" t="s">
        <v>1117</v>
      </c>
      <c r="I118" t="s">
        <v>1118</v>
      </c>
      <c r="L118" s="53">
        <f t="shared" si="2"/>
        <v>6.5666666666666664</v>
      </c>
      <c r="M118" s="19">
        <f t="shared" si="3"/>
        <v>197</v>
      </c>
      <c r="N118" t="str">
        <f ca="1">IF(TRIM(SUBSTITUTE($B118,CHAR(160)," "))="","",IFERROR(IF(ISNUMBER(SEARCH("INC",$B118)),"INC",IF(ISNUMBER(SEARCH("OPI",$B118)),"OPI",IF(ISNUMBER(SEARCH("DP",$B118)),"DP","CONC")))&amp;" "&amp;TEXT(LOOKUP(9.99E+307,--MID(SUBSTITUTE($B118,CHAR(160)," "),SUMPRODUCT(MIN(FIND({0,1,2,3,4,5,6,7,8,9},SUBSTITUTE($B118,CHAR(160)," ")&amp;"0123456789"))),ROW(INDIRECT("1:6")))),"0"),"SIN NUMERO"))</f>
        <v>OPI 371</v>
      </c>
      <c r="O118" t="str">
        <f ca="1">IF($N118="","",IF(LEFT(UPPER($P118),9)="VERIFICAR","VERIFICAR",IF(AND($H118&lt;&gt;"",COUNTIFS($N$2:$N$1000,$N118,$H$2:$H$1000,$H118)&gt;1),"DUPLICADA",IF(TRIM(IF($A118="","tipo ","")&amp;IF($F118="","fecha de firma ","")&amp;IF($G118="","decisión ","")&amp;IF($H118="","N° resolución ","")&amp;IF($I118="","N° dictamen",""))&lt;&gt;"","INCOMPLETA: "&amp;TRIM(IF($A118="","tipo ","")&amp;IF($F118="","fecha de firma ","")&amp;IF($G118="","decisión ","")&amp;IF($H118="","N° resolución ","")&amp;IF($I118="","N° dictamen","")),IF(LEFT($N118,4)&lt;&gt;"CONC","OK",IF(N($Q118)=0,IF(AND(ISNUMBER($E118),$E118&gt;=DATE(2024,1,1)),"FALTA EN evol_conc","OK"),IF(INDEX(evol_conc!$H:$H,$Q118)&lt;&gt;$F118,"FIRMA DISTINTA EN evol_conc ("&amp;IF(INDEX(evol_conc!$H:$H,$Q118)="","vacía",DAY(INDEX(evol_conc!$H:$H,$Q118))&amp;"/"&amp;MONTH(INDEX(evol_conc!$H:$H,$Q118))&amp;"/"&amp;YEAR(INDEX(evol_conc!$H:$H,$Q118)))&amp;")",IF(INDEX(evol_conc!$G:$G,$Q118)&lt;&gt;$E118,"INGRESO DISTINTO EN evol_conc ("&amp;IF(INDEX(evol_conc!$G:$G,$Q118)="","vacía",DAY(INDEX(evol_conc!$G:$G,$Q118))&amp;"/"&amp;MONTH(INDEX(evol_conc!$G:$G,$Q118))&amp;"/"&amp;YEAR(INDEX(evol_conc!$G:$G,$Q118)))&amp;")","OK"))))))))</f>
        <v>OK</v>
      </c>
      <c r="Q118">
        <f ca="1">IF($N118="","",IFERROR(MATCH($N118,evol_conc!$P:$P,0),0))</f>
        <v>0</v>
      </c>
    </row>
    <row r="119" spans="1:17" ht="18" hidden="1" customHeight="1" x14ac:dyDescent="0.25">
      <c r="A119" t="s">
        <v>1119</v>
      </c>
      <c r="B119" t="s">
        <v>1120</v>
      </c>
      <c r="D119" s="22" t="s">
        <v>1121</v>
      </c>
      <c r="E119" s="16">
        <v>44664</v>
      </c>
      <c r="F119" s="16">
        <v>45826</v>
      </c>
      <c r="G119" t="s">
        <v>1122</v>
      </c>
      <c r="H119" t="s">
        <v>1123</v>
      </c>
      <c r="I119" t="s">
        <v>1124</v>
      </c>
      <c r="J119" t="s">
        <v>1125</v>
      </c>
      <c r="K119" t="s">
        <v>1126</v>
      </c>
      <c r="L119" s="53">
        <f t="shared" si="2"/>
        <v>38.733333333333334</v>
      </c>
      <c r="M119" s="19">
        <f t="shared" si="3"/>
        <v>1162</v>
      </c>
      <c r="N119" t="str">
        <f ca="1">IF(TRIM(SUBSTITUTE($B119,CHAR(160)," "))="","",IFERROR(IF(ISNUMBER(SEARCH("INC",$B119)),"INC",IF(ISNUMBER(SEARCH("OPI",$B119)),"OPI",IF(ISNUMBER(SEARCH("DP",$B119)),"DP","CONC")))&amp;" "&amp;TEXT(LOOKUP(9.99E+307,--MID(SUBSTITUTE($B119,CHAR(160)," "),SUMPRODUCT(MIN(FIND({0,1,2,3,4,5,6,7,8,9},SUBSTITUTE($B119,CHAR(160)," ")&amp;"0123456789"))),ROW(INDIRECT("1:6")))),"0"),"SIN NUMERO"))</f>
        <v>CONC 1850</v>
      </c>
      <c r="O119" t="str">
        <f ca="1">IF($N119="","",IF(LEFT(UPPER($P119),9)="VERIFICAR","VERIFICAR",IF(AND($H119&lt;&gt;"",COUNTIFS($N$2:$N$1000,$N119,$H$2:$H$1000,$H119)&gt;1),"DUPLICADA",IF(TRIM(IF($A119="","tipo ","")&amp;IF($F119="","fecha de firma ","")&amp;IF($G119="","decisión ","")&amp;IF($H119="","N° resolución ","")&amp;IF($I119="","N° dictamen",""))&lt;&gt;"","INCOMPLETA: "&amp;TRIM(IF($A119="","tipo ","")&amp;IF($F119="","fecha de firma ","")&amp;IF($G119="","decisión ","")&amp;IF($H119="","N° resolución ","")&amp;IF($I119="","N° dictamen","")),IF(LEFT($N119,4)&lt;&gt;"CONC","OK",IF(N($Q119)=0,IF(AND(ISNUMBER($E119),$E119&gt;=DATE(2024,1,1)),"FALTA EN evol_conc","OK"),IF(INDEX(evol_conc!$H:$H,$Q119)&lt;&gt;$F119,"FIRMA DISTINTA EN evol_conc ("&amp;IF(INDEX(evol_conc!$H:$H,$Q119)="","vacía",DAY(INDEX(evol_conc!$H:$H,$Q119))&amp;"/"&amp;MONTH(INDEX(evol_conc!$H:$H,$Q119))&amp;"/"&amp;YEAR(INDEX(evol_conc!$H:$H,$Q119)))&amp;")",IF(INDEX(evol_conc!$G:$G,$Q119)&lt;&gt;$E119,"INGRESO DISTINTO EN evol_conc ("&amp;IF(INDEX(evol_conc!$G:$G,$Q119)="","vacía",DAY(INDEX(evol_conc!$G:$G,$Q119))&amp;"/"&amp;MONTH(INDEX(evol_conc!$G:$G,$Q119))&amp;"/"&amp;YEAR(INDEX(evol_conc!$G:$G,$Q119)))&amp;")","OK"))))))))</f>
        <v>OK</v>
      </c>
      <c r="Q119">
        <f ca="1">IF($N119="","",IFERROR(MATCH($N119,evol_conc!$P:$P,0),0))</f>
        <v>28</v>
      </c>
    </row>
    <row r="120" spans="1:17" ht="18" hidden="1" customHeight="1" x14ac:dyDescent="0.25">
      <c r="A120" t="s">
        <v>624</v>
      </c>
      <c r="B120" t="s">
        <v>1127</v>
      </c>
      <c r="D120" t="s">
        <v>278</v>
      </c>
      <c r="E120" s="16">
        <v>45677</v>
      </c>
      <c r="F120" s="16">
        <v>45831</v>
      </c>
      <c r="G120" s="16" t="s">
        <v>1101</v>
      </c>
      <c r="H120" t="s">
        <v>1128</v>
      </c>
      <c r="I120" t="s">
        <v>1129</v>
      </c>
      <c r="J120" t="s">
        <v>1130</v>
      </c>
      <c r="K120" t="s">
        <v>592</v>
      </c>
      <c r="L120" s="53">
        <f t="shared" si="2"/>
        <v>5.1333333333333337</v>
      </c>
      <c r="M120" s="19">
        <f t="shared" si="3"/>
        <v>154</v>
      </c>
      <c r="N120" t="str">
        <f ca="1">IF(TRIM(SUBSTITUTE($B120,CHAR(160)," "))="","",IFERROR(IF(ISNUMBER(SEARCH("INC",$B120)),"INC",IF(ISNUMBER(SEARCH("OPI",$B120)),"OPI",IF(ISNUMBER(SEARCH("DP",$B120)),"DP","CONC")))&amp;" "&amp;TEXT(LOOKUP(9.99E+307,--MID(SUBSTITUTE($B120,CHAR(160)," "),SUMPRODUCT(MIN(FIND({0,1,2,3,4,5,6,7,8,9},SUBSTITUTE($B120,CHAR(160)," ")&amp;"0123456789"))),ROW(INDIRECT("1:6")))),"0"),"SIN NUMERO"))</f>
        <v>CONC 2017</v>
      </c>
      <c r="O120" t="str">
        <f ca="1">IF($N120="","",IF(LEFT(UPPER($P120),9)="VERIFICAR","VERIFICAR",IF(AND($H120&lt;&gt;"",COUNTIFS($N$2:$N$1000,$N120,$H$2:$H$1000,$H120)&gt;1),"DUPLICADA",IF(TRIM(IF($A120="","tipo ","")&amp;IF($F120="","fecha de firma ","")&amp;IF($G120="","decisión ","")&amp;IF($H120="","N° resolución ","")&amp;IF($I120="","N° dictamen",""))&lt;&gt;"","INCOMPLETA: "&amp;TRIM(IF($A120="","tipo ","")&amp;IF($F120="","fecha de firma ","")&amp;IF($G120="","decisión ","")&amp;IF($H120="","N° resolución ","")&amp;IF($I120="","N° dictamen","")),IF(LEFT($N120,4)&lt;&gt;"CONC","OK",IF(N($Q120)=0,IF(AND(ISNUMBER($E120),$E120&gt;=DATE(2024,1,1)),"FALTA EN evol_conc","OK"),IF(INDEX(evol_conc!$H:$H,$Q120)&lt;&gt;$F120,"FIRMA DISTINTA EN evol_conc ("&amp;IF(INDEX(evol_conc!$H:$H,$Q120)="","vacía",DAY(INDEX(evol_conc!$H:$H,$Q120))&amp;"/"&amp;MONTH(INDEX(evol_conc!$H:$H,$Q120))&amp;"/"&amp;YEAR(INDEX(evol_conc!$H:$H,$Q120)))&amp;")",IF(INDEX(evol_conc!$G:$G,$Q120)&lt;&gt;$E120,"INGRESO DISTINTO EN evol_conc ("&amp;IF(INDEX(evol_conc!$G:$G,$Q120)="","vacía",DAY(INDEX(evol_conc!$G:$G,$Q120))&amp;"/"&amp;MONTH(INDEX(evol_conc!$G:$G,$Q120))&amp;"/"&amp;YEAR(INDEX(evol_conc!$G:$G,$Q120)))&amp;")","OK"))))))))</f>
        <v>OK</v>
      </c>
      <c r="Q120">
        <f ca="1">IF($N120="","",IFERROR(MATCH($N120,evol_conc!$P:$P,0),0))</f>
        <v>94</v>
      </c>
    </row>
    <row r="121" spans="1:17" ht="18" hidden="1" customHeight="1" x14ac:dyDescent="0.25">
      <c r="A121" t="s">
        <v>624</v>
      </c>
      <c r="B121" t="s">
        <v>1131</v>
      </c>
      <c r="D121" t="s">
        <v>292</v>
      </c>
      <c r="E121" s="16">
        <v>45723</v>
      </c>
      <c r="F121" s="16">
        <v>45831</v>
      </c>
      <c r="G121" s="16" t="s">
        <v>1101</v>
      </c>
      <c r="H121" t="s">
        <v>1132</v>
      </c>
      <c r="I121" t="s">
        <v>1133</v>
      </c>
      <c r="J121" t="s">
        <v>1134</v>
      </c>
      <c r="K121" t="s">
        <v>581</v>
      </c>
      <c r="L121" s="53">
        <f t="shared" si="2"/>
        <v>3.6</v>
      </c>
      <c r="M121" s="19">
        <f t="shared" si="3"/>
        <v>108</v>
      </c>
      <c r="N121" t="str">
        <f ca="1">IF(TRIM(SUBSTITUTE($B121,CHAR(160)," "))="","",IFERROR(IF(ISNUMBER(SEARCH("INC",$B121)),"INC",IF(ISNUMBER(SEARCH("OPI",$B121)),"OPI",IF(ISNUMBER(SEARCH("DP",$B121)),"DP","CONC")))&amp;" "&amp;TEXT(LOOKUP(9.99E+307,--MID(SUBSTITUTE($B121,CHAR(160)," "),SUMPRODUCT(MIN(FIND({0,1,2,3,4,5,6,7,8,9},SUBSTITUTE($B121,CHAR(160)," ")&amp;"0123456789"))),ROW(INDIRECT("1:6")))),"0"),"SIN NUMERO"))</f>
        <v>CONC 2026</v>
      </c>
      <c r="O121" t="str">
        <f ca="1">IF($N121="","",IF(LEFT(UPPER($P121),9)="VERIFICAR","VERIFICAR",IF(AND($H121&lt;&gt;"",COUNTIFS($N$2:$N$1000,$N121,$H$2:$H$1000,$H121)&gt;1),"DUPLICADA",IF(TRIM(IF($A121="","tipo ","")&amp;IF($F121="","fecha de firma ","")&amp;IF($G121="","decisión ","")&amp;IF($H121="","N° resolución ","")&amp;IF($I121="","N° dictamen",""))&lt;&gt;"","INCOMPLETA: "&amp;TRIM(IF($A121="","tipo ","")&amp;IF($F121="","fecha de firma ","")&amp;IF($G121="","decisión ","")&amp;IF($H121="","N° resolución ","")&amp;IF($I121="","N° dictamen","")),IF(LEFT($N121,4)&lt;&gt;"CONC","OK",IF(N($Q121)=0,IF(AND(ISNUMBER($E121),$E121&gt;=DATE(2024,1,1)),"FALTA EN evol_conc","OK"),IF(INDEX(evol_conc!$H:$H,$Q121)&lt;&gt;$F121,"FIRMA DISTINTA EN evol_conc ("&amp;IF(INDEX(evol_conc!$H:$H,$Q121)="","vacía",DAY(INDEX(evol_conc!$H:$H,$Q121))&amp;"/"&amp;MONTH(INDEX(evol_conc!$H:$H,$Q121))&amp;"/"&amp;YEAR(INDEX(evol_conc!$H:$H,$Q121)))&amp;")",IF(INDEX(evol_conc!$G:$G,$Q121)&lt;&gt;$E121,"INGRESO DISTINTO EN evol_conc ("&amp;IF(INDEX(evol_conc!$G:$G,$Q121)="","vacía",DAY(INDEX(evol_conc!$G:$G,$Q121))&amp;"/"&amp;MONTH(INDEX(evol_conc!$G:$G,$Q121))&amp;"/"&amp;YEAR(INDEX(evol_conc!$G:$G,$Q121)))&amp;")","OK"))))))))</f>
        <v>OK</v>
      </c>
      <c r="Q121">
        <f ca="1">IF($N121="","",IFERROR(MATCH($N121,evol_conc!$P:$P,0),0))</f>
        <v>103</v>
      </c>
    </row>
    <row r="122" spans="1:17" ht="18" hidden="1" customHeight="1" x14ac:dyDescent="0.25">
      <c r="A122" t="s">
        <v>624</v>
      </c>
      <c r="B122" t="s">
        <v>1135</v>
      </c>
      <c r="D122" t="s">
        <v>277</v>
      </c>
      <c r="E122" s="16">
        <v>45677</v>
      </c>
      <c r="F122" s="16">
        <v>45840</v>
      </c>
      <c r="G122" s="16" t="s">
        <v>1101</v>
      </c>
      <c r="H122" t="s">
        <v>1136</v>
      </c>
      <c r="I122" t="s">
        <v>1137</v>
      </c>
      <c r="J122" t="s">
        <v>1130</v>
      </c>
      <c r="K122" t="s">
        <v>1138</v>
      </c>
      <c r="L122" s="53">
        <f t="shared" si="2"/>
        <v>5.4333333333333336</v>
      </c>
      <c r="M122" s="19">
        <f t="shared" si="3"/>
        <v>163</v>
      </c>
      <c r="N122" t="str">
        <f ca="1">IF(TRIM(SUBSTITUTE($B122,CHAR(160)," "))="","",IFERROR(IF(ISNUMBER(SEARCH("INC",$B122)),"INC",IF(ISNUMBER(SEARCH("OPI",$B122)),"OPI",IF(ISNUMBER(SEARCH("DP",$B122)),"DP","CONC")))&amp;" "&amp;TEXT(LOOKUP(9.99E+307,--MID(SUBSTITUTE($B122,CHAR(160)," "),SUMPRODUCT(MIN(FIND({0,1,2,3,4,5,6,7,8,9},SUBSTITUTE($B122,CHAR(160)," ")&amp;"0123456789"))),ROW(INDIRECT("1:6")))),"0"),"SIN NUMERO"))</f>
        <v>CONC 2016</v>
      </c>
      <c r="O122" t="str">
        <f ca="1">IF($N122="","",IF(LEFT(UPPER($P122),9)="VERIFICAR","VERIFICAR",IF(AND($H122&lt;&gt;"",COUNTIFS($N$2:$N$1000,$N122,$H$2:$H$1000,$H122)&gt;1),"DUPLICADA",IF(TRIM(IF($A122="","tipo ","")&amp;IF($F122="","fecha de firma ","")&amp;IF($G122="","decisión ","")&amp;IF($H122="","N° resolución ","")&amp;IF($I122="","N° dictamen",""))&lt;&gt;"","INCOMPLETA: "&amp;TRIM(IF($A122="","tipo ","")&amp;IF($F122="","fecha de firma ","")&amp;IF($G122="","decisión ","")&amp;IF($H122="","N° resolución ","")&amp;IF($I122="","N° dictamen","")),IF(LEFT($N122,4)&lt;&gt;"CONC","OK",IF(N($Q122)=0,IF(AND(ISNUMBER($E122),$E122&gt;=DATE(2024,1,1)),"FALTA EN evol_conc","OK"),IF(INDEX(evol_conc!$H:$H,$Q122)&lt;&gt;$F122,"FIRMA DISTINTA EN evol_conc ("&amp;IF(INDEX(evol_conc!$H:$H,$Q122)="","vacía",DAY(INDEX(evol_conc!$H:$H,$Q122))&amp;"/"&amp;MONTH(INDEX(evol_conc!$H:$H,$Q122))&amp;"/"&amp;YEAR(INDEX(evol_conc!$H:$H,$Q122)))&amp;")",IF(INDEX(evol_conc!$G:$G,$Q122)&lt;&gt;$E122,"INGRESO DISTINTO EN evol_conc ("&amp;IF(INDEX(evol_conc!$G:$G,$Q122)="","vacía",DAY(INDEX(evol_conc!$G:$G,$Q122))&amp;"/"&amp;MONTH(INDEX(evol_conc!$G:$G,$Q122))&amp;"/"&amp;YEAR(INDEX(evol_conc!$G:$G,$Q122)))&amp;")","OK"))))))))</f>
        <v>OK</v>
      </c>
      <c r="Q122">
        <f ca="1">IF($N122="","",IFERROR(MATCH($N122,evol_conc!$P:$P,0),0))</f>
        <v>93</v>
      </c>
    </row>
    <row r="123" spans="1:17" ht="18" hidden="1" customHeight="1" x14ac:dyDescent="0.25">
      <c r="A123" t="s">
        <v>547</v>
      </c>
      <c r="B123" t="s">
        <v>1139</v>
      </c>
      <c r="D123" s="22" t="s">
        <v>248</v>
      </c>
      <c r="E123" s="16">
        <v>45586</v>
      </c>
      <c r="F123" s="16">
        <v>45842</v>
      </c>
      <c r="G123" t="s">
        <v>1101</v>
      </c>
      <c r="H123" t="s">
        <v>1140</v>
      </c>
      <c r="I123" t="s">
        <v>1141</v>
      </c>
      <c r="J123" t="s">
        <v>1142</v>
      </c>
      <c r="K123" t="s">
        <v>554</v>
      </c>
      <c r="L123" s="53">
        <f t="shared" si="2"/>
        <v>8.5333333333333332</v>
      </c>
      <c r="M123" s="19">
        <f t="shared" si="3"/>
        <v>256</v>
      </c>
      <c r="N123" t="str">
        <f ca="1">IF(TRIM(SUBSTITUTE($B123,CHAR(160)," "))="","",IFERROR(IF(ISNUMBER(SEARCH("INC",$B123)),"INC",IF(ISNUMBER(SEARCH("OPI",$B123)),"OPI",IF(ISNUMBER(SEARCH("DP",$B123)),"DP","CONC")))&amp;" "&amp;TEXT(LOOKUP(9.99E+307,--MID(SUBSTITUTE($B123,CHAR(160)," "),SUMPRODUCT(MIN(FIND({0,1,2,3,4,5,6,7,8,9},SUBSTITUTE($B123,CHAR(160)," ")&amp;"0123456789"))),ROW(INDIRECT("1:6")))),"0"),"SIN NUMERO"))</f>
        <v>CONC 1998</v>
      </c>
      <c r="O123" t="str">
        <f ca="1">IF($N123="","",IF(LEFT(UPPER($P123),9)="VERIFICAR","VERIFICAR",IF(AND($H123&lt;&gt;"",COUNTIFS($N$2:$N$1000,$N123,$H$2:$H$1000,$H123)&gt;1),"DUPLICADA",IF(TRIM(IF($A123="","tipo ","")&amp;IF($F123="","fecha de firma ","")&amp;IF($G123="","decisión ","")&amp;IF($H123="","N° resolución ","")&amp;IF($I123="","N° dictamen",""))&lt;&gt;"","INCOMPLETA: "&amp;TRIM(IF($A123="","tipo ","")&amp;IF($F123="","fecha de firma ","")&amp;IF($G123="","decisión ","")&amp;IF($H123="","N° resolución ","")&amp;IF($I123="","N° dictamen","")),IF(LEFT($N123,4)&lt;&gt;"CONC","OK",IF(N($Q123)=0,IF(AND(ISNUMBER($E123),$E123&gt;=DATE(2024,1,1)),"FALTA EN evol_conc","OK"),IF(INDEX(evol_conc!$H:$H,$Q123)&lt;&gt;$F123,"FIRMA DISTINTA EN evol_conc ("&amp;IF(INDEX(evol_conc!$H:$H,$Q123)="","vacía",DAY(INDEX(evol_conc!$H:$H,$Q123))&amp;"/"&amp;MONTH(INDEX(evol_conc!$H:$H,$Q123))&amp;"/"&amp;YEAR(INDEX(evol_conc!$H:$H,$Q123)))&amp;")",IF(INDEX(evol_conc!$G:$G,$Q123)&lt;&gt;$E123,"INGRESO DISTINTO EN evol_conc ("&amp;IF(INDEX(evol_conc!$G:$G,$Q123)="","vacía",DAY(INDEX(evol_conc!$G:$G,$Q123))&amp;"/"&amp;MONTH(INDEX(evol_conc!$G:$G,$Q123))&amp;"/"&amp;YEAR(INDEX(evol_conc!$G:$G,$Q123)))&amp;")","OK"))))))))</f>
        <v>OK</v>
      </c>
      <c r="Q123">
        <f ca="1">IF($N123="","",IFERROR(MATCH($N123,evol_conc!$P:$P,0),0))</f>
        <v>75</v>
      </c>
    </row>
    <row r="124" spans="1:17" ht="18" hidden="1" customHeight="1" x14ac:dyDescent="0.25">
      <c r="A124" t="s">
        <v>547</v>
      </c>
      <c r="B124" t="s">
        <v>1143</v>
      </c>
      <c r="D124" s="22" t="s">
        <v>1144</v>
      </c>
      <c r="E124" s="16">
        <v>45589</v>
      </c>
      <c r="F124" s="16">
        <v>45845</v>
      </c>
      <c r="G124" t="s">
        <v>1101</v>
      </c>
      <c r="H124" t="s">
        <v>1145</v>
      </c>
      <c r="I124" t="s">
        <v>1146</v>
      </c>
      <c r="J124" t="s">
        <v>1147</v>
      </c>
      <c r="K124" t="s">
        <v>581</v>
      </c>
      <c r="L124" s="53">
        <f t="shared" si="2"/>
        <v>8.5333333333333332</v>
      </c>
      <c r="M124" s="19">
        <f t="shared" si="3"/>
        <v>256</v>
      </c>
      <c r="N124" t="str">
        <f ca="1">IF(TRIM(SUBSTITUTE($B124,CHAR(160)," "))="","",IFERROR(IF(ISNUMBER(SEARCH("INC",$B124)),"INC",IF(ISNUMBER(SEARCH("OPI",$B124)),"OPI",IF(ISNUMBER(SEARCH("DP",$B124)),"DP","CONC")))&amp;" "&amp;TEXT(LOOKUP(9.99E+307,--MID(SUBSTITUTE($B124,CHAR(160)," "),SUMPRODUCT(MIN(FIND({0,1,2,3,4,5,6,7,8,9},SUBSTITUTE($B124,CHAR(160)," ")&amp;"0123456789"))),ROW(INDIRECT("1:6")))),"0"),"SIN NUMERO"))</f>
        <v>CONC 1999</v>
      </c>
      <c r="O124" t="str">
        <f ca="1">IF($N124="","",IF(LEFT(UPPER($P124),9)="VERIFICAR","VERIFICAR",IF(AND($H124&lt;&gt;"",COUNTIFS($N$2:$N$1000,$N124,$H$2:$H$1000,$H124)&gt;1),"DUPLICADA",IF(TRIM(IF($A124="","tipo ","")&amp;IF($F124="","fecha de firma ","")&amp;IF($G124="","decisión ","")&amp;IF($H124="","N° resolución ","")&amp;IF($I124="","N° dictamen",""))&lt;&gt;"","INCOMPLETA: "&amp;TRIM(IF($A124="","tipo ","")&amp;IF($F124="","fecha de firma ","")&amp;IF($G124="","decisión ","")&amp;IF($H124="","N° resolución ","")&amp;IF($I124="","N° dictamen","")),IF(LEFT($N124,4)&lt;&gt;"CONC","OK",IF(N($Q124)=0,IF(AND(ISNUMBER($E124),$E124&gt;=DATE(2024,1,1)),"FALTA EN evol_conc","OK"),IF(INDEX(evol_conc!$H:$H,$Q124)&lt;&gt;$F124,"FIRMA DISTINTA EN evol_conc ("&amp;IF(INDEX(evol_conc!$H:$H,$Q124)="","vacía",DAY(INDEX(evol_conc!$H:$H,$Q124))&amp;"/"&amp;MONTH(INDEX(evol_conc!$H:$H,$Q124))&amp;"/"&amp;YEAR(INDEX(evol_conc!$H:$H,$Q124)))&amp;")",IF(INDEX(evol_conc!$G:$G,$Q124)&lt;&gt;$E124,"INGRESO DISTINTO EN evol_conc ("&amp;IF(INDEX(evol_conc!$G:$G,$Q124)="","vacía",DAY(INDEX(evol_conc!$G:$G,$Q124))&amp;"/"&amp;MONTH(INDEX(evol_conc!$G:$G,$Q124))&amp;"/"&amp;YEAR(INDEX(evol_conc!$G:$G,$Q124)))&amp;")","OK"))))))))</f>
        <v>OK</v>
      </c>
      <c r="Q124">
        <f ca="1">IF($N124="","",IFERROR(MATCH($N124,evol_conc!$P:$P,0),0))</f>
        <v>76</v>
      </c>
    </row>
    <row r="125" spans="1:17" ht="18" hidden="1" customHeight="1" x14ac:dyDescent="0.25">
      <c r="A125" t="s">
        <v>624</v>
      </c>
      <c r="B125" t="s">
        <v>1148</v>
      </c>
      <c r="D125" t="s">
        <v>294</v>
      </c>
      <c r="E125" s="16">
        <v>45742</v>
      </c>
      <c r="F125" s="16">
        <v>45852</v>
      </c>
      <c r="G125" s="16" t="s">
        <v>1149</v>
      </c>
      <c r="H125" t="s">
        <v>1150</v>
      </c>
      <c r="I125" t="s">
        <v>1151</v>
      </c>
      <c r="J125" t="s">
        <v>1152</v>
      </c>
      <c r="K125" t="s">
        <v>1138</v>
      </c>
      <c r="L125" s="53">
        <f t="shared" si="2"/>
        <v>3.6666666666666665</v>
      </c>
      <c r="M125" s="19">
        <f t="shared" si="3"/>
        <v>110</v>
      </c>
      <c r="N125" t="str">
        <f ca="1">IF(TRIM(SUBSTITUTE($B125,CHAR(160)," "))="","",IFERROR(IF(ISNUMBER(SEARCH("INC",$B125)),"INC",IF(ISNUMBER(SEARCH("OPI",$B125)),"OPI",IF(ISNUMBER(SEARCH("DP",$B125)),"DP","CONC")))&amp;" "&amp;TEXT(LOOKUP(9.99E+307,--MID(SUBSTITUTE($B125,CHAR(160)," "),SUMPRODUCT(MIN(FIND({0,1,2,3,4,5,6,7,8,9},SUBSTITUTE($B125,CHAR(160)," ")&amp;"0123456789"))),ROW(INDIRECT("1:6")))),"0"),"SIN NUMERO"))</f>
        <v>CONC 2028</v>
      </c>
      <c r="O125" t="str">
        <f ca="1">IF($N125="","",IF(LEFT(UPPER($P125),9)="VERIFICAR","VERIFICAR",IF(AND($H125&lt;&gt;"",COUNTIFS($N$2:$N$1000,$N125,$H$2:$H$1000,$H125)&gt;1),"DUPLICADA",IF(TRIM(IF($A125="","tipo ","")&amp;IF($F125="","fecha de firma ","")&amp;IF($G125="","decisión ","")&amp;IF($H125="","N° resolución ","")&amp;IF($I125="","N° dictamen",""))&lt;&gt;"","INCOMPLETA: "&amp;TRIM(IF($A125="","tipo ","")&amp;IF($F125="","fecha de firma ","")&amp;IF($G125="","decisión ","")&amp;IF($H125="","N° resolución ","")&amp;IF($I125="","N° dictamen","")),IF(LEFT($N125,4)&lt;&gt;"CONC","OK",IF(N($Q125)=0,IF(AND(ISNUMBER($E125),$E125&gt;=DATE(2024,1,1)),"FALTA EN evol_conc","OK"),IF(INDEX(evol_conc!$H:$H,$Q125)&lt;&gt;$F125,"FIRMA DISTINTA EN evol_conc ("&amp;IF(INDEX(evol_conc!$H:$H,$Q125)="","vacía",DAY(INDEX(evol_conc!$H:$H,$Q125))&amp;"/"&amp;MONTH(INDEX(evol_conc!$H:$H,$Q125))&amp;"/"&amp;YEAR(INDEX(evol_conc!$H:$H,$Q125)))&amp;")",IF(INDEX(evol_conc!$G:$G,$Q125)&lt;&gt;$E125,"INGRESO DISTINTO EN evol_conc ("&amp;IF(INDEX(evol_conc!$G:$G,$Q125)="","vacía",DAY(INDEX(evol_conc!$G:$G,$Q125))&amp;"/"&amp;MONTH(INDEX(evol_conc!$G:$G,$Q125))&amp;"/"&amp;YEAR(INDEX(evol_conc!$G:$G,$Q125)))&amp;")","OK"))))))))</f>
        <v>OK</v>
      </c>
      <c r="Q125">
        <f ca="1">IF($N125="","",IFERROR(MATCH($N125,evol_conc!$P:$P,0),0))</f>
        <v>105</v>
      </c>
    </row>
    <row r="126" spans="1:17" ht="18" hidden="1" customHeight="1" x14ac:dyDescent="0.25">
      <c r="A126" t="s">
        <v>624</v>
      </c>
      <c r="B126" t="s">
        <v>1153</v>
      </c>
      <c r="D126" t="s">
        <v>271</v>
      </c>
      <c r="E126" s="16">
        <v>45652</v>
      </c>
      <c r="F126" s="16">
        <v>45854</v>
      </c>
      <c r="G126" s="16" t="s">
        <v>1101</v>
      </c>
      <c r="H126" t="s">
        <v>1154</v>
      </c>
      <c r="I126" t="s">
        <v>1155</v>
      </c>
      <c r="J126" t="s">
        <v>1156</v>
      </c>
      <c r="K126" t="s">
        <v>581</v>
      </c>
      <c r="L126" s="53">
        <f t="shared" si="2"/>
        <v>6.7333333333333334</v>
      </c>
      <c r="M126" s="19">
        <f t="shared" si="3"/>
        <v>202</v>
      </c>
      <c r="N126" t="str">
        <f ca="1">IF(TRIM(SUBSTITUTE($B126,CHAR(160)," "))="","",IFERROR(IF(ISNUMBER(SEARCH("INC",$B126)),"INC",IF(ISNUMBER(SEARCH("OPI",$B126)),"OPI",IF(ISNUMBER(SEARCH("DP",$B126)),"DP","CONC")))&amp;" "&amp;TEXT(LOOKUP(9.99E+307,--MID(SUBSTITUTE($B126,CHAR(160)," "),SUMPRODUCT(MIN(FIND({0,1,2,3,4,5,6,7,8,9},SUBSTITUTE($B126,CHAR(160)," ")&amp;"0123456789"))),ROW(INDIRECT("1:6")))),"0"),"SIN NUMERO"))</f>
        <v>CONC 2013</v>
      </c>
      <c r="O126" t="str">
        <f ca="1">IF($N126="","",IF(LEFT(UPPER($P126),9)="VERIFICAR","VERIFICAR",IF(AND($H126&lt;&gt;"",COUNTIFS($N$2:$N$1000,$N126,$H$2:$H$1000,$H126)&gt;1),"DUPLICADA",IF(TRIM(IF($A126="","tipo ","")&amp;IF($F126="","fecha de firma ","")&amp;IF($G126="","decisión ","")&amp;IF($H126="","N° resolución ","")&amp;IF($I126="","N° dictamen",""))&lt;&gt;"","INCOMPLETA: "&amp;TRIM(IF($A126="","tipo ","")&amp;IF($F126="","fecha de firma ","")&amp;IF($G126="","decisión ","")&amp;IF($H126="","N° resolución ","")&amp;IF($I126="","N° dictamen","")),IF(LEFT($N126,4)&lt;&gt;"CONC","OK",IF(N($Q126)=0,IF(AND(ISNUMBER($E126),$E126&gt;=DATE(2024,1,1)),"FALTA EN evol_conc","OK"),IF(INDEX(evol_conc!$H:$H,$Q126)&lt;&gt;$F126,"FIRMA DISTINTA EN evol_conc ("&amp;IF(INDEX(evol_conc!$H:$H,$Q126)="","vacía",DAY(INDEX(evol_conc!$H:$H,$Q126))&amp;"/"&amp;MONTH(INDEX(evol_conc!$H:$H,$Q126))&amp;"/"&amp;YEAR(INDEX(evol_conc!$H:$H,$Q126)))&amp;")",IF(INDEX(evol_conc!$G:$G,$Q126)&lt;&gt;$E126,"INGRESO DISTINTO EN evol_conc ("&amp;IF(INDEX(evol_conc!$G:$G,$Q126)="","vacía",DAY(INDEX(evol_conc!$G:$G,$Q126))&amp;"/"&amp;MONTH(INDEX(evol_conc!$G:$G,$Q126))&amp;"/"&amp;YEAR(INDEX(evol_conc!$G:$G,$Q126)))&amp;")","OK"))))))))</f>
        <v>OK</v>
      </c>
      <c r="Q126">
        <f ca="1">IF($N126="","",IFERROR(MATCH($N126,evol_conc!$P:$P,0),0))</f>
        <v>90</v>
      </c>
    </row>
    <row r="127" spans="1:17" ht="18" hidden="1" customHeight="1" x14ac:dyDescent="0.25">
      <c r="A127" t="s">
        <v>1089</v>
      </c>
      <c r="B127" t="s">
        <v>1157</v>
      </c>
      <c r="D127" t="s">
        <v>1158</v>
      </c>
      <c r="E127" s="16">
        <v>45728</v>
      </c>
      <c r="F127" s="16">
        <v>45860</v>
      </c>
      <c r="G127" t="s">
        <v>1159</v>
      </c>
      <c r="H127" t="s">
        <v>1160</v>
      </c>
      <c r="I127" t="s">
        <v>1161</v>
      </c>
      <c r="L127" s="53">
        <f t="shared" si="2"/>
        <v>4.4000000000000004</v>
      </c>
      <c r="M127" s="19">
        <f t="shared" si="3"/>
        <v>132</v>
      </c>
      <c r="N127" t="str">
        <f ca="1">IF(TRIM(SUBSTITUTE($B127,CHAR(160)," "))="","",IFERROR(IF(ISNUMBER(SEARCH("INC",$B127)),"INC",IF(ISNUMBER(SEARCH("OPI",$B127)),"OPI",IF(ISNUMBER(SEARCH("DP",$B127)),"DP","CONC")))&amp;" "&amp;TEXT(LOOKUP(9.99E+307,--MID(SUBSTITUTE($B127,CHAR(160)," "),SUMPRODUCT(MIN(FIND({0,1,2,3,4,5,6,7,8,9},SUBSTITUTE($B127,CHAR(160)," ")&amp;"0123456789"))),ROW(INDIRECT("1:6")))),"0"),"SIN NUMERO"))</f>
        <v>OPI 372</v>
      </c>
      <c r="O127" t="str">
        <f ca="1">IF($N127="","",IF(LEFT(UPPER($P127),9)="VERIFICAR","VERIFICAR",IF(AND($H127&lt;&gt;"",COUNTIFS($N$2:$N$1000,$N127,$H$2:$H$1000,$H127)&gt;1),"DUPLICADA",IF(TRIM(IF($A127="","tipo ","")&amp;IF($F127="","fecha de firma ","")&amp;IF($G127="","decisión ","")&amp;IF($H127="","N° resolución ","")&amp;IF($I127="","N° dictamen",""))&lt;&gt;"","INCOMPLETA: "&amp;TRIM(IF($A127="","tipo ","")&amp;IF($F127="","fecha de firma ","")&amp;IF($G127="","decisión ","")&amp;IF($H127="","N° resolución ","")&amp;IF($I127="","N° dictamen","")),IF(LEFT($N127,4)&lt;&gt;"CONC","OK",IF(N($Q127)=0,IF(AND(ISNUMBER($E127),$E127&gt;=DATE(2024,1,1)),"FALTA EN evol_conc","OK"),IF(INDEX(evol_conc!$H:$H,$Q127)&lt;&gt;$F127,"FIRMA DISTINTA EN evol_conc ("&amp;IF(INDEX(evol_conc!$H:$H,$Q127)="","vacía",DAY(INDEX(evol_conc!$H:$H,$Q127))&amp;"/"&amp;MONTH(INDEX(evol_conc!$H:$H,$Q127))&amp;"/"&amp;YEAR(INDEX(evol_conc!$H:$H,$Q127)))&amp;")",IF(INDEX(evol_conc!$G:$G,$Q127)&lt;&gt;$E127,"INGRESO DISTINTO EN evol_conc ("&amp;IF(INDEX(evol_conc!$G:$G,$Q127)="","vacía",DAY(INDEX(evol_conc!$G:$G,$Q127))&amp;"/"&amp;MONTH(INDEX(evol_conc!$G:$G,$Q127))&amp;"/"&amp;YEAR(INDEX(evol_conc!$G:$G,$Q127)))&amp;")","OK"))))))))</f>
        <v>OK</v>
      </c>
      <c r="Q127">
        <f ca="1">IF($N127="","",IFERROR(MATCH($N127,evol_conc!$P:$P,0),0))</f>
        <v>0</v>
      </c>
    </row>
    <row r="128" spans="1:17" ht="18" hidden="1" customHeight="1" x14ac:dyDescent="0.25">
      <c r="A128" t="s">
        <v>547</v>
      </c>
      <c r="B128" t="s">
        <v>1162</v>
      </c>
      <c r="D128" s="22" t="s">
        <v>269</v>
      </c>
      <c r="E128" s="16">
        <v>45646</v>
      </c>
      <c r="F128" s="16">
        <v>45862</v>
      </c>
      <c r="G128" t="s">
        <v>1101</v>
      </c>
      <c r="H128" t="s">
        <v>1163</v>
      </c>
      <c r="I128" t="s">
        <v>1164</v>
      </c>
      <c r="J128" t="s">
        <v>1165</v>
      </c>
      <c r="K128" t="s">
        <v>560</v>
      </c>
      <c r="L128" s="53">
        <f t="shared" si="2"/>
        <v>7.2</v>
      </c>
      <c r="M128" s="19">
        <f t="shared" si="3"/>
        <v>216</v>
      </c>
      <c r="N128" t="str">
        <f ca="1">IF(TRIM(SUBSTITUTE($B128,CHAR(160)," "))="","",IFERROR(IF(ISNUMBER(SEARCH("INC",$B128)),"INC",IF(ISNUMBER(SEARCH("OPI",$B128)),"OPI",IF(ISNUMBER(SEARCH("DP",$B128)),"DP","CONC")))&amp;" "&amp;TEXT(LOOKUP(9.99E+307,--MID(SUBSTITUTE($B128,CHAR(160)," "),SUMPRODUCT(MIN(FIND({0,1,2,3,4,5,6,7,8,9},SUBSTITUTE($B128,CHAR(160)," ")&amp;"0123456789"))),ROW(INDIRECT("1:6")))),"0"),"SIN NUMERO"))</f>
        <v>CONC 2011</v>
      </c>
      <c r="O128" t="str">
        <f ca="1">IF($N128="","",IF(LEFT(UPPER($P128),9)="VERIFICAR","VERIFICAR",IF(AND($H128&lt;&gt;"",COUNTIFS($N$2:$N$1000,$N128,$H$2:$H$1000,$H128)&gt;1),"DUPLICADA",IF(TRIM(IF($A128="","tipo ","")&amp;IF($F128="","fecha de firma ","")&amp;IF($G128="","decisión ","")&amp;IF($H128="","N° resolución ","")&amp;IF($I128="","N° dictamen",""))&lt;&gt;"","INCOMPLETA: "&amp;TRIM(IF($A128="","tipo ","")&amp;IF($F128="","fecha de firma ","")&amp;IF($G128="","decisión ","")&amp;IF($H128="","N° resolución ","")&amp;IF($I128="","N° dictamen","")),IF(LEFT($N128,4)&lt;&gt;"CONC","OK",IF(N($Q128)=0,IF(AND(ISNUMBER($E128),$E128&gt;=DATE(2024,1,1)),"FALTA EN evol_conc","OK"),IF(INDEX(evol_conc!$H:$H,$Q128)&lt;&gt;$F128,"FIRMA DISTINTA EN evol_conc ("&amp;IF(INDEX(evol_conc!$H:$H,$Q128)="","vacía",DAY(INDEX(evol_conc!$H:$H,$Q128))&amp;"/"&amp;MONTH(INDEX(evol_conc!$H:$H,$Q128))&amp;"/"&amp;YEAR(INDEX(evol_conc!$H:$H,$Q128)))&amp;")",IF(INDEX(evol_conc!$G:$G,$Q128)&lt;&gt;$E128,"INGRESO DISTINTO EN evol_conc ("&amp;IF(INDEX(evol_conc!$G:$G,$Q128)="","vacía",DAY(INDEX(evol_conc!$G:$G,$Q128))&amp;"/"&amp;MONTH(INDEX(evol_conc!$G:$G,$Q128))&amp;"/"&amp;YEAR(INDEX(evol_conc!$G:$G,$Q128)))&amp;")","OK"))))))))</f>
        <v>OK</v>
      </c>
      <c r="Q128">
        <f ca="1">IF($N128="","",IFERROR(MATCH($N128,evol_conc!$P:$P,0),0))</f>
        <v>88</v>
      </c>
    </row>
    <row r="129" spans="1:17" ht="18" hidden="1" customHeight="1" x14ac:dyDescent="0.25">
      <c r="B129" t="s">
        <v>1166</v>
      </c>
      <c r="D129" t="s">
        <v>222</v>
      </c>
      <c r="E129" s="16">
        <v>45455</v>
      </c>
      <c r="F129" s="16">
        <v>45864</v>
      </c>
      <c r="L129" s="53">
        <f t="shared" si="2"/>
        <v>13.633333333333333</v>
      </c>
      <c r="M129" s="19">
        <f t="shared" si="3"/>
        <v>409</v>
      </c>
      <c r="N129" t="str">
        <f ca="1">IF(TRIM(SUBSTITUTE($B129,CHAR(160)," "))="","",IFERROR(IF(ISNUMBER(SEARCH("INC",$B129)),"INC",IF(ISNUMBER(SEARCH("OPI",$B129)),"OPI",IF(ISNUMBER(SEARCH("DP",$B129)),"DP","CONC")))&amp;" "&amp;TEXT(LOOKUP(9.99E+307,--MID(SUBSTITUTE($B129,CHAR(160)," "),SUMPRODUCT(MIN(FIND({0,1,2,3,4,5,6,7,8,9},SUBSTITUTE($B129,CHAR(160)," ")&amp;"0123456789"))),ROW(INDIRECT("1:6")))),"0"),"SIN NUMERO"))</f>
        <v>CONC 1981</v>
      </c>
      <c r="O129" t="str">
        <f ca="1">IF($N129="","",IF(LEFT(UPPER($P129),9)="VERIFICAR","VERIFICAR",IF(AND($H129&lt;&gt;"",COUNTIFS($N$2:$N$1000,$N129,$H$2:$H$1000,$H129)&gt;1),"DUPLICADA",IF(TRIM(IF($A129="","tipo ","")&amp;IF($F129="","fecha de firma ","")&amp;IF($G129="","decisión ","")&amp;IF($H129="","N° resolución ","")&amp;IF($I129="","N° dictamen",""))&lt;&gt;"","INCOMPLETA: "&amp;TRIM(IF($A129="","tipo ","")&amp;IF($F129="","fecha de firma ","")&amp;IF($G129="","decisión ","")&amp;IF($H129="","N° resolución ","")&amp;IF($I129="","N° dictamen","")),IF(LEFT($N129,4)&lt;&gt;"CONC","OK",IF(N($Q129)=0,IF(AND(ISNUMBER($E129),$E129&gt;=DATE(2024,1,1)),"FALTA EN evol_conc","OK"),IF(INDEX(evol_conc!$H:$H,$Q129)&lt;&gt;$F129,"FIRMA DISTINTA EN evol_conc ("&amp;IF(INDEX(evol_conc!$H:$H,$Q129)="","vacía",DAY(INDEX(evol_conc!$H:$H,$Q129))&amp;"/"&amp;MONTH(INDEX(evol_conc!$H:$H,$Q129))&amp;"/"&amp;YEAR(INDEX(evol_conc!$H:$H,$Q129)))&amp;")",IF(INDEX(evol_conc!$G:$G,$Q129)&lt;&gt;$E129,"INGRESO DISTINTO EN evol_conc ("&amp;IF(INDEX(evol_conc!$G:$G,$Q129)="","vacía",DAY(INDEX(evol_conc!$G:$G,$Q129))&amp;"/"&amp;MONTH(INDEX(evol_conc!$G:$G,$Q129))&amp;"/"&amp;YEAR(INDEX(evol_conc!$G:$G,$Q129)))&amp;")","OK"))))))))</f>
        <v>VERIFICAR</v>
      </c>
      <c r="P129" t="s">
        <v>223</v>
      </c>
      <c r="Q129">
        <f ca="1">IF($N129="","",IFERROR(MATCH($N129,evol_conc!$P:$P,0),0))</f>
        <v>57</v>
      </c>
    </row>
    <row r="130" spans="1:17" ht="18" hidden="1" customHeight="1" x14ac:dyDescent="0.25">
      <c r="A130" t="s">
        <v>624</v>
      </c>
      <c r="B130" t="s">
        <v>1167</v>
      </c>
      <c r="D130" t="s">
        <v>303</v>
      </c>
      <c r="E130" s="16">
        <v>45784</v>
      </c>
      <c r="F130" s="16">
        <v>45867</v>
      </c>
      <c r="G130" s="16" t="s">
        <v>1101</v>
      </c>
      <c r="H130" t="s">
        <v>1168</v>
      </c>
      <c r="I130" t="s">
        <v>1169</v>
      </c>
      <c r="J130" t="s">
        <v>1170</v>
      </c>
      <c r="K130" t="s">
        <v>1138</v>
      </c>
      <c r="L130" s="53">
        <f t="shared" ref="L130:L193" si="4">IF(OR($E130="",$F130=""),"",($F130-$E130)/30)</f>
        <v>2.7666666666666666</v>
      </c>
      <c r="M130" s="19">
        <f t="shared" ref="M130:M193" si="5">IF(OR($E130="",$F130=""),"",$F130-$E130)</f>
        <v>83</v>
      </c>
      <c r="N130" t="str">
        <f ca="1">IF(TRIM(SUBSTITUTE($B130,CHAR(160)," "))="","",IFERROR(IF(ISNUMBER(SEARCH("INC",$B130)),"INC",IF(ISNUMBER(SEARCH("OPI",$B130)),"OPI",IF(ISNUMBER(SEARCH("DP",$B130)),"DP","CONC")))&amp;" "&amp;TEXT(LOOKUP(9.99E+307,--MID(SUBSTITUTE($B130,CHAR(160)," "),SUMPRODUCT(MIN(FIND({0,1,2,3,4,5,6,7,8,9},SUBSTITUTE($B130,CHAR(160)," ")&amp;"0123456789"))),ROW(INDIRECT("1:6")))),"0"),"SIN NUMERO"))</f>
        <v>CONC 2034</v>
      </c>
      <c r="O130" t="str">
        <f ca="1">IF($N130="","",IF(LEFT(UPPER($P130),9)="VERIFICAR","VERIFICAR",IF(AND($H130&lt;&gt;"",COUNTIFS($N$2:$N$1000,$N130,$H$2:$H$1000,$H130)&gt;1),"DUPLICADA",IF(TRIM(IF($A130="","tipo ","")&amp;IF($F130="","fecha de firma ","")&amp;IF($G130="","decisión ","")&amp;IF($H130="","N° resolución ","")&amp;IF($I130="","N° dictamen",""))&lt;&gt;"","INCOMPLETA: "&amp;TRIM(IF($A130="","tipo ","")&amp;IF($F130="","fecha de firma ","")&amp;IF($G130="","decisión ","")&amp;IF($H130="","N° resolución ","")&amp;IF($I130="","N° dictamen","")),IF(LEFT($N130,4)&lt;&gt;"CONC","OK",IF(N($Q130)=0,IF(AND(ISNUMBER($E130),$E130&gt;=DATE(2024,1,1)),"FALTA EN evol_conc","OK"),IF(INDEX(evol_conc!$H:$H,$Q130)&lt;&gt;$F130,"FIRMA DISTINTA EN evol_conc ("&amp;IF(INDEX(evol_conc!$H:$H,$Q130)="","vacía",DAY(INDEX(evol_conc!$H:$H,$Q130))&amp;"/"&amp;MONTH(INDEX(evol_conc!$H:$H,$Q130))&amp;"/"&amp;YEAR(INDEX(evol_conc!$H:$H,$Q130)))&amp;")",IF(INDEX(evol_conc!$G:$G,$Q130)&lt;&gt;$E130,"INGRESO DISTINTO EN evol_conc ("&amp;IF(INDEX(evol_conc!$G:$G,$Q130)="","vacía",DAY(INDEX(evol_conc!$G:$G,$Q130))&amp;"/"&amp;MONTH(INDEX(evol_conc!$G:$G,$Q130))&amp;"/"&amp;YEAR(INDEX(evol_conc!$G:$G,$Q130)))&amp;")","OK"))))))))</f>
        <v>OK</v>
      </c>
      <c r="Q130">
        <f ca="1">IF($N130="","",IFERROR(MATCH($N130,evol_conc!$P:$P,0),0))</f>
        <v>112</v>
      </c>
    </row>
    <row r="131" spans="1:17" ht="18" hidden="1" customHeight="1" x14ac:dyDescent="0.25">
      <c r="A131" t="s">
        <v>624</v>
      </c>
      <c r="B131" t="s">
        <v>1171</v>
      </c>
      <c r="D131" t="s">
        <v>241</v>
      </c>
      <c r="E131" s="16">
        <v>45559</v>
      </c>
      <c r="F131" s="16">
        <v>45870</v>
      </c>
      <c r="G131" s="16" t="s">
        <v>1101</v>
      </c>
      <c r="H131" t="s">
        <v>1172</v>
      </c>
      <c r="I131" t="s">
        <v>1173</v>
      </c>
      <c r="J131" t="s">
        <v>1174</v>
      </c>
      <c r="K131" t="s">
        <v>592</v>
      </c>
      <c r="L131" s="53">
        <f t="shared" si="4"/>
        <v>10.366666666666667</v>
      </c>
      <c r="M131" s="19">
        <f t="shared" si="5"/>
        <v>311</v>
      </c>
      <c r="N131" t="str">
        <f ca="1">IF(TRIM(SUBSTITUTE($B131,CHAR(160)," "))="","",IFERROR(IF(ISNUMBER(SEARCH("INC",$B131)),"INC",IF(ISNUMBER(SEARCH("OPI",$B131)),"OPI",IF(ISNUMBER(SEARCH("DP",$B131)),"DP","CONC")))&amp;" "&amp;TEXT(LOOKUP(9.99E+307,--MID(SUBSTITUTE($B131,CHAR(160)," "),SUMPRODUCT(MIN(FIND({0,1,2,3,4,5,6,7,8,9},SUBSTITUTE($B131,CHAR(160)," ")&amp;"0123456789"))),ROW(INDIRECT("1:6")))),"0"),"SIN NUMERO"))</f>
        <v>CONC 1995</v>
      </c>
      <c r="O131" t="str">
        <f ca="1">IF($N131="","",IF(LEFT(UPPER($P131),9)="VERIFICAR","VERIFICAR",IF(AND($H131&lt;&gt;"",COUNTIFS($N$2:$N$1000,$N131,$H$2:$H$1000,$H131)&gt;1),"DUPLICADA",IF(TRIM(IF($A131="","tipo ","")&amp;IF($F131="","fecha de firma ","")&amp;IF($G131="","decisión ","")&amp;IF($H131="","N° resolución ","")&amp;IF($I131="","N° dictamen",""))&lt;&gt;"","INCOMPLETA: "&amp;TRIM(IF($A131="","tipo ","")&amp;IF($F131="","fecha de firma ","")&amp;IF($G131="","decisión ","")&amp;IF($H131="","N° resolución ","")&amp;IF($I131="","N° dictamen","")),IF(LEFT($N131,4)&lt;&gt;"CONC","OK",IF(N($Q131)=0,IF(AND(ISNUMBER($E131),$E131&gt;=DATE(2024,1,1)),"FALTA EN evol_conc","OK"),IF(INDEX(evol_conc!$H:$H,$Q131)&lt;&gt;$F131,"FIRMA DISTINTA EN evol_conc ("&amp;IF(INDEX(evol_conc!$H:$H,$Q131)="","vacía",DAY(INDEX(evol_conc!$H:$H,$Q131))&amp;"/"&amp;MONTH(INDEX(evol_conc!$H:$H,$Q131))&amp;"/"&amp;YEAR(INDEX(evol_conc!$H:$H,$Q131)))&amp;")",IF(INDEX(evol_conc!$G:$G,$Q131)&lt;&gt;$E131,"INGRESO DISTINTO EN evol_conc ("&amp;IF(INDEX(evol_conc!$G:$G,$Q131)="","vacía",DAY(INDEX(evol_conc!$G:$G,$Q131))&amp;"/"&amp;MONTH(INDEX(evol_conc!$G:$G,$Q131))&amp;"/"&amp;YEAR(INDEX(evol_conc!$G:$G,$Q131)))&amp;")","OK"))))))))</f>
        <v>OK</v>
      </c>
      <c r="Q131">
        <f ca="1">IF($N131="","",IFERROR(MATCH($N131,evol_conc!$P:$P,0),0))</f>
        <v>71</v>
      </c>
    </row>
    <row r="132" spans="1:17" ht="18" hidden="1" customHeight="1" x14ac:dyDescent="0.25">
      <c r="A132" t="s">
        <v>624</v>
      </c>
      <c r="B132" t="s">
        <v>1175</v>
      </c>
      <c r="D132" t="s">
        <v>305</v>
      </c>
      <c r="E132" s="16">
        <v>45807</v>
      </c>
      <c r="F132" s="16">
        <v>45876</v>
      </c>
      <c r="G132" s="16" t="s">
        <v>1101</v>
      </c>
      <c r="H132" t="s">
        <v>1176</v>
      </c>
      <c r="I132" t="s">
        <v>1177</v>
      </c>
      <c r="J132" t="s">
        <v>1178</v>
      </c>
      <c r="K132" t="s">
        <v>581</v>
      </c>
      <c r="L132" s="53">
        <f t="shared" si="4"/>
        <v>2.2999999999999998</v>
      </c>
      <c r="M132" s="19">
        <f t="shared" si="5"/>
        <v>69</v>
      </c>
      <c r="N132" t="str">
        <f ca="1">IF(TRIM(SUBSTITUTE($B132,CHAR(160)," "))="","",IFERROR(IF(ISNUMBER(SEARCH("INC",$B132)),"INC",IF(ISNUMBER(SEARCH("OPI",$B132)),"OPI",IF(ISNUMBER(SEARCH("DP",$B132)),"DP","CONC")))&amp;" "&amp;TEXT(LOOKUP(9.99E+307,--MID(SUBSTITUTE($B132,CHAR(160)," "),SUMPRODUCT(MIN(FIND({0,1,2,3,4,5,6,7,8,9},SUBSTITUTE($B132,CHAR(160)," ")&amp;"0123456789"))),ROW(INDIRECT("1:6")))),"0"),"SIN NUMERO"))</f>
        <v>CONC 2036</v>
      </c>
      <c r="O132" t="str">
        <f ca="1">IF($N132="","",IF(LEFT(UPPER($P132),9)="VERIFICAR","VERIFICAR",IF(AND($H132&lt;&gt;"",COUNTIFS($N$2:$N$1000,$N132,$H$2:$H$1000,$H132)&gt;1),"DUPLICADA",IF(TRIM(IF($A132="","tipo ","")&amp;IF($F132="","fecha de firma ","")&amp;IF($G132="","decisión ","")&amp;IF($H132="","N° resolución ","")&amp;IF($I132="","N° dictamen",""))&lt;&gt;"","INCOMPLETA: "&amp;TRIM(IF($A132="","tipo ","")&amp;IF($F132="","fecha de firma ","")&amp;IF($G132="","decisión ","")&amp;IF($H132="","N° resolución ","")&amp;IF($I132="","N° dictamen","")),IF(LEFT($N132,4)&lt;&gt;"CONC","OK",IF(N($Q132)=0,IF(AND(ISNUMBER($E132),$E132&gt;=DATE(2024,1,1)),"FALTA EN evol_conc","OK"),IF(INDEX(evol_conc!$H:$H,$Q132)&lt;&gt;$F132,"FIRMA DISTINTA EN evol_conc ("&amp;IF(INDEX(evol_conc!$H:$H,$Q132)="","vacía",DAY(INDEX(evol_conc!$H:$H,$Q132))&amp;"/"&amp;MONTH(INDEX(evol_conc!$H:$H,$Q132))&amp;"/"&amp;YEAR(INDEX(evol_conc!$H:$H,$Q132)))&amp;")",IF(INDEX(evol_conc!$G:$G,$Q132)&lt;&gt;$E132,"INGRESO DISTINTO EN evol_conc ("&amp;IF(INDEX(evol_conc!$G:$G,$Q132)="","vacía",DAY(INDEX(evol_conc!$G:$G,$Q132))&amp;"/"&amp;MONTH(INDEX(evol_conc!$G:$G,$Q132))&amp;"/"&amp;YEAR(INDEX(evol_conc!$G:$G,$Q132)))&amp;")","OK"))))))))</f>
        <v>OK</v>
      </c>
      <c r="Q132">
        <f ca="1">IF($N132="","",IFERROR(MATCH($N132,evol_conc!$P:$P,0),0))</f>
        <v>114</v>
      </c>
    </row>
    <row r="133" spans="1:17" ht="18" hidden="1" customHeight="1" x14ac:dyDescent="0.25">
      <c r="A133" t="s">
        <v>624</v>
      </c>
      <c r="B133" t="s">
        <v>1179</v>
      </c>
      <c r="D133" t="s">
        <v>286</v>
      </c>
      <c r="E133" s="16">
        <v>45694</v>
      </c>
      <c r="F133" s="16">
        <v>45877</v>
      </c>
      <c r="G133" s="16" t="s">
        <v>1101</v>
      </c>
      <c r="H133" t="s">
        <v>1180</v>
      </c>
      <c r="I133" t="s">
        <v>1181</v>
      </c>
      <c r="J133" t="s">
        <v>1182</v>
      </c>
      <c r="K133" t="s">
        <v>592</v>
      </c>
      <c r="L133" s="53">
        <f t="shared" si="4"/>
        <v>6.1</v>
      </c>
      <c r="M133" s="19">
        <f t="shared" si="5"/>
        <v>183</v>
      </c>
      <c r="N133" t="str">
        <f ca="1">IF(TRIM(SUBSTITUTE($B133,CHAR(160)," "))="","",IFERROR(IF(ISNUMBER(SEARCH("INC",$B133)),"INC",IF(ISNUMBER(SEARCH("OPI",$B133)),"OPI",IF(ISNUMBER(SEARCH("DP",$B133)),"DP","CONC")))&amp;" "&amp;TEXT(LOOKUP(9.99E+307,--MID(SUBSTITUTE($B133,CHAR(160)," "),SUMPRODUCT(MIN(FIND({0,1,2,3,4,5,6,7,8,9},SUBSTITUTE($B133,CHAR(160)," ")&amp;"0123456789"))),ROW(INDIRECT("1:6")))),"0"),"SIN NUMERO"))</f>
        <v>CONC 2022</v>
      </c>
      <c r="O133" t="str">
        <f ca="1">IF($N133="","",IF(LEFT(UPPER($P133),9)="VERIFICAR","VERIFICAR",IF(AND($H133&lt;&gt;"",COUNTIFS($N$2:$N$1000,$N133,$H$2:$H$1000,$H133)&gt;1),"DUPLICADA",IF(TRIM(IF($A133="","tipo ","")&amp;IF($F133="","fecha de firma ","")&amp;IF($G133="","decisión ","")&amp;IF($H133="","N° resolución ","")&amp;IF($I133="","N° dictamen",""))&lt;&gt;"","INCOMPLETA: "&amp;TRIM(IF($A133="","tipo ","")&amp;IF($F133="","fecha de firma ","")&amp;IF($G133="","decisión ","")&amp;IF($H133="","N° resolución ","")&amp;IF($I133="","N° dictamen","")),IF(LEFT($N133,4)&lt;&gt;"CONC","OK",IF(N($Q133)=0,IF(AND(ISNUMBER($E133),$E133&gt;=DATE(2024,1,1)),"FALTA EN evol_conc","OK"),IF(INDEX(evol_conc!$H:$H,$Q133)&lt;&gt;$F133,"FIRMA DISTINTA EN evol_conc ("&amp;IF(INDEX(evol_conc!$H:$H,$Q133)="","vacía",DAY(INDEX(evol_conc!$H:$H,$Q133))&amp;"/"&amp;MONTH(INDEX(evol_conc!$H:$H,$Q133))&amp;"/"&amp;YEAR(INDEX(evol_conc!$H:$H,$Q133)))&amp;")",IF(INDEX(evol_conc!$G:$G,$Q133)&lt;&gt;$E133,"INGRESO DISTINTO EN evol_conc ("&amp;IF(INDEX(evol_conc!$G:$G,$Q133)="","vacía",DAY(INDEX(evol_conc!$G:$G,$Q133))&amp;"/"&amp;MONTH(INDEX(evol_conc!$G:$G,$Q133))&amp;"/"&amp;YEAR(INDEX(evol_conc!$G:$G,$Q133)))&amp;")","OK"))))))))</f>
        <v>OK</v>
      </c>
      <c r="Q133">
        <f ca="1">IF($N133="","",IFERROR(MATCH($N133,evol_conc!$P:$P,0),0))</f>
        <v>99</v>
      </c>
    </row>
    <row r="134" spans="1:17" ht="18" hidden="1" customHeight="1" x14ac:dyDescent="0.25">
      <c r="A134" t="s">
        <v>624</v>
      </c>
      <c r="B134" t="s">
        <v>1183</v>
      </c>
      <c r="D134" t="s">
        <v>288</v>
      </c>
      <c r="E134" s="16">
        <v>45705</v>
      </c>
      <c r="F134" s="16">
        <v>45880</v>
      </c>
      <c r="G134" s="16" t="s">
        <v>1184</v>
      </c>
      <c r="H134" t="s">
        <v>1185</v>
      </c>
      <c r="I134" t="s">
        <v>1186</v>
      </c>
      <c r="J134" t="s">
        <v>1187</v>
      </c>
      <c r="L134" s="53">
        <f t="shared" si="4"/>
        <v>5.833333333333333</v>
      </c>
      <c r="M134" s="19">
        <f t="shared" si="5"/>
        <v>175</v>
      </c>
      <c r="N134" t="str">
        <f ca="1">IF(TRIM(SUBSTITUTE($B134,CHAR(160)," "))="","",IFERROR(IF(ISNUMBER(SEARCH("INC",$B134)),"INC",IF(ISNUMBER(SEARCH("OPI",$B134)),"OPI",IF(ISNUMBER(SEARCH("DP",$B134)),"DP","CONC")))&amp;" "&amp;TEXT(LOOKUP(9.99E+307,--MID(SUBSTITUTE($B134,CHAR(160)," "),SUMPRODUCT(MIN(FIND({0,1,2,3,4,5,6,7,8,9},SUBSTITUTE($B134,CHAR(160)," ")&amp;"0123456789"))),ROW(INDIRECT("1:6")))),"0"),"SIN NUMERO"))</f>
        <v>CONC 2024</v>
      </c>
      <c r="O134" t="str">
        <f ca="1">IF($N134="","",IF(LEFT(UPPER($P134),9)="VERIFICAR","VERIFICAR",IF(AND($H134&lt;&gt;"",COUNTIFS($N$2:$N$1000,$N134,$H$2:$H$1000,$H134)&gt;1),"DUPLICADA",IF(TRIM(IF($A134="","tipo ","")&amp;IF($F134="","fecha de firma ","")&amp;IF($G134="","decisión ","")&amp;IF($H134="","N° resolución ","")&amp;IF($I134="","N° dictamen",""))&lt;&gt;"","INCOMPLETA: "&amp;TRIM(IF($A134="","tipo ","")&amp;IF($F134="","fecha de firma ","")&amp;IF($G134="","decisión ","")&amp;IF($H134="","N° resolución ","")&amp;IF($I134="","N° dictamen","")),IF(LEFT($N134,4)&lt;&gt;"CONC","OK",IF(N($Q134)=0,IF(AND(ISNUMBER($E134),$E134&gt;=DATE(2024,1,1)),"FALTA EN evol_conc","OK"),IF(INDEX(evol_conc!$H:$H,$Q134)&lt;&gt;$F134,"FIRMA DISTINTA EN evol_conc ("&amp;IF(INDEX(evol_conc!$H:$H,$Q134)="","vacía",DAY(INDEX(evol_conc!$H:$H,$Q134))&amp;"/"&amp;MONTH(INDEX(evol_conc!$H:$H,$Q134))&amp;"/"&amp;YEAR(INDEX(evol_conc!$H:$H,$Q134)))&amp;")",IF(INDEX(evol_conc!$G:$G,$Q134)&lt;&gt;$E134,"INGRESO DISTINTO EN evol_conc ("&amp;IF(INDEX(evol_conc!$G:$G,$Q134)="","vacía",DAY(INDEX(evol_conc!$G:$G,$Q134))&amp;"/"&amp;MONTH(INDEX(evol_conc!$G:$G,$Q134))&amp;"/"&amp;YEAR(INDEX(evol_conc!$G:$G,$Q134)))&amp;")","OK"))))))))</f>
        <v>OK</v>
      </c>
      <c r="Q134">
        <f ca="1">IF($N134="","",IFERROR(MATCH($N134,evol_conc!$P:$P,0),0))</f>
        <v>101</v>
      </c>
    </row>
    <row r="135" spans="1:17" ht="18" hidden="1" customHeight="1" x14ac:dyDescent="0.25">
      <c r="A135" t="s">
        <v>1089</v>
      </c>
      <c r="B135" t="s">
        <v>1188</v>
      </c>
      <c r="D135" t="s">
        <v>1189</v>
      </c>
      <c r="E135" s="16">
        <v>45660</v>
      </c>
      <c r="F135" s="16">
        <v>45880</v>
      </c>
      <c r="G135" t="s">
        <v>1190</v>
      </c>
      <c r="H135" t="s">
        <v>1191</v>
      </c>
      <c r="I135" t="s">
        <v>1192</v>
      </c>
      <c r="J135" t="s">
        <v>1193</v>
      </c>
      <c r="L135" s="53">
        <f t="shared" si="4"/>
        <v>7.333333333333333</v>
      </c>
      <c r="M135" s="19">
        <f t="shared" si="5"/>
        <v>220</v>
      </c>
      <c r="N135" t="str">
        <f ca="1">IF(TRIM(SUBSTITUTE($B135,CHAR(160)," "))="","",IFERROR(IF(ISNUMBER(SEARCH("INC",$B135)),"INC",IF(ISNUMBER(SEARCH("OPI",$B135)),"OPI",IF(ISNUMBER(SEARCH("DP",$B135)),"DP","CONC")))&amp;" "&amp;TEXT(LOOKUP(9.99E+307,--MID(SUBSTITUTE($B135,CHAR(160)," "),SUMPRODUCT(MIN(FIND({0,1,2,3,4,5,6,7,8,9},SUBSTITUTE($B135,CHAR(160)," ")&amp;"0123456789"))),ROW(INDIRECT("1:6")))),"0"),"SIN NUMERO"))</f>
        <v>OPI 375</v>
      </c>
      <c r="O135" t="str">
        <f ca="1">IF($N135="","",IF(LEFT(UPPER($P135),9)="VERIFICAR","VERIFICAR",IF(AND($H135&lt;&gt;"",COUNTIFS($N$2:$N$1000,$N135,$H$2:$H$1000,$H135)&gt;1),"DUPLICADA",IF(TRIM(IF($A135="","tipo ","")&amp;IF($F135="","fecha de firma ","")&amp;IF($G135="","decisión ","")&amp;IF($H135="","N° resolución ","")&amp;IF($I135="","N° dictamen",""))&lt;&gt;"","INCOMPLETA: "&amp;TRIM(IF($A135="","tipo ","")&amp;IF($F135="","fecha de firma ","")&amp;IF($G135="","decisión ","")&amp;IF($H135="","N° resolución ","")&amp;IF($I135="","N° dictamen","")),IF(LEFT($N135,4)&lt;&gt;"CONC","OK",IF(N($Q135)=0,IF(AND(ISNUMBER($E135),$E135&gt;=DATE(2024,1,1)),"FALTA EN evol_conc","OK"),IF(INDEX(evol_conc!$H:$H,$Q135)&lt;&gt;$F135,"FIRMA DISTINTA EN evol_conc ("&amp;IF(INDEX(evol_conc!$H:$H,$Q135)="","vacía",DAY(INDEX(evol_conc!$H:$H,$Q135))&amp;"/"&amp;MONTH(INDEX(evol_conc!$H:$H,$Q135))&amp;"/"&amp;YEAR(INDEX(evol_conc!$H:$H,$Q135)))&amp;")",IF(INDEX(evol_conc!$G:$G,$Q135)&lt;&gt;$E135,"INGRESO DISTINTO EN evol_conc ("&amp;IF(INDEX(evol_conc!$G:$G,$Q135)="","vacía",DAY(INDEX(evol_conc!$G:$G,$Q135))&amp;"/"&amp;MONTH(INDEX(evol_conc!$G:$G,$Q135))&amp;"/"&amp;YEAR(INDEX(evol_conc!$G:$G,$Q135)))&amp;")","OK"))))))))</f>
        <v>OK</v>
      </c>
      <c r="Q135">
        <f ca="1">IF($N135="","",IFERROR(MATCH($N135,evol_conc!$P:$P,0),0))</f>
        <v>0</v>
      </c>
    </row>
    <row r="136" spans="1:17" ht="18" hidden="1" customHeight="1" x14ac:dyDescent="0.25">
      <c r="A136" t="s">
        <v>1089</v>
      </c>
      <c r="B136" t="s">
        <v>1194</v>
      </c>
      <c r="D136" t="s">
        <v>1195</v>
      </c>
      <c r="E136" s="16">
        <v>45604</v>
      </c>
      <c r="F136" s="16">
        <v>45882</v>
      </c>
      <c r="G136" t="s">
        <v>1190</v>
      </c>
      <c r="H136" t="s">
        <v>1196</v>
      </c>
      <c r="I136" t="s">
        <v>1197</v>
      </c>
      <c r="J136" t="s">
        <v>1198</v>
      </c>
      <c r="L136" s="53">
        <f t="shared" si="4"/>
        <v>9.2666666666666675</v>
      </c>
      <c r="M136" s="19">
        <f t="shared" si="5"/>
        <v>278</v>
      </c>
      <c r="N136" t="str">
        <f ca="1">IF(TRIM(SUBSTITUTE($B136,CHAR(160)," "))="","",IFERROR(IF(ISNUMBER(SEARCH("INC",$B136)),"INC",IF(ISNUMBER(SEARCH("OPI",$B136)),"OPI",IF(ISNUMBER(SEARCH("DP",$B136)),"DP","CONC")))&amp;" "&amp;TEXT(LOOKUP(9.99E+307,--MID(SUBSTITUTE($B136,CHAR(160)," "),SUMPRODUCT(MIN(FIND({0,1,2,3,4,5,6,7,8,9},SUBSTITUTE($B136,CHAR(160)," ")&amp;"0123456789"))),ROW(INDIRECT("1:6")))),"0"),"SIN NUMERO"))</f>
        <v>OPI 370</v>
      </c>
      <c r="O136" t="str">
        <f ca="1">IF($N136="","",IF(LEFT(UPPER($P136),9)="VERIFICAR","VERIFICAR",IF(AND($H136&lt;&gt;"",COUNTIFS($N$2:$N$1000,$N136,$H$2:$H$1000,$H136)&gt;1),"DUPLICADA",IF(TRIM(IF($A136="","tipo ","")&amp;IF($F136="","fecha de firma ","")&amp;IF($G136="","decisión ","")&amp;IF($H136="","N° resolución ","")&amp;IF($I136="","N° dictamen",""))&lt;&gt;"","INCOMPLETA: "&amp;TRIM(IF($A136="","tipo ","")&amp;IF($F136="","fecha de firma ","")&amp;IF($G136="","decisión ","")&amp;IF($H136="","N° resolución ","")&amp;IF($I136="","N° dictamen","")),IF(LEFT($N136,4)&lt;&gt;"CONC","OK",IF(N($Q136)=0,IF(AND(ISNUMBER($E136),$E136&gt;=DATE(2024,1,1)),"FALTA EN evol_conc","OK"),IF(INDEX(evol_conc!$H:$H,$Q136)&lt;&gt;$F136,"FIRMA DISTINTA EN evol_conc ("&amp;IF(INDEX(evol_conc!$H:$H,$Q136)="","vacía",DAY(INDEX(evol_conc!$H:$H,$Q136))&amp;"/"&amp;MONTH(INDEX(evol_conc!$H:$H,$Q136))&amp;"/"&amp;YEAR(INDEX(evol_conc!$H:$H,$Q136)))&amp;")",IF(INDEX(evol_conc!$G:$G,$Q136)&lt;&gt;$E136,"INGRESO DISTINTO EN evol_conc ("&amp;IF(INDEX(evol_conc!$G:$G,$Q136)="","vacía",DAY(INDEX(evol_conc!$G:$G,$Q136))&amp;"/"&amp;MONTH(INDEX(evol_conc!$G:$G,$Q136))&amp;"/"&amp;YEAR(INDEX(evol_conc!$G:$G,$Q136)))&amp;")","OK"))))))))</f>
        <v>OK</v>
      </c>
      <c r="Q136">
        <f ca="1">IF($N136="","",IFERROR(MATCH($N136,evol_conc!$P:$P,0),0))</f>
        <v>0</v>
      </c>
    </row>
    <row r="137" spans="1:17" ht="18" hidden="1" customHeight="1" x14ac:dyDescent="0.25">
      <c r="A137" t="s">
        <v>1089</v>
      </c>
      <c r="B137" t="s">
        <v>1199</v>
      </c>
      <c r="D137" t="s">
        <v>1200</v>
      </c>
      <c r="E137" s="16">
        <v>45652</v>
      </c>
      <c r="F137" s="16">
        <v>45882</v>
      </c>
      <c r="G137" t="s">
        <v>1190</v>
      </c>
      <c r="H137" t="s">
        <v>1201</v>
      </c>
      <c r="I137" t="s">
        <v>1202</v>
      </c>
      <c r="J137" t="s">
        <v>1193</v>
      </c>
      <c r="L137" s="53">
        <f t="shared" si="4"/>
        <v>7.666666666666667</v>
      </c>
      <c r="M137" s="19">
        <f t="shared" si="5"/>
        <v>230</v>
      </c>
      <c r="N137" t="str">
        <f ca="1">IF(TRIM(SUBSTITUTE($B137,CHAR(160)," "))="","",IFERROR(IF(ISNUMBER(SEARCH("INC",$B137)),"INC",IF(ISNUMBER(SEARCH("OPI",$B137)),"OPI",IF(ISNUMBER(SEARCH("DP",$B137)),"DP","CONC")))&amp;" "&amp;TEXT(LOOKUP(9.99E+307,--MID(SUBSTITUTE($B137,CHAR(160)," "),SUMPRODUCT(MIN(FIND({0,1,2,3,4,5,6,7,8,9},SUBSTITUTE($B137,CHAR(160)," ")&amp;"0123456789"))),ROW(INDIRECT("1:6")))),"0"),"SIN NUMERO"))</f>
        <v>OPI 373</v>
      </c>
      <c r="O137" t="str">
        <f ca="1">IF($N137="","",IF(LEFT(UPPER($P137),9)="VERIFICAR","VERIFICAR",IF(AND($H137&lt;&gt;"",COUNTIFS($N$2:$N$1000,$N137,$H$2:$H$1000,$H137)&gt;1),"DUPLICADA",IF(TRIM(IF($A137="","tipo ","")&amp;IF($F137="","fecha de firma ","")&amp;IF($G137="","decisión ","")&amp;IF($H137="","N° resolución ","")&amp;IF($I137="","N° dictamen",""))&lt;&gt;"","INCOMPLETA: "&amp;TRIM(IF($A137="","tipo ","")&amp;IF($F137="","fecha de firma ","")&amp;IF($G137="","decisión ","")&amp;IF($H137="","N° resolución ","")&amp;IF($I137="","N° dictamen","")),IF(LEFT($N137,4)&lt;&gt;"CONC","OK",IF(N($Q137)=0,IF(AND(ISNUMBER($E137),$E137&gt;=DATE(2024,1,1)),"FALTA EN evol_conc","OK"),IF(INDEX(evol_conc!$H:$H,$Q137)&lt;&gt;$F137,"FIRMA DISTINTA EN evol_conc ("&amp;IF(INDEX(evol_conc!$H:$H,$Q137)="","vacía",DAY(INDEX(evol_conc!$H:$H,$Q137))&amp;"/"&amp;MONTH(INDEX(evol_conc!$H:$H,$Q137))&amp;"/"&amp;YEAR(INDEX(evol_conc!$H:$H,$Q137)))&amp;")",IF(INDEX(evol_conc!$G:$G,$Q137)&lt;&gt;$E137,"INGRESO DISTINTO EN evol_conc ("&amp;IF(INDEX(evol_conc!$G:$G,$Q137)="","vacía",DAY(INDEX(evol_conc!$G:$G,$Q137))&amp;"/"&amp;MONTH(INDEX(evol_conc!$G:$G,$Q137))&amp;"/"&amp;YEAR(INDEX(evol_conc!$G:$G,$Q137)))&amp;")","OK"))))))))</f>
        <v>OK</v>
      </c>
      <c r="Q137">
        <f ca="1">IF($N137="","",IFERROR(MATCH($N137,evol_conc!$P:$P,0),0))</f>
        <v>0</v>
      </c>
    </row>
    <row r="138" spans="1:17" ht="18" hidden="1" customHeight="1" x14ac:dyDescent="0.25">
      <c r="A138" t="s">
        <v>624</v>
      </c>
      <c r="B138" t="s">
        <v>1203</v>
      </c>
      <c r="D138" t="s">
        <v>293</v>
      </c>
      <c r="E138" s="16">
        <v>45726</v>
      </c>
      <c r="F138" s="16">
        <v>45891</v>
      </c>
      <c r="G138" s="16" t="s">
        <v>1149</v>
      </c>
      <c r="H138" t="s">
        <v>1204</v>
      </c>
      <c r="I138" t="s">
        <v>1205</v>
      </c>
      <c r="J138" t="s">
        <v>1206</v>
      </c>
      <c r="K138" t="s">
        <v>592</v>
      </c>
      <c r="L138" s="53">
        <f t="shared" si="4"/>
        <v>5.5</v>
      </c>
      <c r="M138" s="19">
        <f t="shared" si="5"/>
        <v>165</v>
      </c>
      <c r="N138" t="str">
        <f ca="1">IF(TRIM(SUBSTITUTE($B138,CHAR(160)," "))="","",IFERROR(IF(ISNUMBER(SEARCH("INC",$B138)),"INC",IF(ISNUMBER(SEARCH("OPI",$B138)),"OPI",IF(ISNUMBER(SEARCH("DP",$B138)),"DP","CONC")))&amp;" "&amp;TEXT(LOOKUP(9.99E+307,--MID(SUBSTITUTE($B138,CHAR(160)," "),SUMPRODUCT(MIN(FIND({0,1,2,3,4,5,6,7,8,9},SUBSTITUTE($B138,CHAR(160)," ")&amp;"0123456789"))),ROW(INDIRECT("1:6")))),"0"),"SIN NUMERO"))</f>
        <v>CONC 2027</v>
      </c>
      <c r="O138" t="str">
        <f ca="1">IF($N138="","",IF(LEFT(UPPER($P138),9)="VERIFICAR","VERIFICAR",IF(AND($H138&lt;&gt;"",COUNTIFS($N$2:$N$1000,$N138,$H$2:$H$1000,$H138)&gt;1),"DUPLICADA",IF(TRIM(IF($A138="","tipo ","")&amp;IF($F138="","fecha de firma ","")&amp;IF($G138="","decisión ","")&amp;IF($H138="","N° resolución ","")&amp;IF($I138="","N° dictamen",""))&lt;&gt;"","INCOMPLETA: "&amp;TRIM(IF($A138="","tipo ","")&amp;IF($F138="","fecha de firma ","")&amp;IF($G138="","decisión ","")&amp;IF($H138="","N° resolución ","")&amp;IF($I138="","N° dictamen","")),IF(LEFT($N138,4)&lt;&gt;"CONC","OK",IF(N($Q138)=0,IF(AND(ISNUMBER($E138),$E138&gt;=DATE(2024,1,1)),"FALTA EN evol_conc","OK"),IF(INDEX(evol_conc!$H:$H,$Q138)&lt;&gt;$F138,"FIRMA DISTINTA EN evol_conc ("&amp;IF(INDEX(evol_conc!$H:$H,$Q138)="","vacía",DAY(INDEX(evol_conc!$H:$H,$Q138))&amp;"/"&amp;MONTH(INDEX(evol_conc!$H:$H,$Q138))&amp;"/"&amp;YEAR(INDEX(evol_conc!$H:$H,$Q138)))&amp;")",IF(INDEX(evol_conc!$G:$G,$Q138)&lt;&gt;$E138,"INGRESO DISTINTO EN evol_conc ("&amp;IF(INDEX(evol_conc!$G:$G,$Q138)="","vacía",DAY(INDEX(evol_conc!$G:$G,$Q138))&amp;"/"&amp;MONTH(INDEX(evol_conc!$G:$G,$Q138))&amp;"/"&amp;YEAR(INDEX(evol_conc!$G:$G,$Q138)))&amp;")","OK"))))))))</f>
        <v>OK</v>
      </c>
      <c r="Q138">
        <f ca="1">IF($N138="","",IFERROR(MATCH($N138,evol_conc!$P:$P,0),0))</f>
        <v>104</v>
      </c>
    </row>
    <row r="139" spans="1:17" ht="18" hidden="1" customHeight="1" x14ac:dyDescent="0.25">
      <c r="A139" t="s">
        <v>624</v>
      </c>
      <c r="B139" t="s">
        <v>1207</v>
      </c>
      <c r="D139" t="s">
        <v>302</v>
      </c>
      <c r="E139" s="16">
        <v>45799</v>
      </c>
      <c r="F139" s="16">
        <v>45891</v>
      </c>
      <c r="G139" s="16" t="s">
        <v>1149</v>
      </c>
      <c r="H139" t="s">
        <v>1208</v>
      </c>
      <c r="I139" t="s">
        <v>1209</v>
      </c>
      <c r="J139" t="s">
        <v>1130</v>
      </c>
      <c r="K139" t="s">
        <v>1138</v>
      </c>
      <c r="L139" s="53">
        <f t="shared" si="4"/>
        <v>3.0666666666666669</v>
      </c>
      <c r="M139" s="19">
        <f t="shared" si="5"/>
        <v>92</v>
      </c>
      <c r="N139" t="str">
        <f ca="1">IF(TRIM(SUBSTITUTE($B139,CHAR(160)," "))="","",IFERROR(IF(ISNUMBER(SEARCH("INC",$B139)),"INC",IF(ISNUMBER(SEARCH("OPI",$B139)),"OPI",IF(ISNUMBER(SEARCH("DP",$B139)),"DP","CONC")))&amp;" "&amp;TEXT(LOOKUP(9.99E+307,--MID(SUBSTITUTE($B139,CHAR(160)," "),SUMPRODUCT(MIN(FIND({0,1,2,3,4,5,6,7,8,9},SUBSTITUTE($B139,CHAR(160)," ")&amp;"0123456789"))),ROW(INDIRECT("1:6")))),"0"),"SIN NUMERO"))</f>
        <v>CONC 2033</v>
      </c>
      <c r="O139" t="str">
        <f ca="1">IF($N139="","",IF(LEFT(UPPER($P139),9)="VERIFICAR","VERIFICAR",IF(AND($H139&lt;&gt;"",COUNTIFS($N$2:$N$1000,$N139,$H$2:$H$1000,$H139)&gt;1),"DUPLICADA",IF(TRIM(IF($A139="","tipo ","")&amp;IF($F139="","fecha de firma ","")&amp;IF($G139="","decisión ","")&amp;IF($H139="","N° resolución ","")&amp;IF($I139="","N° dictamen",""))&lt;&gt;"","INCOMPLETA: "&amp;TRIM(IF($A139="","tipo ","")&amp;IF($F139="","fecha de firma ","")&amp;IF($G139="","decisión ","")&amp;IF($H139="","N° resolución ","")&amp;IF($I139="","N° dictamen","")),IF(LEFT($N139,4)&lt;&gt;"CONC","OK",IF(N($Q139)=0,IF(AND(ISNUMBER($E139),$E139&gt;=DATE(2024,1,1)),"FALTA EN evol_conc","OK"),IF(INDEX(evol_conc!$H:$H,$Q139)&lt;&gt;$F139,"FIRMA DISTINTA EN evol_conc ("&amp;IF(INDEX(evol_conc!$H:$H,$Q139)="","vacía",DAY(INDEX(evol_conc!$H:$H,$Q139))&amp;"/"&amp;MONTH(INDEX(evol_conc!$H:$H,$Q139))&amp;"/"&amp;YEAR(INDEX(evol_conc!$H:$H,$Q139)))&amp;")",IF(INDEX(evol_conc!$G:$G,$Q139)&lt;&gt;$E139,"INGRESO DISTINTO EN evol_conc ("&amp;IF(INDEX(evol_conc!$G:$G,$Q139)="","vacía",DAY(INDEX(evol_conc!$G:$G,$Q139))&amp;"/"&amp;MONTH(INDEX(evol_conc!$G:$G,$Q139))&amp;"/"&amp;YEAR(INDEX(evol_conc!$G:$G,$Q139)))&amp;")","OK"))))))))</f>
        <v>OK</v>
      </c>
      <c r="Q139">
        <f ca="1">IF($N139="","",IFERROR(MATCH($N139,evol_conc!$P:$P,0),0))</f>
        <v>111</v>
      </c>
    </row>
    <row r="140" spans="1:17" ht="18" hidden="1" customHeight="1" x14ac:dyDescent="0.25">
      <c r="A140" t="s">
        <v>624</v>
      </c>
      <c r="B140" t="s">
        <v>1210</v>
      </c>
      <c r="D140" t="s">
        <v>299</v>
      </c>
      <c r="E140" s="16">
        <v>45755</v>
      </c>
      <c r="F140" s="16">
        <v>45902</v>
      </c>
      <c r="G140" s="16" t="s">
        <v>1149</v>
      </c>
      <c r="H140" t="s">
        <v>1211</v>
      </c>
      <c r="I140" t="s">
        <v>1212</v>
      </c>
      <c r="J140" t="s">
        <v>1130</v>
      </c>
      <c r="K140" t="s">
        <v>592</v>
      </c>
      <c r="L140" s="53">
        <f t="shared" si="4"/>
        <v>4.9000000000000004</v>
      </c>
      <c r="M140" s="19">
        <f t="shared" si="5"/>
        <v>147</v>
      </c>
      <c r="N140" t="str">
        <f ca="1">IF(TRIM(SUBSTITUTE($B140,CHAR(160)," "))="","",IFERROR(IF(ISNUMBER(SEARCH("INC",$B140)),"INC",IF(ISNUMBER(SEARCH("OPI",$B140)),"OPI",IF(ISNUMBER(SEARCH("DP",$B140)),"DP","CONC")))&amp;" "&amp;TEXT(LOOKUP(9.99E+307,--MID(SUBSTITUTE($B140,CHAR(160)," "),SUMPRODUCT(MIN(FIND({0,1,2,3,4,5,6,7,8,9},SUBSTITUTE($B140,CHAR(160)," ")&amp;"0123456789"))),ROW(INDIRECT("1:6")))),"0"),"SIN NUMERO"))</f>
        <v>CONC 2031</v>
      </c>
      <c r="O140" t="str">
        <f ca="1">IF($N140="","",IF(LEFT(UPPER($P140),9)="VERIFICAR","VERIFICAR",IF(AND($H140&lt;&gt;"",COUNTIFS($N$2:$N$1000,$N140,$H$2:$H$1000,$H140)&gt;1),"DUPLICADA",IF(TRIM(IF($A140="","tipo ","")&amp;IF($F140="","fecha de firma ","")&amp;IF($G140="","decisión ","")&amp;IF($H140="","N° resolución ","")&amp;IF($I140="","N° dictamen",""))&lt;&gt;"","INCOMPLETA: "&amp;TRIM(IF($A140="","tipo ","")&amp;IF($F140="","fecha de firma ","")&amp;IF($G140="","decisión ","")&amp;IF($H140="","N° resolución ","")&amp;IF($I140="","N° dictamen","")),IF(LEFT($N140,4)&lt;&gt;"CONC","OK",IF(N($Q140)=0,IF(AND(ISNUMBER($E140),$E140&gt;=DATE(2024,1,1)),"FALTA EN evol_conc","OK"),IF(INDEX(evol_conc!$H:$H,$Q140)&lt;&gt;$F140,"FIRMA DISTINTA EN evol_conc ("&amp;IF(INDEX(evol_conc!$H:$H,$Q140)="","vacía",DAY(INDEX(evol_conc!$H:$H,$Q140))&amp;"/"&amp;MONTH(INDEX(evol_conc!$H:$H,$Q140))&amp;"/"&amp;YEAR(INDEX(evol_conc!$H:$H,$Q140)))&amp;")",IF(INDEX(evol_conc!$G:$G,$Q140)&lt;&gt;$E140,"INGRESO DISTINTO EN evol_conc ("&amp;IF(INDEX(evol_conc!$G:$G,$Q140)="","vacía",DAY(INDEX(evol_conc!$G:$G,$Q140))&amp;"/"&amp;MONTH(INDEX(evol_conc!$G:$G,$Q140))&amp;"/"&amp;YEAR(INDEX(evol_conc!$G:$G,$Q140)))&amp;")","OK"))))))))</f>
        <v>OK</v>
      </c>
      <c r="Q140">
        <f ca="1">IF($N140="","",IFERROR(MATCH($N140,evol_conc!$P:$P,0),0))</f>
        <v>109</v>
      </c>
    </row>
    <row r="141" spans="1:17" ht="18" hidden="1" customHeight="1" x14ac:dyDescent="0.25">
      <c r="A141" t="s">
        <v>624</v>
      </c>
      <c r="B141" t="s">
        <v>1213</v>
      </c>
      <c r="D141" t="s">
        <v>285</v>
      </c>
      <c r="E141" s="16">
        <v>45693</v>
      </c>
      <c r="F141" s="16">
        <v>45909</v>
      </c>
      <c r="G141" s="16" t="s">
        <v>1149</v>
      </c>
      <c r="H141" t="s">
        <v>1214</v>
      </c>
      <c r="I141" t="s">
        <v>1215</v>
      </c>
      <c r="J141" t="s">
        <v>1216</v>
      </c>
      <c r="K141" t="s">
        <v>1138</v>
      </c>
      <c r="L141" s="53">
        <f t="shared" si="4"/>
        <v>7.2</v>
      </c>
      <c r="M141" s="19">
        <f t="shared" si="5"/>
        <v>216</v>
      </c>
      <c r="N141" t="str">
        <f ca="1">IF(TRIM(SUBSTITUTE($B141,CHAR(160)," "))="","",IFERROR(IF(ISNUMBER(SEARCH("INC",$B141)),"INC",IF(ISNUMBER(SEARCH("OPI",$B141)),"OPI",IF(ISNUMBER(SEARCH("DP",$B141)),"DP","CONC")))&amp;" "&amp;TEXT(LOOKUP(9.99E+307,--MID(SUBSTITUTE($B141,CHAR(160)," "),SUMPRODUCT(MIN(FIND({0,1,2,3,4,5,6,7,8,9},SUBSTITUTE($B141,CHAR(160)," ")&amp;"0123456789"))),ROW(INDIRECT("1:6")))),"0"),"SIN NUMERO"))</f>
        <v>CONC 2021</v>
      </c>
      <c r="O141" t="str">
        <f ca="1">IF($N141="","",IF(LEFT(UPPER($P141),9)="VERIFICAR","VERIFICAR",IF(AND($H141&lt;&gt;"",COUNTIFS($N$2:$N$1000,$N141,$H$2:$H$1000,$H141)&gt;1),"DUPLICADA",IF(TRIM(IF($A141="","tipo ","")&amp;IF($F141="","fecha de firma ","")&amp;IF($G141="","decisión ","")&amp;IF($H141="","N° resolución ","")&amp;IF($I141="","N° dictamen",""))&lt;&gt;"","INCOMPLETA: "&amp;TRIM(IF($A141="","tipo ","")&amp;IF($F141="","fecha de firma ","")&amp;IF($G141="","decisión ","")&amp;IF($H141="","N° resolución ","")&amp;IF($I141="","N° dictamen","")),IF(LEFT($N141,4)&lt;&gt;"CONC","OK",IF(N($Q141)=0,IF(AND(ISNUMBER($E141),$E141&gt;=DATE(2024,1,1)),"FALTA EN evol_conc","OK"),IF(INDEX(evol_conc!$H:$H,$Q141)&lt;&gt;$F141,"FIRMA DISTINTA EN evol_conc ("&amp;IF(INDEX(evol_conc!$H:$H,$Q141)="","vacía",DAY(INDEX(evol_conc!$H:$H,$Q141))&amp;"/"&amp;MONTH(INDEX(evol_conc!$H:$H,$Q141))&amp;"/"&amp;YEAR(INDEX(evol_conc!$H:$H,$Q141)))&amp;")",IF(INDEX(evol_conc!$G:$G,$Q141)&lt;&gt;$E141,"INGRESO DISTINTO EN evol_conc ("&amp;IF(INDEX(evol_conc!$G:$G,$Q141)="","vacía",DAY(INDEX(evol_conc!$G:$G,$Q141))&amp;"/"&amp;MONTH(INDEX(evol_conc!$G:$G,$Q141))&amp;"/"&amp;YEAR(INDEX(evol_conc!$G:$G,$Q141)))&amp;")","OK"))))))))</f>
        <v>OK</v>
      </c>
      <c r="Q141">
        <f ca="1">IF($N141="","",IFERROR(MATCH($N141,evol_conc!$P:$P,0),0))</f>
        <v>98</v>
      </c>
    </row>
    <row r="142" spans="1:17" ht="18" hidden="1" customHeight="1" x14ac:dyDescent="0.25">
      <c r="A142" t="s">
        <v>547</v>
      </c>
      <c r="B142" t="s">
        <v>1217</v>
      </c>
      <c r="D142" s="22" t="s">
        <v>1218</v>
      </c>
      <c r="E142" s="16">
        <v>45112</v>
      </c>
      <c r="F142" s="16">
        <v>45915</v>
      </c>
      <c r="G142" t="s">
        <v>1101</v>
      </c>
      <c r="H142" t="s">
        <v>1219</v>
      </c>
      <c r="I142" t="s">
        <v>1220</v>
      </c>
      <c r="J142" t="s">
        <v>1221</v>
      </c>
      <c r="K142" t="s">
        <v>660</v>
      </c>
      <c r="L142" s="53">
        <f t="shared" si="4"/>
        <v>26.766666666666666</v>
      </c>
      <c r="M142" s="19">
        <f t="shared" si="5"/>
        <v>803</v>
      </c>
      <c r="N142" t="str">
        <f ca="1">IF(TRIM(SUBSTITUTE($B142,CHAR(160)," "))="","",IFERROR(IF(ISNUMBER(SEARCH("INC",$B142)),"INC",IF(ISNUMBER(SEARCH("OPI",$B142)),"OPI",IF(ISNUMBER(SEARCH("DP",$B142)),"DP","CONC")))&amp;" "&amp;TEXT(LOOKUP(9.99E+307,--MID(SUBSTITUTE($B142,CHAR(160)," "),SUMPRODUCT(MIN(FIND({0,1,2,3,4,5,6,7,8,9},SUBSTITUTE($B142,CHAR(160)," ")&amp;"0123456789"))),ROW(INDIRECT("1:6")))),"0"),"SIN NUMERO"))</f>
        <v>CONC 1922</v>
      </c>
      <c r="O142" t="str">
        <f ca="1">IF($N142="","",IF(LEFT(UPPER($P142),9)="VERIFICAR","VERIFICAR",IF(AND($H142&lt;&gt;"",COUNTIFS($N$2:$N$1000,$N142,$H$2:$H$1000,$H142)&gt;1),"DUPLICADA",IF(TRIM(IF($A142="","tipo ","")&amp;IF($F142="","fecha de firma ","")&amp;IF($G142="","decisión ","")&amp;IF($H142="","N° resolución ","")&amp;IF($I142="","N° dictamen",""))&lt;&gt;"","INCOMPLETA: "&amp;TRIM(IF($A142="","tipo ","")&amp;IF($F142="","fecha de firma ","")&amp;IF($G142="","decisión ","")&amp;IF($H142="","N° resolución ","")&amp;IF($I142="","N° dictamen","")),IF(LEFT($N142,4)&lt;&gt;"CONC","OK",IF(N($Q142)=0,IF(AND(ISNUMBER($E142),$E142&gt;=DATE(2024,1,1)),"FALTA EN evol_conc","OK"),IF(INDEX(evol_conc!$H:$H,$Q142)&lt;&gt;$F142,"FIRMA DISTINTA EN evol_conc ("&amp;IF(INDEX(evol_conc!$H:$H,$Q142)="","vacía",DAY(INDEX(evol_conc!$H:$H,$Q142))&amp;"/"&amp;MONTH(INDEX(evol_conc!$H:$H,$Q142))&amp;"/"&amp;YEAR(INDEX(evol_conc!$H:$H,$Q142)))&amp;")",IF(INDEX(evol_conc!$G:$G,$Q142)&lt;&gt;$E142,"INGRESO DISTINTO EN evol_conc ("&amp;IF(INDEX(evol_conc!$G:$G,$Q142)="","vacía",DAY(INDEX(evol_conc!$G:$G,$Q142))&amp;"/"&amp;MONTH(INDEX(evol_conc!$G:$G,$Q142))&amp;"/"&amp;YEAR(INDEX(evol_conc!$G:$G,$Q142)))&amp;")","OK"))))))))</f>
        <v>OK</v>
      </c>
      <c r="Q142">
        <f ca="1">IF($N142="","",IFERROR(MATCH($N142,evol_conc!$P:$P,0),0))</f>
        <v>0</v>
      </c>
    </row>
    <row r="143" spans="1:17" ht="18" hidden="1" customHeight="1" x14ac:dyDescent="0.25">
      <c r="B143" t="s">
        <v>1222</v>
      </c>
      <c r="D143" t="s">
        <v>262</v>
      </c>
      <c r="E143" s="16">
        <v>45624</v>
      </c>
      <c r="F143" s="16">
        <v>45925</v>
      </c>
      <c r="L143" s="53">
        <f t="shared" si="4"/>
        <v>10.033333333333333</v>
      </c>
      <c r="M143" s="19">
        <f t="shared" si="5"/>
        <v>301</v>
      </c>
      <c r="N143" t="str">
        <f ca="1">IF(TRIM(SUBSTITUTE($B143,CHAR(160)," "))="","",IFERROR(IF(ISNUMBER(SEARCH("INC",$B143)),"INC",IF(ISNUMBER(SEARCH("OPI",$B143)),"OPI",IF(ISNUMBER(SEARCH("DP",$B143)),"DP","CONC")))&amp;" "&amp;TEXT(LOOKUP(9.99E+307,--MID(SUBSTITUTE($B143,CHAR(160)," "),SUMPRODUCT(MIN(FIND({0,1,2,3,4,5,6,7,8,9},SUBSTITUTE($B143,CHAR(160)," ")&amp;"0123456789"))),ROW(INDIRECT("1:6")))),"0"),"SIN NUMERO"))</f>
        <v>CONC 2007</v>
      </c>
      <c r="O143" t="str">
        <f ca="1">IF($N143="","",IF(LEFT(UPPER($P143),9)="VERIFICAR","VERIFICAR",IF(AND($H143&lt;&gt;"",COUNTIFS($N$2:$N$1000,$N143,$H$2:$H$1000,$H143)&gt;1),"DUPLICADA",IF(TRIM(IF($A143="","tipo ","")&amp;IF($F143="","fecha de firma ","")&amp;IF($G143="","decisión ","")&amp;IF($H143="","N° resolución ","")&amp;IF($I143="","N° dictamen",""))&lt;&gt;"","INCOMPLETA: "&amp;TRIM(IF($A143="","tipo ","")&amp;IF($F143="","fecha de firma ","")&amp;IF($G143="","decisión ","")&amp;IF($H143="","N° resolución ","")&amp;IF($I143="","N° dictamen","")),IF(LEFT($N143,4)&lt;&gt;"CONC","OK",IF(N($Q143)=0,IF(AND(ISNUMBER($E143),$E143&gt;=DATE(2024,1,1)),"FALTA EN evol_conc","OK"),IF(INDEX(evol_conc!$H:$H,$Q143)&lt;&gt;$F143,"FIRMA DISTINTA EN evol_conc ("&amp;IF(INDEX(evol_conc!$H:$H,$Q143)="","vacía",DAY(INDEX(evol_conc!$H:$H,$Q143))&amp;"/"&amp;MONTH(INDEX(evol_conc!$H:$H,$Q143))&amp;"/"&amp;YEAR(INDEX(evol_conc!$H:$H,$Q143)))&amp;")",IF(INDEX(evol_conc!$G:$G,$Q143)&lt;&gt;$E143,"INGRESO DISTINTO EN evol_conc ("&amp;IF(INDEX(evol_conc!$G:$G,$Q143)="","vacía",DAY(INDEX(evol_conc!$G:$G,$Q143))&amp;"/"&amp;MONTH(INDEX(evol_conc!$G:$G,$Q143))&amp;"/"&amp;YEAR(INDEX(evol_conc!$G:$G,$Q143)))&amp;")","OK"))))))))</f>
        <v>VERIFICAR</v>
      </c>
      <c r="P143" t="s">
        <v>263</v>
      </c>
      <c r="Q143">
        <f ca="1">IF($N143="","",IFERROR(MATCH($N143,evol_conc!$P:$P,0),0))</f>
        <v>84</v>
      </c>
    </row>
    <row r="144" spans="1:17" ht="18" hidden="1" customHeight="1" x14ac:dyDescent="0.25">
      <c r="A144" t="s">
        <v>547</v>
      </c>
      <c r="B144" t="s">
        <v>1223</v>
      </c>
      <c r="D144" t="s">
        <v>238</v>
      </c>
      <c r="E144" s="16">
        <v>45541</v>
      </c>
      <c r="F144" s="16">
        <v>45930</v>
      </c>
      <c r="G144" t="s">
        <v>1101</v>
      </c>
      <c r="H144" t="s">
        <v>1224</v>
      </c>
      <c r="I144" t="s">
        <v>1225</v>
      </c>
      <c r="J144" t="s">
        <v>1226</v>
      </c>
      <c r="K144" t="s">
        <v>560</v>
      </c>
      <c r="L144" s="53">
        <f t="shared" si="4"/>
        <v>12.966666666666667</v>
      </c>
      <c r="M144" s="19">
        <f t="shared" si="5"/>
        <v>389</v>
      </c>
      <c r="N144" t="str">
        <f ca="1">IF(TRIM(SUBSTITUTE($B144,CHAR(160)," "))="","",IFERROR(IF(ISNUMBER(SEARCH("INC",$B144)),"INC",IF(ISNUMBER(SEARCH("OPI",$B144)),"OPI",IF(ISNUMBER(SEARCH("DP",$B144)),"DP","CONC")))&amp;" "&amp;TEXT(LOOKUP(9.99E+307,--MID(SUBSTITUTE($B144,CHAR(160)," "),SUMPRODUCT(MIN(FIND({0,1,2,3,4,5,6,7,8,9},SUBSTITUTE($B144,CHAR(160)," ")&amp;"0123456789"))),ROW(INDIRECT("1:6")))),"0"),"SIN NUMERO"))</f>
        <v>CONC 1992</v>
      </c>
      <c r="O144" t="str">
        <f ca="1">IF($N144="","",IF(LEFT(UPPER($P144),9)="VERIFICAR","VERIFICAR",IF(AND($H144&lt;&gt;"",COUNTIFS($N$2:$N$1000,$N144,$H$2:$H$1000,$H144)&gt;1),"DUPLICADA",IF(TRIM(IF($A144="","tipo ","")&amp;IF($F144="","fecha de firma ","")&amp;IF($G144="","decisión ","")&amp;IF($H144="","N° resolución ","")&amp;IF($I144="","N° dictamen",""))&lt;&gt;"","INCOMPLETA: "&amp;TRIM(IF($A144="","tipo ","")&amp;IF($F144="","fecha de firma ","")&amp;IF($G144="","decisión ","")&amp;IF($H144="","N° resolución ","")&amp;IF($I144="","N° dictamen","")),IF(LEFT($N144,4)&lt;&gt;"CONC","OK",IF(N($Q144)=0,IF(AND(ISNUMBER($E144),$E144&gt;=DATE(2024,1,1)),"FALTA EN evol_conc","OK"),IF(INDEX(evol_conc!$H:$H,$Q144)&lt;&gt;$F144,"FIRMA DISTINTA EN evol_conc ("&amp;IF(INDEX(evol_conc!$H:$H,$Q144)="","vacía",DAY(INDEX(evol_conc!$H:$H,$Q144))&amp;"/"&amp;MONTH(INDEX(evol_conc!$H:$H,$Q144))&amp;"/"&amp;YEAR(INDEX(evol_conc!$H:$H,$Q144)))&amp;")",IF(INDEX(evol_conc!$G:$G,$Q144)&lt;&gt;$E144,"INGRESO DISTINTO EN evol_conc ("&amp;IF(INDEX(evol_conc!$G:$G,$Q144)="","vacía",DAY(INDEX(evol_conc!$G:$G,$Q144))&amp;"/"&amp;MONTH(INDEX(evol_conc!$G:$G,$Q144))&amp;"/"&amp;YEAR(INDEX(evol_conc!$G:$G,$Q144)))&amp;")","OK"))))))))</f>
        <v>OK</v>
      </c>
      <c r="Q144">
        <f ca="1">IF($N144="","",IFERROR(MATCH($N144,evol_conc!$P:$P,0),0))</f>
        <v>68</v>
      </c>
    </row>
    <row r="145" spans="1:17" ht="18" hidden="1" customHeight="1" x14ac:dyDescent="0.25">
      <c r="A145" t="s">
        <v>624</v>
      </c>
      <c r="B145" t="s">
        <v>1227</v>
      </c>
      <c r="D145" t="s">
        <v>325</v>
      </c>
      <c r="E145" s="16">
        <v>45860</v>
      </c>
      <c r="F145" s="16">
        <v>45932</v>
      </c>
      <c r="G145" s="16" t="s">
        <v>1228</v>
      </c>
      <c r="H145" t="s">
        <v>1229</v>
      </c>
      <c r="I145" t="s">
        <v>1230</v>
      </c>
      <c r="J145" t="s">
        <v>852</v>
      </c>
      <c r="K145" t="s">
        <v>592</v>
      </c>
      <c r="L145" s="53">
        <f t="shared" si="4"/>
        <v>2.4</v>
      </c>
      <c r="M145" s="19">
        <f t="shared" si="5"/>
        <v>72</v>
      </c>
      <c r="N145" t="str">
        <f ca="1">IF(TRIM(SUBSTITUTE($B145,CHAR(160)," "))="","",IFERROR(IF(ISNUMBER(SEARCH("INC",$B145)),"INC",IF(ISNUMBER(SEARCH("OPI",$B145)),"OPI",IF(ISNUMBER(SEARCH("DP",$B145)),"DP","CONC")))&amp;" "&amp;TEXT(LOOKUP(9.99E+307,--MID(SUBSTITUTE($B145,CHAR(160)," "),SUMPRODUCT(MIN(FIND({0,1,2,3,4,5,6,7,8,9},SUBSTITUTE($B145,CHAR(160)," ")&amp;"0123456789"))),ROW(INDIRECT("1:6")))),"0"),"SIN NUMERO"))</f>
        <v>CONC 2048</v>
      </c>
      <c r="O145" t="str">
        <f ca="1">IF($N145="","",IF(LEFT(UPPER($P145),9)="VERIFICAR","VERIFICAR",IF(AND($H145&lt;&gt;"",COUNTIFS($N$2:$N$1000,$N145,$H$2:$H$1000,$H145)&gt;1),"DUPLICADA",IF(TRIM(IF($A145="","tipo ","")&amp;IF($F145="","fecha de firma ","")&amp;IF($G145="","decisión ","")&amp;IF($H145="","N° resolución ","")&amp;IF($I145="","N° dictamen",""))&lt;&gt;"","INCOMPLETA: "&amp;TRIM(IF($A145="","tipo ","")&amp;IF($F145="","fecha de firma ","")&amp;IF($G145="","decisión ","")&amp;IF($H145="","N° resolución ","")&amp;IF($I145="","N° dictamen","")),IF(LEFT($N145,4)&lt;&gt;"CONC","OK",IF(N($Q145)=0,IF(AND(ISNUMBER($E145),$E145&gt;=DATE(2024,1,1)),"FALTA EN evol_conc","OK"),IF(INDEX(evol_conc!$H:$H,$Q145)&lt;&gt;$F145,"FIRMA DISTINTA EN evol_conc ("&amp;IF(INDEX(evol_conc!$H:$H,$Q145)="","vacía",DAY(INDEX(evol_conc!$H:$H,$Q145))&amp;"/"&amp;MONTH(INDEX(evol_conc!$H:$H,$Q145))&amp;"/"&amp;YEAR(INDEX(evol_conc!$H:$H,$Q145)))&amp;")",IF(INDEX(evol_conc!$G:$G,$Q145)&lt;&gt;$E145,"INGRESO DISTINTO EN evol_conc ("&amp;IF(INDEX(evol_conc!$G:$G,$Q145)="","vacía",DAY(INDEX(evol_conc!$G:$G,$Q145))&amp;"/"&amp;MONTH(INDEX(evol_conc!$G:$G,$Q145))&amp;"/"&amp;YEAR(INDEX(evol_conc!$G:$G,$Q145)))&amp;")","OK"))))))))</f>
        <v>OK</v>
      </c>
      <c r="Q145">
        <f ca="1">IF($N145="","",IFERROR(MATCH($N145,evol_conc!$P:$P,0),0))</f>
        <v>126</v>
      </c>
    </row>
    <row r="146" spans="1:17" ht="18" hidden="1" customHeight="1" x14ac:dyDescent="0.25">
      <c r="A146" t="s">
        <v>547</v>
      </c>
      <c r="B146" t="s">
        <v>1231</v>
      </c>
      <c r="D146" t="s">
        <v>1232</v>
      </c>
      <c r="E146" s="16">
        <v>44916</v>
      </c>
      <c r="F146" s="16">
        <v>45936</v>
      </c>
      <c r="G146" t="s">
        <v>1101</v>
      </c>
      <c r="H146" t="s">
        <v>1233</v>
      </c>
      <c r="I146" t="s">
        <v>1234</v>
      </c>
      <c r="J146" t="s">
        <v>1235</v>
      </c>
      <c r="K146" t="s">
        <v>560</v>
      </c>
      <c r="L146" s="53">
        <f t="shared" si="4"/>
        <v>34</v>
      </c>
      <c r="M146" s="19">
        <f t="shared" si="5"/>
        <v>1020</v>
      </c>
      <c r="N146" t="str">
        <f ca="1">IF(TRIM(SUBSTITUTE($B146,CHAR(160)," "))="","",IFERROR(IF(ISNUMBER(SEARCH("INC",$B146)),"INC",IF(ISNUMBER(SEARCH("OPI",$B146)),"OPI",IF(ISNUMBER(SEARCH("DP",$B146)),"DP","CONC")))&amp;" "&amp;TEXT(LOOKUP(9.99E+307,--MID(SUBSTITUTE($B146,CHAR(160)," "),SUMPRODUCT(MIN(FIND({0,1,2,3,4,5,6,7,8,9},SUBSTITUTE($B146,CHAR(160)," ")&amp;"0123456789"))),ROW(INDIRECT("1:6")))),"0"),"SIN NUMERO"))</f>
        <v>CONC 1886</v>
      </c>
      <c r="O146" t="str">
        <f ca="1">IF($N146="","",IF(LEFT(UPPER($P146),9)="VERIFICAR","VERIFICAR",IF(AND($H146&lt;&gt;"",COUNTIFS($N$2:$N$1000,$N146,$H$2:$H$1000,$H146)&gt;1),"DUPLICADA",IF(TRIM(IF($A146="","tipo ","")&amp;IF($F146="","fecha de firma ","")&amp;IF($G146="","decisión ","")&amp;IF($H146="","N° resolución ","")&amp;IF($I146="","N° dictamen",""))&lt;&gt;"","INCOMPLETA: "&amp;TRIM(IF($A146="","tipo ","")&amp;IF($F146="","fecha de firma ","")&amp;IF($G146="","decisión ","")&amp;IF($H146="","N° resolución ","")&amp;IF($I146="","N° dictamen","")),IF(LEFT($N146,4)&lt;&gt;"CONC","OK",IF(N($Q146)=0,IF(AND(ISNUMBER($E146),$E146&gt;=DATE(2024,1,1)),"FALTA EN evol_conc","OK"),IF(INDEX(evol_conc!$H:$H,$Q146)&lt;&gt;$F146,"FIRMA DISTINTA EN evol_conc ("&amp;IF(INDEX(evol_conc!$H:$H,$Q146)="","vacía",DAY(INDEX(evol_conc!$H:$H,$Q146))&amp;"/"&amp;MONTH(INDEX(evol_conc!$H:$H,$Q146))&amp;"/"&amp;YEAR(INDEX(evol_conc!$H:$H,$Q146)))&amp;")",IF(INDEX(evol_conc!$G:$G,$Q146)&lt;&gt;$E146,"INGRESO DISTINTO EN evol_conc ("&amp;IF(INDEX(evol_conc!$G:$G,$Q146)="","vacía",DAY(INDEX(evol_conc!$G:$G,$Q146))&amp;"/"&amp;MONTH(INDEX(evol_conc!$G:$G,$Q146))&amp;"/"&amp;YEAR(INDEX(evol_conc!$G:$G,$Q146)))&amp;")","OK"))))))))</f>
        <v>OK</v>
      </c>
      <c r="Q146">
        <f ca="1">IF($N146="","",IFERROR(MATCH($N146,evol_conc!$P:$P,0),0))</f>
        <v>0</v>
      </c>
    </row>
    <row r="147" spans="1:17" ht="18" hidden="1" customHeight="1" x14ac:dyDescent="0.25">
      <c r="A147" t="s">
        <v>547</v>
      </c>
      <c r="B147" t="s">
        <v>1236</v>
      </c>
      <c r="D147" t="s">
        <v>1237</v>
      </c>
      <c r="E147" s="16">
        <v>45208</v>
      </c>
      <c r="F147" s="16">
        <v>45943</v>
      </c>
      <c r="G147" t="s">
        <v>1101</v>
      </c>
      <c r="H147" t="s">
        <v>1238</v>
      </c>
      <c r="I147" t="s">
        <v>1239</v>
      </c>
      <c r="J147" t="s">
        <v>1240</v>
      </c>
      <c r="K147" t="s">
        <v>560</v>
      </c>
      <c r="L147" s="53">
        <f t="shared" si="4"/>
        <v>24.5</v>
      </c>
      <c r="M147" s="19">
        <f t="shared" si="5"/>
        <v>735</v>
      </c>
      <c r="N147" t="str">
        <f ca="1">IF(TRIM(SUBSTITUTE($B147,CHAR(160)," "))="","",IFERROR(IF(ISNUMBER(SEARCH("INC",$B147)),"INC",IF(ISNUMBER(SEARCH("OPI",$B147)),"OPI",IF(ISNUMBER(SEARCH("DP",$B147)),"DP","CONC")))&amp;" "&amp;TEXT(LOOKUP(9.99E+307,--MID(SUBSTITUTE($B147,CHAR(160)," "),SUMPRODUCT(MIN(FIND({0,1,2,3,4,5,6,7,8,9},SUBSTITUTE($B147,CHAR(160)," ")&amp;"0123456789"))),ROW(INDIRECT("1:6")))),"0"),"SIN NUMERO"))</f>
        <v>CONC 1938</v>
      </c>
      <c r="O147" t="str">
        <f ca="1">IF($N147="","",IF(LEFT(UPPER($P147),9)="VERIFICAR","VERIFICAR",IF(AND($H147&lt;&gt;"",COUNTIFS($N$2:$N$1000,$N147,$H$2:$H$1000,$H147)&gt;1),"DUPLICADA",IF(TRIM(IF($A147="","tipo ","")&amp;IF($F147="","fecha de firma ","")&amp;IF($G147="","decisión ","")&amp;IF($H147="","N° resolución ","")&amp;IF($I147="","N° dictamen",""))&lt;&gt;"","INCOMPLETA: "&amp;TRIM(IF($A147="","tipo ","")&amp;IF($F147="","fecha de firma ","")&amp;IF($G147="","decisión ","")&amp;IF($H147="","N° resolución ","")&amp;IF($I147="","N° dictamen","")),IF(LEFT($N147,4)&lt;&gt;"CONC","OK",IF(N($Q147)=0,IF(AND(ISNUMBER($E147),$E147&gt;=DATE(2024,1,1)),"FALTA EN evol_conc","OK"),IF(INDEX(evol_conc!$H:$H,$Q147)&lt;&gt;$F147,"FIRMA DISTINTA EN evol_conc ("&amp;IF(INDEX(evol_conc!$H:$H,$Q147)="","vacía",DAY(INDEX(evol_conc!$H:$H,$Q147))&amp;"/"&amp;MONTH(INDEX(evol_conc!$H:$H,$Q147))&amp;"/"&amp;YEAR(INDEX(evol_conc!$H:$H,$Q147)))&amp;")",IF(INDEX(evol_conc!$G:$G,$Q147)&lt;&gt;$E147,"INGRESO DISTINTO EN evol_conc ("&amp;IF(INDEX(evol_conc!$G:$G,$Q147)="","vacía",DAY(INDEX(evol_conc!$G:$G,$Q147))&amp;"/"&amp;MONTH(INDEX(evol_conc!$G:$G,$Q147))&amp;"/"&amp;YEAR(INDEX(evol_conc!$G:$G,$Q147)))&amp;")","OK"))))))))</f>
        <v>OK</v>
      </c>
      <c r="Q147">
        <f ca="1">IF($N147="","",IFERROR(MATCH($N147,evol_conc!$P:$P,0),0))</f>
        <v>0</v>
      </c>
    </row>
    <row r="148" spans="1:17" ht="18" hidden="1" customHeight="1" x14ac:dyDescent="0.25">
      <c r="A148" t="s">
        <v>547</v>
      </c>
      <c r="B148" t="s">
        <v>1241</v>
      </c>
      <c r="D148" t="s">
        <v>1242</v>
      </c>
      <c r="E148" s="16">
        <v>45253</v>
      </c>
      <c r="F148" s="16">
        <v>45943</v>
      </c>
      <c r="G148" t="s">
        <v>1101</v>
      </c>
      <c r="H148" t="s">
        <v>1243</v>
      </c>
      <c r="I148" t="s">
        <v>1244</v>
      </c>
      <c r="J148" t="s">
        <v>1245</v>
      </c>
      <c r="K148" t="s">
        <v>560</v>
      </c>
      <c r="L148" s="53">
        <f t="shared" si="4"/>
        <v>23</v>
      </c>
      <c r="M148" s="19">
        <f t="shared" si="5"/>
        <v>690</v>
      </c>
      <c r="N148" t="str">
        <f ca="1">IF(TRIM(SUBSTITUTE($B148,CHAR(160)," "))="","",IFERROR(IF(ISNUMBER(SEARCH("INC",$B148)),"INC",IF(ISNUMBER(SEARCH("OPI",$B148)),"OPI",IF(ISNUMBER(SEARCH("DP",$B148)),"DP","CONC")))&amp;" "&amp;TEXT(LOOKUP(9.99E+307,--MID(SUBSTITUTE($B148,CHAR(160)," "),SUMPRODUCT(MIN(FIND({0,1,2,3,4,5,6,7,8,9},SUBSTITUTE($B148,CHAR(160)," ")&amp;"0123456789"))),ROW(INDIRECT("1:6")))),"0"),"SIN NUMERO"))</f>
        <v>CONC 1948</v>
      </c>
      <c r="O148" t="str">
        <f ca="1">IF($N148="","",IF(LEFT(UPPER($P148),9)="VERIFICAR","VERIFICAR",IF(AND($H148&lt;&gt;"",COUNTIFS($N$2:$N$1000,$N148,$H$2:$H$1000,$H148)&gt;1),"DUPLICADA",IF(TRIM(IF($A148="","tipo ","")&amp;IF($F148="","fecha de firma ","")&amp;IF($G148="","decisión ","")&amp;IF($H148="","N° resolución ","")&amp;IF($I148="","N° dictamen",""))&lt;&gt;"","INCOMPLETA: "&amp;TRIM(IF($A148="","tipo ","")&amp;IF($F148="","fecha de firma ","")&amp;IF($G148="","decisión ","")&amp;IF($H148="","N° resolución ","")&amp;IF($I148="","N° dictamen","")),IF(LEFT($N148,4)&lt;&gt;"CONC","OK",IF(N($Q148)=0,IF(AND(ISNUMBER($E148),$E148&gt;=DATE(2024,1,1)),"FALTA EN evol_conc","OK"),IF(INDEX(evol_conc!$H:$H,$Q148)&lt;&gt;$F148,"FIRMA DISTINTA EN evol_conc ("&amp;IF(INDEX(evol_conc!$H:$H,$Q148)="","vacía",DAY(INDEX(evol_conc!$H:$H,$Q148))&amp;"/"&amp;MONTH(INDEX(evol_conc!$H:$H,$Q148))&amp;"/"&amp;YEAR(INDEX(evol_conc!$H:$H,$Q148)))&amp;")",IF(INDEX(evol_conc!$G:$G,$Q148)&lt;&gt;$E148,"INGRESO DISTINTO EN evol_conc ("&amp;IF(INDEX(evol_conc!$G:$G,$Q148)="","vacía",DAY(INDEX(evol_conc!$G:$G,$Q148))&amp;"/"&amp;MONTH(INDEX(evol_conc!$G:$G,$Q148))&amp;"/"&amp;YEAR(INDEX(evol_conc!$G:$G,$Q148)))&amp;")","OK"))))))))</f>
        <v>OK</v>
      </c>
      <c r="Q148">
        <f ca="1">IF($N148="","",IFERROR(MATCH($N148,evol_conc!$P:$P,0),0))</f>
        <v>0</v>
      </c>
    </row>
    <row r="149" spans="1:17" ht="18" hidden="1" customHeight="1" x14ac:dyDescent="0.25">
      <c r="A149" t="s">
        <v>547</v>
      </c>
      <c r="B149" t="s">
        <v>1246</v>
      </c>
      <c r="D149" t="s">
        <v>211</v>
      </c>
      <c r="E149" s="16">
        <v>45411</v>
      </c>
      <c r="F149" s="16">
        <v>45943</v>
      </c>
      <c r="G149" t="s">
        <v>1247</v>
      </c>
      <c r="H149" t="s">
        <v>1248</v>
      </c>
      <c r="I149" t="s">
        <v>1249</v>
      </c>
      <c r="J149" t="s">
        <v>1250</v>
      </c>
      <c r="K149" t="s">
        <v>592</v>
      </c>
      <c r="L149" s="53">
        <f t="shared" si="4"/>
        <v>17.733333333333334</v>
      </c>
      <c r="M149" s="19">
        <f t="shared" si="5"/>
        <v>532</v>
      </c>
      <c r="N149" t="str">
        <f ca="1">IF(TRIM(SUBSTITUTE($B149,CHAR(160)," "))="","",IFERROR(IF(ISNUMBER(SEARCH("INC",$B149)),"INC",IF(ISNUMBER(SEARCH("OPI",$B149)),"OPI",IF(ISNUMBER(SEARCH("DP",$B149)),"DP","CONC")))&amp;" "&amp;TEXT(LOOKUP(9.99E+307,--MID(SUBSTITUTE($B149,CHAR(160)," "),SUMPRODUCT(MIN(FIND({0,1,2,3,4,5,6,7,8,9},SUBSTITUTE($B149,CHAR(160)," ")&amp;"0123456789"))),ROW(INDIRECT("1:6")))),"0"),"SIN NUMERO"))</f>
        <v>CONC 1972</v>
      </c>
      <c r="O149" t="str">
        <f ca="1">IF($N149="","",IF(LEFT(UPPER($P149),9)="VERIFICAR","VERIFICAR",IF(AND($H149&lt;&gt;"",COUNTIFS($N$2:$N$1000,$N149,$H$2:$H$1000,$H149)&gt;1),"DUPLICADA",IF(TRIM(IF($A149="","tipo ","")&amp;IF($F149="","fecha de firma ","")&amp;IF($G149="","decisión ","")&amp;IF($H149="","N° resolución ","")&amp;IF($I149="","N° dictamen",""))&lt;&gt;"","INCOMPLETA: "&amp;TRIM(IF($A149="","tipo ","")&amp;IF($F149="","fecha de firma ","")&amp;IF($G149="","decisión ","")&amp;IF($H149="","N° resolución ","")&amp;IF($I149="","N° dictamen","")),IF(LEFT($N149,4)&lt;&gt;"CONC","OK",IF(N($Q149)=0,IF(AND(ISNUMBER($E149),$E149&gt;=DATE(2024,1,1)),"FALTA EN evol_conc","OK"),IF(INDEX(evol_conc!$H:$H,$Q149)&lt;&gt;$F149,"FIRMA DISTINTA EN evol_conc ("&amp;IF(INDEX(evol_conc!$H:$H,$Q149)="","vacía",DAY(INDEX(evol_conc!$H:$H,$Q149))&amp;"/"&amp;MONTH(INDEX(evol_conc!$H:$H,$Q149))&amp;"/"&amp;YEAR(INDEX(evol_conc!$H:$H,$Q149)))&amp;")",IF(INDEX(evol_conc!$G:$G,$Q149)&lt;&gt;$E149,"INGRESO DISTINTO EN evol_conc ("&amp;IF(INDEX(evol_conc!$G:$G,$Q149)="","vacía",DAY(INDEX(evol_conc!$G:$G,$Q149))&amp;"/"&amp;MONTH(INDEX(evol_conc!$G:$G,$Q149))&amp;"/"&amp;YEAR(INDEX(evol_conc!$G:$G,$Q149)))&amp;")","OK"))))))))</f>
        <v>OK</v>
      </c>
      <c r="Q149">
        <f ca="1">IF($N149="","",IFERROR(MATCH($N149,evol_conc!$P:$P,0),0))</f>
        <v>49</v>
      </c>
    </row>
    <row r="150" spans="1:17" ht="18" hidden="1" customHeight="1" x14ac:dyDescent="0.25">
      <c r="A150" t="s">
        <v>1089</v>
      </c>
      <c r="B150" t="s">
        <v>1251</v>
      </c>
      <c r="D150" t="s">
        <v>1252</v>
      </c>
      <c r="E150" s="16">
        <v>45715</v>
      </c>
      <c r="F150" s="16">
        <v>45943</v>
      </c>
      <c r="G150" t="s">
        <v>1253</v>
      </c>
      <c r="H150" t="s">
        <v>1254</v>
      </c>
      <c r="I150" t="s">
        <v>1255</v>
      </c>
      <c r="L150" s="53">
        <f t="shared" si="4"/>
        <v>7.6</v>
      </c>
      <c r="M150" s="19">
        <f t="shared" si="5"/>
        <v>228</v>
      </c>
      <c r="N150" t="str">
        <f ca="1">IF(TRIM(SUBSTITUTE($B150,CHAR(160)," "))="","",IFERROR(IF(ISNUMBER(SEARCH("INC",$B150)),"INC",IF(ISNUMBER(SEARCH("OPI",$B150)),"OPI",IF(ISNUMBER(SEARCH("DP",$B150)),"DP","CONC")))&amp;" "&amp;TEXT(LOOKUP(9.99E+307,--MID(SUBSTITUTE($B150,CHAR(160)," "),SUMPRODUCT(MIN(FIND({0,1,2,3,4,5,6,7,8,9},SUBSTITUTE($B150,CHAR(160)," ")&amp;"0123456789"))),ROW(INDIRECT("1:6")))),"0"),"SIN NUMERO"))</f>
        <v>OPI 376</v>
      </c>
      <c r="O150" t="str">
        <f ca="1">IF($N150="","",IF(LEFT(UPPER($P150),9)="VERIFICAR","VERIFICAR",IF(AND($H150&lt;&gt;"",COUNTIFS($N$2:$N$1000,$N150,$H$2:$H$1000,$H150)&gt;1),"DUPLICADA",IF(TRIM(IF($A150="","tipo ","")&amp;IF($F150="","fecha de firma ","")&amp;IF($G150="","decisión ","")&amp;IF($H150="","N° resolución ","")&amp;IF($I150="","N° dictamen",""))&lt;&gt;"","INCOMPLETA: "&amp;TRIM(IF($A150="","tipo ","")&amp;IF($F150="","fecha de firma ","")&amp;IF($G150="","decisión ","")&amp;IF($H150="","N° resolución ","")&amp;IF($I150="","N° dictamen","")),IF(LEFT($N150,4)&lt;&gt;"CONC","OK",IF(N($Q150)=0,IF(AND(ISNUMBER($E150),$E150&gt;=DATE(2024,1,1)),"FALTA EN evol_conc","OK"),IF(INDEX(evol_conc!$H:$H,$Q150)&lt;&gt;$F150,"FIRMA DISTINTA EN evol_conc ("&amp;IF(INDEX(evol_conc!$H:$H,$Q150)="","vacía",DAY(INDEX(evol_conc!$H:$H,$Q150))&amp;"/"&amp;MONTH(INDEX(evol_conc!$H:$H,$Q150))&amp;"/"&amp;YEAR(INDEX(evol_conc!$H:$H,$Q150)))&amp;")",IF(INDEX(evol_conc!$G:$G,$Q150)&lt;&gt;$E150,"INGRESO DISTINTO EN evol_conc ("&amp;IF(INDEX(evol_conc!$G:$G,$Q150)="","vacía",DAY(INDEX(evol_conc!$G:$G,$Q150))&amp;"/"&amp;MONTH(INDEX(evol_conc!$G:$G,$Q150))&amp;"/"&amp;YEAR(INDEX(evol_conc!$G:$G,$Q150)))&amp;")","OK"))))))))</f>
        <v>OK</v>
      </c>
      <c r="Q150">
        <f ca="1">IF($N150="","",IFERROR(MATCH($N150,evol_conc!$P:$P,0),0))</f>
        <v>0</v>
      </c>
    </row>
    <row r="151" spans="1:17" ht="18" hidden="1" customHeight="1" x14ac:dyDescent="0.25">
      <c r="A151" t="s">
        <v>624</v>
      </c>
      <c r="B151" t="s">
        <v>1256</v>
      </c>
      <c r="D151" t="s">
        <v>295</v>
      </c>
      <c r="E151" s="16">
        <v>45747</v>
      </c>
      <c r="F151" s="16">
        <v>45944</v>
      </c>
      <c r="G151" s="16" t="s">
        <v>1228</v>
      </c>
      <c r="H151" t="s">
        <v>1257</v>
      </c>
      <c r="I151" t="s">
        <v>1258</v>
      </c>
      <c r="J151" t="s">
        <v>1259</v>
      </c>
      <c r="K151" t="s">
        <v>1260</v>
      </c>
      <c r="L151" s="53">
        <f t="shared" si="4"/>
        <v>6.5666666666666664</v>
      </c>
      <c r="M151" s="19">
        <f t="shared" si="5"/>
        <v>197</v>
      </c>
      <c r="N151" t="str">
        <f ca="1">IF(TRIM(SUBSTITUTE($B151,CHAR(160)," "))="","",IFERROR(IF(ISNUMBER(SEARCH("INC",$B151)),"INC",IF(ISNUMBER(SEARCH("OPI",$B151)),"OPI",IF(ISNUMBER(SEARCH("DP",$B151)),"DP","CONC")))&amp;" "&amp;TEXT(LOOKUP(9.99E+307,--MID(SUBSTITUTE($B151,CHAR(160)," "),SUMPRODUCT(MIN(FIND({0,1,2,3,4,5,6,7,8,9},SUBSTITUTE($B151,CHAR(160)," ")&amp;"0123456789"))),ROW(INDIRECT("1:6")))),"0"),"SIN NUMERO"))</f>
        <v>CONC 2029</v>
      </c>
      <c r="O151" t="str">
        <f ca="1">IF($N151="","",IF(LEFT(UPPER($P151),9)="VERIFICAR","VERIFICAR",IF(AND($H151&lt;&gt;"",COUNTIFS($N$2:$N$1000,$N151,$H$2:$H$1000,$H151)&gt;1),"DUPLICADA",IF(TRIM(IF($A151="","tipo ","")&amp;IF($F151="","fecha de firma ","")&amp;IF($G151="","decisión ","")&amp;IF($H151="","N° resolución ","")&amp;IF($I151="","N° dictamen",""))&lt;&gt;"","INCOMPLETA: "&amp;TRIM(IF($A151="","tipo ","")&amp;IF($F151="","fecha de firma ","")&amp;IF($G151="","decisión ","")&amp;IF($H151="","N° resolución ","")&amp;IF($I151="","N° dictamen","")),IF(LEFT($N151,4)&lt;&gt;"CONC","OK",IF(N($Q151)=0,IF(AND(ISNUMBER($E151),$E151&gt;=DATE(2024,1,1)),"FALTA EN evol_conc","OK"),IF(INDEX(evol_conc!$H:$H,$Q151)&lt;&gt;$F151,"FIRMA DISTINTA EN evol_conc ("&amp;IF(INDEX(evol_conc!$H:$H,$Q151)="","vacía",DAY(INDEX(evol_conc!$H:$H,$Q151))&amp;"/"&amp;MONTH(INDEX(evol_conc!$H:$H,$Q151))&amp;"/"&amp;YEAR(INDEX(evol_conc!$H:$H,$Q151)))&amp;")",IF(INDEX(evol_conc!$G:$G,$Q151)&lt;&gt;$E151,"INGRESO DISTINTO EN evol_conc ("&amp;IF(INDEX(evol_conc!$G:$G,$Q151)="","vacía",DAY(INDEX(evol_conc!$G:$G,$Q151))&amp;"/"&amp;MONTH(INDEX(evol_conc!$G:$G,$Q151))&amp;"/"&amp;YEAR(INDEX(evol_conc!$G:$G,$Q151)))&amp;")","OK"))))))))</f>
        <v>OK</v>
      </c>
      <c r="Q151">
        <f ca="1">IF($N151="","",IFERROR(MATCH($N151,evol_conc!$P:$P,0),0))</f>
        <v>106</v>
      </c>
    </row>
    <row r="152" spans="1:17" ht="18" hidden="1" customHeight="1" x14ac:dyDescent="0.25">
      <c r="A152" t="s">
        <v>624</v>
      </c>
      <c r="B152" t="s">
        <v>1261</v>
      </c>
      <c r="D152" t="s">
        <v>304</v>
      </c>
      <c r="E152" s="16">
        <v>45789</v>
      </c>
      <c r="F152" s="16">
        <v>45952</v>
      </c>
      <c r="G152" s="16" t="s">
        <v>1228</v>
      </c>
      <c r="H152" t="s">
        <v>1262</v>
      </c>
      <c r="I152" t="s">
        <v>1263</v>
      </c>
      <c r="J152" t="s">
        <v>1264</v>
      </c>
      <c r="K152" t="s">
        <v>1138</v>
      </c>
      <c r="L152" s="53">
        <f t="shared" si="4"/>
        <v>5.4333333333333336</v>
      </c>
      <c r="M152" s="19">
        <f t="shared" si="5"/>
        <v>163</v>
      </c>
      <c r="N152" t="str">
        <f ca="1">IF(TRIM(SUBSTITUTE($B152,CHAR(160)," "))="","",IFERROR(IF(ISNUMBER(SEARCH("INC",$B152)),"INC",IF(ISNUMBER(SEARCH("OPI",$B152)),"OPI",IF(ISNUMBER(SEARCH("DP",$B152)),"DP","CONC")))&amp;" "&amp;TEXT(LOOKUP(9.99E+307,--MID(SUBSTITUTE($B152,CHAR(160)," "),SUMPRODUCT(MIN(FIND({0,1,2,3,4,5,6,7,8,9},SUBSTITUTE($B152,CHAR(160)," ")&amp;"0123456789"))),ROW(INDIRECT("1:6")))),"0"),"SIN NUMERO"))</f>
        <v>CONC 2035</v>
      </c>
      <c r="O152" t="str">
        <f ca="1">IF($N152="","",IF(LEFT(UPPER($P152),9)="VERIFICAR","VERIFICAR",IF(AND($H152&lt;&gt;"",COUNTIFS($N$2:$N$1000,$N152,$H$2:$H$1000,$H152)&gt;1),"DUPLICADA",IF(TRIM(IF($A152="","tipo ","")&amp;IF($F152="","fecha de firma ","")&amp;IF($G152="","decisión ","")&amp;IF($H152="","N° resolución ","")&amp;IF($I152="","N° dictamen",""))&lt;&gt;"","INCOMPLETA: "&amp;TRIM(IF($A152="","tipo ","")&amp;IF($F152="","fecha de firma ","")&amp;IF($G152="","decisión ","")&amp;IF($H152="","N° resolución ","")&amp;IF($I152="","N° dictamen","")),IF(LEFT($N152,4)&lt;&gt;"CONC","OK",IF(N($Q152)=0,IF(AND(ISNUMBER($E152),$E152&gt;=DATE(2024,1,1)),"FALTA EN evol_conc","OK"),IF(INDEX(evol_conc!$H:$H,$Q152)&lt;&gt;$F152,"FIRMA DISTINTA EN evol_conc ("&amp;IF(INDEX(evol_conc!$H:$H,$Q152)="","vacía",DAY(INDEX(evol_conc!$H:$H,$Q152))&amp;"/"&amp;MONTH(INDEX(evol_conc!$H:$H,$Q152))&amp;"/"&amp;YEAR(INDEX(evol_conc!$H:$H,$Q152)))&amp;")",IF(INDEX(evol_conc!$G:$G,$Q152)&lt;&gt;$E152,"INGRESO DISTINTO EN evol_conc ("&amp;IF(INDEX(evol_conc!$G:$G,$Q152)="","vacía",DAY(INDEX(evol_conc!$G:$G,$Q152))&amp;"/"&amp;MONTH(INDEX(evol_conc!$G:$G,$Q152))&amp;"/"&amp;YEAR(INDEX(evol_conc!$G:$G,$Q152)))&amp;")","OK"))))))))</f>
        <v>OK</v>
      </c>
      <c r="Q152">
        <f ca="1">IF($N152="","",IFERROR(MATCH($N152,evol_conc!$P:$P,0),0))</f>
        <v>113</v>
      </c>
    </row>
    <row r="153" spans="1:17" ht="18" hidden="1" customHeight="1" x14ac:dyDescent="0.25">
      <c r="A153" t="s">
        <v>547</v>
      </c>
      <c r="B153" t="s">
        <v>1265</v>
      </c>
      <c r="D153" t="s">
        <v>261</v>
      </c>
      <c r="E153" s="16">
        <v>45622</v>
      </c>
      <c r="F153" s="16">
        <v>45953</v>
      </c>
      <c r="G153" t="s">
        <v>1101</v>
      </c>
      <c r="H153" t="s">
        <v>1266</v>
      </c>
      <c r="I153" t="s">
        <v>1267</v>
      </c>
      <c r="J153" t="s">
        <v>1268</v>
      </c>
      <c r="K153" t="s">
        <v>560</v>
      </c>
      <c r="L153" s="53">
        <f t="shared" si="4"/>
        <v>11.033333333333333</v>
      </c>
      <c r="M153" s="19">
        <f t="shared" si="5"/>
        <v>331</v>
      </c>
      <c r="N153" t="str">
        <f ca="1">IF(TRIM(SUBSTITUTE($B153,CHAR(160)," "))="","",IFERROR(IF(ISNUMBER(SEARCH("INC",$B153)),"INC",IF(ISNUMBER(SEARCH("OPI",$B153)),"OPI",IF(ISNUMBER(SEARCH("DP",$B153)),"DP","CONC")))&amp;" "&amp;TEXT(LOOKUP(9.99E+307,--MID(SUBSTITUTE($B153,CHAR(160)," "),SUMPRODUCT(MIN(FIND({0,1,2,3,4,5,6,7,8,9},SUBSTITUTE($B153,CHAR(160)," ")&amp;"0123456789"))),ROW(INDIRECT("1:6")))),"0"),"SIN NUMERO"))</f>
        <v>CONC 2006</v>
      </c>
      <c r="O153" t="str">
        <f ca="1">IF($N153="","",IF(LEFT(UPPER($P153),9)="VERIFICAR","VERIFICAR",IF(AND($H153&lt;&gt;"",COUNTIFS($N$2:$N$1000,$N153,$H$2:$H$1000,$H153)&gt;1),"DUPLICADA",IF(TRIM(IF($A153="","tipo ","")&amp;IF($F153="","fecha de firma ","")&amp;IF($G153="","decisión ","")&amp;IF($H153="","N° resolución ","")&amp;IF($I153="","N° dictamen",""))&lt;&gt;"","INCOMPLETA: "&amp;TRIM(IF($A153="","tipo ","")&amp;IF($F153="","fecha de firma ","")&amp;IF($G153="","decisión ","")&amp;IF($H153="","N° resolución ","")&amp;IF($I153="","N° dictamen","")),IF(LEFT($N153,4)&lt;&gt;"CONC","OK",IF(N($Q153)=0,IF(AND(ISNUMBER($E153),$E153&gt;=DATE(2024,1,1)),"FALTA EN evol_conc","OK"),IF(INDEX(evol_conc!$H:$H,$Q153)&lt;&gt;$F153,"FIRMA DISTINTA EN evol_conc ("&amp;IF(INDEX(evol_conc!$H:$H,$Q153)="","vacía",DAY(INDEX(evol_conc!$H:$H,$Q153))&amp;"/"&amp;MONTH(INDEX(evol_conc!$H:$H,$Q153))&amp;"/"&amp;YEAR(INDEX(evol_conc!$H:$H,$Q153)))&amp;")",IF(INDEX(evol_conc!$G:$G,$Q153)&lt;&gt;$E153,"INGRESO DISTINTO EN evol_conc ("&amp;IF(INDEX(evol_conc!$G:$G,$Q153)="","vacía",DAY(INDEX(evol_conc!$G:$G,$Q153))&amp;"/"&amp;MONTH(INDEX(evol_conc!$G:$G,$Q153))&amp;"/"&amp;YEAR(INDEX(evol_conc!$G:$G,$Q153)))&amp;")","OK"))))))))</f>
        <v>OK</v>
      </c>
      <c r="Q153">
        <f ca="1">IF($N153="","",IFERROR(MATCH($N153,evol_conc!$P:$P,0),0))</f>
        <v>83</v>
      </c>
    </row>
    <row r="154" spans="1:17" ht="18" hidden="1" customHeight="1" x14ac:dyDescent="0.25">
      <c r="A154" t="s">
        <v>624</v>
      </c>
      <c r="B154" t="s">
        <v>1269</v>
      </c>
      <c r="D154" t="s">
        <v>313</v>
      </c>
      <c r="E154" s="16">
        <v>45827</v>
      </c>
      <c r="F154" s="16">
        <v>45965</v>
      </c>
      <c r="G154" s="16" t="s">
        <v>1270</v>
      </c>
      <c r="H154" t="s">
        <v>1271</v>
      </c>
      <c r="I154" t="s">
        <v>1272</v>
      </c>
      <c r="J154" t="s">
        <v>1273</v>
      </c>
      <c r="K154" t="s">
        <v>592</v>
      </c>
      <c r="L154" s="53">
        <f t="shared" si="4"/>
        <v>4.5999999999999996</v>
      </c>
      <c r="M154" s="19">
        <f t="shared" si="5"/>
        <v>138</v>
      </c>
      <c r="N154" t="str">
        <f ca="1">IF(TRIM(SUBSTITUTE($B154,CHAR(160)," "))="","",IFERROR(IF(ISNUMBER(SEARCH("INC",$B154)),"INC",IF(ISNUMBER(SEARCH("OPI",$B154)),"OPI",IF(ISNUMBER(SEARCH("DP",$B154)),"DP","CONC")))&amp;" "&amp;TEXT(LOOKUP(9.99E+307,--MID(SUBSTITUTE($B154,CHAR(160)," "),SUMPRODUCT(MIN(FIND({0,1,2,3,4,5,6,7,8,9},SUBSTITUTE($B154,CHAR(160)," ")&amp;"0123456789"))),ROW(INDIRECT("1:6")))),"0"),"SIN NUMERO"))</f>
        <v>CONC 2041</v>
      </c>
      <c r="O154" t="str">
        <f ca="1">IF($N154="","",IF(LEFT(UPPER($P154),9)="VERIFICAR","VERIFICAR",IF(AND($H154&lt;&gt;"",COUNTIFS($N$2:$N$1000,$N154,$H$2:$H$1000,$H154)&gt;1),"DUPLICADA",IF(TRIM(IF($A154="","tipo ","")&amp;IF($F154="","fecha de firma ","")&amp;IF($G154="","decisión ","")&amp;IF($H154="","N° resolución ","")&amp;IF($I154="","N° dictamen",""))&lt;&gt;"","INCOMPLETA: "&amp;TRIM(IF($A154="","tipo ","")&amp;IF($F154="","fecha de firma ","")&amp;IF($G154="","decisión ","")&amp;IF($H154="","N° resolución ","")&amp;IF($I154="","N° dictamen","")),IF(LEFT($N154,4)&lt;&gt;"CONC","OK",IF(N($Q154)=0,IF(AND(ISNUMBER($E154),$E154&gt;=DATE(2024,1,1)),"FALTA EN evol_conc","OK"),IF(INDEX(evol_conc!$H:$H,$Q154)&lt;&gt;$F154,"FIRMA DISTINTA EN evol_conc ("&amp;IF(INDEX(evol_conc!$H:$H,$Q154)="","vacía",DAY(INDEX(evol_conc!$H:$H,$Q154))&amp;"/"&amp;MONTH(INDEX(evol_conc!$H:$H,$Q154))&amp;"/"&amp;YEAR(INDEX(evol_conc!$H:$H,$Q154)))&amp;")",IF(INDEX(evol_conc!$G:$G,$Q154)&lt;&gt;$E154,"INGRESO DISTINTO EN evol_conc ("&amp;IF(INDEX(evol_conc!$G:$G,$Q154)="","vacía",DAY(INDEX(evol_conc!$G:$G,$Q154))&amp;"/"&amp;MONTH(INDEX(evol_conc!$G:$G,$Q154))&amp;"/"&amp;YEAR(INDEX(evol_conc!$G:$G,$Q154)))&amp;")","OK"))))))))</f>
        <v>OK</v>
      </c>
      <c r="Q154">
        <f ca="1">IF($N154="","",IFERROR(MATCH($N154,evol_conc!$P:$P,0),0))</f>
        <v>119</v>
      </c>
    </row>
    <row r="155" spans="1:17" ht="18" hidden="1" customHeight="1" x14ac:dyDescent="0.25">
      <c r="A155" t="s">
        <v>624</v>
      </c>
      <c r="B155" t="s">
        <v>1274</v>
      </c>
      <c r="D155" t="s">
        <v>318</v>
      </c>
      <c r="E155" s="16">
        <v>45842</v>
      </c>
      <c r="F155" s="16">
        <v>45965</v>
      </c>
      <c r="G155" s="16" t="s">
        <v>1275</v>
      </c>
      <c r="H155" t="s">
        <v>1276</v>
      </c>
      <c r="I155" t="s">
        <v>1277</v>
      </c>
      <c r="J155" t="s">
        <v>1206</v>
      </c>
      <c r="K155" t="s">
        <v>592</v>
      </c>
      <c r="L155" s="53">
        <f t="shared" si="4"/>
        <v>4.0999999999999996</v>
      </c>
      <c r="M155" s="19">
        <f t="shared" si="5"/>
        <v>123</v>
      </c>
      <c r="N155" t="str">
        <f ca="1">IF(TRIM(SUBSTITUTE($B155,CHAR(160)," "))="","",IFERROR(IF(ISNUMBER(SEARCH("INC",$B155)),"INC",IF(ISNUMBER(SEARCH("OPI",$B155)),"OPI",IF(ISNUMBER(SEARCH("DP",$B155)),"DP","CONC")))&amp;" "&amp;TEXT(LOOKUP(9.99E+307,--MID(SUBSTITUTE($B155,CHAR(160)," "),SUMPRODUCT(MIN(FIND({0,1,2,3,4,5,6,7,8,9},SUBSTITUTE($B155,CHAR(160)," ")&amp;"0123456789"))),ROW(INDIRECT("1:6")))),"0"),"SIN NUMERO"))</f>
        <v>CONC 2045</v>
      </c>
      <c r="O155" t="str">
        <f ca="1">IF($N155="","",IF(LEFT(UPPER($P155),9)="VERIFICAR","VERIFICAR",IF(AND($H155&lt;&gt;"",COUNTIFS($N$2:$N$1000,$N155,$H$2:$H$1000,$H155)&gt;1),"DUPLICADA",IF(TRIM(IF($A155="","tipo ","")&amp;IF($F155="","fecha de firma ","")&amp;IF($G155="","decisión ","")&amp;IF($H155="","N° resolución ","")&amp;IF($I155="","N° dictamen",""))&lt;&gt;"","INCOMPLETA: "&amp;TRIM(IF($A155="","tipo ","")&amp;IF($F155="","fecha de firma ","")&amp;IF($G155="","decisión ","")&amp;IF($H155="","N° resolución ","")&amp;IF($I155="","N° dictamen","")),IF(LEFT($N155,4)&lt;&gt;"CONC","OK",IF(N($Q155)=0,IF(AND(ISNUMBER($E155),$E155&gt;=DATE(2024,1,1)),"FALTA EN evol_conc","OK"),IF(INDEX(evol_conc!$H:$H,$Q155)&lt;&gt;$F155,"FIRMA DISTINTA EN evol_conc ("&amp;IF(INDEX(evol_conc!$H:$H,$Q155)="","vacía",DAY(INDEX(evol_conc!$H:$H,$Q155))&amp;"/"&amp;MONTH(INDEX(evol_conc!$H:$H,$Q155))&amp;"/"&amp;YEAR(INDEX(evol_conc!$H:$H,$Q155)))&amp;")",IF(INDEX(evol_conc!$G:$G,$Q155)&lt;&gt;$E155,"INGRESO DISTINTO EN evol_conc ("&amp;IF(INDEX(evol_conc!$G:$G,$Q155)="","vacía",DAY(INDEX(evol_conc!$G:$G,$Q155))&amp;"/"&amp;MONTH(INDEX(evol_conc!$G:$G,$Q155))&amp;"/"&amp;YEAR(INDEX(evol_conc!$G:$G,$Q155)))&amp;")","OK"))))))))</f>
        <v>OK</v>
      </c>
      <c r="Q155">
        <f ca="1">IF($N155="","",IFERROR(MATCH($N155,evol_conc!$P:$P,0),0))</f>
        <v>123</v>
      </c>
    </row>
    <row r="156" spans="1:17" ht="18" hidden="1" customHeight="1" x14ac:dyDescent="0.25">
      <c r="A156" t="s">
        <v>547</v>
      </c>
      <c r="B156" t="s">
        <v>1278</v>
      </c>
      <c r="D156" t="s">
        <v>216</v>
      </c>
      <c r="E156" s="16">
        <v>45446</v>
      </c>
      <c r="F156" s="16">
        <v>45967</v>
      </c>
      <c r="G156" t="s">
        <v>1101</v>
      </c>
      <c r="H156" t="s">
        <v>1279</v>
      </c>
      <c r="I156" t="s">
        <v>1280</v>
      </c>
      <c r="J156" t="s">
        <v>1281</v>
      </c>
      <c r="K156" t="s">
        <v>581</v>
      </c>
      <c r="L156" s="53">
        <f t="shared" si="4"/>
        <v>17.366666666666667</v>
      </c>
      <c r="M156" s="19">
        <f t="shared" si="5"/>
        <v>521</v>
      </c>
      <c r="N156" t="str">
        <f ca="1">IF(TRIM(SUBSTITUTE($B156,CHAR(160)," "))="","",IFERROR(IF(ISNUMBER(SEARCH("INC",$B156)),"INC",IF(ISNUMBER(SEARCH("OPI",$B156)),"OPI",IF(ISNUMBER(SEARCH("DP",$B156)),"DP","CONC")))&amp;" "&amp;TEXT(LOOKUP(9.99E+307,--MID(SUBSTITUTE($B156,CHAR(160)," "),SUMPRODUCT(MIN(FIND({0,1,2,3,4,5,6,7,8,9},SUBSTITUTE($B156,CHAR(160)," ")&amp;"0123456789"))),ROW(INDIRECT("1:6")))),"0"),"SIN NUMERO"))</f>
        <v>CONC 1977</v>
      </c>
      <c r="O156" t="str">
        <f ca="1">IF($N156="","",IF(LEFT(UPPER($P156),9)="VERIFICAR","VERIFICAR",IF(AND($H156&lt;&gt;"",COUNTIFS($N$2:$N$1000,$N156,$H$2:$H$1000,$H156)&gt;1),"DUPLICADA",IF(TRIM(IF($A156="","tipo ","")&amp;IF($F156="","fecha de firma ","")&amp;IF($G156="","decisión ","")&amp;IF($H156="","N° resolución ","")&amp;IF($I156="","N° dictamen",""))&lt;&gt;"","INCOMPLETA: "&amp;TRIM(IF($A156="","tipo ","")&amp;IF($F156="","fecha de firma ","")&amp;IF($G156="","decisión ","")&amp;IF($H156="","N° resolución ","")&amp;IF($I156="","N° dictamen","")),IF(LEFT($N156,4)&lt;&gt;"CONC","OK",IF(N($Q156)=0,IF(AND(ISNUMBER($E156),$E156&gt;=DATE(2024,1,1)),"FALTA EN evol_conc","OK"),IF(INDEX(evol_conc!$H:$H,$Q156)&lt;&gt;$F156,"FIRMA DISTINTA EN evol_conc ("&amp;IF(INDEX(evol_conc!$H:$H,$Q156)="","vacía",DAY(INDEX(evol_conc!$H:$H,$Q156))&amp;"/"&amp;MONTH(INDEX(evol_conc!$H:$H,$Q156))&amp;"/"&amp;YEAR(INDEX(evol_conc!$H:$H,$Q156)))&amp;")",IF(INDEX(evol_conc!$G:$G,$Q156)&lt;&gt;$E156,"INGRESO DISTINTO EN evol_conc ("&amp;IF(INDEX(evol_conc!$G:$G,$Q156)="","vacía",DAY(INDEX(evol_conc!$G:$G,$Q156))&amp;"/"&amp;MONTH(INDEX(evol_conc!$G:$G,$Q156))&amp;"/"&amp;YEAR(INDEX(evol_conc!$G:$G,$Q156)))&amp;")","OK"))))))))</f>
        <v>OK</v>
      </c>
      <c r="Q156">
        <f ca="1">IF($N156="","",IFERROR(MATCH($N156,evol_conc!$P:$P,0),0))</f>
        <v>53</v>
      </c>
    </row>
    <row r="157" spans="1:17" ht="18" hidden="1" customHeight="1" x14ac:dyDescent="0.25">
      <c r="A157" t="s">
        <v>547</v>
      </c>
      <c r="B157" t="s">
        <v>1282</v>
      </c>
      <c r="D157" t="s">
        <v>287</v>
      </c>
      <c r="E157" s="16">
        <v>45702</v>
      </c>
      <c r="F157" s="16">
        <v>45967</v>
      </c>
      <c r="G157" t="s">
        <v>1101</v>
      </c>
      <c r="H157" t="s">
        <v>1283</v>
      </c>
      <c r="I157" t="s">
        <v>1284</v>
      </c>
      <c r="J157" t="s">
        <v>1285</v>
      </c>
      <c r="K157" t="s">
        <v>560</v>
      </c>
      <c r="L157" s="53">
        <f t="shared" si="4"/>
        <v>8.8333333333333339</v>
      </c>
      <c r="M157" s="19">
        <f t="shared" si="5"/>
        <v>265</v>
      </c>
      <c r="N157" t="str">
        <f ca="1">IF(TRIM(SUBSTITUTE($B157,CHAR(160)," "))="","",IFERROR(IF(ISNUMBER(SEARCH("INC",$B157)),"INC",IF(ISNUMBER(SEARCH("OPI",$B157)),"OPI",IF(ISNUMBER(SEARCH("DP",$B157)),"DP","CONC")))&amp;" "&amp;TEXT(LOOKUP(9.99E+307,--MID(SUBSTITUTE($B157,CHAR(160)," "),SUMPRODUCT(MIN(FIND({0,1,2,3,4,5,6,7,8,9},SUBSTITUTE($B157,CHAR(160)," ")&amp;"0123456789"))),ROW(INDIRECT("1:6")))),"0"),"SIN NUMERO"))</f>
        <v>CONC 2023</v>
      </c>
      <c r="O157" t="str">
        <f ca="1">IF($N157="","",IF(LEFT(UPPER($P157),9)="VERIFICAR","VERIFICAR",IF(AND($H157&lt;&gt;"",COUNTIFS($N$2:$N$1000,$N157,$H$2:$H$1000,$H157)&gt;1),"DUPLICADA",IF(TRIM(IF($A157="","tipo ","")&amp;IF($F157="","fecha de firma ","")&amp;IF($G157="","decisión ","")&amp;IF($H157="","N° resolución ","")&amp;IF($I157="","N° dictamen",""))&lt;&gt;"","INCOMPLETA: "&amp;TRIM(IF($A157="","tipo ","")&amp;IF($F157="","fecha de firma ","")&amp;IF($G157="","decisión ","")&amp;IF($H157="","N° resolución ","")&amp;IF($I157="","N° dictamen","")),IF(LEFT($N157,4)&lt;&gt;"CONC","OK",IF(N($Q157)=0,IF(AND(ISNUMBER($E157),$E157&gt;=DATE(2024,1,1)),"FALTA EN evol_conc","OK"),IF(INDEX(evol_conc!$H:$H,$Q157)&lt;&gt;$F157,"FIRMA DISTINTA EN evol_conc ("&amp;IF(INDEX(evol_conc!$H:$H,$Q157)="","vacía",DAY(INDEX(evol_conc!$H:$H,$Q157))&amp;"/"&amp;MONTH(INDEX(evol_conc!$H:$H,$Q157))&amp;"/"&amp;YEAR(INDEX(evol_conc!$H:$H,$Q157)))&amp;")",IF(INDEX(evol_conc!$G:$G,$Q157)&lt;&gt;$E157,"INGRESO DISTINTO EN evol_conc ("&amp;IF(INDEX(evol_conc!$G:$G,$Q157)="","vacía",DAY(INDEX(evol_conc!$G:$G,$Q157))&amp;"/"&amp;MONTH(INDEX(evol_conc!$G:$G,$Q157))&amp;"/"&amp;YEAR(INDEX(evol_conc!$G:$G,$Q157)))&amp;")","OK"))))))))</f>
        <v>OK</v>
      </c>
      <c r="Q157">
        <f ca="1">IF($N157="","",IFERROR(MATCH($N157,evol_conc!$P:$P,0),0))</f>
        <v>100</v>
      </c>
    </row>
    <row r="158" spans="1:17" ht="18" hidden="1" customHeight="1" x14ac:dyDescent="0.25">
      <c r="A158" t="s">
        <v>1061</v>
      </c>
      <c r="B158" t="s">
        <v>1286</v>
      </c>
      <c r="D158" t="s">
        <v>1287</v>
      </c>
      <c r="E158" s="16">
        <v>45905</v>
      </c>
      <c r="F158" s="16">
        <v>45967</v>
      </c>
      <c r="G158" t="s">
        <v>1288</v>
      </c>
      <c r="H158" t="s">
        <v>1289</v>
      </c>
      <c r="I158" t="s">
        <v>1290</v>
      </c>
      <c r="J158" t="s">
        <v>1291</v>
      </c>
      <c r="L158" s="53">
        <f t="shared" si="4"/>
        <v>2.0666666666666669</v>
      </c>
      <c r="M158" s="19">
        <f t="shared" si="5"/>
        <v>62</v>
      </c>
      <c r="N158" t="str">
        <f ca="1">IF(TRIM(SUBSTITUTE($B158,CHAR(160)," "))="","",IFERROR(IF(ISNUMBER(SEARCH("INC",$B158)),"INC",IF(ISNUMBER(SEARCH("OPI",$B158)),"OPI",IF(ISNUMBER(SEARCH("DP",$B158)),"DP","CONC")))&amp;" "&amp;TEXT(LOOKUP(9.99E+307,--MID(SUBSTITUTE($B158,CHAR(160)," "),SUMPRODUCT(MIN(FIND({0,1,2,3,4,5,6,7,8,9},SUBSTITUTE($B158,CHAR(160)," ")&amp;"0123456789"))),ROW(INDIRECT("1:6")))),"0"),"SIN NUMERO"))</f>
        <v>INC 2025</v>
      </c>
      <c r="O158" t="str">
        <f ca="1">IF($N158="","",IF(LEFT(UPPER($P158),9)="VERIFICAR","VERIFICAR",IF(AND($H158&lt;&gt;"",COUNTIFS($N$2:$N$1000,$N158,$H$2:$H$1000,$H158)&gt;1),"DUPLICADA",IF(TRIM(IF($A158="","tipo ","")&amp;IF($F158="","fecha de firma ","")&amp;IF($G158="","decisión ","")&amp;IF($H158="","N° resolución ","")&amp;IF($I158="","N° dictamen",""))&lt;&gt;"","INCOMPLETA: "&amp;TRIM(IF($A158="","tipo ","")&amp;IF($F158="","fecha de firma ","")&amp;IF($G158="","decisión ","")&amp;IF($H158="","N° resolución ","")&amp;IF($I158="","N° dictamen","")),IF(LEFT($N158,4)&lt;&gt;"CONC","OK",IF(N($Q158)=0,IF(AND(ISNUMBER($E158),$E158&gt;=DATE(2024,1,1)),"FALTA EN evol_conc","OK"),IF(INDEX(evol_conc!$H:$H,$Q158)&lt;&gt;$F158,"FIRMA DISTINTA EN evol_conc ("&amp;IF(INDEX(evol_conc!$H:$H,$Q158)="","vacía",DAY(INDEX(evol_conc!$H:$H,$Q158))&amp;"/"&amp;MONTH(INDEX(evol_conc!$H:$H,$Q158))&amp;"/"&amp;YEAR(INDEX(evol_conc!$H:$H,$Q158)))&amp;")",IF(INDEX(evol_conc!$G:$G,$Q158)&lt;&gt;$E158,"INGRESO DISTINTO EN evol_conc ("&amp;IF(INDEX(evol_conc!$G:$G,$Q158)="","vacía",DAY(INDEX(evol_conc!$G:$G,$Q158))&amp;"/"&amp;MONTH(INDEX(evol_conc!$G:$G,$Q158))&amp;"/"&amp;YEAR(INDEX(evol_conc!$G:$G,$Q158)))&amp;")","OK"))))))))</f>
        <v>OK</v>
      </c>
      <c r="Q158">
        <f ca="1">IF($N158="","",IFERROR(MATCH($N158,evol_conc!$P:$P,0),0))</f>
        <v>0</v>
      </c>
    </row>
    <row r="159" spans="1:17" ht="18" hidden="1" customHeight="1" x14ac:dyDescent="0.25">
      <c r="A159" t="s">
        <v>547</v>
      </c>
      <c r="B159" t="s">
        <v>1292</v>
      </c>
      <c r="D159" t="s">
        <v>240</v>
      </c>
      <c r="E159" s="16">
        <v>45551</v>
      </c>
      <c r="F159" s="16">
        <v>45968</v>
      </c>
      <c r="G159" t="s">
        <v>1101</v>
      </c>
      <c r="H159" t="s">
        <v>1293</v>
      </c>
      <c r="I159" t="s">
        <v>1294</v>
      </c>
      <c r="J159" t="s">
        <v>1295</v>
      </c>
      <c r="K159" t="s">
        <v>581</v>
      </c>
      <c r="L159" s="53">
        <f t="shared" si="4"/>
        <v>13.9</v>
      </c>
      <c r="M159" s="19">
        <f t="shared" si="5"/>
        <v>417</v>
      </c>
      <c r="N159" t="str">
        <f ca="1">IF(TRIM(SUBSTITUTE($B159,CHAR(160)," "))="","",IFERROR(IF(ISNUMBER(SEARCH("INC",$B159)),"INC",IF(ISNUMBER(SEARCH("OPI",$B159)),"OPI",IF(ISNUMBER(SEARCH("DP",$B159)),"DP","CONC")))&amp;" "&amp;TEXT(LOOKUP(9.99E+307,--MID(SUBSTITUTE($B159,CHAR(160)," "),SUMPRODUCT(MIN(FIND({0,1,2,3,4,5,6,7,8,9},SUBSTITUTE($B159,CHAR(160)," ")&amp;"0123456789"))),ROW(INDIRECT("1:6")))),"0"),"SIN NUMERO"))</f>
        <v>CONC 1994</v>
      </c>
      <c r="O159" t="str">
        <f ca="1">IF($N159="","",IF(LEFT(UPPER($P159),9)="VERIFICAR","VERIFICAR",IF(AND($H159&lt;&gt;"",COUNTIFS($N$2:$N$1000,$N159,$H$2:$H$1000,$H159)&gt;1),"DUPLICADA",IF(TRIM(IF($A159="","tipo ","")&amp;IF($F159="","fecha de firma ","")&amp;IF($G159="","decisión ","")&amp;IF($H159="","N° resolución ","")&amp;IF($I159="","N° dictamen",""))&lt;&gt;"","INCOMPLETA: "&amp;TRIM(IF($A159="","tipo ","")&amp;IF($F159="","fecha de firma ","")&amp;IF($G159="","decisión ","")&amp;IF($H159="","N° resolución ","")&amp;IF($I159="","N° dictamen","")),IF(LEFT($N159,4)&lt;&gt;"CONC","OK",IF(N($Q159)=0,IF(AND(ISNUMBER($E159),$E159&gt;=DATE(2024,1,1)),"FALTA EN evol_conc","OK"),IF(INDEX(evol_conc!$H:$H,$Q159)&lt;&gt;$F159,"FIRMA DISTINTA EN evol_conc ("&amp;IF(INDEX(evol_conc!$H:$H,$Q159)="","vacía",DAY(INDEX(evol_conc!$H:$H,$Q159))&amp;"/"&amp;MONTH(INDEX(evol_conc!$H:$H,$Q159))&amp;"/"&amp;YEAR(INDEX(evol_conc!$H:$H,$Q159)))&amp;")",IF(INDEX(evol_conc!$G:$G,$Q159)&lt;&gt;$E159,"INGRESO DISTINTO EN evol_conc ("&amp;IF(INDEX(evol_conc!$G:$G,$Q159)="","vacía",DAY(INDEX(evol_conc!$G:$G,$Q159))&amp;"/"&amp;MONTH(INDEX(evol_conc!$G:$G,$Q159))&amp;"/"&amp;YEAR(INDEX(evol_conc!$G:$G,$Q159)))&amp;")","OK"))))))))</f>
        <v>OK</v>
      </c>
      <c r="Q159">
        <f ca="1">IF($N159="","",IFERROR(MATCH($N159,evol_conc!$P:$P,0),0))</f>
        <v>70</v>
      </c>
    </row>
    <row r="160" spans="1:17" ht="18" hidden="1" customHeight="1" x14ac:dyDescent="0.25">
      <c r="A160" t="s">
        <v>624</v>
      </c>
      <c r="B160" t="s">
        <v>1296</v>
      </c>
      <c r="D160" t="s">
        <v>329</v>
      </c>
      <c r="E160" s="16">
        <v>45875</v>
      </c>
      <c r="F160" s="16">
        <v>45971</v>
      </c>
      <c r="G160" s="16" t="s">
        <v>1270</v>
      </c>
      <c r="H160" t="s">
        <v>1297</v>
      </c>
      <c r="I160" t="s">
        <v>1298</v>
      </c>
      <c r="J160" t="s">
        <v>1299</v>
      </c>
      <c r="K160" t="s">
        <v>581</v>
      </c>
      <c r="L160" s="53">
        <f t="shared" si="4"/>
        <v>3.2</v>
      </c>
      <c r="M160" s="19">
        <f t="shared" si="5"/>
        <v>96</v>
      </c>
      <c r="N160" t="str">
        <f ca="1">IF(TRIM(SUBSTITUTE($B160,CHAR(160)," "))="","",IFERROR(IF(ISNUMBER(SEARCH("INC",$B160)),"INC",IF(ISNUMBER(SEARCH("OPI",$B160)),"OPI",IF(ISNUMBER(SEARCH("DP",$B160)),"DP","CONC")))&amp;" "&amp;TEXT(LOOKUP(9.99E+307,--MID(SUBSTITUTE($B160,CHAR(160)," "),SUMPRODUCT(MIN(FIND({0,1,2,3,4,5,6,7,8,9},SUBSTITUTE($B160,CHAR(160)," ")&amp;"0123456789"))),ROW(INDIRECT("1:6")))),"0"),"SIN NUMERO"))</f>
        <v>CONC 2050</v>
      </c>
      <c r="O160" t="str">
        <f ca="1">IF($N160="","",IF(LEFT(UPPER($P160),9)="VERIFICAR","VERIFICAR",IF(AND($H160&lt;&gt;"",COUNTIFS($N$2:$N$1000,$N160,$H$2:$H$1000,$H160)&gt;1),"DUPLICADA",IF(TRIM(IF($A160="","tipo ","")&amp;IF($F160="","fecha de firma ","")&amp;IF($G160="","decisión ","")&amp;IF($H160="","N° resolución ","")&amp;IF($I160="","N° dictamen",""))&lt;&gt;"","INCOMPLETA: "&amp;TRIM(IF($A160="","tipo ","")&amp;IF($F160="","fecha de firma ","")&amp;IF($G160="","decisión ","")&amp;IF($H160="","N° resolución ","")&amp;IF($I160="","N° dictamen","")),IF(LEFT($N160,4)&lt;&gt;"CONC","OK",IF(N($Q160)=0,IF(AND(ISNUMBER($E160),$E160&gt;=DATE(2024,1,1)),"FALTA EN evol_conc","OK"),IF(INDEX(evol_conc!$H:$H,$Q160)&lt;&gt;$F160,"FIRMA DISTINTA EN evol_conc ("&amp;IF(INDEX(evol_conc!$H:$H,$Q160)="","vacía",DAY(INDEX(evol_conc!$H:$H,$Q160))&amp;"/"&amp;MONTH(INDEX(evol_conc!$H:$H,$Q160))&amp;"/"&amp;YEAR(INDEX(evol_conc!$H:$H,$Q160)))&amp;")",IF(INDEX(evol_conc!$G:$G,$Q160)&lt;&gt;$E160,"INGRESO DISTINTO EN evol_conc ("&amp;IF(INDEX(evol_conc!$G:$G,$Q160)="","vacía",DAY(INDEX(evol_conc!$G:$G,$Q160))&amp;"/"&amp;MONTH(INDEX(evol_conc!$G:$G,$Q160))&amp;"/"&amp;YEAR(INDEX(evol_conc!$G:$G,$Q160)))&amp;")","OK"))))))))</f>
        <v>OK</v>
      </c>
      <c r="Q160">
        <f ca="1">IF($N160="","",IFERROR(MATCH($N160,evol_conc!$P:$P,0),0))</f>
        <v>128</v>
      </c>
    </row>
    <row r="161" spans="1:17" ht="18" hidden="1" customHeight="1" x14ac:dyDescent="0.25">
      <c r="A161" t="s">
        <v>1089</v>
      </c>
      <c r="B161" t="s">
        <v>1300</v>
      </c>
      <c r="D161" t="s">
        <v>1301</v>
      </c>
      <c r="E161" s="16">
        <v>45782</v>
      </c>
      <c r="F161" s="16">
        <v>45972</v>
      </c>
      <c r="G161" t="s">
        <v>1302</v>
      </c>
      <c r="H161" t="s">
        <v>1303</v>
      </c>
      <c r="I161" t="s">
        <v>1304</v>
      </c>
      <c r="J161" t="s">
        <v>1305</v>
      </c>
      <c r="L161" s="53">
        <f t="shared" si="4"/>
        <v>6.333333333333333</v>
      </c>
      <c r="M161" s="19">
        <f t="shared" si="5"/>
        <v>190</v>
      </c>
      <c r="N161" t="str">
        <f ca="1">IF(TRIM(SUBSTITUTE($B161,CHAR(160)," "))="","",IFERROR(IF(ISNUMBER(SEARCH("INC",$B161)),"INC",IF(ISNUMBER(SEARCH("OPI",$B161)),"OPI",IF(ISNUMBER(SEARCH("DP",$B161)),"DP","CONC")))&amp;" "&amp;TEXT(LOOKUP(9.99E+307,--MID(SUBSTITUTE($B161,CHAR(160)," "),SUMPRODUCT(MIN(FIND({0,1,2,3,4,5,6,7,8,9},SUBSTITUTE($B161,CHAR(160)," ")&amp;"0123456789"))),ROW(INDIRECT("1:6")))),"0"),"SIN NUMERO"))</f>
        <v>OPI 380</v>
      </c>
      <c r="O161" t="str">
        <f ca="1">IF($N161="","",IF(LEFT(UPPER($P161),9)="VERIFICAR","VERIFICAR",IF(AND($H161&lt;&gt;"",COUNTIFS($N$2:$N$1000,$N161,$H$2:$H$1000,$H161)&gt;1),"DUPLICADA",IF(TRIM(IF($A161="","tipo ","")&amp;IF($F161="","fecha de firma ","")&amp;IF($G161="","decisión ","")&amp;IF($H161="","N° resolución ","")&amp;IF($I161="","N° dictamen",""))&lt;&gt;"","INCOMPLETA: "&amp;TRIM(IF($A161="","tipo ","")&amp;IF($F161="","fecha de firma ","")&amp;IF($G161="","decisión ","")&amp;IF($H161="","N° resolución ","")&amp;IF($I161="","N° dictamen","")),IF(LEFT($N161,4)&lt;&gt;"CONC","OK",IF(N($Q161)=0,IF(AND(ISNUMBER($E161),$E161&gt;=DATE(2024,1,1)),"FALTA EN evol_conc","OK"),IF(INDEX(evol_conc!$H:$H,$Q161)&lt;&gt;$F161,"FIRMA DISTINTA EN evol_conc ("&amp;IF(INDEX(evol_conc!$H:$H,$Q161)="","vacía",DAY(INDEX(evol_conc!$H:$H,$Q161))&amp;"/"&amp;MONTH(INDEX(evol_conc!$H:$H,$Q161))&amp;"/"&amp;YEAR(INDEX(evol_conc!$H:$H,$Q161)))&amp;")",IF(INDEX(evol_conc!$G:$G,$Q161)&lt;&gt;$E161,"INGRESO DISTINTO EN evol_conc ("&amp;IF(INDEX(evol_conc!$G:$G,$Q161)="","vacía",DAY(INDEX(evol_conc!$G:$G,$Q161))&amp;"/"&amp;MONTH(INDEX(evol_conc!$G:$G,$Q161))&amp;"/"&amp;YEAR(INDEX(evol_conc!$G:$G,$Q161)))&amp;")","OK"))))))))</f>
        <v>OK</v>
      </c>
      <c r="Q161">
        <f ca="1">IF($N161="","",IFERROR(MATCH($N161,evol_conc!$P:$P,0),0))</f>
        <v>0</v>
      </c>
    </row>
    <row r="162" spans="1:17" ht="18" hidden="1" customHeight="1" x14ac:dyDescent="0.25">
      <c r="A162" s="18" t="s">
        <v>1089</v>
      </c>
      <c r="B162" s="18" t="s">
        <v>1306</v>
      </c>
      <c r="C162" s="18"/>
      <c r="D162" s="18" t="s">
        <v>1307</v>
      </c>
      <c r="E162" s="17">
        <v>45981</v>
      </c>
      <c r="F162" s="17">
        <v>45995</v>
      </c>
      <c r="G162" s="17" t="s">
        <v>1308</v>
      </c>
      <c r="H162" s="18" t="s">
        <v>1309</v>
      </c>
      <c r="I162" s="18" t="s">
        <v>1310</v>
      </c>
      <c r="J162" s="18" t="s">
        <v>1311</v>
      </c>
      <c r="K162" s="18"/>
      <c r="L162" s="53">
        <f t="shared" si="4"/>
        <v>0.46666666666666667</v>
      </c>
      <c r="M162" s="19">
        <f t="shared" si="5"/>
        <v>14</v>
      </c>
      <c r="N162" t="str">
        <f ca="1">IF(TRIM(SUBSTITUTE($B162,CHAR(160)," "))="","",IFERROR(IF(ISNUMBER(SEARCH("INC",$B162)),"INC",IF(ISNUMBER(SEARCH("OPI",$B162)),"OPI",IF(ISNUMBER(SEARCH("DP",$B162)),"DP","CONC")))&amp;" "&amp;TEXT(LOOKUP(9.99E+307,--MID(SUBSTITUTE($B162,CHAR(160)," "),SUMPRODUCT(MIN(FIND({0,1,2,3,4,5,6,7,8,9},SUBSTITUTE($B162,CHAR(160)," ")&amp;"0123456789"))),ROW(INDIRECT("1:6")))),"0"),"SIN NUMERO"))</f>
        <v>OPI 388</v>
      </c>
      <c r="O162" t="str">
        <f ca="1">IF($N162="","",IF(LEFT(UPPER($P162),9)="VERIFICAR","VERIFICAR",IF(AND($H162&lt;&gt;"",COUNTIFS($N$2:$N$1000,$N162,$H$2:$H$1000,$H162)&gt;1),"DUPLICADA",IF(TRIM(IF($A162="","tipo ","")&amp;IF($F162="","fecha de firma ","")&amp;IF($G162="","decisión ","")&amp;IF($H162="","N° resolución ","")&amp;IF($I162="","N° dictamen",""))&lt;&gt;"","INCOMPLETA: "&amp;TRIM(IF($A162="","tipo ","")&amp;IF($F162="","fecha de firma ","")&amp;IF($G162="","decisión ","")&amp;IF($H162="","N° resolución ","")&amp;IF($I162="","N° dictamen","")),IF(LEFT($N162,4)&lt;&gt;"CONC","OK",IF(N($Q162)=0,IF(AND(ISNUMBER($E162),$E162&gt;=DATE(2024,1,1)),"FALTA EN evol_conc","OK"),IF(INDEX(evol_conc!$H:$H,$Q162)&lt;&gt;$F162,"FIRMA DISTINTA EN evol_conc ("&amp;IF(INDEX(evol_conc!$H:$H,$Q162)="","vacía",DAY(INDEX(evol_conc!$H:$H,$Q162))&amp;"/"&amp;MONTH(INDEX(evol_conc!$H:$H,$Q162))&amp;"/"&amp;YEAR(INDEX(evol_conc!$H:$H,$Q162)))&amp;")",IF(INDEX(evol_conc!$G:$G,$Q162)&lt;&gt;$E162,"INGRESO DISTINTO EN evol_conc ("&amp;IF(INDEX(evol_conc!$G:$G,$Q162)="","vacía",DAY(INDEX(evol_conc!$G:$G,$Q162))&amp;"/"&amp;MONTH(INDEX(evol_conc!$G:$G,$Q162))&amp;"/"&amp;YEAR(INDEX(evol_conc!$G:$G,$Q162)))&amp;")","OK"))))))))</f>
        <v>OK</v>
      </c>
      <c r="Q162">
        <f ca="1">IF($N162="","",IFERROR(MATCH($N162,evol_conc!$P:$P,0),0))</f>
        <v>0</v>
      </c>
    </row>
    <row r="163" spans="1:17" ht="18" hidden="1" customHeight="1" x14ac:dyDescent="0.25">
      <c r="A163" t="s">
        <v>624</v>
      </c>
      <c r="B163" t="s">
        <v>1312</v>
      </c>
      <c r="D163" t="s">
        <v>344</v>
      </c>
      <c r="E163" s="16">
        <v>45911</v>
      </c>
      <c r="F163" s="16">
        <v>45996</v>
      </c>
      <c r="G163" s="16" t="s">
        <v>1313</v>
      </c>
      <c r="H163" t="s">
        <v>1314</v>
      </c>
      <c r="I163" t="s">
        <v>1315</v>
      </c>
      <c r="J163" t="s">
        <v>1316</v>
      </c>
      <c r="K163" t="s">
        <v>560</v>
      </c>
      <c r="L163" s="53">
        <f t="shared" si="4"/>
        <v>2.8333333333333335</v>
      </c>
      <c r="M163" s="19">
        <f t="shared" si="5"/>
        <v>85</v>
      </c>
      <c r="N163" t="str">
        <f ca="1">IF(TRIM(SUBSTITUTE($B163,CHAR(160)," "))="","",IFERROR(IF(ISNUMBER(SEARCH("INC",$B163)),"INC",IF(ISNUMBER(SEARCH("OPI",$B163)),"OPI",IF(ISNUMBER(SEARCH("DP",$B163)),"DP","CONC")))&amp;" "&amp;TEXT(LOOKUP(9.99E+307,--MID(SUBSTITUTE($B163,CHAR(160)," "),SUMPRODUCT(MIN(FIND({0,1,2,3,4,5,6,7,8,9},SUBSTITUTE($B163,CHAR(160)," ")&amp;"0123456789"))),ROW(INDIRECT("1:6")))),"0"),"SIN NUMERO"))</f>
        <v>CONC 2060</v>
      </c>
      <c r="O163" t="str">
        <f ca="1">IF($N163="","",IF(LEFT(UPPER($P163),9)="VERIFICAR","VERIFICAR",IF(AND($H163&lt;&gt;"",COUNTIFS($N$2:$N$1000,$N163,$H$2:$H$1000,$H163)&gt;1),"DUPLICADA",IF(TRIM(IF($A163="","tipo ","")&amp;IF($F163="","fecha de firma ","")&amp;IF($G163="","decisión ","")&amp;IF($H163="","N° resolución ","")&amp;IF($I163="","N° dictamen",""))&lt;&gt;"","INCOMPLETA: "&amp;TRIM(IF($A163="","tipo ","")&amp;IF($F163="","fecha de firma ","")&amp;IF($G163="","decisión ","")&amp;IF($H163="","N° resolución ","")&amp;IF($I163="","N° dictamen","")),IF(LEFT($N163,4)&lt;&gt;"CONC","OK",IF(N($Q163)=0,IF(AND(ISNUMBER($E163),$E163&gt;=DATE(2024,1,1)),"FALTA EN evol_conc","OK"),IF(INDEX(evol_conc!$H:$H,$Q163)&lt;&gt;$F163,"FIRMA DISTINTA EN evol_conc ("&amp;IF(INDEX(evol_conc!$H:$H,$Q163)="","vacía",DAY(INDEX(evol_conc!$H:$H,$Q163))&amp;"/"&amp;MONTH(INDEX(evol_conc!$H:$H,$Q163))&amp;"/"&amp;YEAR(INDEX(evol_conc!$H:$H,$Q163)))&amp;")",IF(INDEX(evol_conc!$G:$G,$Q163)&lt;&gt;$E163,"INGRESO DISTINTO EN evol_conc ("&amp;IF(INDEX(evol_conc!$G:$G,$Q163)="","vacía",DAY(INDEX(evol_conc!$G:$G,$Q163))&amp;"/"&amp;MONTH(INDEX(evol_conc!$G:$G,$Q163))&amp;"/"&amp;YEAR(INDEX(evol_conc!$G:$G,$Q163)))&amp;")","OK"))))))))</f>
        <v>OK</v>
      </c>
      <c r="Q163">
        <f ca="1">IF($N163="","",IFERROR(MATCH($N163,evol_conc!$P:$P,0),0))</f>
        <v>138</v>
      </c>
    </row>
    <row r="164" spans="1:17" ht="18" hidden="1" customHeight="1" x14ac:dyDescent="0.25">
      <c r="A164" t="s">
        <v>624</v>
      </c>
      <c r="B164" t="s">
        <v>1317</v>
      </c>
      <c r="D164" t="s">
        <v>347</v>
      </c>
      <c r="E164" s="16">
        <v>45926</v>
      </c>
      <c r="F164" s="16">
        <v>46000</v>
      </c>
      <c r="G164" s="16" t="s">
        <v>1313</v>
      </c>
      <c r="H164" t="s">
        <v>1318</v>
      </c>
      <c r="I164" t="s">
        <v>1319</v>
      </c>
      <c r="J164" t="s">
        <v>1320</v>
      </c>
      <c r="K164" t="s">
        <v>581</v>
      </c>
      <c r="L164" s="53">
        <f t="shared" si="4"/>
        <v>2.4666666666666668</v>
      </c>
      <c r="M164" s="19">
        <f t="shared" si="5"/>
        <v>74</v>
      </c>
      <c r="N164" t="str">
        <f ca="1">IF(TRIM(SUBSTITUTE($B164,CHAR(160)," "))="","",IFERROR(IF(ISNUMBER(SEARCH("INC",$B164)),"INC",IF(ISNUMBER(SEARCH("OPI",$B164)),"OPI",IF(ISNUMBER(SEARCH("DP",$B164)),"DP","CONC")))&amp;" "&amp;TEXT(LOOKUP(9.99E+307,--MID(SUBSTITUTE($B164,CHAR(160)," "),SUMPRODUCT(MIN(FIND({0,1,2,3,4,5,6,7,8,9},SUBSTITUTE($B164,CHAR(160)," ")&amp;"0123456789"))),ROW(INDIRECT("1:6")))),"0"),"SIN NUMERO"))</f>
        <v>CONC 2062</v>
      </c>
      <c r="O164" t="str">
        <f ca="1">IF($N164="","",IF(LEFT(UPPER($P164),9)="VERIFICAR","VERIFICAR",IF(AND($H164&lt;&gt;"",COUNTIFS($N$2:$N$1000,$N164,$H$2:$H$1000,$H164)&gt;1),"DUPLICADA",IF(TRIM(IF($A164="","tipo ","")&amp;IF($F164="","fecha de firma ","")&amp;IF($G164="","decisión ","")&amp;IF($H164="","N° resolución ","")&amp;IF($I164="","N° dictamen",""))&lt;&gt;"","INCOMPLETA: "&amp;TRIM(IF($A164="","tipo ","")&amp;IF($F164="","fecha de firma ","")&amp;IF($G164="","decisión ","")&amp;IF($H164="","N° resolución ","")&amp;IF($I164="","N° dictamen","")),IF(LEFT($N164,4)&lt;&gt;"CONC","OK",IF(N($Q164)=0,IF(AND(ISNUMBER($E164),$E164&gt;=DATE(2024,1,1)),"FALTA EN evol_conc","OK"),IF(INDEX(evol_conc!$H:$H,$Q164)&lt;&gt;$F164,"FIRMA DISTINTA EN evol_conc ("&amp;IF(INDEX(evol_conc!$H:$H,$Q164)="","vacía",DAY(INDEX(evol_conc!$H:$H,$Q164))&amp;"/"&amp;MONTH(INDEX(evol_conc!$H:$H,$Q164))&amp;"/"&amp;YEAR(INDEX(evol_conc!$H:$H,$Q164)))&amp;")",IF(INDEX(evol_conc!$G:$G,$Q164)&lt;&gt;$E164,"INGRESO DISTINTO EN evol_conc ("&amp;IF(INDEX(evol_conc!$G:$G,$Q164)="","vacía",DAY(INDEX(evol_conc!$G:$G,$Q164))&amp;"/"&amp;MONTH(INDEX(evol_conc!$G:$G,$Q164))&amp;"/"&amp;YEAR(INDEX(evol_conc!$G:$G,$Q164)))&amp;")","OK"))))))))</f>
        <v>OK</v>
      </c>
      <c r="Q164">
        <f ca="1">IF($N164="","",IFERROR(MATCH($N164,evol_conc!$P:$P,0),0))</f>
        <v>140</v>
      </c>
    </row>
    <row r="165" spans="1:17" ht="18" hidden="1" customHeight="1" x14ac:dyDescent="0.25">
      <c r="A165" t="s">
        <v>624</v>
      </c>
      <c r="B165" t="s">
        <v>1321</v>
      </c>
      <c r="D165" t="s">
        <v>348</v>
      </c>
      <c r="E165" s="16">
        <v>45930</v>
      </c>
      <c r="F165" s="16">
        <v>46000</v>
      </c>
      <c r="G165" s="16" t="s">
        <v>1313</v>
      </c>
      <c r="H165" t="s">
        <v>1322</v>
      </c>
      <c r="I165" t="s">
        <v>1323</v>
      </c>
      <c r="J165" t="s">
        <v>1324</v>
      </c>
      <c r="K165" t="s">
        <v>592</v>
      </c>
      <c r="L165" s="53">
        <f t="shared" si="4"/>
        <v>2.3333333333333335</v>
      </c>
      <c r="M165" s="19">
        <f t="shared" si="5"/>
        <v>70</v>
      </c>
      <c r="N165" t="str">
        <f ca="1">IF(TRIM(SUBSTITUTE($B165,CHAR(160)," "))="","",IFERROR(IF(ISNUMBER(SEARCH("INC",$B165)),"INC",IF(ISNUMBER(SEARCH("OPI",$B165)),"OPI",IF(ISNUMBER(SEARCH("DP",$B165)),"DP","CONC")))&amp;" "&amp;TEXT(LOOKUP(9.99E+307,--MID(SUBSTITUTE($B165,CHAR(160)," "),SUMPRODUCT(MIN(FIND({0,1,2,3,4,5,6,7,8,9},SUBSTITUTE($B165,CHAR(160)," ")&amp;"0123456789"))),ROW(INDIRECT("1:6")))),"0"),"SIN NUMERO"))</f>
        <v>CONC 2063</v>
      </c>
      <c r="O165" t="str">
        <f ca="1">IF($N165="","",IF(LEFT(UPPER($P165),9)="VERIFICAR","VERIFICAR",IF(AND($H165&lt;&gt;"",COUNTIFS($N$2:$N$1000,$N165,$H$2:$H$1000,$H165)&gt;1),"DUPLICADA",IF(TRIM(IF($A165="","tipo ","")&amp;IF($F165="","fecha de firma ","")&amp;IF($G165="","decisión ","")&amp;IF($H165="","N° resolución ","")&amp;IF($I165="","N° dictamen",""))&lt;&gt;"","INCOMPLETA: "&amp;TRIM(IF($A165="","tipo ","")&amp;IF($F165="","fecha de firma ","")&amp;IF($G165="","decisión ","")&amp;IF($H165="","N° resolución ","")&amp;IF($I165="","N° dictamen","")),IF(LEFT($N165,4)&lt;&gt;"CONC","OK",IF(N($Q165)=0,IF(AND(ISNUMBER($E165),$E165&gt;=DATE(2024,1,1)),"FALTA EN evol_conc","OK"),IF(INDEX(evol_conc!$H:$H,$Q165)&lt;&gt;$F165,"FIRMA DISTINTA EN evol_conc ("&amp;IF(INDEX(evol_conc!$H:$H,$Q165)="","vacía",DAY(INDEX(evol_conc!$H:$H,$Q165))&amp;"/"&amp;MONTH(INDEX(evol_conc!$H:$H,$Q165))&amp;"/"&amp;YEAR(INDEX(evol_conc!$H:$H,$Q165)))&amp;")",IF(INDEX(evol_conc!$G:$G,$Q165)&lt;&gt;$E165,"INGRESO DISTINTO EN evol_conc ("&amp;IF(INDEX(evol_conc!$G:$G,$Q165)="","vacía",DAY(INDEX(evol_conc!$G:$G,$Q165))&amp;"/"&amp;MONTH(INDEX(evol_conc!$G:$G,$Q165))&amp;"/"&amp;YEAR(INDEX(evol_conc!$G:$G,$Q165)))&amp;")","OK"))))))))</f>
        <v>OK</v>
      </c>
      <c r="Q165">
        <f ca="1">IF($N165="","",IFERROR(MATCH($N165,evol_conc!$P:$P,0),0))</f>
        <v>141</v>
      </c>
    </row>
    <row r="166" spans="1:17" ht="18" hidden="1" customHeight="1" x14ac:dyDescent="0.25">
      <c r="A166" t="s">
        <v>624</v>
      </c>
      <c r="B166" t="s">
        <v>1325</v>
      </c>
      <c r="D166" t="s">
        <v>350</v>
      </c>
      <c r="E166" s="16">
        <v>45936</v>
      </c>
      <c r="F166" s="16">
        <v>46000</v>
      </c>
      <c r="G166" s="16" t="s">
        <v>1313</v>
      </c>
      <c r="H166" t="s">
        <v>1326</v>
      </c>
      <c r="I166" t="s">
        <v>1327</v>
      </c>
      <c r="J166" t="s">
        <v>1130</v>
      </c>
      <c r="K166" t="s">
        <v>560</v>
      </c>
      <c r="L166" s="53">
        <f t="shared" si="4"/>
        <v>2.1333333333333333</v>
      </c>
      <c r="M166" s="19">
        <f t="shared" si="5"/>
        <v>64</v>
      </c>
      <c r="N166" t="str">
        <f ca="1">IF(TRIM(SUBSTITUTE($B166,CHAR(160)," "))="","",IFERROR(IF(ISNUMBER(SEARCH("INC",$B166)),"INC",IF(ISNUMBER(SEARCH("OPI",$B166)),"OPI",IF(ISNUMBER(SEARCH("DP",$B166)),"DP","CONC")))&amp;" "&amp;TEXT(LOOKUP(9.99E+307,--MID(SUBSTITUTE($B166,CHAR(160)," "),SUMPRODUCT(MIN(FIND({0,1,2,3,4,5,6,7,8,9},SUBSTITUTE($B166,CHAR(160)," ")&amp;"0123456789"))),ROW(INDIRECT("1:6")))),"0"),"SIN NUMERO"))</f>
        <v>CONC 2065</v>
      </c>
      <c r="O166" t="str">
        <f ca="1">IF($N166="","",IF(LEFT(UPPER($P166),9)="VERIFICAR","VERIFICAR",IF(AND($H166&lt;&gt;"",COUNTIFS($N$2:$N$1000,$N166,$H$2:$H$1000,$H166)&gt;1),"DUPLICADA",IF(TRIM(IF($A166="","tipo ","")&amp;IF($F166="","fecha de firma ","")&amp;IF($G166="","decisión ","")&amp;IF($H166="","N° resolución ","")&amp;IF($I166="","N° dictamen",""))&lt;&gt;"","INCOMPLETA: "&amp;TRIM(IF($A166="","tipo ","")&amp;IF($F166="","fecha de firma ","")&amp;IF($G166="","decisión ","")&amp;IF($H166="","N° resolución ","")&amp;IF($I166="","N° dictamen","")),IF(LEFT($N166,4)&lt;&gt;"CONC","OK",IF(N($Q166)=0,IF(AND(ISNUMBER($E166),$E166&gt;=DATE(2024,1,1)),"FALTA EN evol_conc","OK"),IF(INDEX(evol_conc!$H:$H,$Q166)&lt;&gt;$F166,"FIRMA DISTINTA EN evol_conc ("&amp;IF(INDEX(evol_conc!$H:$H,$Q166)="","vacía",DAY(INDEX(evol_conc!$H:$H,$Q166))&amp;"/"&amp;MONTH(INDEX(evol_conc!$H:$H,$Q166))&amp;"/"&amp;YEAR(INDEX(evol_conc!$H:$H,$Q166)))&amp;")",IF(INDEX(evol_conc!$G:$G,$Q166)&lt;&gt;$E166,"INGRESO DISTINTO EN evol_conc ("&amp;IF(INDEX(evol_conc!$G:$G,$Q166)="","vacía",DAY(INDEX(evol_conc!$G:$G,$Q166))&amp;"/"&amp;MONTH(INDEX(evol_conc!$G:$G,$Q166))&amp;"/"&amp;YEAR(INDEX(evol_conc!$G:$G,$Q166)))&amp;")","OK"))))))))</f>
        <v>OK</v>
      </c>
      <c r="Q166">
        <f ca="1">IF($N166="","",IFERROR(MATCH($N166,evol_conc!$P:$P,0),0))</f>
        <v>143</v>
      </c>
    </row>
    <row r="167" spans="1:17" ht="18" hidden="1" customHeight="1" x14ac:dyDescent="0.25">
      <c r="A167" t="s">
        <v>624</v>
      </c>
      <c r="B167" t="s">
        <v>1328</v>
      </c>
      <c r="D167" t="s">
        <v>235</v>
      </c>
      <c r="E167" s="16">
        <v>45513</v>
      </c>
      <c r="F167" s="16">
        <v>46002</v>
      </c>
      <c r="G167" s="16" t="s">
        <v>1313</v>
      </c>
      <c r="H167" t="s">
        <v>1329</v>
      </c>
      <c r="I167" t="s">
        <v>1330</v>
      </c>
      <c r="J167" t="s">
        <v>1331</v>
      </c>
      <c r="K167" t="s">
        <v>592</v>
      </c>
      <c r="L167" s="53">
        <f t="shared" si="4"/>
        <v>16.3</v>
      </c>
      <c r="M167" s="19">
        <f t="shared" si="5"/>
        <v>489</v>
      </c>
      <c r="N167" t="str">
        <f ca="1">IF(TRIM(SUBSTITUTE($B167,CHAR(160)," "))="","",IFERROR(IF(ISNUMBER(SEARCH("INC",$B167)),"INC",IF(ISNUMBER(SEARCH("OPI",$B167)),"OPI",IF(ISNUMBER(SEARCH("DP",$B167)),"DP","CONC")))&amp;" "&amp;TEXT(LOOKUP(9.99E+307,--MID(SUBSTITUTE($B167,CHAR(160)," "),SUMPRODUCT(MIN(FIND({0,1,2,3,4,5,6,7,8,9},SUBSTITUTE($B167,CHAR(160)," ")&amp;"0123456789"))),ROW(INDIRECT("1:6")))),"0"),"SIN NUMERO"))</f>
        <v>CONC 1989</v>
      </c>
      <c r="O167" t="str">
        <f ca="1">IF($N167="","",IF(LEFT(UPPER($P167),9)="VERIFICAR","VERIFICAR",IF(AND($H167&lt;&gt;"",COUNTIFS($N$2:$N$1000,$N167,$H$2:$H$1000,$H167)&gt;1),"DUPLICADA",IF(TRIM(IF($A167="","tipo ","")&amp;IF($F167="","fecha de firma ","")&amp;IF($G167="","decisión ","")&amp;IF($H167="","N° resolución ","")&amp;IF($I167="","N° dictamen",""))&lt;&gt;"","INCOMPLETA: "&amp;TRIM(IF($A167="","tipo ","")&amp;IF($F167="","fecha de firma ","")&amp;IF($G167="","decisión ","")&amp;IF($H167="","N° resolución ","")&amp;IF($I167="","N° dictamen","")),IF(LEFT($N167,4)&lt;&gt;"CONC","OK",IF(N($Q167)=0,IF(AND(ISNUMBER($E167),$E167&gt;=DATE(2024,1,1)),"FALTA EN evol_conc","OK"),IF(INDEX(evol_conc!$H:$H,$Q167)&lt;&gt;$F167,"FIRMA DISTINTA EN evol_conc ("&amp;IF(INDEX(evol_conc!$H:$H,$Q167)="","vacía",DAY(INDEX(evol_conc!$H:$H,$Q167))&amp;"/"&amp;MONTH(INDEX(evol_conc!$H:$H,$Q167))&amp;"/"&amp;YEAR(INDEX(evol_conc!$H:$H,$Q167)))&amp;")",IF(INDEX(evol_conc!$G:$G,$Q167)&lt;&gt;$E167,"INGRESO DISTINTO EN evol_conc ("&amp;IF(INDEX(evol_conc!$G:$G,$Q167)="","vacía",DAY(INDEX(evol_conc!$G:$G,$Q167))&amp;"/"&amp;MONTH(INDEX(evol_conc!$G:$G,$Q167))&amp;"/"&amp;YEAR(INDEX(evol_conc!$G:$G,$Q167)))&amp;")","OK"))))))))</f>
        <v>OK</v>
      </c>
      <c r="Q167">
        <f ca="1">IF($N167="","",IFERROR(MATCH($N167,evol_conc!$P:$P,0),0))</f>
        <v>65</v>
      </c>
    </row>
    <row r="168" spans="1:17" ht="18" hidden="1" customHeight="1" x14ac:dyDescent="0.25">
      <c r="A168" t="s">
        <v>547</v>
      </c>
      <c r="B168" t="s">
        <v>1332</v>
      </c>
      <c r="D168" t="s">
        <v>1333</v>
      </c>
      <c r="E168" s="16">
        <v>45482</v>
      </c>
      <c r="F168" s="16">
        <v>46003</v>
      </c>
      <c r="G168" t="s">
        <v>1334</v>
      </c>
      <c r="H168" t="s">
        <v>1335</v>
      </c>
      <c r="I168" t="s">
        <v>1336</v>
      </c>
      <c r="J168" t="s">
        <v>1337</v>
      </c>
      <c r="K168" t="s">
        <v>660</v>
      </c>
      <c r="L168" s="53">
        <f t="shared" si="4"/>
        <v>17.366666666666667</v>
      </c>
      <c r="M168" s="19">
        <f t="shared" si="5"/>
        <v>521</v>
      </c>
      <c r="N168" t="str">
        <f ca="1">IF(TRIM(SUBSTITUTE($B168,CHAR(160)," "))="","",IFERROR(IF(ISNUMBER(SEARCH("INC",$B168)),"INC",IF(ISNUMBER(SEARCH("OPI",$B168)),"OPI",IF(ISNUMBER(SEARCH("DP",$B168)),"DP","CONC")))&amp;" "&amp;TEXT(LOOKUP(9.99E+307,--MID(SUBSTITUTE($B168,CHAR(160)," "),SUMPRODUCT(MIN(FIND({0,1,2,3,4,5,6,7,8,9},SUBSTITUTE($B168,CHAR(160)," ")&amp;"0123456789"))),ROW(INDIRECT("1:6")))),"0"),"SIN NUMERO"))</f>
        <v>CONC 1984</v>
      </c>
      <c r="O168" t="str">
        <f ca="1">IF($N168="","",IF(LEFT(UPPER($P168),9)="VERIFICAR","VERIFICAR",IF(AND($H168&lt;&gt;"",COUNTIFS($N$2:$N$1000,$N168,$H$2:$H$1000,$H168)&gt;1),"DUPLICADA",IF(TRIM(IF($A168="","tipo ","")&amp;IF($F168="","fecha de firma ","")&amp;IF($G168="","decisión ","")&amp;IF($H168="","N° resolución ","")&amp;IF($I168="","N° dictamen",""))&lt;&gt;"","INCOMPLETA: "&amp;TRIM(IF($A168="","tipo ","")&amp;IF($F168="","fecha de firma ","")&amp;IF($G168="","decisión ","")&amp;IF($H168="","N° resolución ","")&amp;IF($I168="","N° dictamen","")),IF(LEFT($N168,4)&lt;&gt;"CONC","OK",IF(N($Q168)=0,IF(AND(ISNUMBER($E168),$E168&gt;=DATE(2024,1,1)),"FALTA EN evol_conc","OK"),IF(INDEX(evol_conc!$H:$H,$Q168)&lt;&gt;$F168,"FIRMA DISTINTA EN evol_conc ("&amp;IF(INDEX(evol_conc!$H:$H,$Q168)="","vacía",DAY(INDEX(evol_conc!$H:$H,$Q168))&amp;"/"&amp;MONTH(INDEX(evol_conc!$H:$H,$Q168))&amp;"/"&amp;YEAR(INDEX(evol_conc!$H:$H,$Q168)))&amp;")",IF(INDEX(evol_conc!$G:$G,$Q168)&lt;&gt;$E168,"INGRESO DISTINTO EN evol_conc ("&amp;IF(INDEX(evol_conc!$G:$G,$Q168)="","vacía",DAY(INDEX(evol_conc!$G:$G,$Q168))&amp;"/"&amp;MONTH(INDEX(evol_conc!$G:$G,$Q168))&amp;"/"&amp;YEAR(INDEX(evol_conc!$G:$G,$Q168)))&amp;")","OK"))))))))</f>
        <v>OK</v>
      </c>
      <c r="Q168">
        <f ca="1">IF($N168="","",IFERROR(MATCH($N168,evol_conc!$P:$P,0),0))</f>
        <v>60</v>
      </c>
    </row>
    <row r="169" spans="1:17" ht="18" hidden="1" customHeight="1" x14ac:dyDescent="0.25">
      <c r="B169" t="s">
        <v>1338</v>
      </c>
      <c r="D169" t="s">
        <v>297</v>
      </c>
      <c r="E169" s="16">
        <v>45755</v>
      </c>
      <c r="F169" s="16">
        <v>46004</v>
      </c>
      <c r="L169" s="53">
        <f t="shared" si="4"/>
        <v>8.3000000000000007</v>
      </c>
      <c r="M169" s="19">
        <f t="shared" si="5"/>
        <v>249</v>
      </c>
      <c r="N169" t="str">
        <f ca="1">IF(TRIM(SUBSTITUTE($B169,CHAR(160)," "))="","",IFERROR(IF(ISNUMBER(SEARCH("INC",$B169)),"INC",IF(ISNUMBER(SEARCH("OPI",$B169)),"OPI",IF(ISNUMBER(SEARCH("DP",$B169)),"DP","CONC")))&amp;" "&amp;TEXT(LOOKUP(9.99E+307,--MID(SUBSTITUTE($B169,CHAR(160)," "),SUMPRODUCT(MIN(FIND({0,1,2,3,4,5,6,7,8,9},SUBSTITUTE($B169,CHAR(160)," ")&amp;"0123456789"))),ROW(INDIRECT("1:6")))),"0"),"SIN NUMERO"))</f>
        <v>CONC 2030</v>
      </c>
      <c r="O169" t="str">
        <f ca="1">IF($N169="","",IF(LEFT(UPPER($P169),9)="VERIFICAR","VERIFICAR",IF(AND($H169&lt;&gt;"",COUNTIFS($N$2:$N$1000,$N169,$H$2:$H$1000,$H169)&gt;1),"DUPLICADA",IF(TRIM(IF($A169="","tipo ","")&amp;IF($F169="","fecha de firma ","")&amp;IF($G169="","decisión ","")&amp;IF($H169="","N° resolución ","")&amp;IF($I169="","N° dictamen",""))&lt;&gt;"","INCOMPLETA: "&amp;TRIM(IF($A169="","tipo ","")&amp;IF($F169="","fecha de firma ","")&amp;IF($G169="","decisión ","")&amp;IF($H169="","N° resolución ","")&amp;IF($I169="","N° dictamen","")),IF(LEFT($N169,4)&lt;&gt;"CONC","OK",IF(N($Q169)=0,IF(AND(ISNUMBER($E169),$E169&gt;=DATE(2024,1,1)),"FALTA EN evol_conc","OK"),IF(INDEX(evol_conc!$H:$H,$Q169)&lt;&gt;$F169,"FIRMA DISTINTA EN evol_conc ("&amp;IF(INDEX(evol_conc!$H:$H,$Q169)="","vacía",DAY(INDEX(evol_conc!$H:$H,$Q169))&amp;"/"&amp;MONTH(INDEX(evol_conc!$H:$H,$Q169))&amp;"/"&amp;YEAR(INDEX(evol_conc!$H:$H,$Q169)))&amp;")",IF(INDEX(evol_conc!$G:$G,$Q169)&lt;&gt;$E169,"INGRESO DISTINTO EN evol_conc ("&amp;IF(INDEX(evol_conc!$G:$G,$Q169)="","vacía",DAY(INDEX(evol_conc!$G:$G,$Q169))&amp;"/"&amp;MONTH(INDEX(evol_conc!$G:$G,$Q169))&amp;"/"&amp;YEAR(INDEX(evol_conc!$G:$G,$Q169)))&amp;")","OK"))))))))</f>
        <v>VERIFICAR</v>
      </c>
      <c r="P169" t="s">
        <v>298</v>
      </c>
      <c r="Q169">
        <f ca="1">IF($N169="","",IFERROR(MATCH($N169,evol_conc!$P:$P,0),0))</f>
        <v>108</v>
      </c>
    </row>
    <row r="170" spans="1:17" ht="18" hidden="1" customHeight="1" x14ac:dyDescent="0.25">
      <c r="A170" t="s">
        <v>1089</v>
      </c>
      <c r="B170" t="s">
        <v>1339</v>
      </c>
      <c r="D170" t="s">
        <v>1340</v>
      </c>
      <c r="E170" s="16">
        <v>45966</v>
      </c>
      <c r="F170" s="16">
        <v>46006</v>
      </c>
      <c r="G170" s="16" t="s">
        <v>1302</v>
      </c>
      <c r="H170" t="s">
        <v>1341</v>
      </c>
      <c r="I170" t="s">
        <v>1342</v>
      </c>
      <c r="J170" t="s">
        <v>1343</v>
      </c>
      <c r="L170" s="53">
        <f t="shared" si="4"/>
        <v>1.3333333333333333</v>
      </c>
      <c r="M170" s="19">
        <f t="shared" si="5"/>
        <v>40</v>
      </c>
      <c r="N170" t="str">
        <f ca="1">IF(TRIM(SUBSTITUTE($B170,CHAR(160)," "))="","",IFERROR(IF(ISNUMBER(SEARCH("INC",$B170)),"INC",IF(ISNUMBER(SEARCH("OPI",$B170)),"OPI",IF(ISNUMBER(SEARCH("DP",$B170)),"DP","CONC")))&amp;" "&amp;TEXT(LOOKUP(9.99E+307,--MID(SUBSTITUTE($B170,CHAR(160)," "),SUMPRODUCT(MIN(FIND({0,1,2,3,4,5,6,7,8,9},SUBSTITUTE($B170,CHAR(160)," ")&amp;"0123456789"))),ROW(INDIRECT("1:6")))),"0"),"SIN NUMERO"))</f>
        <v>OPI 386</v>
      </c>
      <c r="O170" t="str">
        <f ca="1">IF($N170="","",IF(LEFT(UPPER($P170),9)="VERIFICAR","VERIFICAR",IF(AND($H170&lt;&gt;"",COUNTIFS($N$2:$N$1000,$N170,$H$2:$H$1000,$H170)&gt;1),"DUPLICADA",IF(TRIM(IF($A170="","tipo ","")&amp;IF($F170="","fecha de firma ","")&amp;IF($G170="","decisión ","")&amp;IF($H170="","N° resolución ","")&amp;IF($I170="","N° dictamen",""))&lt;&gt;"","INCOMPLETA: "&amp;TRIM(IF($A170="","tipo ","")&amp;IF($F170="","fecha de firma ","")&amp;IF($G170="","decisión ","")&amp;IF($H170="","N° resolución ","")&amp;IF($I170="","N° dictamen","")),IF(LEFT($N170,4)&lt;&gt;"CONC","OK",IF(N($Q170)=0,IF(AND(ISNUMBER($E170),$E170&gt;=DATE(2024,1,1)),"FALTA EN evol_conc","OK"),IF(INDEX(evol_conc!$H:$H,$Q170)&lt;&gt;$F170,"FIRMA DISTINTA EN evol_conc ("&amp;IF(INDEX(evol_conc!$H:$H,$Q170)="","vacía",DAY(INDEX(evol_conc!$H:$H,$Q170))&amp;"/"&amp;MONTH(INDEX(evol_conc!$H:$H,$Q170))&amp;"/"&amp;YEAR(INDEX(evol_conc!$H:$H,$Q170)))&amp;")",IF(INDEX(evol_conc!$G:$G,$Q170)&lt;&gt;$E170,"INGRESO DISTINTO EN evol_conc ("&amp;IF(INDEX(evol_conc!$G:$G,$Q170)="","vacía",DAY(INDEX(evol_conc!$G:$G,$Q170))&amp;"/"&amp;MONTH(INDEX(evol_conc!$G:$G,$Q170))&amp;"/"&amp;YEAR(INDEX(evol_conc!$G:$G,$Q170)))&amp;")","OK"))))))))</f>
        <v>OK</v>
      </c>
      <c r="Q170">
        <f ca="1">IF($N170="","",IFERROR(MATCH($N170,evol_conc!$P:$P,0),0))</f>
        <v>0</v>
      </c>
    </row>
    <row r="171" spans="1:17" ht="18" hidden="1" customHeight="1" x14ac:dyDescent="0.25">
      <c r="A171" t="s">
        <v>547</v>
      </c>
      <c r="B171" t="s">
        <v>1344</v>
      </c>
      <c r="D171" t="s">
        <v>175</v>
      </c>
      <c r="E171" s="16">
        <v>45079</v>
      </c>
      <c r="F171" s="16">
        <v>46008</v>
      </c>
      <c r="G171" t="s">
        <v>1345</v>
      </c>
      <c r="H171" t="s">
        <v>1346</v>
      </c>
      <c r="I171" t="s">
        <v>1347</v>
      </c>
      <c r="J171" t="s">
        <v>1348</v>
      </c>
      <c r="K171" t="s">
        <v>560</v>
      </c>
      <c r="L171" s="53">
        <f t="shared" si="4"/>
        <v>30.966666666666665</v>
      </c>
      <c r="M171" s="19">
        <f t="shared" si="5"/>
        <v>929</v>
      </c>
      <c r="N171" t="str">
        <f ca="1">IF(TRIM(SUBSTITUTE($B171,CHAR(160)," "))="","",IFERROR(IF(ISNUMBER(SEARCH("INC",$B171)),"INC",IF(ISNUMBER(SEARCH("OPI",$B171)),"OPI",IF(ISNUMBER(SEARCH("DP",$B171)),"DP","CONC")))&amp;" "&amp;TEXT(LOOKUP(9.99E+307,--MID(SUBSTITUTE($B171,CHAR(160)," "),SUMPRODUCT(MIN(FIND({0,1,2,3,4,5,6,7,8,9},SUBSTITUTE($B171,CHAR(160)," ")&amp;"0123456789"))),ROW(INDIRECT("1:6")))),"0"),"SIN NUMERO"))</f>
        <v>CONC 1919</v>
      </c>
      <c r="O171" t="str">
        <f ca="1">IF($N171="","",IF(LEFT(UPPER($P171),9)="VERIFICAR","VERIFICAR",IF(AND($H171&lt;&gt;"",COUNTIFS($N$2:$N$1000,$N171,$H$2:$H$1000,$H171)&gt;1),"DUPLICADA",IF(TRIM(IF($A171="","tipo ","")&amp;IF($F171="","fecha de firma ","")&amp;IF($G171="","decisión ","")&amp;IF($H171="","N° resolución ","")&amp;IF($I171="","N° dictamen",""))&lt;&gt;"","INCOMPLETA: "&amp;TRIM(IF($A171="","tipo ","")&amp;IF($F171="","fecha de firma ","")&amp;IF($G171="","decisión ","")&amp;IF($H171="","N° resolución ","")&amp;IF($I171="","N° dictamen","")),IF(LEFT($N171,4)&lt;&gt;"CONC","OK",IF(N($Q171)=0,IF(AND(ISNUMBER($E171),$E171&gt;=DATE(2024,1,1)),"FALTA EN evol_conc","OK"),IF(INDEX(evol_conc!$H:$H,$Q171)&lt;&gt;$F171,"FIRMA DISTINTA EN evol_conc ("&amp;IF(INDEX(evol_conc!$H:$H,$Q171)="","vacía",DAY(INDEX(evol_conc!$H:$H,$Q171))&amp;"/"&amp;MONTH(INDEX(evol_conc!$H:$H,$Q171))&amp;"/"&amp;YEAR(INDEX(evol_conc!$H:$H,$Q171)))&amp;")",IF(INDEX(evol_conc!$G:$G,$Q171)&lt;&gt;$E171,"INGRESO DISTINTO EN evol_conc ("&amp;IF(INDEX(evol_conc!$G:$G,$Q171)="","vacía",DAY(INDEX(evol_conc!$G:$G,$Q171))&amp;"/"&amp;MONTH(INDEX(evol_conc!$G:$G,$Q171))&amp;"/"&amp;YEAR(INDEX(evol_conc!$G:$G,$Q171)))&amp;")","OK"))))))))</f>
        <v>OK</v>
      </c>
      <c r="Q171">
        <f ca="1">IF($N171="","",IFERROR(MATCH($N171,evol_conc!$P:$P,0),0))</f>
        <v>31</v>
      </c>
    </row>
    <row r="172" spans="1:17" ht="18" hidden="1" customHeight="1" x14ac:dyDescent="0.25">
      <c r="A172" t="s">
        <v>1089</v>
      </c>
      <c r="B172" t="s">
        <v>1349</v>
      </c>
      <c r="D172" t="s">
        <v>1350</v>
      </c>
      <c r="E172" s="16">
        <v>45821</v>
      </c>
      <c r="F172" s="16">
        <v>46008</v>
      </c>
      <c r="G172" s="16" t="s">
        <v>1351</v>
      </c>
      <c r="H172" t="s">
        <v>1352</v>
      </c>
      <c r="I172" t="s">
        <v>1353</v>
      </c>
      <c r="J172" t="s">
        <v>1130</v>
      </c>
      <c r="L172" s="53">
        <f t="shared" si="4"/>
        <v>6.2333333333333334</v>
      </c>
      <c r="M172" s="19">
        <f t="shared" si="5"/>
        <v>187</v>
      </c>
      <c r="N172" t="str">
        <f ca="1">IF(TRIM(SUBSTITUTE($B172,CHAR(160)," "))="","",IFERROR(IF(ISNUMBER(SEARCH("INC",$B172)),"INC",IF(ISNUMBER(SEARCH("OPI",$B172)),"OPI",IF(ISNUMBER(SEARCH("DP",$B172)),"DP","CONC")))&amp;" "&amp;TEXT(LOOKUP(9.99E+307,--MID(SUBSTITUTE($B172,CHAR(160)," "),SUMPRODUCT(MIN(FIND({0,1,2,3,4,5,6,7,8,9},SUBSTITUTE($B172,CHAR(160)," ")&amp;"0123456789"))),ROW(INDIRECT("1:6")))),"0"),"SIN NUMERO"))</f>
        <v>OPI 381</v>
      </c>
      <c r="O172" t="str">
        <f ca="1">IF($N172="","",IF(LEFT(UPPER($P172),9)="VERIFICAR","VERIFICAR",IF(AND($H172&lt;&gt;"",COUNTIFS($N$2:$N$1000,$N172,$H$2:$H$1000,$H172)&gt;1),"DUPLICADA",IF(TRIM(IF($A172="","tipo ","")&amp;IF($F172="","fecha de firma ","")&amp;IF($G172="","decisión ","")&amp;IF($H172="","N° resolución ","")&amp;IF($I172="","N° dictamen",""))&lt;&gt;"","INCOMPLETA: "&amp;TRIM(IF($A172="","tipo ","")&amp;IF($F172="","fecha de firma ","")&amp;IF($G172="","decisión ","")&amp;IF($H172="","N° resolución ","")&amp;IF($I172="","N° dictamen","")),IF(LEFT($N172,4)&lt;&gt;"CONC","OK",IF(N($Q172)=0,IF(AND(ISNUMBER($E172),$E172&gt;=DATE(2024,1,1)),"FALTA EN evol_conc","OK"),IF(INDEX(evol_conc!$H:$H,$Q172)&lt;&gt;$F172,"FIRMA DISTINTA EN evol_conc ("&amp;IF(INDEX(evol_conc!$H:$H,$Q172)="","vacía",DAY(INDEX(evol_conc!$H:$H,$Q172))&amp;"/"&amp;MONTH(INDEX(evol_conc!$H:$H,$Q172))&amp;"/"&amp;YEAR(INDEX(evol_conc!$H:$H,$Q172)))&amp;")",IF(INDEX(evol_conc!$G:$G,$Q172)&lt;&gt;$E172,"INGRESO DISTINTO EN evol_conc ("&amp;IF(INDEX(evol_conc!$G:$G,$Q172)="","vacía",DAY(INDEX(evol_conc!$G:$G,$Q172))&amp;"/"&amp;MONTH(INDEX(evol_conc!$G:$G,$Q172))&amp;"/"&amp;YEAR(INDEX(evol_conc!$G:$G,$Q172)))&amp;")","OK"))))))))</f>
        <v>OK</v>
      </c>
      <c r="Q172">
        <f ca="1">IF($N172="","",IFERROR(MATCH($N172,evol_conc!$P:$P,0),0))</f>
        <v>0</v>
      </c>
    </row>
    <row r="173" spans="1:17" ht="18" hidden="1" customHeight="1" x14ac:dyDescent="0.25">
      <c r="A173" t="s">
        <v>547</v>
      </c>
      <c r="B173" t="s">
        <v>1354</v>
      </c>
      <c r="D173" t="s">
        <v>334</v>
      </c>
      <c r="E173" s="16">
        <v>45894</v>
      </c>
      <c r="F173" s="16">
        <v>46008</v>
      </c>
      <c r="G173" t="s">
        <v>1302</v>
      </c>
      <c r="H173" t="s">
        <v>1355</v>
      </c>
      <c r="I173" t="s">
        <v>1356</v>
      </c>
      <c r="J173" t="s">
        <v>1357</v>
      </c>
      <c r="L173" s="53">
        <f t="shared" si="4"/>
        <v>3.8</v>
      </c>
      <c r="M173" s="19">
        <f t="shared" si="5"/>
        <v>114</v>
      </c>
      <c r="N173" t="str">
        <f ca="1">IF(TRIM(SUBSTITUTE($B173,CHAR(160)," "))="","",IFERROR(IF(ISNUMBER(SEARCH("INC",$B173)),"INC",IF(ISNUMBER(SEARCH("OPI",$B173)),"OPI",IF(ISNUMBER(SEARCH("DP",$B173)),"DP","CONC")))&amp;" "&amp;TEXT(LOOKUP(9.99E+307,--MID(SUBSTITUTE($B173,CHAR(160)," "),SUMPRODUCT(MIN(FIND({0,1,2,3,4,5,6,7,8,9},SUBSTITUTE($B173,CHAR(160)," ")&amp;"0123456789"))),ROW(INDIRECT("1:6")))),"0"),"SIN NUMERO"))</f>
        <v>CONC 2054</v>
      </c>
      <c r="O173" t="str">
        <f ca="1">IF($N173="","",IF(LEFT(UPPER($P173),9)="VERIFICAR","VERIFICAR",IF(AND($H173&lt;&gt;"",COUNTIFS($N$2:$N$1000,$N173,$H$2:$H$1000,$H173)&gt;1),"DUPLICADA",IF(TRIM(IF($A173="","tipo ","")&amp;IF($F173="","fecha de firma ","")&amp;IF($G173="","decisión ","")&amp;IF($H173="","N° resolución ","")&amp;IF($I173="","N° dictamen",""))&lt;&gt;"","INCOMPLETA: "&amp;TRIM(IF($A173="","tipo ","")&amp;IF($F173="","fecha de firma ","")&amp;IF($G173="","decisión ","")&amp;IF($H173="","N° resolución ","")&amp;IF($I173="","N° dictamen","")),IF(LEFT($N173,4)&lt;&gt;"CONC","OK",IF(N($Q173)=0,IF(AND(ISNUMBER($E173),$E173&gt;=DATE(2024,1,1)),"FALTA EN evol_conc","OK"),IF(INDEX(evol_conc!$H:$H,$Q173)&lt;&gt;$F173,"FIRMA DISTINTA EN evol_conc ("&amp;IF(INDEX(evol_conc!$H:$H,$Q173)="","vacía",DAY(INDEX(evol_conc!$H:$H,$Q173))&amp;"/"&amp;MONTH(INDEX(evol_conc!$H:$H,$Q173))&amp;"/"&amp;YEAR(INDEX(evol_conc!$H:$H,$Q173)))&amp;")",IF(INDEX(evol_conc!$G:$G,$Q173)&lt;&gt;$E173,"INGRESO DISTINTO EN evol_conc ("&amp;IF(INDEX(evol_conc!$G:$G,$Q173)="","vacía",DAY(INDEX(evol_conc!$G:$G,$Q173))&amp;"/"&amp;MONTH(INDEX(evol_conc!$G:$G,$Q173))&amp;"/"&amp;YEAR(INDEX(evol_conc!$G:$G,$Q173)))&amp;")","OK"))))))))</f>
        <v>OK</v>
      </c>
      <c r="Q173">
        <f ca="1">IF($N173="","",IFERROR(MATCH($N173,evol_conc!$P:$P,0),0))</f>
        <v>132</v>
      </c>
    </row>
    <row r="174" spans="1:17" ht="18" hidden="1" customHeight="1" x14ac:dyDescent="0.25">
      <c r="A174" t="s">
        <v>624</v>
      </c>
      <c r="B174" t="s">
        <v>1358</v>
      </c>
      <c r="D174" t="s">
        <v>245</v>
      </c>
      <c r="E174" s="16">
        <v>45573</v>
      </c>
      <c r="F174" s="16">
        <v>46009</v>
      </c>
      <c r="G174" s="16" t="s">
        <v>1313</v>
      </c>
      <c r="H174" t="s">
        <v>1359</v>
      </c>
      <c r="I174" t="s">
        <v>1360</v>
      </c>
      <c r="J174" t="s">
        <v>1361</v>
      </c>
      <c r="K174" t="s">
        <v>554</v>
      </c>
      <c r="L174" s="53">
        <f t="shared" si="4"/>
        <v>14.533333333333333</v>
      </c>
      <c r="M174" s="19">
        <f t="shared" si="5"/>
        <v>436</v>
      </c>
      <c r="N174" t="str">
        <f ca="1">IF(TRIM(SUBSTITUTE($B174,CHAR(160)," "))="","",IFERROR(IF(ISNUMBER(SEARCH("INC",$B174)),"INC",IF(ISNUMBER(SEARCH("OPI",$B174)),"OPI",IF(ISNUMBER(SEARCH("DP",$B174)),"DP","CONC")))&amp;" "&amp;TEXT(LOOKUP(9.99E+307,--MID(SUBSTITUTE($B174,CHAR(160)," "),SUMPRODUCT(MIN(FIND({0,1,2,3,4,5,6,7,8,9},SUBSTITUTE($B174,CHAR(160)," ")&amp;"0123456789"))),ROW(INDIRECT("1:6")))),"0"),"SIN NUMERO"))</f>
        <v>CONC 1996</v>
      </c>
      <c r="O174" t="str">
        <f ca="1">IF($N174="","",IF(LEFT(UPPER($P174),9)="VERIFICAR","VERIFICAR",IF(AND($H174&lt;&gt;"",COUNTIFS($N$2:$N$1000,$N174,$H$2:$H$1000,$H174)&gt;1),"DUPLICADA",IF(TRIM(IF($A174="","tipo ","")&amp;IF($F174="","fecha de firma ","")&amp;IF($G174="","decisión ","")&amp;IF($H174="","N° resolución ","")&amp;IF($I174="","N° dictamen",""))&lt;&gt;"","INCOMPLETA: "&amp;TRIM(IF($A174="","tipo ","")&amp;IF($F174="","fecha de firma ","")&amp;IF($G174="","decisión ","")&amp;IF($H174="","N° resolución ","")&amp;IF($I174="","N° dictamen","")),IF(LEFT($N174,4)&lt;&gt;"CONC","OK",IF(N($Q174)=0,IF(AND(ISNUMBER($E174),$E174&gt;=DATE(2024,1,1)),"FALTA EN evol_conc","OK"),IF(INDEX(evol_conc!$H:$H,$Q174)&lt;&gt;$F174,"FIRMA DISTINTA EN evol_conc ("&amp;IF(INDEX(evol_conc!$H:$H,$Q174)="","vacía",DAY(INDEX(evol_conc!$H:$H,$Q174))&amp;"/"&amp;MONTH(INDEX(evol_conc!$H:$H,$Q174))&amp;"/"&amp;YEAR(INDEX(evol_conc!$H:$H,$Q174)))&amp;")",IF(INDEX(evol_conc!$G:$G,$Q174)&lt;&gt;$E174,"INGRESO DISTINTO EN evol_conc ("&amp;IF(INDEX(evol_conc!$G:$G,$Q174)="","vacía",DAY(INDEX(evol_conc!$G:$G,$Q174))&amp;"/"&amp;MONTH(INDEX(evol_conc!$G:$G,$Q174))&amp;"/"&amp;YEAR(INDEX(evol_conc!$G:$G,$Q174)))&amp;")","OK"))))))))</f>
        <v>OK</v>
      </c>
      <c r="Q174">
        <f ca="1">IF($N174="","",IFERROR(MATCH($N174,evol_conc!$P:$P,0),0))</f>
        <v>73</v>
      </c>
    </row>
    <row r="175" spans="1:17" ht="18" hidden="1" customHeight="1" x14ac:dyDescent="0.25">
      <c r="A175" t="s">
        <v>624</v>
      </c>
      <c r="B175" t="s">
        <v>1362</v>
      </c>
      <c r="D175" t="s">
        <v>315</v>
      </c>
      <c r="E175" s="16">
        <v>45832</v>
      </c>
      <c r="F175" s="16">
        <v>46009</v>
      </c>
      <c r="G175" s="16" t="s">
        <v>1313</v>
      </c>
      <c r="H175" t="s">
        <v>1363</v>
      </c>
      <c r="I175" t="s">
        <v>1364</v>
      </c>
      <c r="J175" t="s">
        <v>1365</v>
      </c>
      <c r="K175" t="s">
        <v>581</v>
      </c>
      <c r="L175" s="53">
        <f t="shared" si="4"/>
        <v>5.9</v>
      </c>
      <c r="M175" s="19">
        <f t="shared" si="5"/>
        <v>177</v>
      </c>
      <c r="N175" t="str">
        <f ca="1">IF(TRIM(SUBSTITUTE($B175,CHAR(160)," "))="","",IFERROR(IF(ISNUMBER(SEARCH("INC",$B175)),"INC",IF(ISNUMBER(SEARCH("OPI",$B175)),"OPI",IF(ISNUMBER(SEARCH("DP",$B175)),"DP","CONC")))&amp;" "&amp;TEXT(LOOKUP(9.99E+307,--MID(SUBSTITUTE($B175,CHAR(160)," "),SUMPRODUCT(MIN(FIND({0,1,2,3,4,5,6,7,8,9},SUBSTITUTE($B175,CHAR(160)," ")&amp;"0123456789"))),ROW(INDIRECT("1:6")))),"0"),"SIN NUMERO"))</f>
        <v>CONC 2042</v>
      </c>
      <c r="O175" t="str">
        <f ca="1">IF($N175="","",IF(LEFT(UPPER($P175),9)="VERIFICAR","VERIFICAR",IF(AND($H175&lt;&gt;"",COUNTIFS($N$2:$N$1000,$N175,$H$2:$H$1000,$H175)&gt;1),"DUPLICADA",IF(TRIM(IF($A175="","tipo ","")&amp;IF($F175="","fecha de firma ","")&amp;IF($G175="","decisión ","")&amp;IF($H175="","N° resolución ","")&amp;IF($I175="","N° dictamen",""))&lt;&gt;"","INCOMPLETA: "&amp;TRIM(IF($A175="","tipo ","")&amp;IF($F175="","fecha de firma ","")&amp;IF($G175="","decisión ","")&amp;IF($H175="","N° resolución ","")&amp;IF($I175="","N° dictamen","")),IF(LEFT($N175,4)&lt;&gt;"CONC","OK",IF(N($Q175)=0,IF(AND(ISNUMBER($E175),$E175&gt;=DATE(2024,1,1)),"FALTA EN evol_conc","OK"),IF(INDEX(evol_conc!$H:$H,$Q175)&lt;&gt;$F175,"FIRMA DISTINTA EN evol_conc ("&amp;IF(INDEX(evol_conc!$H:$H,$Q175)="","vacía",DAY(INDEX(evol_conc!$H:$H,$Q175))&amp;"/"&amp;MONTH(INDEX(evol_conc!$H:$H,$Q175))&amp;"/"&amp;YEAR(INDEX(evol_conc!$H:$H,$Q175)))&amp;")",IF(INDEX(evol_conc!$G:$G,$Q175)&lt;&gt;$E175,"INGRESO DISTINTO EN evol_conc ("&amp;IF(INDEX(evol_conc!$G:$G,$Q175)="","vacía",DAY(INDEX(evol_conc!$G:$G,$Q175))&amp;"/"&amp;MONTH(INDEX(evol_conc!$G:$G,$Q175))&amp;"/"&amp;YEAR(INDEX(evol_conc!$G:$G,$Q175)))&amp;")","OK"))))))))</f>
        <v>OK</v>
      </c>
      <c r="Q175">
        <f ca="1">IF($N175="","",IFERROR(MATCH($N175,evol_conc!$P:$P,0),0))</f>
        <v>121</v>
      </c>
    </row>
    <row r="176" spans="1:17" ht="18" hidden="1" customHeight="1" x14ac:dyDescent="0.25">
      <c r="A176" t="s">
        <v>624</v>
      </c>
      <c r="B176" t="s">
        <v>1366</v>
      </c>
      <c r="D176" t="s">
        <v>330</v>
      </c>
      <c r="E176" s="16">
        <v>45877</v>
      </c>
      <c r="F176" s="16">
        <v>46010</v>
      </c>
      <c r="G176" s="16" t="s">
        <v>1313</v>
      </c>
      <c r="H176" t="s">
        <v>1367</v>
      </c>
      <c r="I176" t="s">
        <v>1368</v>
      </c>
      <c r="J176" t="s">
        <v>1369</v>
      </c>
      <c r="K176" t="s">
        <v>581</v>
      </c>
      <c r="L176" s="53">
        <f t="shared" si="4"/>
        <v>4.4333333333333336</v>
      </c>
      <c r="M176" s="19">
        <f t="shared" si="5"/>
        <v>133</v>
      </c>
      <c r="N176" t="str">
        <f ca="1">IF(TRIM(SUBSTITUTE($B176,CHAR(160)," "))="","",IFERROR(IF(ISNUMBER(SEARCH("INC",$B176)),"INC",IF(ISNUMBER(SEARCH("OPI",$B176)),"OPI",IF(ISNUMBER(SEARCH("DP",$B176)),"DP","CONC")))&amp;" "&amp;TEXT(LOOKUP(9.99E+307,--MID(SUBSTITUTE($B176,CHAR(160)," "),SUMPRODUCT(MIN(FIND({0,1,2,3,4,5,6,7,8,9},SUBSTITUTE($B176,CHAR(160)," ")&amp;"0123456789"))),ROW(INDIRECT("1:6")))),"0"),"SIN NUMERO"))</f>
        <v>CONC 2051</v>
      </c>
      <c r="O176" t="str">
        <f ca="1">IF($N176="","",IF(LEFT(UPPER($P176),9)="VERIFICAR","VERIFICAR",IF(AND($H176&lt;&gt;"",COUNTIFS($N$2:$N$1000,$N176,$H$2:$H$1000,$H176)&gt;1),"DUPLICADA",IF(TRIM(IF($A176="","tipo ","")&amp;IF($F176="","fecha de firma ","")&amp;IF($G176="","decisión ","")&amp;IF($H176="","N° resolución ","")&amp;IF($I176="","N° dictamen",""))&lt;&gt;"","INCOMPLETA: "&amp;TRIM(IF($A176="","tipo ","")&amp;IF($F176="","fecha de firma ","")&amp;IF($G176="","decisión ","")&amp;IF($H176="","N° resolución ","")&amp;IF($I176="","N° dictamen","")),IF(LEFT($N176,4)&lt;&gt;"CONC","OK",IF(N($Q176)=0,IF(AND(ISNUMBER($E176),$E176&gt;=DATE(2024,1,1)),"FALTA EN evol_conc","OK"),IF(INDEX(evol_conc!$H:$H,$Q176)&lt;&gt;$F176,"FIRMA DISTINTA EN evol_conc ("&amp;IF(INDEX(evol_conc!$H:$H,$Q176)="","vacía",DAY(INDEX(evol_conc!$H:$H,$Q176))&amp;"/"&amp;MONTH(INDEX(evol_conc!$H:$H,$Q176))&amp;"/"&amp;YEAR(INDEX(evol_conc!$H:$H,$Q176)))&amp;")",IF(INDEX(evol_conc!$G:$G,$Q176)&lt;&gt;$E176,"INGRESO DISTINTO EN evol_conc ("&amp;IF(INDEX(evol_conc!$G:$G,$Q176)="","vacía",DAY(INDEX(evol_conc!$G:$G,$Q176))&amp;"/"&amp;MONTH(INDEX(evol_conc!$G:$G,$Q176))&amp;"/"&amp;YEAR(INDEX(evol_conc!$G:$G,$Q176)))&amp;")","OK"))))))))</f>
        <v>OK</v>
      </c>
      <c r="Q176">
        <f ca="1">IF($N176="","",IFERROR(MATCH($N176,evol_conc!$P:$P,0),0))</f>
        <v>129</v>
      </c>
    </row>
    <row r="177" spans="1:17" ht="18" hidden="1" customHeight="1" x14ac:dyDescent="0.25">
      <c r="A177" t="s">
        <v>624</v>
      </c>
      <c r="B177" t="s">
        <v>1370</v>
      </c>
      <c r="D177" t="s">
        <v>247</v>
      </c>
      <c r="E177" s="16">
        <v>45580</v>
      </c>
      <c r="F177" s="16">
        <v>46013</v>
      </c>
      <c r="G177" s="16" t="s">
        <v>1313</v>
      </c>
      <c r="H177" t="s">
        <v>1371</v>
      </c>
      <c r="I177" t="s">
        <v>1372</v>
      </c>
      <c r="J177" t="s">
        <v>1373</v>
      </c>
      <c r="K177" t="s">
        <v>592</v>
      </c>
      <c r="L177" s="53">
        <f t="shared" si="4"/>
        <v>14.433333333333334</v>
      </c>
      <c r="M177" s="19">
        <f t="shared" si="5"/>
        <v>433</v>
      </c>
      <c r="N177" t="str">
        <f ca="1">IF(TRIM(SUBSTITUTE($B177,CHAR(160)," "))="","",IFERROR(IF(ISNUMBER(SEARCH("INC",$B177)),"INC",IF(ISNUMBER(SEARCH("OPI",$B177)),"OPI",IF(ISNUMBER(SEARCH("DP",$B177)),"DP","CONC")))&amp;" "&amp;TEXT(LOOKUP(9.99E+307,--MID(SUBSTITUTE($B177,CHAR(160)," "),SUMPRODUCT(MIN(FIND({0,1,2,3,4,5,6,7,8,9},SUBSTITUTE($B177,CHAR(160)," ")&amp;"0123456789"))),ROW(INDIRECT("1:6")))),"0"),"SIN NUMERO"))</f>
        <v>CONC 1997</v>
      </c>
      <c r="O177" t="str">
        <f ca="1">IF($N177="","",IF(LEFT(UPPER($P177),9)="VERIFICAR","VERIFICAR",IF(AND($H177&lt;&gt;"",COUNTIFS($N$2:$N$1000,$N177,$H$2:$H$1000,$H177)&gt;1),"DUPLICADA",IF(TRIM(IF($A177="","tipo ","")&amp;IF($F177="","fecha de firma ","")&amp;IF($G177="","decisión ","")&amp;IF($H177="","N° resolución ","")&amp;IF($I177="","N° dictamen",""))&lt;&gt;"","INCOMPLETA: "&amp;TRIM(IF($A177="","tipo ","")&amp;IF($F177="","fecha de firma ","")&amp;IF($G177="","decisión ","")&amp;IF($H177="","N° resolución ","")&amp;IF($I177="","N° dictamen","")),IF(LEFT($N177,4)&lt;&gt;"CONC","OK",IF(N($Q177)=0,IF(AND(ISNUMBER($E177),$E177&gt;=DATE(2024,1,1)),"FALTA EN evol_conc","OK"),IF(INDEX(evol_conc!$H:$H,$Q177)&lt;&gt;$F177,"FIRMA DISTINTA EN evol_conc ("&amp;IF(INDEX(evol_conc!$H:$H,$Q177)="","vacía",DAY(INDEX(evol_conc!$H:$H,$Q177))&amp;"/"&amp;MONTH(INDEX(evol_conc!$H:$H,$Q177))&amp;"/"&amp;YEAR(INDEX(evol_conc!$H:$H,$Q177)))&amp;")",IF(INDEX(evol_conc!$G:$G,$Q177)&lt;&gt;$E177,"INGRESO DISTINTO EN evol_conc ("&amp;IF(INDEX(evol_conc!$G:$G,$Q177)="","vacía",DAY(INDEX(evol_conc!$G:$G,$Q177))&amp;"/"&amp;MONTH(INDEX(evol_conc!$G:$G,$Q177))&amp;"/"&amp;YEAR(INDEX(evol_conc!$G:$G,$Q177)))&amp;")","OK"))))))))</f>
        <v>OK</v>
      </c>
      <c r="Q177">
        <f ca="1">IF($N177="","",IFERROR(MATCH($N177,evol_conc!$P:$P,0),0))</f>
        <v>74</v>
      </c>
    </row>
    <row r="178" spans="1:17" ht="18" hidden="1" customHeight="1" x14ac:dyDescent="0.25">
      <c r="A178" t="s">
        <v>624</v>
      </c>
      <c r="B178" t="s">
        <v>1374</v>
      </c>
      <c r="D178" t="s">
        <v>310</v>
      </c>
      <c r="E178" s="16">
        <v>45817</v>
      </c>
      <c r="F178" s="16">
        <v>46013</v>
      </c>
      <c r="G178" s="16" t="s">
        <v>1313</v>
      </c>
      <c r="H178" t="s">
        <v>1375</v>
      </c>
      <c r="I178" t="s">
        <v>1376</v>
      </c>
      <c r="J178" t="s">
        <v>1377</v>
      </c>
      <c r="K178" t="s">
        <v>560</v>
      </c>
      <c r="L178" s="53">
        <f t="shared" si="4"/>
        <v>6.5333333333333332</v>
      </c>
      <c r="M178" s="19">
        <f t="shared" si="5"/>
        <v>196</v>
      </c>
      <c r="N178" t="str">
        <f ca="1">IF(TRIM(SUBSTITUTE($B178,CHAR(160)," "))="","",IFERROR(IF(ISNUMBER(SEARCH("INC",$B178)),"INC",IF(ISNUMBER(SEARCH("OPI",$B178)),"OPI",IF(ISNUMBER(SEARCH("DP",$B178)),"DP","CONC")))&amp;" "&amp;TEXT(LOOKUP(9.99E+307,--MID(SUBSTITUTE($B178,CHAR(160)," "),SUMPRODUCT(MIN(FIND({0,1,2,3,4,5,6,7,8,9},SUBSTITUTE($B178,CHAR(160)," ")&amp;"0123456789"))),ROW(INDIRECT("1:6")))),"0"),"SIN NUMERO"))</f>
        <v>CONC 2039</v>
      </c>
      <c r="O178" t="str">
        <f ca="1">IF($N178="","",IF(LEFT(UPPER($P178),9)="VERIFICAR","VERIFICAR",IF(AND($H178&lt;&gt;"",COUNTIFS($N$2:$N$1000,$N178,$H$2:$H$1000,$H178)&gt;1),"DUPLICADA",IF(TRIM(IF($A178="","tipo ","")&amp;IF($F178="","fecha de firma ","")&amp;IF($G178="","decisión ","")&amp;IF($H178="","N° resolución ","")&amp;IF($I178="","N° dictamen",""))&lt;&gt;"","INCOMPLETA: "&amp;TRIM(IF($A178="","tipo ","")&amp;IF($F178="","fecha de firma ","")&amp;IF($G178="","decisión ","")&amp;IF($H178="","N° resolución ","")&amp;IF($I178="","N° dictamen","")),IF(LEFT($N178,4)&lt;&gt;"CONC","OK",IF(N($Q178)=0,IF(AND(ISNUMBER($E178),$E178&gt;=DATE(2024,1,1)),"FALTA EN evol_conc","OK"),IF(INDEX(evol_conc!$H:$H,$Q178)&lt;&gt;$F178,"FIRMA DISTINTA EN evol_conc ("&amp;IF(INDEX(evol_conc!$H:$H,$Q178)="","vacía",DAY(INDEX(evol_conc!$H:$H,$Q178))&amp;"/"&amp;MONTH(INDEX(evol_conc!$H:$H,$Q178))&amp;"/"&amp;YEAR(INDEX(evol_conc!$H:$H,$Q178)))&amp;")",IF(INDEX(evol_conc!$G:$G,$Q178)&lt;&gt;$E178,"INGRESO DISTINTO EN evol_conc ("&amp;IF(INDEX(evol_conc!$G:$G,$Q178)="","vacía",DAY(INDEX(evol_conc!$G:$G,$Q178))&amp;"/"&amp;MONTH(INDEX(evol_conc!$G:$G,$Q178))&amp;"/"&amp;YEAR(INDEX(evol_conc!$G:$G,$Q178)))&amp;")","OK"))))))))</f>
        <v>OK</v>
      </c>
      <c r="Q178">
        <f ca="1">IF($N178="","",IFERROR(MATCH($N178,evol_conc!$P:$P,0),0))</f>
        <v>117</v>
      </c>
    </row>
    <row r="179" spans="1:17" ht="18" hidden="1" customHeight="1" x14ac:dyDescent="0.25">
      <c r="A179" t="s">
        <v>624</v>
      </c>
      <c r="B179" t="s">
        <v>1378</v>
      </c>
      <c r="D179" t="s">
        <v>333</v>
      </c>
      <c r="E179" s="16">
        <v>45894</v>
      </c>
      <c r="F179" s="16">
        <v>46013</v>
      </c>
      <c r="G179" s="16" t="s">
        <v>1313</v>
      </c>
      <c r="H179" t="s">
        <v>1379</v>
      </c>
      <c r="I179" t="s">
        <v>1380</v>
      </c>
      <c r="J179" t="s">
        <v>1381</v>
      </c>
      <c r="L179" s="53">
        <f t="shared" si="4"/>
        <v>3.9666666666666668</v>
      </c>
      <c r="M179" s="19">
        <f t="shared" si="5"/>
        <v>119</v>
      </c>
      <c r="N179" t="str">
        <f ca="1">IF(TRIM(SUBSTITUTE($B179,CHAR(160)," "))="","",IFERROR(IF(ISNUMBER(SEARCH("INC",$B179)),"INC",IF(ISNUMBER(SEARCH("OPI",$B179)),"OPI",IF(ISNUMBER(SEARCH("DP",$B179)),"DP","CONC")))&amp;" "&amp;TEXT(LOOKUP(9.99E+307,--MID(SUBSTITUTE($B179,CHAR(160)," "),SUMPRODUCT(MIN(FIND({0,1,2,3,4,5,6,7,8,9},SUBSTITUTE($B179,CHAR(160)," ")&amp;"0123456789"))),ROW(INDIRECT("1:6")))),"0"),"SIN NUMERO"))</f>
        <v>CONC 2053</v>
      </c>
      <c r="O179" t="str">
        <f ca="1">IF($N179="","",IF(LEFT(UPPER($P179),9)="VERIFICAR","VERIFICAR",IF(AND($H179&lt;&gt;"",COUNTIFS($N$2:$N$1000,$N179,$H$2:$H$1000,$H179)&gt;1),"DUPLICADA",IF(TRIM(IF($A179="","tipo ","")&amp;IF($F179="","fecha de firma ","")&amp;IF($G179="","decisión ","")&amp;IF($H179="","N° resolución ","")&amp;IF($I179="","N° dictamen",""))&lt;&gt;"","INCOMPLETA: "&amp;TRIM(IF($A179="","tipo ","")&amp;IF($F179="","fecha de firma ","")&amp;IF($G179="","decisión ","")&amp;IF($H179="","N° resolución ","")&amp;IF($I179="","N° dictamen","")),IF(LEFT($N179,4)&lt;&gt;"CONC","OK",IF(N($Q179)=0,IF(AND(ISNUMBER($E179),$E179&gt;=DATE(2024,1,1)),"FALTA EN evol_conc","OK"),IF(INDEX(evol_conc!$H:$H,$Q179)&lt;&gt;$F179,"FIRMA DISTINTA EN evol_conc ("&amp;IF(INDEX(evol_conc!$H:$H,$Q179)="","vacía",DAY(INDEX(evol_conc!$H:$H,$Q179))&amp;"/"&amp;MONTH(INDEX(evol_conc!$H:$H,$Q179))&amp;"/"&amp;YEAR(INDEX(evol_conc!$H:$H,$Q179)))&amp;")",IF(INDEX(evol_conc!$G:$G,$Q179)&lt;&gt;$E179,"INGRESO DISTINTO EN evol_conc ("&amp;IF(INDEX(evol_conc!$G:$G,$Q179)="","vacía",DAY(INDEX(evol_conc!$G:$G,$Q179))&amp;"/"&amp;MONTH(INDEX(evol_conc!$G:$G,$Q179))&amp;"/"&amp;YEAR(INDEX(evol_conc!$G:$G,$Q179)))&amp;")","OK"))))))))</f>
        <v>OK</v>
      </c>
      <c r="Q179">
        <f ca="1">IF($N179="","",IFERROR(MATCH($N179,evol_conc!$P:$P,0),0))</f>
        <v>131</v>
      </c>
    </row>
    <row r="180" spans="1:17" ht="18" hidden="1" customHeight="1" x14ac:dyDescent="0.25">
      <c r="A180" t="s">
        <v>1089</v>
      </c>
      <c r="B180" t="s">
        <v>1382</v>
      </c>
      <c r="D180" t="s">
        <v>1383</v>
      </c>
      <c r="E180" s="16">
        <v>45898</v>
      </c>
      <c r="F180" s="16">
        <v>46013</v>
      </c>
      <c r="G180" s="16" t="s">
        <v>1351</v>
      </c>
      <c r="H180" t="s">
        <v>1384</v>
      </c>
      <c r="I180" t="s">
        <v>1385</v>
      </c>
      <c r="L180" s="53">
        <f t="shared" si="4"/>
        <v>3.8333333333333335</v>
      </c>
      <c r="M180" s="19">
        <f t="shared" si="5"/>
        <v>115</v>
      </c>
      <c r="N180" t="str">
        <f ca="1">IF(TRIM(SUBSTITUTE($B180,CHAR(160)," "))="","",IFERROR(IF(ISNUMBER(SEARCH("INC",$B180)),"INC",IF(ISNUMBER(SEARCH("OPI",$B180)),"OPI",IF(ISNUMBER(SEARCH("DP",$B180)),"DP","CONC")))&amp;" "&amp;TEXT(LOOKUP(9.99E+307,--MID(SUBSTITUTE($B180,CHAR(160)," "),SUMPRODUCT(MIN(FIND({0,1,2,3,4,5,6,7,8,9},SUBSTITUTE($B180,CHAR(160)," ")&amp;"0123456789"))),ROW(INDIRECT("1:6")))),"0"),"SIN NUMERO"))</f>
        <v>OPI 383</v>
      </c>
      <c r="O180" t="str">
        <f ca="1">IF($N180="","",IF(LEFT(UPPER($P180),9)="VERIFICAR","VERIFICAR",IF(AND($H180&lt;&gt;"",COUNTIFS($N$2:$N$1000,$N180,$H$2:$H$1000,$H180)&gt;1),"DUPLICADA",IF(TRIM(IF($A180="","tipo ","")&amp;IF($F180="","fecha de firma ","")&amp;IF($G180="","decisión ","")&amp;IF($H180="","N° resolución ","")&amp;IF($I180="","N° dictamen",""))&lt;&gt;"","INCOMPLETA: "&amp;TRIM(IF($A180="","tipo ","")&amp;IF($F180="","fecha de firma ","")&amp;IF($G180="","decisión ","")&amp;IF($H180="","N° resolución ","")&amp;IF($I180="","N° dictamen","")),IF(LEFT($N180,4)&lt;&gt;"CONC","OK",IF(N($Q180)=0,IF(AND(ISNUMBER($E180),$E180&gt;=DATE(2024,1,1)),"FALTA EN evol_conc","OK"),IF(INDEX(evol_conc!$H:$H,$Q180)&lt;&gt;$F180,"FIRMA DISTINTA EN evol_conc ("&amp;IF(INDEX(evol_conc!$H:$H,$Q180)="","vacía",DAY(INDEX(evol_conc!$H:$H,$Q180))&amp;"/"&amp;MONTH(INDEX(evol_conc!$H:$H,$Q180))&amp;"/"&amp;YEAR(INDEX(evol_conc!$H:$H,$Q180)))&amp;")",IF(INDEX(evol_conc!$G:$G,$Q180)&lt;&gt;$E180,"INGRESO DISTINTO EN evol_conc ("&amp;IF(INDEX(evol_conc!$G:$G,$Q180)="","vacía",DAY(INDEX(evol_conc!$G:$G,$Q180))&amp;"/"&amp;MONTH(INDEX(evol_conc!$G:$G,$Q180))&amp;"/"&amp;YEAR(INDEX(evol_conc!$G:$G,$Q180)))&amp;")","OK"))))))))</f>
        <v>OK</v>
      </c>
      <c r="Q180">
        <f ca="1">IF($N180="","",IFERROR(MATCH($N180,evol_conc!$P:$P,0),0))</f>
        <v>0</v>
      </c>
    </row>
    <row r="181" spans="1:17" ht="18" hidden="1" customHeight="1" x14ac:dyDescent="0.25">
      <c r="A181" t="s">
        <v>624</v>
      </c>
      <c r="B181" t="s">
        <v>1386</v>
      </c>
      <c r="D181" t="s">
        <v>364</v>
      </c>
      <c r="E181" s="16">
        <v>45965</v>
      </c>
      <c r="F181" s="16">
        <v>46013</v>
      </c>
      <c r="G181" s="16" t="s">
        <v>1313</v>
      </c>
      <c r="H181" t="s">
        <v>1387</v>
      </c>
      <c r="I181" t="s">
        <v>1388</v>
      </c>
      <c r="J181" t="s">
        <v>1389</v>
      </c>
      <c r="L181" s="53">
        <f t="shared" si="4"/>
        <v>1.6</v>
      </c>
      <c r="M181" s="19">
        <f t="shared" si="5"/>
        <v>48</v>
      </c>
      <c r="N181" t="str">
        <f ca="1">IF(TRIM(SUBSTITUTE($B181,CHAR(160)," "))="","",IFERROR(IF(ISNUMBER(SEARCH("INC",$B181)),"INC",IF(ISNUMBER(SEARCH("OPI",$B181)),"OPI",IF(ISNUMBER(SEARCH("DP",$B181)),"DP","CONC")))&amp;" "&amp;TEXT(LOOKUP(9.99E+307,--MID(SUBSTITUTE($B181,CHAR(160)," "),SUMPRODUCT(MIN(FIND({0,1,2,3,4,5,6,7,8,9},SUBSTITUTE($B181,CHAR(160)," ")&amp;"0123456789"))),ROW(INDIRECT("1:6")))),"0"),"SIN NUMERO"))</f>
        <v>CONC 2070</v>
      </c>
      <c r="O181" t="str">
        <f ca="1">IF($N181="","",IF(LEFT(UPPER($P181),9)="VERIFICAR","VERIFICAR",IF(AND($H181&lt;&gt;"",COUNTIFS($N$2:$N$1000,$N181,$H$2:$H$1000,$H181)&gt;1),"DUPLICADA",IF(TRIM(IF($A181="","tipo ","")&amp;IF($F181="","fecha de firma ","")&amp;IF($G181="","decisión ","")&amp;IF($H181="","N° resolución ","")&amp;IF($I181="","N° dictamen",""))&lt;&gt;"","INCOMPLETA: "&amp;TRIM(IF($A181="","tipo ","")&amp;IF($F181="","fecha de firma ","")&amp;IF($G181="","decisión ","")&amp;IF($H181="","N° resolución ","")&amp;IF($I181="","N° dictamen","")),IF(LEFT($N181,4)&lt;&gt;"CONC","OK",IF(N($Q181)=0,IF(AND(ISNUMBER($E181),$E181&gt;=DATE(2024,1,1)),"FALTA EN evol_conc","OK"),IF(INDEX(evol_conc!$H:$H,$Q181)&lt;&gt;$F181,"FIRMA DISTINTA EN evol_conc ("&amp;IF(INDEX(evol_conc!$H:$H,$Q181)="","vacía",DAY(INDEX(evol_conc!$H:$H,$Q181))&amp;"/"&amp;MONTH(INDEX(evol_conc!$H:$H,$Q181))&amp;"/"&amp;YEAR(INDEX(evol_conc!$H:$H,$Q181)))&amp;")",IF(INDEX(evol_conc!$G:$G,$Q181)&lt;&gt;$E181,"INGRESO DISTINTO EN evol_conc ("&amp;IF(INDEX(evol_conc!$G:$G,$Q181)="","vacía",DAY(INDEX(evol_conc!$G:$G,$Q181))&amp;"/"&amp;MONTH(INDEX(evol_conc!$G:$G,$Q181))&amp;"/"&amp;YEAR(INDEX(evol_conc!$G:$G,$Q181)))&amp;")","OK"))))))))</f>
        <v>OK</v>
      </c>
      <c r="Q181">
        <f ca="1">IF($N181="","",IFERROR(MATCH($N181,evol_conc!$P:$P,0),0))</f>
        <v>148</v>
      </c>
    </row>
    <row r="182" spans="1:17" ht="18" hidden="1" customHeight="1" x14ac:dyDescent="0.25">
      <c r="A182" t="s">
        <v>624</v>
      </c>
      <c r="B182" t="s">
        <v>1390</v>
      </c>
      <c r="D182" t="s">
        <v>367</v>
      </c>
      <c r="E182" s="16">
        <v>45971</v>
      </c>
      <c r="F182" s="16">
        <v>46013</v>
      </c>
      <c r="G182" s="16" t="s">
        <v>1313</v>
      </c>
      <c r="H182" t="s">
        <v>1391</v>
      </c>
      <c r="I182" t="s">
        <v>1392</v>
      </c>
      <c r="J182" t="s">
        <v>1273</v>
      </c>
      <c r="K182" t="s">
        <v>592</v>
      </c>
      <c r="L182" s="53">
        <f t="shared" si="4"/>
        <v>1.4</v>
      </c>
      <c r="M182" s="19">
        <f t="shared" si="5"/>
        <v>42</v>
      </c>
      <c r="N182" t="str">
        <f ca="1">IF(TRIM(SUBSTITUTE($B182,CHAR(160)," "))="","",IFERROR(IF(ISNUMBER(SEARCH("INC",$B182)),"INC",IF(ISNUMBER(SEARCH("OPI",$B182)),"OPI",IF(ISNUMBER(SEARCH("DP",$B182)),"DP","CONC")))&amp;" "&amp;TEXT(LOOKUP(9.99E+307,--MID(SUBSTITUTE($B182,CHAR(160)," "),SUMPRODUCT(MIN(FIND({0,1,2,3,4,5,6,7,8,9},SUBSTITUTE($B182,CHAR(160)," ")&amp;"0123456789"))),ROW(INDIRECT("1:6")))),"0"),"SIN NUMERO"))</f>
        <v>CONC 2072</v>
      </c>
      <c r="O182" t="str">
        <f ca="1">IF($N182="","",IF(LEFT(UPPER($P182),9)="VERIFICAR","VERIFICAR",IF(AND($H182&lt;&gt;"",COUNTIFS($N$2:$N$1000,$N182,$H$2:$H$1000,$H182)&gt;1),"DUPLICADA",IF(TRIM(IF($A182="","tipo ","")&amp;IF($F182="","fecha de firma ","")&amp;IF($G182="","decisión ","")&amp;IF($H182="","N° resolución ","")&amp;IF($I182="","N° dictamen",""))&lt;&gt;"","INCOMPLETA: "&amp;TRIM(IF($A182="","tipo ","")&amp;IF($F182="","fecha de firma ","")&amp;IF($G182="","decisión ","")&amp;IF($H182="","N° resolución ","")&amp;IF($I182="","N° dictamen","")),IF(LEFT($N182,4)&lt;&gt;"CONC","OK",IF(N($Q182)=0,IF(AND(ISNUMBER($E182),$E182&gt;=DATE(2024,1,1)),"FALTA EN evol_conc","OK"),IF(INDEX(evol_conc!$H:$H,$Q182)&lt;&gt;$F182,"FIRMA DISTINTA EN evol_conc ("&amp;IF(INDEX(evol_conc!$H:$H,$Q182)="","vacía",DAY(INDEX(evol_conc!$H:$H,$Q182))&amp;"/"&amp;MONTH(INDEX(evol_conc!$H:$H,$Q182))&amp;"/"&amp;YEAR(INDEX(evol_conc!$H:$H,$Q182)))&amp;")",IF(INDEX(evol_conc!$G:$G,$Q182)&lt;&gt;$E182,"INGRESO DISTINTO EN evol_conc ("&amp;IF(INDEX(evol_conc!$G:$G,$Q182)="","vacía",DAY(INDEX(evol_conc!$G:$G,$Q182))&amp;"/"&amp;MONTH(INDEX(evol_conc!$G:$G,$Q182))&amp;"/"&amp;YEAR(INDEX(evol_conc!$G:$G,$Q182)))&amp;")","OK"))))))))</f>
        <v>OK</v>
      </c>
      <c r="Q182">
        <f ca="1">IF($N182="","",IFERROR(MATCH($N182,evol_conc!$P:$P,0),0))</f>
        <v>150</v>
      </c>
    </row>
    <row r="183" spans="1:17" ht="18" hidden="1" customHeight="1" x14ac:dyDescent="0.25">
      <c r="A183" t="s">
        <v>547</v>
      </c>
      <c r="B183" t="s">
        <v>1393</v>
      </c>
      <c r="D183" t="s">
        <v>258</v>
      </c>
      <c r="E183" s="16">
        <v>45608</v>
      </c>
      <c r="F183" s="16">
        <v>46014</v>
      </c>
      <c r="G183" t="s">
        <v>1394</v>
      </c>
      <c r="H183" t="s">
        <v>1395</v>
      </c>
      <c r="I183" t="s">
        <v>1396</v>
      </c>
      <c r="J183" t="s">
        <v>1397</v>
      </c>
      <c r="K183" t="s">
        <v>592</v>
      </c>
      <c r="L183" s="53">
        <f t="shared" si="4"/>
        <v>13.533333333333333</v>
      </c>
      <c r="M183" s="19">
        <f t="shared" si="5"/>
        <v>406</v>
      </c>
      <c r="N183" t="str">
        <f ca="1">IF(TRIM(SUBSTITUTE($B183,CHAR(160)," "))="","",IFERROR(IF(ISNUMBER(SEARCH("INC",$B183)),"INC",IF(ISNUMBER(SEARCH("OPI",$B183)),"OPI",IF(ISNUMBER(SEARCH("DP",$B183)),"DP","CONC")))&amp;" "&amp;TEXT(LOOKUP(9.99E+307,--MID(SUBSTITUTE($B183,CHAR(160)," "),SUMPRODUCT(MIN(FIND({0,1,2,3,4,5,6,7,8,9},SUBSTITUTE($B183,CHAR(160)," ")&amp;"0123456789"))),ROW(INDIRECT("1:6")))),"0"),"SIN NUMERO"))</f>
        <v>CONC 2004</v>
      </c>
      <c r="O183" t="str">
        <f ca="1">IF($N183="","",IF(LEFT(UPPER($P183),9)="VERIFICAR","VERIFICAR",IF(AND($H183&lt;&gt;"",COUNTIFS($N$2:$N$1000,$N183,$H$2:$H$1000,$H183)&gt;1),"DUPLICADA",IF(TRIM(IF($A183="","tipo ","")&amp;IF($F183="","fecha de firma ","")&amp;IF($G183="","decisión ","")&amp;IF($H183="","N° resolución ","")&amp;IF($I183="","N° dictamen",""))&lt;&gt;"","INCOMPLETA: "&amp;TRIM(IF($A183="","tipo ","")&amp;IF($F183="","fecha de firma ","")&amp;IF($G183="","decisión ","")&amp;IF($H183="","N° resolución ","")&amp;IF($I183="","N° dictamen","")),IF(LEFT($N183,4)&lt;&gt;"CONC","OK",IF(N($Q183)=0,IF(AND(ISNUMBER($E183),$E183&gt;=DATE(2024,1,1)),"FALTA EN evol_conc","OK"),IF(INDEX(evol_conc!$H:$H,$Q183)&lt;&gt;$F183,"FIRMA DISTINTA EN evol_conc ("&amp;IF(INDEX(evol_conc!$H:$H,$Q183)="","vacía",DAY(INDEX(evol_conc!$H:$H,$Q183))&amp;"/"&amp;MONTH(INDEX(evol_conc!$H:$H,$Q183))&amp;"/"&amp;YEAR(INDEX(evol_conc!$H:$H,$Q183)))&amp;")",IF(INDEX(evol_conc!$G:$G,$Q183)&lt;&gt;$E183,"INGRESO DISTINTO EN evol_conc ("&amp;IF(INDEX(evol_conc!$G:$G,$Q183)="","vacía",DAY(INDEX(evol_conc!$G:$G,$Q183))&amp;"/"&amp;MONTH(INDEX(evol_conc!$G:$G,$Q183))&amp;"/"&amp;YEAR(INDEX(evol_conc!$G:$G,$Q183)))&amp;")","OK"))))))))</f>
        <v>OK</v>
      </c>
      <c r="Q183">
        <f ca="1">IF($N183="","",IFERROR(MATCH($N183,evol_conc!$P:$P,0),0))</f>
        <v>81</v>
      </c>
    </row>
    <row r="184" spans="1:17" ht="18" hidden="1" customHeight="1" x14ac:dyDescent="0.25">
      <c r="A184" t="s">
        <v>1089</v>
      </c>
      <c r="B184" t="s">
        <v>1398</v>
      </c>
      <c r="D184" t="s">
        <v>1399</v>
      </c>
      <c r="E184" s="16">
        <v>45952</v>
      </c>
      <c r="F184" s="16">
        <v>46014</v>
      </c>
      <c r="G184" s="16" t="s">
        <v>1400</v>
      </c>
      <c r="H184" t="s">
        <v>1401</v>
      </c>
      <c r="I184" t="s">
        <v>1402</v>
      </c>
      <c r="L184" s="53">
        <f t="shared" si="4"/>
        <v>2.0666666666666669</v>
      </c>
      <c r="M184" s="19">
        <f t="shared" si="5"/>
        <v>62</v>
      </c>
      <c r="N184" t="str">
        <f ca="1">IF(TRIM(SUBSTITUTE($B184,CHAR(160)," "))="","",IFERROR(IF(ISNUMBER(SEARCH("INC",$B184)),"INC",IF(ISNUMBER(SEARCH("OPI",$B184)),"OPI",IF(ISNUMBER(SEARCH("DP",$B184)),"DP","CONC")))&amp;" "&amp;TEXT(LOOKUP(9.99E+307,--MID(SUBSTITUTE($B184,CHAR(160)," "),SUMPRODUCT(MIN(FIND({0,1,2,3,4,5,6,7,8,9},SUBSTITUTE($B184,CHAR(160)," ")&amp;"0123456789"))),ROW(INDIRECT("1:6")))),"0"),"SIN NUMERO"))</f>
        <v>OPI 385</v>
      </c>
      <c r="O184" t="str">
        <f ca="1">IF($N184="","",IF(LEFT(UPPER($P184),9)="VERIFICAR","VERIFICAR",IF(AND($H184&lt;&gt;"",COUNTIFS($N$2:$N$1000,$N184,$H$2:$H$1000,$H184)&gt;1),"DUPLICADA",IF(TRIM(IF($A184="","tipo ","")&amp;IF($F184="","fecha de firma ","")&amp;IF($G184="","decisión ","")&amp;IF($H184="","N° resolución ","")&amp;IF($I184="","N° dictamen",""))&lt;&gt;"","INCOMPLETA: "&amp;TRIM(IF($A184="","tipo ","")&amp;IF($F184="","fecha de firma ","")&amp;IF($G184="","decisión ","")&amp;IF($H184="","N° resolución ","")&amp;IF($I184="","N° dictamen","")),IF(LEFT($N184,4)&lt;&gt;"CONC","OK",IF(N($Q184)=0,IF(AND(ISNUMBER($E184),$E184&gt;=DATE(2024,1,1)),"FALTA EN evol_conc","OK"),IF(INDEX(evol_conc!$H:$H,$Q184)&lt;&gt;$F184,"FIRMA DISTINTA EN evol_conc ("&amp;IF(INDEX(evol_conc!$H:$H,$Q184)="","vacía",DAY(INDEX(evol_conc!$H:$H,$Q184))&amp;"/"&amp;MONTH(INDEX(evol_conc!$H:$H,$Q184))&amp;"/"&amp;YEAR(INDEX(evol_conc!$H:$H,$Q184)))&amp;")",IF(INDEX(evol_conc!$G:$G,$Q184)&lt;&gt;$E184,"INGRESO DISTINTO EN evol_conc ("&amp;IF(INDEX(evol_conc!$G:$G,$Q184)="","vacía",DAY(INDEX(evol_conc!$G:$G,$Q184))&amp;"/"&amp;MONTH(INDEX(evol_conc!$G:$G,$Q184))&amp;"/"&amp;YEAR(INDEX(evol_conc!$G:$G,$Q184)))&amp;")","OK"))))))))</f>
        <v>OK</v>
      </c>
      <c r="Q184">
        <f ca="1">IF($N184="","",IFERROR(MATCH($N184,evol_conc!$P:$P,0),0))</f>
        <v>0</v>
      </c>
    </row>
    <row r="185" spans="1:17" ht="18" hidden="1" customHeight="1" x14ac:dyDescent="0.25">
      <c r="A185" t="s">
        <v>547</v>
      </c>
      <c r="B185" t="s">
        <v>1403</v>
      </c>
      <c r="D185" t="s">
        <v>82</v>
      </c>
      <c r="E185" s="16">
        <v>40428</v>
      </c>
      <c r="F185" s="16">
        <v>46017</v>
      </c>
      <c r="G185" t="s">
        <v>1404</v>
      </c>
      <c r="H185" t="s">
        <v>1405</v>
      </c>
      <c r="I185" t="s">
        <v>1406</v>
      </c>
      <c r="J185" t="s">
        <v>1407</v>
      </c>
      <c r="K185" t="s">
        <v>592</v>
      </c>
      <c r="L185" s="53">
        <f t="shared" si="4"/>
        <v>186.3</v>
      </c>
      <c r="M185" s="19">
        <f t="shared" si="5"/>
        <v>5589</v>
      </c>
      <c r="N185" t="str">
        <f ca="1">IF(TRIM(SUBSTITUTE($B185,CHAR(160)," "))="","",IFERROR(IF(ISNUMBER(SEARCH("INC",$B185)),"INC",IF(ISNUMBER(SEARCH("OPI",$B185)),"OPI",IF(ISNUMBER(SEARCH("DP",$B185)),"DP","CONC")))&amp;" "&amp;TEXT(LOOKUP(9.99E+307,--MID(SUBSTITUTE($B185,CHAR(160)," "),SUMPRODUCT(MIN(FIND({0,1,2,3,4,5,6,7,8,9},SUBSTITUTE($B185,CHAR(160)," ")&amp;"0123456789"))),ROW(INDIRECT("1:6")))),"0"),"SIN NUMERO"))</f>
        <v>CONC 848</v>
      </c>
      <c r="O185" t="str">
        <f ca="1">IF($N185="","",IF(LEFT(UPPER($P185),9)="VERIFICAR","VERIFICAR",IF(AND($H185&lt;&gt;"",COUNTIFS($N$2:$N$1000,$N185,$H$2:$H$1000,$H185)&gt;1),"DUPLICADA",IF(TRIM(IF($A185="","tipo ","")&amp;IF($F185="","fecha de firma ","")&amp;IF($G185="","decisión ","")&amp;IF($H185="","N° resolución ","")&amp;IF($I185="","N° dictamen",""))&lt;&gt;"","INCOMPLETA: "&amp;TRIM(IF($A185="","tipo ","")&amp;IF($F185="","fecha de firma ","")&amp;IF($G185="","decisión ","")&amp;IF($H185="","N° resolución ","")&amp;IF($I185="","N° dictamen","")),IF(LEFT($N185,4)&lt;&gt;"CONC","OK",IF(N($Q185)=0,IF(AND(ISNUMBER($E185),$E185&gt;=DATE(2024,1,1)),"FALTA EN evol_conc","OK"),IF(INDEX(evol_conc!$H:$H,$Q185)&lt;&gt;$F185,"FIRMA DISTINTA EN evol_conc ("&amp;IF(INDEX(evol_conc!$H:$H,$Q185)="","vacía",DAY(INDEX(evol_conc!$H:$H,$Q185))&amp;"/"&amp;MONTH(INDEX(evol_conc!$H:$H,$Q185))&amp;"/"&amp;YEAR(INDEX(evol_conc!$H:$H,$Q185)))&amp;")",IF(INDEX(evol_conc!$G:$G,$Q185)&lt;&gt;$E185,"INGRESO DISTINTO EN evol_conc ("&amp;IF(INDEX(evol_conc!$G:$G,$Q185)="","vacía",DAY(INDEX(evol_conc!$G:$G,$Q185))&amp;"/"&amp;MONTH(INDEX(evol_conc!$G:$G,$Q185))&amp;"/"&amp;YEAR(INDEX(evol_conc!$G:$G,$Q185)))&amp;")","OK"))))))))</f>
        <v>OK</v>
      </c>
      <c r="Q185">
        <f ca="1">IF($N185="","",IFERROR(MATCH($N185,evol_conc!$P:$P,0),0))</f>
        <v>2</v>
      </c>
    </row>
    <row r="186" spans="1:17" ht="18" hidden="1" customHeight="1" x14ac:dyDescent="0.25">
      <c r="A186" t="s">
        <v>624</v>
      </c>
      <c r="B186" t="s">
        <v>1408</v>
      </c>
      <c r="D186" t="s">
        <v>343</v>
      </c>
      <c r="E186" s="16">
        <v>45910</v>
      </c>
      <c r="F186" s="16">
        <v>46017</v>
      </c>
      <c r="G186" s="16" t="s">
        <v>1313</v>
      </c>
      <c r="H186" t="s">
        <v>1409</v>
      </c>
      <c r="I186" t="s">
        <v>1410</v>
      </c>
      <c r="J186" t="s">
        <v>1411</v>
      </c>
      <c r="K186" t="s">
        <v>581</v>
      </c>
      <c r="L186" s="53">
        <f t="shared" si="4"/>
        <v>3.5666666666666669</v>
      </c>
      <c r="M186" s="19">
        <f t="shared" si="5"/>
        <v>107</v>
      </c>
      <c r="N186" t="str">
        <f ca="1">IF(TRIM(SUBSTITUTE($B186,CHAR(160)," "))="","",IFERROR(IF(ISNUMBER(SEARCH("INC",$B186)),"INC",IF(ISNUMBER(SEARCH("OPI",$B186)),"OPI",IF(ISNUMBER(SEARCH("DP",$B186)),"DP","CONC")))&amp;" "&amp;TEXT(LOOKUP(9.99E+307,--MID(SUBSTITUTE($B186,CHAR(160)," "),SUMPRODUCT(MIN(FIND({0,1,2,3,4,5,6,7,8,9},SUBSTITUTE($B186,CHAR(160)," ")&amp;"0123456789"))),ROW(INDIRECT("1:6")))),"0"),"SIN NUMERO"))</f>
        <v>CONC 2058</v>
      </c>
      <c r="O186" t="str">
        <f ca="1">IF($N186="","",IF(LEFT(UPPER($P186),9)="VERIFICAR","VERIFICAR",IF(AND($H186&lt;&gt;"",COUNTIFS($N$2:$N$1000,$N186,$H$2:$H$1000,$H186)&gt;1),"DUPLICADA",IF(TRIM(IF($A186="","tipo ","")&amp;IF($F186="","fecha de firma ","")&amp;IF($G186="","decisión ","")&amp;IF($H186="","N° resolución ","")&amp;IF($I186="","N° dictamen",""))&lt;&gt;"","INCOMPLETA: "&amp;TRIM(IF($A186="","tipo ","")&amp;IF($F186="","fecha de firma ","")&amp;IF($G186="","decisión ","")&amp;IF($H186="","N° resolución ","")&amp;IF($I186="","N° dictamen","")),IF(LEFT($N186,4)&lt;&gt;"CONC","OK",IF(N($Q186)=0,IF(AND(ISNUMBER($E186),$E186&gt;=DATE(2024,1,1)),"FALTA EN evol_conc","OK"),IF(INDEX(evol_conc!$H:$H,$Q186)&lt;&gt;$F186,"FIRMA DISTINTA EN evol_conc ("&amp;IF(INDEX(evol_conc!$H:$H,$Q186)="","vacía",DAY(INDEX(evol_conc!$H:$H,$Q186))&amp;"/"&amp;MONTH(INDEX(evol_conc!$H:$H,$Q186))&amp;"/"&amp;YEAR(INDEX(evol_conc!$H:$H,$Q186)))&amp;")",IF(INDEX(evol_conc!$G:$G,$Q186)&lt;&gt;$E186,"INGRESO DISTINTO EN evol_conc ("&amp;IF(INDEX(evol_conc!$G:$G,$Q186)="","vacía",DAY(INDEX(evol_conc!$G:$G,$Q186))&amp;"/"&amp;MONTH(INDEX(evol_conc!$G:$G,$Q186))&amp;"/"&amp;YEAR(INDEX(evol_conc!$G:$G,$Q186)))&amp;")","OK"))))))))</f>
        <v>OK</v>
      </c>
      <c r="Q186">
        <f ca="1">IF($N186="","",IFERROR(MATCH($N186,evol_conc!$P:$P,0),0))</f>
        <v>137</v>
      </c>
    </row>
    <row r="187" spans="1:17" ht="18" hidden="1" customHeight="1" x14ac:dyDescent="0.25">
      <c r="A187" t="s">
        <v>547</v>
      </c>
      <c r="B187" t="s">
        <v>1412</v>
      </c>
      <c r="D187" t="s">
        <v>306</v>
      </c>
      <c r="E187" s="16">
        <v>45805</v>
      </c>
      <c r="F187" s="16">
        <v>46024</v>
      </c>
      <c r="G187" t="s">
        <v>1413</v>
      </c>
      <c r="H187" t="s">
        <v>1414</v>
      </c>
      <c r="I187" t="s">
        <v>1415</v>
      </c>
      <c r="J187" t="s">
        <v>1416</v>
      </c>
      <c r="K187" t="s">
        <v>560</v>
      </c>
      <c r="L187" s="53">
        <f t="shared" si="4"/>
        <v>7.3</v>
      </c>
      <c r="M187" s="19">
        <f t="shared" si="5"/>
        <v>219</v>
      </c>
      <c r="N187" t="str">
        <f ca="1">IF(TRIM(SUBSTITUTE($B187,CHAR(160)," "))="","",IFERROR(IF(ISNUMBER(SEARCH("INC",$B187)),"INC",IF(ISNUMBER(SEARCH("OPI",$B187)),"OPI",IF(ISNUMBER(SEARCH("DP",$B187)),"DP","CONC")))&amp;" "&amp;TEXT(LOOKUP(9.99E+307,--MID(SUBSTITUTE($B187,CHAR(160)," "),SUMPRODUCT(MIN(FIND({0,1,2,3,4,5,6,7,8,9},SUBSTITUTE($B187,CHAR(160)," ")&amp;"0123456789"))),ROW(INDIRECT("1:6")))),"0"),"SIN NUMERO"))</f>
        <v>CONC 2037</v>
      </c>
      <c r="O187" t="str">
        <f ca="1">IF($N187="","",IF(LEFT(UPPER($P187),9)="VERIFICAR","VERIFICAR",IF(AND($H187&lt;&gt;"",COUNTIFS($N$2:$N$1000,$N187,$H$2:$H$1000,$H187)&gt;1),"DUPLICADA",IF(TRIM(IF($A187="","tipo ","")&amp;IF($F187="","fecha de firma ","")&amp;IF($G187="","decisión ","")&amp;IF($H187="","N° resolución ","")&amp;IF($I187="","N° dictamen",""))&lt;&gt;"","INCOMPLETA: "&amp;TRIM(IF($A187="","tipo ","")&amp;IF($F187="","fecha de firma ","")&amp;IF($G187="","decisión ","")&amp;IF($H187="","N° resolución ","")&amp;IF($I187="","N° dictamen","")),IF(LEFT($N187,4)&lt;&gt;"CONC","OK",IF(N($Q187)=0,IF(AND(ISNUMBER($E187),$E187&gt;=DATE(2024,1,1)),"FALTA EN evol_conc","OK"),IF(INDEX(evol_conc!$H:$H,$Q187)&lt;&gt;$F187,"FIRMA DISTINTA EN evol_conc ("&amp;IF(INDEX(evol_conc!$H:$H,$Q187)="","vacía",DAY(INDEX(evol_conc!$H:$H,$Q187))&amp;"/"&amp;MONTH(INDEX(evol_conc!$H:$H,$Q187))&amp;"/"&amp;YEAR(INDEX(evol_conc!$H:$H,$Q187)))&amp;")",IF(INDEX(evol_conc!$G:$G,$Q187)&lt;&gt;$E187,"INGRESO DISTINTO EN evol_conc ("&amp;IF(INDEX(evol_conc!$G:$G,$Q187)="","vacía",DAY(INDEX(evol_conc!$G:$G,$Q187))&amp;"/"&amp;MONTH(INDEX(evol_conc!$G:$G,$Q187))&amp;"/"&amp;YEAR(INDEX(evol_conc!$G:$G,$Q187)))&amp;")","OK"))))))))</f>
        <v>OK</v>
      </c>
      <c r="Q187">
        <f ca="1">IF($N187="","",IFERROR(MATCH($N187,evol_conc!$P:$P,0),0))</f>
        <v>115</v>
      </c>
    </row>
    <row r="188" spans="1:17" ht="18" hidden="1" customHeight="1" x14ac:dyDescent="0.25">
      <c r="A188" t="s">
        <v>624</v>
      </c>
      <c r="B188" t="s">
        <v>1417</v>
      </c>
      <c r="D188" t="s">
        <v>349</v>
      </c>
      <c r="E188" s="16">
        <v>45932</v>
      </c>
      <c r="F188" s="16">
        <v>46024</v>
      </c>
      <c r="G188" t="s">
        <v>1313</v>
      </c>
      <c r="H188" t="s">
        <v>1418</v>
      </c>
      <c r="I188" t="s">
        <v>1419</v>
      </c>
      <c r="J188" t="s">
        <v>1420</v>
      </c>
      <c r="K188" t="s">
        <v>592</v>
      </c>
      <c r="L188" s="53">
        <f t="shared" si="4"/>
        <v>3.0666666666666669</v>
      </c>
      <c r="M188" s="19">
        <f t="shared" si="5"/>
        <v>92</v>
      </c>
      <c r="N188" t="str">
        <f ca="1">IF(TRIM(SUBSTITUTE($B188,CHAR(160)," "))="","",IFERROR(IF(ISNUMBER(SEARCH("INC",$B188)),"INC",IF(ISNUMBER(SEARCH("OPI",$B188)),"OPI",IF(ISNUMBER(SEARCH("DP",$B188)),"DP","CONC")))&amp;" "&amp;TEXT(LOOKUP(9.99E+307,--MID(SUBSTITUTE($B188,CHAR(160)," "),SUMPRODUCT(MIN(FIND({0,1,2,3,4,5,6,7,8,9},SUBSTITUTE($B188,CHAR(160)," ")&amp;"0123456789"))),ROW(INDIRECT("1:6")))),"0"),"SIN NUMERO"))</f>
        <v>CONC 2064</v>
      </c>
      <c r="O188" t="str">
        <f ca="1">IF($N188="","",IF(LEFT(UPPER($P188),9)="VERIFICAR","VERIFICAR",IF(AND($H188&lt;&gt;"",COUNTIFS($N$2:$N$1000,$N188,$H$2:$H$1000,$H188)&gt;1),"DUPLICADA",IF(TRIM(IF($A188="","tipo ","")&amp;IF($F188="","fecha de firma ","")&amp;IF($G188="","decisión ","")&amp;IF($H188="","N° resolución ","")&amp;IF($I188="","N° dictamen",""))&lt;&gt;"","INCOMPLETA: "&amp;TRIM(IF($A188="","tipo ","")&amp;IF($F188="","fecha de firma ","")&amp;IF($G188="","decisión ","")&amp;IF($H188="","N° resolución ","")&amp;IF($I188="","N° dictamen","")),IF(LEFT($N188,4)&lt;&gt;"CONC","OK",IF(N($Q188)=0,IF(AND(ISNUMBER($E188),$E188&gt;=DATE(2024,1,1)),"FALTA EN evol_conc","OK"),IF(INDEX(evol_conc!$H:$H,$Q188)&lt;&gt;$F188,"FIRMA DISTINTA EN evol_conc ("&amp;IF(INDEX(evol_conc!$H:$H,$Q188)="","vacía",DAY(INDEX(evol_conc!$H:$H,$Q188))&amp;"/"&amp;MONTH(INDEX(evol_conc!$H:$H,$Q188))&amp;"/"&amp;YEAR(INDEX(evol_conc!$H:$H,$Q188)))&amp;")",IF(INDEX(evol_conc!$G:$G,$Q188)&lt;&gt;$E188,"INGRESO DISTINTO EN evol_conc ("&amp;IF(INDEX(evol_conc!$G:$G,$Q188)="","vacía",DAY(INDEX(evol_conc!$G:$G,$Q188))&amp;"/"&amp;MONTH(INDEX(evol_conc!$G:$G,$Q188))&amp;"/"&amp;YEAR(INDEX(evol_conc!$G:$G,$Q188)))&amp;")","OK"))))))))</f>
        <v>OK</v>
      </c>
      <c r="Q188">
        <f ca="1">IF($N188="","",IFERROR(MATCH($N188,evol_conc!$P:$P,0),0))</f>
        <v>142</v>
      </c>
    </row>
    <row r="189" spans="1:17" ht="18" hidden="1" customHeight="1" x14ac:dyDescent="0.25">
      <c r="A189" t="s">
        <v>547</v>
      </c>
      <c r="B189" t="s">
        <v>1421</v>
      </c>
      <c r="D189" t="s">
        <v>296</v>
      </c>
      <c r="E189" s="16">
        <v>45755</v>
      </c>
      <c r="F189" s="16">
        <v>46034</v>
      </c>
      <c r="G189" t="s">
        <v>1413</v>
      </c>
      <c r="H189" t="s">
        <v>1422</v>
      </c>
      <c r="I189" t="s">
        <v>1423</v>
      </c>
      <c r="J189" t="s">
        <v>1424</v>
      </c>
      <c r="K189" t="s">
        <v>554</v>
      </c>
      <c r="L189" s="53">
        <f t="shared" si="4"/>
        <v>9.3000000000000007</v>
      </c>
      <c r="M189" s="19">
        <f t="shared" si="5"/>
        <v>279</v>
      </c>
      <c r="N189" t="str">
        <f ca="1">IF(TRIM(SUBSTITUTE($B189,CHAR(160)," "))="","",IFERROR(IF(ISNUMBER(SEARCH("INC",$B189)),"INC",IF(ISNUMBER(SEARCH("OPI",$B189)),"OPI",IF(ISNUMBER(SEARCH("DP",$B189)),"DP","CONC")))&amp;" "&amp;TEXT(LOOKUP(9.99E+307,--MID(SUBSTITUTE($B189,CHAR(160)," "),SUMPRODUCT(MIN(FIND({0,1,2,3,4,5,6,7,8,9},SUBSTITUTE($B189,CHAR(160)," ")&amp;"0123456789"))),ROW(INDIRECT("1:6")))),"0"),"SIN NUMERO"))</f>
        <v>CONC 1966</v>
      </c>
      <c r="O189" t="str">
        <f ca="1">IF($N189="","",IF(LEFT(UPPER($P189),9)="VERIFICAR","VERIFICAR",IF(AND($H189&lt;&gt;"",COUNTIFS($N$2:$N$1000,$N189,$H$2:$H$1000,$H189)&gt;1),"DUPLICADA",IF(TRIM(IF($A189="","tipo ","")&amp;IF($F189="","fecha de firma ","")&amp;IF($G189="","decisión ","")&amp;IF($H189="","N° resolución ","")&amp;IF($I189="","N° dictamen",""))&lt;&gt;"","INCOMPLETA: "&amp;TRIM(IF($A189="","tipo ","")&amp;IF($F189="","fecha de firma ","")&amp;IF($G189="","decisión ","")&amp;IF($H189="","N° resolución ","")&amp;IF($I189="","N° dictamen","")),IF(LEFT($N189,4)&lt;&gt;"CONC","OK",IF(N($Q189)=0,IF(AND(ISNUMBER($E189),$E189&gt;=DATE(2024,1,1)),"FALTA EN evol_conc","OK"),IF(INDEX(evol_conc!$H:$H,$Q189)&lt;&gt;$F189,"FIRMA DISTINTA EN evol_conc ("&amp;IF(INDEX(evol_conc!$H:$H,$Q189)="","vacía",DAY(INDEX(evol_conc!$H:$H,$Q189))&amp;"/"&amp;MONTH(INDEX(evol_conc!$H:$H,$Q189))&amp;"/"&amp;YEAR(INDEX(evol_conc!$H:$H,$Q189)))&amp;")",IF(INDEX(evol_conc!$G:$G,$Q189)&lt;&gt;$E189,"INGRESO DISTINTO EN evol_conc ("&amp;IF(INDEX(evol_conc!$G:$G,$Q189)="","vacía",DAY(INDEX(evol_conc!$G:$G,$Q189))&amp;"/"&amp;MONTH(INDEX(evol_conc!$G:$G,$Q189))&amp;"/"&amp;YEAR(INDEX(evol_conc!$G:$G,$Q189)))&amp;")","OK"))))))))</f>
        <v>OK</v>
      </c>
      <c r="Q189">
        <f ca="1">IF($N189="","",IFERROR(MATCH($N189,evol_conc!$P:$P,0),0))</f>
        <v>107</v>
      </c>
    </row>
    <row r="190" spans="1:17" ht="18" hidden="1" customHeight="1" x14ac:dyDescent="0.25">
      <c r="A190" t="s">
        <v>1089</v>
      </c>
      <c r="B190" t="s">
        <v>1425</v>
      </c>
      <c r="D190" t="s">
        <v>1426</v>
      </c>
      <c r="E190" s="16">
        <v>45996</v>
      </c>
      <c r="F190" s="16">
        <v>46035</v>
      </c>
      <c r="G190" t="s">
        <v>1427</v>
      </c>
      <c r="H190" t="s">
        <v>1428</v>
      </c>
      <c r="I190" t="s">
        <v>1429</v>
      </c>
      <c r="J190" t="s">
        <v>1430</v>
      </c>
      <c r="L190" s="53">
        <f t="shared" si="4"/>
        <v>1.3</v>
      </c>
      <c r="M190" s="19">
        <f t="shared" si="5"/>
        <v>39</v>
      </c>
      <c r="N190" t="str">
        <f ca="1">IF(TRIM(SUBSTITUTE($B190,CHAR(160)," "))="","",IFERROR(IF(ISNUMBER(SEARCH("INC",$B190)),"INC",IF(ISNUMBER(SEARCH("OPI",$B190)),"OPI",IF(ISNUMBER(SEARCH("DP",$B190)),"DP","CONC")))&amp;" "&amp;TEXT(LOOKUP(9.99E+307,--MID(SUBSTITUTE($B190,CHAR(160)," "),SUMPRODUCT(MIN(FIND({0,1,2,3,4,5,6,7,8,9},SUBSTITUTE($B190,CHAR(160)," ")&amp;"0123456789"))),ROW(INDIRECT("1:6")))),"0"),"SIN NUMERO"))</f>
        <v>OPI 390</v>
      </c>
      <c r="O190" t="str">
        <f ca="1">IF($N190="","",IF(LEFT(UPPER($P190),9)="VERIFICAR","VERIFICAR",IF(AND($H190&lt;&gt;"",COUNTIFS($N$2:$N$1000,$N190,$H$2:$H$1000,$H190)&gt;1),"DUPLICADA",IF(TRIM(IF($A190="","tipo ","")&amp;IF($F190="","fecha de firma ","")&amp;IF($G190="","decisión ","")&amp;IF($H190="","N° resolución ","")&amp;IF($I190="","N° dictamen",""))&lt;&gt;"","INCOMPLETA: "&amp;TRIM(IF($A190="","tipo ","")&amp;IF($F190="","fecha de firma ","")&amp;IF($G190="","decisión ","")&amp;IF($H190="","N° resolución ","")&amp;IF($I190="","N° dictamen","")),IF(LEFT($N190,4)&lt;&gt;"CONC","OK",IF(N($Q190)=0,IF(AND(ISNUMBER($E190),$E190&gt;=DATE(2024,1,1)),"FALTA EN evol_conc","OK"),IF(INDEX(evol_conc!$H:$H,$Q190)&lt;&gt;$F190,"FIRMA DISTINTA EN evol_conc ("&amp;IF(INDEX(evol_conc!$H:$H,$Q190)="","vacía",DAY(INDEX(evol_conc!$H:$H,$Q190))&amp;"/"&amp;MONTH(INDEX(evol_conc!$H:$H,$Q190))&amp;"/"&amp;YEAR(INDEX(evol_conc!$H:$H,$Q190)))&amp;")",IF(INDEX(evol_conc!$G:$G,$Q190)&lt;&gt;$E190,"INGRESO DISTINTO EN evol_conc ("&amp;IF(INDEX(evol_conc!$G:$G,$Q190)="","vacía",DAY(INDEX(evol_conc!$G:$G,$Q190))&amp;"/"&amp;MONTH(INDEX(evol_conc!$G:$G,$Q190))&amp;"/"&amp;YEAR(INDEX(evol_conc!$G:$G,$Q190)))&amp;")","OK"))))))))</f>
        <v>OK</v>
      </c>
      <c r="Q190">
        <f ca="1">IF($N190="","",IFERROR(MATCH($N190,evol_conc!$P:$P,0),0))</f>
        <v>0</v>
      </c>
    </row>
    <row r="191" spans="1:17" ht="18" hidden="1" customHeight="1" x14ac:dyDescent="0.25">
      <c r="A191" t="s">
        <v>624</v>
      </c>
      <c r="B191" t="s">
        <v>1431</v>
      </c>
      <c r="D191" t="s">
        <v>389</v>
      </c>
      <c r="E191" s="16">
        <v>46027</v>
      </c>
      <c r="F191" s="16">
        <v>46036</v>
      </c>
      <c r="G191" t="s">
        <v>1313</v>
      </c>
      <c r="H191" t="s">
        <v>1432</v>
      </c>
      <c r="I191" t="s">
        <v>1433</v>
      </c>
      <c r="J191" t="s">
        <v>1434</v>
      </c>
      <c r="K191" t="s">
        <v>554</v>
      </c>
      <c r="L191" s="53">
        <f t="shared" si="4"/>
        <v>0.3</v>
      </c>
      <c r="M191" s="19">
        <f t="shared" si="5"/>
        <v>9</v>
      </c>
      <c r="N191" t="str">
        <f ca="1">IF(TRIM(SUBSTITUTE($B191,CHAR(160)," "))="","",IFERROR(IF(ISNUMBER(SEARCH("INC",$B191)),"INC",IF(ISNUMBER(SEARCH("OPI",$B191)),"OPI",IF(ISNUMBER(SEARCH("DP",$B191)),"DP","CONC")))&amp;" "&amp;TEXT(LOOKUP(9.99E+307,--MID(SUBSTITUTE($B191,CHAR(160)," "),SUMPRODUCT(MIN(FIND({0,1,2,3,4,5,6,7,8,9},SUBSTITUTE($B191,CHAR(160)," ")&amp;"0123456789"))),ROW(INDIRECT("1:6")))),"0"),"SIN NUMERO"))</f>
        <v>CONC 2082</v>
      </c>
      <c r="O191" t="str">
        <f ca="1">IF($N191="","",IF(LEFT(UPPER($P191),9)="VERIFICAR","VERIFICAR",IF(AND($H191&lt;&gt;"",COUNTIFS($N$2:$N$1000,$N191,$H$2:$H$1000,$H191)&gt;1),"DUPLICADA",IF(TRIM(IF($A191="","tipo ","")&amp;IF($F191="","fecha de firma ","")&amp;IF($G191="","decisión ","")&amp;IF($H191="","N° resolución ","")&amp;IF($I191="","N° dictamen",""))&lt;&gt;"","INCOMPLETA: "&amp;TRIM(IF($A191="","tipo ","")&amp;IF($F191="","fecha de firma ","")&amp;IF($G191="","decisión ","")&amp;IF($H191="","N° resolución ","")&amp;IF($I191="","N° dictamen","")),IF(LEFT($N191,4)&lt;&gt;"CONC","OK",IF(N($Q191)=0,IF(AND(ISNUMBER($E191),$E191&gt;=DATE(2024,1,1)),"FALTA EN evol_conc","OK"),IF(INDEX(evol_conc!$H:$H,$Q191)&lt;&gt;$F191,"FIRMA DISTINTA EN evol_conc ("&amp;IF(INDEX(evol_conc!$H:$H,$Q191)="","vacía",DAY(INDEX(evol_conc!$H:$H,$Q191))&amp;"/"&amp;MONTH(INDEX(evol_conc!$H:$H,$Q191))&amp;"/"&amp;YEAR(INDEX(evol_conc!$H:$H,$Q191)))&amp;")",IF(INDEX(evol_conc!$G:$G,$Q191)&lt;&gt;$E191,"INGRESO DISTINTO EN evol_conc ("&amp;IF(INDEX(evol_conc!$G:$G,$Q191)="","vacía",DAY(INDEX(evol_conc!$G:$G,$Q191))&amp;"/"&amp;MONTH(INDEX(evol_conc!$G:$G,$Q191))&amp;"/"&amp;YEAR(INDEX(evol_conc!$G:$G,$Q191)))&amp;")","OK"))))))))</f>
        <v>OK</v>
      </c>
      <c r="Q191">
        <f ca="1">IF($N191="","",IFERROR(MATCH($N191,evol_conc!$P:$P,0),0))</f>
        <v>160</v>
      </c>
    </row>
    <row r="192" spans="1:17" ht="18" hidden="1" customHeight="1" x14ac:dyDescent="0.25">
      <c r="A192" t="s">
        <v>547</v>
      </c>
      <c r="B192" t="s">
        <v>1435</v>
      </c>
      <c r="D192" t="s">
        <v>260</v>
      </c>
      <c r="E192" s="16">
        <v>45615</v>
      </c>
      <c r="F192" s="16">
        <v>46037</v>
      </c>
      <c r="G192" t="s">
        <v>1413</v>
      </c>
      <c r="H192" t="s">
        <v>1436</v>
      </c>
      <c r="I192" t="s">
        <v>1437</v>
      </c>
      <c r="J192" t="s">
        <v>1438</v>
      </c>
      <c r="K192" t="s">
        <v>554</v>
      </c>
      <c r="L192" s="53">
        <f t="shared" si="4"/>
        <v>14.066666666666666</v>
      </c>
      <c r="M192" s="19">
        <f t="shared" si="5"/>
        <v>422</v>
      </c>
      <c r="N192" t="str">
        <f ca="1">IF(TRIM(SUBSTITUTE($B192,CHAR(160)," "))="","",IFERROR(IF(ISNUMBER(SEARCH("INC",$B192)),"INC",IF(ISNUMBER(SEARCH("OPI",$B192)),"OPI",IF(ISNUMBER(SEARCH("DP",$B192)),"DP","CONC")))&amp;" "&amp;TEXT(LOOKUP(9.99E+307,--MID(SUBSTITUTE($B192,CHAR(160)," "),SUMPRODUCT(MIN(FIND({0,1,2,3,4,5,6,7,8,9},SUBSTITUTE($B192,CHAR(160)," ")&amp;"0123456789"))),ROW(INDIRECT("1:6")))),"0"),"SIN NUMERO"))</f>
        <v>CONC 2005</v>
      </c>
      <c r="O192" t="str">
        <f ca="1">IF($N192="","",IF(LEFT(UPPER($P192),9)="VERIFICAR","VERIFICAR",IF(AND($H192&lt;&gt;"",COUNTIFS($N$2:$N$1000,$N192,$H$2:$H$1000,$H192)&gt;1),"DUPLICADA",IF(TRIM(IF($A192="","tipo ","")&amp;IF($F192="","fecha de firma ","")&amp;IF($G192="","decisión ","")&amp;IF($H192="","N° resolución ","")&amp;IF($I192="","N° dictamen",""))&lt;&gt;"","INCOMPLETA: "&amp;TRIM(IF($A192="","tipo ","")&amp;IF($F192="","fecha de firma ","")&amp;IF($G192="","decisión ","")&amp;IF($H192="","N° resolución ","")&amp;IF($I192="","N° dictamen","")),IF(LEFT($N192,4)&lt;&gt;"CONC","OK",IF(N($Q192)=0,IF(AND(ISNUMBER($E192),$E192&gt;=DATE(2024,1,1)),"FALTA EN evol_conc","OK"),IF(INDEX(evol_conc!$H:$H,$Q192)&lt;&gt;$F192,"FIRMA DISTINTA EN evol_conc ("&amp;IF(INDEX(evol_conc!$H:$H,$Q192)="","vacía",DAY(INDEX(evol_conc!$H:$H,$Q192))&amp;"/"&amp;MONTH(INDEX(evol_conc!$H:$H,$Q192))&amp;"/"&amp;YEAR(INDEX(evol_conc!$H:$H,$Q192)))&amp;")",IF(INDEX(evol_conc!$G:$G,$Q192)&lt;&gt;$E192,"INGRESO DISTINTO EN evol_conc ("&amp;IF(INDEX(evol_conc!$G:$G,$Q192)="","vacía",DAY(INDEX(evol_conc!$G:$G,$Q192))&amp;"/"&amp;MONTH(INDEX(evol_conc!$G:$G,$Q192))&amp;"/"&amp;YEAR(INDEX(evol_conc!$G:$G,$Q192)))&amp;")","OK"))))))))</f>
        <v>OK</v>
      </c>
      <c r="Q192">
        <f ca="1">IF($N192="","",IFERROR(MATCH($N192,evol_conc!$P:$P,0),0))</f>
        <v>82</v>
      </c>
    </row>
    <row r="193" spans="1:17" ht="18" hidden="1" customHeight="1" x14ac:dyDescent="0.25">
      <c r="A193" t="s">
        <v>547</v>
      </c>
      <c r="B193" t="s">
        <v>1439</v>
      </c>
      <c r="D193" t="s">
        <v>314</v>
      </c>
      <c r="E193" s="16">
        <v>45832</v>
      </c>
      <c r="F193" s="16">
        <v>46037</v>
      </c>
      <c r="G193" t="s">
        <v>1413</v>
      </c>
      <c r="H193" t="s">
        <v>1440</v>
      </c>
      <c r="I193" t="s">
        <v>1441</v>
      </c>
      <c r="J193" t="s">
        <v>1442</v>
      </c>
      <c r="K193" t="s">
        <v>592</v>
      </c>
      <c r="L193" s="53">
        <f t="shared" si="4"/>
        <v>6.833333333333333</v>
      </c>
      <c r="M193" s="19">
        <f t="shared" si="5"/>
        <v>205</v>
      </c>
      <c r="N193" t="str">
        <f ca="1">IF(TRIM(SUBSTITUTE($B193,CHAR(160)," "))="","",IFERROR(IF(ISNUMBER(SEARCH("INC",$B193)),"INC",IF(ISNUMBER(SEARCH("OPI",$B193)),"OPI",IF(ISNUMBER(SEARCH("DP",$B193)),"DP","CONC")))&amp;" "&amp;TEXT(LOOKUP(9.99E+307,--MID(SUBSTITUTE($B193,CHAR(160)," "),SUMPRODUCT(MIN(FIND({0,1,2,3,4,5,6,7,8,9},SUBSTITUTE($B193,CHAR(160)," ")&amp;"0123456789"))),ROW(INDIRECT("1:6")))),"0"),"SIN NUMERO"))</f>
        <v>CONC 2043</v>
      </c>
      <c r="O193" t="str">
        <f ca="1">IF($N193="","",IF(LEFT(UPPER($P193),9)="VERIFICAR","VERIFICAR",IF(AND($H193&lt;&gt;"",COUNTIFS($N$2:$N$1000,$N193,$H$2:$H$1000,$H193)&gt;1),"DUPLICADA",IF(TRIM(IF($A193="","tipo ","")&amp;IF($F193="","fecha de firma ","")&amp;IF($G193="","decisión ","")&amp;IF($H193="","N° resolución ","")&amp;IF($I193="","N° dictamen",""))&lt;&gt;"","INCOMPLETA: "&amp;TRIM(IF($A193="","tipo ","")&amp;IF($F193="","fecha de firma ","")&amp;IF($G193="","decisión ","")&amp;IF($H193="","N° resolución ","")&amp;IF($I193="","N° dictamen","")),IF(LEFT($N193,4)&lt;&gt;"CONC","OK",IF(N($Q193)=0,IF(AND(ISNUMBER($E193),$E193&gt;=DATE(2024,1,1)),"FALTA EN evol_conc","OK"),IF(INDEX(evol_conc!$H:$H,$Q193)&lt;&gt;$F193,"FIRMA DISTINTA EN evol_conc ("&amp;IF(INDEX(evol_conc!$H:$H,$Q193)="","vacía",DAY(INDEX(evol_conc!$H:$H,$Q193))&amp;"/"&amp;MONTH(INDEX(evol_conc!$H:$H,$Q193))&amp;"/"&amp;YEAR(INDEX(evol_conc!$H:$H,$Q193)))&amp;")",IF(INDEX(evol_conc!$G:$G,$Q193)&lt;&gt;$E193,"INGRESO DISTINTO EN evol_conc ("&amp;IF(INDEX(evol_conc!$G:$G,$Q193)="","vacía",DAY(INDEX(evol_conc!$G:$G,$Q193))&amp;"/"&amp;MONTH(INDEX(evol_conc!$G:$G,$Q193))&amp;"/"&amp;YEAR(INDEX(evol_conc!$G:$G,$Q193)))&amp;")","OK"))))))))</f>
        <v>OK</v>
      </c>
      <c r="Q193">
        <f ca="1">IF($N193="","",IFERROR(MATCH($N193,evol_conc!$P:$P,0),0))</f>
        <v>120</v>
      </c>
    </row>
    <row r="194" spans="1:17" ht="18" hidden="1" customHeight="1" x14ac:dyDescent="0.25">
      <c r="A194" t="s">
        <v>624</v>
      </c>
      <c r="B194" t="s">
        <v>1443</v>
      </c>
      <c r="D194" t="s">
        <v>279</v>
      </c>
      <c r="E194" s="16">
        <v>45681</v>
      </c>
      <c r="F194" s="16">
        <v>46042</v>
      </c>
      <c r="G194" t="s">
        <v>1313</v>
      </c>
      <c r="H194" t="s">
        <v>1444</v>
      </c>
      <c r="I194" t="s">
        <v>1445</v>
      </c>
      <c r="J194" t="s">
        <v>1446</v>
      </c>
      <c r="K194" t="s">
        <v>560</v>
      </c>
      <c r="L194" s="53">
        <f t="shared" ref="L194:L257" si="6">IF(OR($E194="",$F194=""),"",($F194-$E194)/30)</f>
        <v>12.033333333333333</v>
      </c>
      <c r="M194" s="19">
        <f t="shared" ref="M194:M257" si="7">IF(OR($E194="",$F194=""),"",$F194-$E194)</f>
        <v>361</v>
      </c>
      <c r="N194" t="str">
        <f ca="1">IF(TRIM(SUBSTITUTE($B194,CHAR(160)," "))="","",IFERROR(IF(ISNUMBER(SEARCH("INC",$B194)),"INC",IF(ISNUMBER(SEARCH("OPI",$B194)),"OPI",IF(ISNUMBER(SEARCH("DP",$B194)),"DP","CONC")))&amp;" "&amp;TEXT(LOOKUP(9.99E+307,--MID(SUBSTITUTE($B194,CHAR(160)," "),SUMPRODUCT(MIN(FIND({0,1,2,3,4,5,6,7,8,9},SUBSTITUTE($B194,CHAR(160)," ")&amp;"0123456789"))),ROW(INDIRECT("1:6")))),"0"),"SIN NUMERO"))</f>
        <v>CONC 2018</v>
      </c>
      <c r="O194" t="str">
        <f ca="1">IF($N194="","",IF(LEFT(UPPER($P194),9)="VERIFICAR","VERIFICAR",IF(AND($H194&lt;&gt;"",COUNTIFS($N$2:$N$1000,$N194,$H$2:$H$1000,$H194)&gt;1),"DUPLICADA",IF(TRIM(IF($A194="","tipo ","")&amp;IF($F194="","fecha de firma ","")&amp;IF($G194="","decisión ","")&amp;IF($H194="","N° resolución ","")&amp;IF($I194="","N° dictamen",""))&lt;&gt;"","INCOMPLETA: "&amp;TRIM(IF($A194="","tipo ","")&amp;IF($F194="","fecha de firma ","")&amp;IF($G194="","decisión ","")&amp;IF($H194="","N° resolución ","")&amp;IF($I194="","N° dictamen","")),IF(LEFT($N194,4)&lt;&gt;"CONC","OK",IF(N($Q194)=0,IF(AND(ISNUMBER($E194),$E194&gt;=DATE(2024,1,1)),"FALTA EN evol_conc","OK"),IF(INDEX(evol_conc!$H:$H,$Q194)&lt;&gt;$F194,"FIRMA DISTINTA EN evol_conc ("&amp;IF(INDEX(evol_conc!$H:$H,$Q194)="","vacía",DAY(INDEX(evol_conc!$H:$H,$Q194))&amp;"/"&amp;MONTH(INDEX(evol_conc!$H:$H,$Q194))&amp;"/"&amp;YEAR(INDEX(evol_conc!$H:$H,$Q194)))&amp;")",IF(INDEX(evol_conc!$G:$G,$Q194)&lt;&gt;$E194,"INGRESO DISTINTO EN evol_conc ("&amp;IF(INDEX(evol_conc!$G:$G,$Q194)="","vacía",DAY(INDEX(evol_conc!$G:$G,$Q194))&amp;"/"&amp;MONTH(INDEX(evol_conc!$G:$G,$Q194))&amp;"/"&amp;YEAR(INDEX(evol_conc!$G:$G,$Q194)))&amp;")","OK"))))))))</f>
        <v>OK</v>
      </c>
      <c r="Q194">
        <f ca="1">IF($N194="","",IFERROR(MATCH($N194,evol_conc!$P:$P,0),0))</f>
        <v>95</v>
      </c>
    </row>
    <row r="195" spans="1:17" ht="18" hidden="1" customHeight="1" x14ac:dyDescent="0.25">
      <c r="A195" t="s">
        <v>624</v>
      </c>
      <c r="B195" t="s">
        <v>1447</v>
      </c>
      <c r="D195" t="s">
        <v>373</v>
      </c>
      <c r="E195" s="16">
        <v>45996</v>
      </c>
      <c r="F195" s="16">
        <v>46042</v>
      </c>
      <c r="G195" t="s">
        <v>1313</v>
      </c>
      <c r="H195" t="s">
        <v>1448</v>
      </c>
      <c r="I195" t="s">
        <v>1449</v>
      </c>
      <c r="J195" t="s">
        <v>1450</v>
      </c>
      <c r="K195" t="s">
        <v>592</v>
      </c>
      <c r="L195" s="53">
        <f t="shared" si="6"/>
        <v>1.5333333333333334</v>
      </c>
      <c r="M195" s="19">
        <f t="shared" si="7"/>
        <v>46</v>
      </c>
      <c r="N195" t="str">
        <f ca="1">IF(TRIM(SUBSTITUTE($B195,CHAR(160)," "))="","",IFERROR(IF(ISNUMBER(SEARCH("INC",$B195)),"INC",IF(ISNUMBER(SEARCH("OPI",$B195)),"OPI",IF(ISNUMBER(SEARCH("DP",$B195)),"DP","CONC")))&amp;" "&amp;TEXT(LOOKUP(9.99E+307,--MID(SUBSTITUTE($B195,CHAR(160)," "),SUMPRODUCT(MIN(FIND({0,1,2,3,4,5,6,7,8,9},SUBSTITUTE($B195,CHAR(160)," ")&amp;"0123456789"))),ROW(INDIRECT("1:6")))),"0"),"SIN NUMERO"))</f>
        <v>CONC 2076</v>
      </c>
      <c r="O195" t="str">
        <f ca="1">IF($N195="","",IF(LEFT(UPPER($P195),9)="VERIFICAR","VERIFICAR",IF(AND($H195&lt;&gt;"",COUNTIFS($N$2:$N$1000,$N195,$H$2:$H$1000,$H195)&gt;1),"DUPLICADA",IF(TRIM(IF($A195="","tipo ","")&amp;IF($F195="","fecha de firma ","")&amp;IF($G195="","decisión ","")&amp;IF($H195="","N° resolución ","")&amp;IF($I195="","N° dictamen",""))&lt;&gt;"","INCOMPLETA: "&amp;TRIM(IF($A195="","tipo ","")&amp;IF($F195="","fecha de firma ","")&amp;IF($G195="","decisión ","")&amp;IF($H195="","N° resolución ","")&amp;IF($I195="","N° dictamen","")),IF(LEFT($N195,4)&lt;&gt;"CONC","OK",IF(N($Q195)=0,IF(AND(ISNUMBER($E195),$E195&gt;=DATE(2024,1,1)),"FALTA EN evol_conc","OK"),IF(INDEX(evol_conc!$H:$H,$Q195)&lt;&gt;$F195,"FIRMA DISTINTA EN evol_conc ("&amp;IF(INDEX(evol_conc!$H:$H,$Q195)="","vacía",DAY(INDEX(evol_conc!$H:$H,$Q195))&amp;"/"&amp;MONTH(INDEX(evol_conc!$H:$H,$Q195))&amp;"/"&amp;YEAR(INDEX(evol_conc!$H:$H,$Q195)))&amp;")",IF(INDEX(evol_conc!$G:$G,$Q195)&lt;&gt;$E195,"INGRESO DISTINTO EN evol_conc ("&amp;IF(INDEX(evol_conc!$G:$G,$Q195)="","vacía",DAY(INDEX(evol_conc!$G:$G,$Q195))&amp;"/"&amp;MONTH(INDEX(evol_conc!$G:$G,$Q195))&amp;"/"&amp;YEAR(INDEX(evol_conc!$G:$G,$Q195)))&amp;")","OK"))))))))</f>
        <v>OK</v>
      </c>
      <c r="Q195">
        <f ca="1">IF($N195="","",IFERROR(MATCH($N195,evol_conc!$P:$P,0),0))</f>
        <v>153</v>
      </c>
    </row>
    <row r="196" spans="1:17" ht="18" hidden="1" customHeight="1" x14ac:dyDescent="0.25">
      <c r="A196" t="s">
        <v>1119</v>
      </c>
      <c r="B196" t="s">
        <v>1451</v>
      </c>
      <c r="D196" t="s">
        <v>1452</v>
      </c>
      <c r="E196" s="16">
        <v>44757</v>
      </c>
      <c r="F196" s="16">
        <v>46044</v>
      </c>
      <c r="G196" t="s">
        <v>1453</v>
      </c>
      <c r="H196" t="s">
        <v>1454</v>
      </c>
      <c r="I196" t="s">
        <v>1455</v>
      </c>
      <c r="J196" t="s">
        <v>1456</v>
      </c>
      <c r="K196" t="s">
        <v>560</v>
      </c>
      <c r="L196" s="53">
        <f t="shared" si="6"/>
        <v>42.9</v>
      </c>
      <c r="M196" s="19">
        <f t="shared" si="7"/>
        <v>1287</v>
      </c>
      <c r="N196" t="str">
        <f ca="1">IF(TRIM(SUBSTITUTE($B196,CHAR(160)," "))="","",IFERROR(IF(ISNUMBER(SEARCH("INC",$B196)),"INC",IF(ISNUMBER(SEARCH("OPI",$B196)),"OPI",IF(ISNUMBER(SEARCH("DP",$B196)),"DP","CONC")))&amp;" "&amp;TEXT(LOOKUP(9.99E+307,--MID(SUBSTITUTE($B196,CHAR(160)," "),SUMPRODUCT(MIN(FIND({0,1,2,3,4,5,6,7,8,9},SUBSTITUTE($B196,CHAR(160)," ")&amp;"0123456789"))),ROW(INDIRECT("1:6")))),"0"),"SIN NUMERO"))</f>
        <v>CONC 1860</v>
      </c>
      <c r="O196" t="str">
        <f ca="1">IF($N196="","",IF(LEFT(UPPER($P196),9)="VERIFICAR","VERIFICAR",IF(AND($H196&lt;&gt;"",COUNTIFS($N$2:$N$1000,$N196,$H$2:$H$1000,$H196)&gt;1),"DUPLICADA",IF(TRIM(IF($A196="","tipo ","")&amp;IF($F196="","fecha de firma ","")&amp;IF($G196="","decisión ","")&amp;IF($H196="","N° resolución ","")&amp;IF($I196="","N° dictamen",""))&lt;&gt;"","INCOMPLETA: "&amp;TRIM(IF($A196="","tipo ","")&amp;IF($F196="","fecha de firma ","")&amp;IF($G196="","decisión ","")&amp;IF($H196="","N° resolución ","")&amp;IF($I196="","N° dictamen","")),IF(LEFT($N196,4)&lt;&gt;"CONC","OK",IF(N($Q196)=0,IF(AND(ISNUMBER($E196),$E196&gt;=DATE(2024,1,1)),"FALTA EN evol_conc","OK"),IF(INDEX(evol_conc!$H:$H,$Q196)&lt;&gt;$F196,"FIRMA DISTINTA EN evol_conc ("&amp;IF(INDEX(evol_conc!$H:$H,$Q196)="","vacía",DAY(INDEX(evol_conc!$H:$H,$Q196))&amp;"/"&amp;MONTH(INDEX(evol_conc!$H:$H,$Q196))&amp;"/"&amp;YEAR(INDEX(evol_conc!$H:$H,$Q196)))&amp;")",IF(INDEX(evol_conc!$G:$G,$Q196)&lt;&gt;$E196,"INGRESO DISTINTO EN evol_conc ("&amp;IF(INDEX(evol_conc!$G:$G,$Q196)="","vacía",DAY(INDEX(evol_conc!$G:$G,$Q196))&amp;"/"&amp;MONTH(INDEX(evol_conc!$G:$G,$Q196))&amp;"/"&amp;YEAR(INDEX(evol_conc!$G:$G,$Q196)))&amp;")","OK"))))))))</f>
        <v>OK</v>
      </c>
      <c r="Q196">
        <f ca="1">IF($N196="","",IFERROR(MATCH($N196,evol_conc!$P:$P,0),0))</f>
        <v>29</v>
      </c>
    </row>
    <row r="197" spans="1:17" ht="18" hidden="1" customHeight="1" x14ac:dyDescent="0.25">
      <c r="A197" t="s">
        <v>547</v>
      </c>
      <c r="B197" t="s">
        <v>1457</v>
      </c>
      <c r="D197" t="s">
        <v>1458</v>
      </c>
      <c r="E197" s="16">
        <v>43727</v>
      </c>
      <c r="F197" s="16">
        <v>46045</v>
      </c>
      <c r="G197" t="s">
        <v>1459</v>
      </c>
      <c r="H197" t="s">
        <v>1460</v>
      </c>
      <c r="I197" t="s">
        <v>1461</v>
      </c>
      <c r="J197" t="s">
        <v>1462</v>
      </c>
      <c r="L197" s="53">
        <f t="shared" si="6"/>
        <v>77.266666666666666</v>
      </c>
      <c r="M197" s="19">
        <f t="shared" si="7"/>
        <v>2318</v>
      </c>
      <c r="N197" t="str">
        <f ca="1">IF(TRIM(SUBSTITUTE($B197,CHAR(160)," "))="","",IFERROR(IF(ISNUMBER(SEARCH("INC",$B197)),"INC",IF(ISNUMBER(SEARCH("OPI",$B197)),"OPI",IF(ISNUMBER(SEARCH("DP",$B197)),"DP","CONC")))&amp;" "&amp;TEXT(LOOKUP(9.99E+307,--MID(SUBSTITUTE($B197,CHAR(160)," "),SUMPRODUCT(MIN(FIND({0,1,2,3,4,5,6,7,8,9},SUBSTITUTE($B197,CHAR(160)," ")&amp;"0123456789"))),ROW(INDIRECT("1:6")))),"0"),"SIN NUMERO"))</f>
        <v>CONC 1726</v>
      </c>
      <c r="O197" t="str">
        <f ca="1">IF($N197="","",IF(LEFT(UPPER($P197),9)="VERIFICAR","VERIFICAR",IF(AND($H197&lt;&gt;"",COUNTIFS($N$2:$N$1000,$N197,$H$2:$H$1000,$H197)&gt;1),"DUPLICADA",IF(TRIM(IF($A197="","tipo ","")&amp;IF($F197="","fecha de firma ","")&amp;IF($G197="","decisión ","")&amp;IF($H197="","N° resolución ","")&amp;IF($I197="","N° dictamen",""))&lt;&gt;"","INCOMPLETA: "&amp;TRIM(IF($A197="","tipo ","")&amp;IF($F197="","fecha de firma ","")&amp;IF($G197="","decisión ","")&amp;IF($H197="","N° resolución ","")&amp;IF($I197="","N° dictamen","")),IF(LEFT($N197,4)&lt;&gt;"CONC","OK",IF(N($Q197)=0,IF(AND(ISNUMBER($E197),$E197&gt;=DATE(2024,1,1)),"FALTA EN evol_conc","OK"),IF(INDEX(evol_conc!$H:$H,$Q197)&lt;&gt;$F197,"FIRMA DISTINTA EN evol_conc ("&amp;IF(INDEX(evol_conc!$H:$H,$Q197)="","vacía",DAY(INDEX(evol_conc!$H:$H,$Q197))&amp;"/"&amp;MONTH(INDEX(evol_conc!$H:$H,$Q197))&amp;"/"&amp;YEAR(INDEX(evol_conc!$H:$H,$Q197)))&amp;")",IF(INDEX(evol_conc!$G:$G,$Q197)&lt;&gt;$E197,"INGRESO DISTINTO EN evol_conc ("&amp;IF(INDEX(evol_conc!$G:$G,$Q197)="","vacía",DAY(INDEX(evol_conc!$G:$G,$Q197))&amp;"/"&amp;MONTH(INDEX(evol_conc!$G:$G,$Q197))&amp;"/"&amp;YEAR(INDEX(evol_conc!$G:$G,$Q197)))&amp;")","OK"))))))))</f>
        <v>OK</v>
      </c>
      <c r="Q197">
        <f ca="1">IF($N197="","",IFERROR(MATCH($N197,evol_conc!$P:$P,0),0))</f>
        <v>18</v>
      </c>
    </row>
    <row r="198" spans="1:17" ht="18" hidden="1" customHeight="1" x14ac:dyDescent="0.25">
      <c r="A198" t="s">
        <v>547</v>
      </c>
      <c r="B198" t="s">
        <v>1463</v>
      </c>
      <c r="D198" t="s">
        <v>1464</v>
      </c>
      <c r="E198" s="16">
        <v>45639</v>
      </c>
      <c r="F198" s="16">
        <v>46045</v>
      </c>
      <c r="G198" t="s">
        <v>1413</v>
      </c>
      <c r="H198" t="s">
        <v>1465</v>
      </c>
      <c r="I198" t="s">
        <v>1466</v>
      </c>
      <c r="J198" t="s">
        <v>1467</v>
      </c>
      <c r="K198" t="s">
        <v>592</v>
      </c>
      <c r="L198" s="53">
        <f t="shared" si="6"/>
        <v>13.533333333333333</v>
      </c>
      <c r="M198" s="19">
        <f t="shared" si="7"/>
        <v>406</v>
      </c>
      <c r="N198" t="str">
        <f ca="1">IF(TRIM(SUBSTITUTE($B198,CHAR(160)," "))="","",IFERROR(IF(ISNUMBER(SEARCH("INC",$B198)),"INC",IF(ISNUMBER(SEARCH("OPI",$B198)),"OPI",IF(ISNUMBER(SEARCH("DP",$B198)),"DP","CONC")))&amp;" "&amp;TEXT(LOOKUP(9.99E+307,--MID(SUBSTITUTE($B198,CHAR(160)," "),SUMPRODUCT(MIN(FIND({0,1,2,3,4,5,6,7,8,9},SUBSTITUTE($B198,CHAR(160)," ")&amp;"0123456789"))),ROW(INDIRECT("1:6")))),"0"),"SIN NUMERO"))</f>
        <v>CONC 2010</v>
      </c>
      <c r="O198" t="str">
        <f ca="1">IF($N198="","",IF(LEFT(UPPER($P198),9)="VERIFICAR","VERIFICAR",IF(AND($H198&lt;&gt;"",COUNTIFS($N$2:$N$1000,$N198,$H$2:$H$1000,$H198)&gt;1),"DUPLICADA",IF(TRIM(IF($A198="","tipo ","")&amp;IF($F198="","fecha de firma ","")&amp;IF($G198="","decisión ","")&amp;IF($H198="","N° resolución ","")&amp;IF($I198="","N° dictamen",""))&lt;&gt;"","INCOMPLETA: "&amp;TRIM(IF($A198="","tipo ","")&amp;IF($F198="","fecha de firma ","")&amp;IF($G198="","decisión ","")&amp;IF($H198="","N° resolución ","")&amp;IF($I198="","N° dictamen","")),IF(LEFT($N198,4)&lt;&gt;"CONC","OK",IF(N($Q198)=0,IF(AND(ISNUMBER($E198),$E198&gt;=DATE(2024,1,1)),"FALTA EN evol_conc","OK"),IF(INDEX(evol_conc!$H:$H,$Q198)&lt;&gt;$F198,"FIRMA DISTINTA EN evol_conc ("&amp;IF(INDEX(evol_conc!$H:$H,$Q198)="","vacía",DAY(INDEX(evol_conc!$H:$H,$Q198))&amp;"/"&amp;MONTH(INDEX(evol_conc!$H:$H,$Q198))&amp;"/"&amp;YEAR(INDEX(evol_conc!$H:$H,$Q198)))&amp;")",IF(INDEX(evol_conc!$G:$G,$Q198)&lt;&gt;$E198,"INGRESO DISTINTO EN evol_conc ("&amp;IF(INDEX(evol_conc!$G:$G,$Q198)="","vacía",DAY(INDEX(evol_conc!$G:$G,$Q198))&amp;"/"&amp;MONTH(INDEX(evol_conc!$G:$G,$Q198))&amp;"/"&amp;YEAR(INDEX(evol_conc!$G:$G,$Q198)))&amp;")","OK"))))))))</f>
        <v>OK</v>
      </c>
      <c r="Q198">
        <f ca="1">IF($N198="","",IFERROR(MATCH($N198,evol_conc!$P:$P,0),0))</f>
        <v>87</v>
      </c>
    </row>
    <row r="199" spans="1:17" ht="18" hidden="1" customHeight="1" x14ac:dyDescent="0.25">
      <c r="A199" t="s">
        <v>624</v>
      </c>
      <c r="B199" t="s">
        <v>1468</v>
      </c>
      <c r="D199" t="s">
        <v>1469</v>
      </c>
      <c r="E199" s="16">
        <v>45813</v>
      </c>
      <c r="F199" s="16">
        <v>46045</v>
      </c>
      <c r="G199" t="s">
        <v>1413</v>
      </c>
      <c r="H199" t="s">
        <v>1470</v>
      </c>
      <c r="I199" t="s">
        <v>1471</v>
      </c>
      <c r="J199" t="s">
        <v>1130</v>
      </c>
      <c r="K199" t="s">
        <v>592</v>
      </c>
      <c r="L199" s="53">
        <f t="shared" si="6"/>
        <v>7.7333333333333334</v>
      </c>
      <c r="M199" s="19">
        <f t="shared" si="7"/>
        <v>232</v>
      </c>
      <c r="N199" t="str">
        <f ca="1">IF(TRIM(SUBSTITUTE($B199,CHAR(160)," "))="","",IFERROR(IF(ISNUMBER(SEARCH("INC",$B199)),"INC",IF(ISNUMBER(SEARCH("OPI",$B199)),"OPI",IF(ISNUMBER(SEARCH("DP",$B199)),"DP","CONC")))&amp;" "&amp;TEXT(LOOKUP(9.99E+307,--MID(SUBSTITUTE($B199,CHAR(160)," "),SUMPRODUCT(MIN(FIND({0,1,2,3,4,5,6,7,8,9},SUBSTITUTE($B199,CHAR(160)," ")&amp;"0123456789"))),ROW(INDIRECT("1:6")))),"0"),"SIN NUMERO"))</f>
        <v>CONC 2038</v>
      </c>
      <c r="O199" t="str">
        <f ca="1">IF($N199="","",IF(LEFT(UPPER($P199),9)="VERIFICAR","VERIFICAR",IF(AND($H199&lt;&gt;"",COUNTIFS($N$2:$N$1000,$N199,$H$2:$H$1000,$H199)&gt;1),"DUPLICADA",IF(TRIM(IF($A199="","tipo ","")&amp;IF($F199="","fecha de firma ","")&amp;IF($G199="","decisión ","")&amp;IF($H199="","N° resolución ","")&amp;IF($I199="","N° dictamen",""))&lt;&gt;"","INCOMPLETA: "&amp;TRIM(IF($A199="","tipo ","")&amp;IF($F199="","fecha de firma ","")&amp;IF($G199="","decisión ","")&amp;IF($H199="","N° resolución ","")&amp;IF($I199="","N° dictamen","")),IF(LEFT($N199,4)&lt;&gt;"CONC","OK",IF(N($Q199)=0,IF(AND(ISNUMBER($E199),$E199&gt;=DATE(2024,1,1)),"FALTA EN evol_conc","OK"),IF(INDEX(evol_conc!$H:$H,$Q199)&lt;&gt;$F199,"FIRMA DISTINTA EN evol_conc ("&amp;IF(INDEX(evol_conc!$H:$H,$Q199)="","vacía",DAY(INDEX(evol_conc!$H:$H,$Q199))&amp;"/"&amp;MONTH(INDEX(evol_conc!$H:$H,$Q199))&amp;"/"&amp;YEAR(INDEX(evol_conc!$H:$H,$Q199)))&amp;")",IF(INDEX(evol_conc!$G:$G,$Q199)&lt;&gt;$E199,"INGRESO DISTINTO EN evol_conc ("&amp;IF(INDEX(evol_conc!$G:$G,$Q199)="","vacía",DAY(INDEX(evol_conc!$G:$G,$Q199))&amp;"/"&amp;MONTH(INDEX(evol_conc!$G:$G,$Q199))&amp;"/"&amp;YEAR(INDEX(evol_conc!$G:$G,$Q199)))&amp;")","OK"))))))))</f>
        <v>OK</v>
      </c>
      <c r="Q199">
        <f ca="1">IF($N199="","",IFERROR(MATCH($N199,evol_conc!$P:$P,0),0))</f>
        <v>116</v>
      </c>
    </row>
    <row r="200" spans="1:17" ht="18" hidden="1" customHeight="1" x14ac:dyDescent="0.25">
      <c r="A200" t="s">
        <v>547</v>
      </c>
      <c r="B200" t="s">
        <v>1472</v>
      </c>
      <c r="D200" t="s">
        <v>1473</v>
      </c>
      <c r="E200" s="16">
        <v>45272</v>
      </c>
      <c r="F200" s="16">
        <v>46050</v>
      </c>
      <c r="G200" t="s">
        <v>1413</v>
      </c>
      <c r="H200" t="s">
        <v>1474</v>
      </c>
      <c r="I200" t="s">
        <v>1475</v>
      </c>
      <c r="J200" t="s">
        <v>1476</v>
      </c>
      <c r="K200" t="s">
        <v>581</v>
      </c>
      <c r="L200" s="53">
        <f t="shared" si="6"/>
        <v>25.933333333333334</v>
      </c>
      <c r="M200" s="19">
        <f t="shared" si="7"/>
        <v>778</v>
      </c>
      <c r="N200" t="str">
        <f ca="1">IF(TRIM(SUBSTITUTE($B200,CHAR(160)," "))="","",IFERROR(IF(ISNUMBER(SEARCH("INC",$B200)),"INC",IF(ISNUMBER(SEARCH("OPI",$B200)),"OPI",IF(ISNUMBER(SEARCH("DP",$B200)),"DP","CONC")))&amp;" "&amp;TEXT(LOOKUP(9.99E+307,--MID(SUBSTITUTE($B200,CHAR(160)," "),SUMPRODUCT(MIN(FIND({0,1,2,3,4,5,6,7,8,9},SUBSTITUTE($B200,CHAR(160)," ")&amp;"0123456789"))),ROW(INDIRECT("1:6")))),"0"),"SIN NUMERO"))</f>
        <v>CONC 1952</v>
      </c>
      <c r="O200" t="str">
        <f ca="1">IF($N200="","",IF(LEFT(UPPER($P200),9)="VERIFICAR","VERIFICAR",IF(AND($H200&lt;&gt;"",COUNTIFS($N$2:$N$1000,$N200,$H$2:$H$1000,$H200)&gt;1),"DUPLICADA",IF(TRIM(IF($A200="","tipo ","")&amp;IF($F200="","fecha de firma ","")&amp;IF($G200="","decisión ","")&amp;IF($H200="","N° resolución ","")&amp;IF($I200="","N° dictamen",""))&lt;&gt;"","INCOMPLETA: "&amp;TRIM(IF($A200="","tipo ","")&amp;IF($F200="","fecha de firma ","")&amp;IF($G200="","decisión ","")&amp;IF($H200="","N° resolución ","")&amp;IF($I200="","N° dictamen","")),IF(LEFT($N200,4)&lt;&gt;"CONC","OK",IF(N($Q200)=0,IF(AND(ISNUMBER($E200),$E200&gt;=DATE(2024,1,1)),"FALTA EN evol_conc","OK"),IF(INDEX(evol_conc!$H:$H,$Q200)&lt;&gt;$F200,"FIRMA DISTINTA EN evol_conc ("&amp;IF(INDEX(evol_conc!$H:$H,$Q200)="","vacía",DAY(INDEX(evol_conc!$H:$H,$Q200))&amp;"/"&amp;MONTH(INDEX(evol_conc!$H:$H,$Q200))&amp;"/"&amp;YEAR(INDEX(evol_conc!$H:$H,$Q200)))&amp;")",IF(INDEX(evol_conc!$G:$G,$Q200)&lt;&gt;$E200,"INGRESO DISTINTO EN evol_conc ("&amp;IF(INDEX(evol_conc!$G:$G,$Q200)="","vacía",DAY(INDEX(evol_conc!$G:$G,$Q200))&amp;"/"&amp;MONTH(INDEX(evol_conc!$G:$G,$Q200))&amp;"/"&amp;YEAR(INDEX(evol_conc!$G:$G,$Q200)))&amp;")","OK"))))))))</f>
        <v>OK</v>
      </c>
      <c r="Q200">
        <f ca="1">IF($N200="","",IFERROR(MATCH($N200,evol_conc!$P:$P,0),0))</f>
        <v>32</v>
      </c>
    </row>
    <row r="201" spans="1:17" ht="18" hidden="1" customHeight="1" x14ac:dyDescent="0.25">
      <c r="A201" t="s">
        <v>624</v>
      </c>
      <c r="B201" t="s">
        <v>1477</v>
      </c>
      <c r="D201" t="s">
        <v>1478</v>
      </c>
      <c r="E201" s="16">
        <v>45691</v>
      </c>
      <c r="F201" s="16">
        <v>46056</v>
      </c>
      <c r="G201" t="s">
        <v>1313</v>
      </c>
      <c r="H201" t="s">
        <v>1479</v>
      </c>
      <c r="I201" t="s">
        <v>1480</v>
      </c>
      <c r="J201" t="s">
        <v>1481</v>
      </c>
      <c r="K201" t="s">
        <v>560</v>
      </c>
      <c r="L201" s="53">
        <f t="shared" si="6"/>
        <v>12.166666666666666</v>
      </c>
      <c r="M201" s="19">
        <f t="shared" si="7"/>
        <v>365</v>
      </c>
      <c r="N201" t="str">
        <f ca="1">IF(TRIM(SUBSTITUTE($B201,CHAR(160)," "))="","",IFERROR(IF(ISNUMBER(SEARCH("INC",$B201)),"INC",IF(ISNUMBER(SEARCH("OPI",$B201)),"OPI",IF(ISNUMBER(SEARCH("DP",$B201)),"DP","CONC")))&amp;" "&amp;TEXT(LOOKUP(9.99E+307,--MID(SUBSTITUTE($B201,CHAR(160)," "),SUMPRODUCT(MIN(FIND({0,1,2,3,4,5,6,7,8,9},SUBSTITUTE($B201,CHAR(160)," ")&amp;"0123456789"))),ROW(INDIRECT("1:6")))),"0"),"SIN NUMERO"))</f>
        <v>CONC 2020</v>
      </c>
      <c r="O201" t="str">
        <f ca="1">IF($N201="","",IF(LEFT(UPPER($P201),9)="VERIFICAR","VERIFICAR",IF(AND($H201&lt;&gt;"",COUNTIFS($N$2:$N$1000,$N201,$H$2:$H$1000,$H201)&gt;1),"DUPLICADA",IF(TRIM(IF($A201="","tipo ","")&amp;IF($F201="","fecha de firma ","")&amp;IF($G201="","decisión ","")&amp;IF($H201="","N° resolución ","")&amp;IF($I201="","N° dictamen",""))&lt;&gt;"","INCOMPLETA: "&amp;TRIM(IF($A201="","tipo ","")&amp;IF($F201="","fecha de firma ","")&amp;IF($G201="","decisión ","")&amp;IF($H201="","N° resolución ","")&amp;IF($I201="","N° dictamen","")),IF(LEFT($N201,4)&lt;&gt;"CONC","OK",IF(N($Q201)=0,IF(AND(ISNUMBER($E201),$E201&gt;=DATE(2024,1,1)),"FALTA EN evol_conc","OK"),IF(INDEX(evol_conc!$H:$H,$Q201)&lt;&gt;$F201,"FIRMA DISTINTA EN evol_conc ("&amp;IF(INDEX(evol_conc!$H:$H,$Q201)="","vacía",DAY(INDEX(evol_conc!$H:$H,$Q201))&amp;"/"&amp;MONTH(INDEX(evol_conc!$H:$H,$Q201))&amp;"/"&amp;YEAR(INDEX(evol_conc!$H:$H,$Q201)))&amp;")",IF(INDEX(evol_conc!$G:$G,$Q201)&lt;&gt;$E201,"INGRESO DISTINTO EN evol_conc ("&amp;IF(INDEX(evol_conc!$G:$G,$Q201)="","vacía",DAY(INDEX(evol_conc!$G:$G,$Q201))&amp;"/"&amp;MONTH(INDEX(evol_conc!$G:$G,$Q201))&amp;"/"&amp;YEAR(INDEX(evol_conc!$G:$G,$Q201)))&amp;")","OK"))))))))</f>
        <v>OK</v>
      </c>
      <c r="Q201">
        <f ca="1">IF($N201="","",IFERROR(MATCH($N201,evol_conc!$P:$P,0),0))</f>
        <v>97</v>
      </c>
    </row>
    <row r="202" spans="1:17" ht="18" hidden="1" customHeight="1" x14ac:dyDescent="0.25">
      <c r="A202" t="s">
        <v>624</v>
      </c>
      <c r="B202" t="s">
        <v>1482</v>
      </c>
      <c r="D202" t="s">
        <v>1483</v>
      </c>
      <c r="E202" s="16">
        <v>46028</v>
      </c>
      <c r="F202" s="16">
        <v>46056</v>
      </c>
      <c r="G202" t="s">
        <v>1313</v>
      </c>
      <c r="H202" t="s">
        <v>1484</v>
      </c>
      <c r="I202" t="s">
        <v>1485</v>
      </c>
      <c r="J202" t="s">
        <v>852</v>
      </c>
      <c r="K202" t="s">
        <v>592</v>
      </c>
      <c r="L202" s="53">
        <f t="shared" si="6"/>
        <v>0.93333333333333335</v>
      </c>
      <c r="M202" s="19">
        <f t="shared" si="7"/>
        <v>28</v>
      </c>
      <c r="N202" t="str">
        <f ca="1">IF(TRIM(SUBSTITUTE($B202,CHAR(160)," "))="","",IFERROR(IF(ISNUMBER(SEARCH("INC",$B202)),"INC",IF(ISNUMBER(SEARCH("OPI",$B202)),"OPI",IF(ISNUMBER(SEARCH("DP",$B202)),"DP","CONC")))&amp;" "&amp;TEXT(LOOKUP(9.99E+307,--MID(SUBSTITUTE($B202,CHAR(160)," "),SUMPRODUCT(MIN(FIND({0,1,2,3,4,5,6,7,8,9},SUBSTITUTE($B202,CHAR(160)," ")&amp;"0123456789"))),ROW(INDIRECT("1:6")))),"0"),"SIN NUMERO"))</f>
        <v>CONC 2083</v>
      </c>
      <c r="O202" t="str">
        <f ca="1">IF($N202="","",IF(LEFT(UPPER($P202),9)="VERIFICAR","VERIFICAR",IF(AND($H202&lt;&gt;"",COUNTIFS($N$2:$N$1000,$N202,$H$2:$H$1000,$H202)&gt;1),"DUPLICADA",IF(TRIM(IF($A202="","tipo ","")&amp;IF($F202="","fecha de firma ","")&amp;IF($G202="","decisión ","")&amp;IF($H202="","N° resolución ","")&amp;IF($I202="","N° dictamen",""))&lt;&gt;"","INCOMPLETA: "&amp;TRIM(IF($A202="","tipo ","")&amp;IF($F202="","fecha de firma ","")&amp;IF($G202="","decisión ","")&amp;IF($H202="","N° resolución ","")&amp;IF($I202="","N° dictamen","")),IF(LEFT($N202,4)&lt;&gt;"CONC","OK",IF(N($Q202)=0,IF(AND(ISNUMBER($E202),$E202&gt;=DATE(2024,1,1)),"FALTA EN evol_conc","OK"),IF(INDEX(evol_conc!$H:$H,$Q202)&lt;&gt;$F202,"FIRMA DISTINTA EN evol_conc ("&amp;IF(INDEX(evol_conc!$H:$H,$Q202)="","vacía",DAY(INDEX(evol_conc!$H:$H,$Q202))&amp;"/"&amp;MONTH(INDEX(evol_conc!$H:$H,$Q202))&amp;"/"&amp;YEAR(INDEX(evol_conc!$H:$H,$Q202)))&amp;")",IF(INDEX(evol_conc!$G:$G,$Q202)&lt;&gt;$E202,"INGRESO DISTINTO EN evol_conc ("&amp;IF(INDEX(evol_conc!$G:$G,$Q202)="","vacía",DAY(INDEX(evol_conc!$G:$G,$Q202))&amp;"/"&amp;MONTH(INDEX(evol_conc!$G:$G,$Q202))&amp;"/"&amp;YEAR(INDEX(evol_conc!$G:$G,$Q202)))&amp;")","OK"))))))))</f>
        <v>OK</v>
      </c>
      <c r="Q202">
        <f ca="1">IF($N202="","",IFERROR(MATCH($N202,evol_conc!$P:$P,0),0))</f>
        <v>161</v>
      </c>
    </row>
    <row r="203" spans="1:17" ht="18" hidden="1" customHeight="1" x14ac:dyDescent="0.25">
      <c r="A203" t="s">
        <v>547</v>
      </c>
      <c r="B203" t="s">
        <v>1486</v>
      </c>
      <c r="D203" t="s">
        <v>1487</v>
      </c>
      <c r="E203" s="16">
        <v>45428</v>
      </c>
      <c r="F203" s="16">
        <v>46057</v>
      </c>
      <c r="G203" t="s">
        <v>1413</v>
      </c>
      <c r="H203" t="s">
        <v>1488</v>
      </c>
      <c r="I203" t="s">
        <v>1489</v>
      </c>
      <c r="J203" t="s">
        <v>1490</v>
      </c>
      <c r="K203" t="s">
        <v>554</v>
      </c>
      <c r="L203" s="53">
        <f t="shared" si="6"/>
        <v>20.966666666666665</v>
      </c>
      <c r="M203" s="19">
        <f t="shared" si="7"/>
        <v>629</v>
      </c>
      <c r="N203" t="str">
        <f ca="1">IF(TRIM(SUBSTITUTE($B203,CHAR(160)," "))="","",IFERROR(IF(ISNUMBER(SEARCH("INC",$B203)),"INC",IF(ISNUMBER(SEARCH("OPI",$B203)),"OPI",IF(ISNUMBER(SEARCH("DP",$B203)),"DP","CONC")))&amp;" "&amp;TEXT(LOOKUP(9.99E+307,--MID(SUBSTITUTE($B203,CHAR(160)," "),SUMPRODUCT(MIN(FIND({0,1,2,3,4,5,6,7,8,9},SUBSTITUTE($B203,CHAR(160)," ")&amp;"0123456789"))),ROW(INDIRECT("1:6")))),"0"),"SIN NUMERO"))</f>
        <v>CONC 1974</v>
      </c>
      <c r="O203" t="str">
        <f ca="1">IF($N203="","",IF(LEFT(UPPER($P203),9)="VERIFICAR","VERIFICAR",IF(AND($H203&lt;&gt;"",COUNTIFS($N$2:$N$1000,$N203,$H$2:$H$1000,$H203)&gt;1),"DUPLICADA",IF(TRIM(IF($A203="","tipo ","")&amp;IF($F203="","fecha de firma ","")&amp;IF($G203="","decisión ","")&amp;IF($H203="","N° resolución ","")&amp;IF($I203="","N° dictamen",""))&lt;&gt;"","INCOMPLETA: "&amp;TRIM(IF($A203="","tipo ","")&amp;IF($F203="","fecha de firma ","")&amp;IF($G203="","decisión ","")&amp;IF($H203="","N° resolución ","")&amp;IF($I203="","N° dictamen","")),IF(LEFT($N203,4)&lt;&gt;"CONC","OK",IF(N($Q203)=0,IF(AND(ISNUMBER($E203),$E203&gt;=DATE(2024,1,1)),"FALTA EN evol_conc","OK"),IF(INDEX(evol_conc!$H:$H,$Q203)&lt;&gt;$F203,"FIRMA DISTINTA EN evol_conc ("&amp;IF(INDEX(evol_conc!$H:$H,$Q203)="","vacía",DAY(INDEX(evol_conc!$H:$H,$Q203))&amp;"/"&amp;MONTH(INDEX(evol_conc!$H:$H,$Q203))&amp;"/"&amp;YEAR(INDEX(evol_conc!$H:$H,$Q203)))&amp;")",IF(INDEX(evol_conc!$G:$G,$Q203)&lt;&gt;$E203,"INGRESO DISTINTO EN evol_conc ("&amp;IF(INDEX(evol_conc!$G:$G,$Q203)="","vacía",DAY(INDEX(evol_conc!$G:$G,$Q203))&amp;"/"&amp;MONTH(INDEX(evol_conc!$G:$G,$Q203))&amp;"/"&amp;YEAR(INDEX(evol_conc!$G:$G,$Q203)))&amp;")","OK"))))))))</f>
        <v>OK</v>
      </c>
      <c r="Q203">
        <f ca="1">IF($N203="","",IFERROR(MATCH($N203,evol_conc!$P:$P,0),0))</f>
        <v>51</v>
      </c>
    </row>
    <row r="204" spans="1:17" ht="18" hidden="1" customHeight="1" x14ac:dyDescent="0.25">
      <c r="A204" t="s">
        <v>1089</v>
      </c>
      <c r="B204" t="s">
        <v>1491</v>
      </c>
      <c r="D204" t="s">
        <v>1492</v>
      </c>
      <c r="E204" s="16">
        <v>45975</v>
      </c>
      <c r="F204" s="16">
        <v>46057</v>
      </c>
      <c r="G204" t="s">
        <v>1493</v>
      </c>
      <c r="H204" t="s">
        <v>1494</v>
      </c>
      <c r="I204" t="s">
        <v>1495</v>
      </c>
      <c r="L204" s="53">
        <f t="shared" si="6"/>
        <v>2.7333333333333334</v>
      </c>
      <c r="M204" s="19">
        <f t="shared" si="7"/>
        <v>82</v>
      </c>
      <c r="N204" t="str">
        <f ca="1">IF(TRIM(SUBSTITUTE($B204,CHAR(160)," "))="","",IFERROR(IF(ISNUMBER(SEARCH("INC",$B204)),"INC",IF(ISNUMBER(SEARCH("OPI",$B204)),"OPI",IF(ISNUMBER(SEARCH("DP",$B204)),"DP","CONC")))&amp;" "&amp;TEXT(LOOKUP(9.99E+307,--MID(SUBSTITUTE($B204,CHAR(160)," "),SUMPRODUCT(MIN(FIND({0,1,2,3,4,5,6,7,8,9},SUBSTITUTE($B204,CHAR(160)," ")&amp;"0123456789"))),ROW(INDIRECT("1:6")))),"0"),"SIN NUMERO"))</f>
        <v>OPI 387</v>
      </c>
      <c r="O204" t="str">
        <f ca="1">IF($N204="","",IF(LEFT(UPPER($P204),9)="VERIFICAR","VERIFICAR",IF(AND($H204&lt;&gt;"",COUNTIFS($N$2:$N$1000,$N204,$H$2:$H$1000,$H204)&gt;1),"DUPLICADA",IF(TRIM(IF($A204="","tipo ","")&amp;IF($F204="","fecha de firma ","")&amp;IF($G204="","decisión ","")&amp;IF($H204="","N° resolución ","")&amp;IF($I204="","N° dictamen",""))&lt;&gt;"","INCOMPLETA: "&amp;TRIM(IF($A204="","tipo ","")&amp;IF($F204="","fecha de firma ","")&amp;IF($G204="","decisión ","")&amp;IF($H204="","N° resolución ","")&amp;IF($I204="","N° dictamen","")),IF(LEFT($N204,4)&lt;&gt;"CONC","OK",IF(N($Q204)=0,IF(AND(ISNUMBER($E204),$E204&gt;=DATE(2024,1,1)),"FALTA EN evol_conc","OK"),IF(INDEX(evol_conc!$H:$H,$Q204)&lt;&gt;$F204,"FIRMA DISTINTA EN evol_conc ("&amp;IF(INDEX(evol_conc!$H:$H,$Q204)="","vacía",DAY(INDEX(evol_conc!$H:$H,$Q204))&amp;"/"&amp;MONTH(INDEX(evol_conc!$H:$H,$Q204))&amp;"/"&amp;YEAR(INDEX(evol_conc!$H:$H,$Q204)))&amp;")",IF(INDEX(evol_conc!$G:$G,$Q204)&lt;&gt;$E204,"INGRESO DISTINTO EN evol_conc ("&amp;IF(INDEX(evol_conc!$G:$G,$Q204)="","vacía",DAY(INDEX(evol_conc!$G:$G,$Q204))&amp;"/"&amp;MONTH(INDEX(evol_conc!$G:$G,$Q204))&amp;"/"&amp;YEAR(INDEX(evol_conc!$G:$G,$Q204)))&amp;")","OK"))))))))</f>
        <v>OK</v>
      </c>
      <c r="Q204">
        <f ca="1">IF($N204="","",IFERROR(MATCH($N204,evol_conc!$P:$P,0),0))</f>
        <v>0</v>
      </c>
    </row>
    <row r="205" spans="1:17" ht="18" hidden="1" customHeight="1" x14ac:dyDescent="0.25">
      <c r="A205" t="s">
        <v>1061</v>
      </c>
      <c r="B205" t="s">
        <v>1496</v>
      </c>
      <c r="D205" t="s">
        <v>1497</v>
      </c>
      <c r="E205" s="16">
        <v>45106</v>
      </c>
      <c r="F205" s="16">
        <v>46058</v>
      </c>
      <c r="G205" t="s">
        <v>1498</v>
      </c>
      <c r="H205" t="s">
        <v>1499</v>
      </c>
      <c r="I205" t="s">
        <v>1500</v>
      </c>
      <c r="J205" t="s">
        <v>1501</v>
      </c>
      <c r="K205" t="s">
        <v>592</v>
      </c>
      <c r="L205" s="53">
        <f t="shared" si="6"/>
        <v>31.733333333333334</v>
      </c>
      <c r="M205" s="19">
        <f t="shared" si="7"/>
        <v>952</v>
      </c>
      <c r="N205" t="str">
        <f ca="1">IF(TRIM(SUBSTITUTE($B205,CHAR(160)," "))="","",IFERROR(IF(ISNUMBER(SEARCH("INC",$B205)),"INC",IF(ISNUMBER(SEARCH("OPI",$B205)),"OPI",IF(ISNUMBER(SEARCH("DP",$B205)),"DP","CONC")))&amp;" "&amp;TEXT(LOOKUP(9.99E+307,--MID(SUBSTITUTE($B205,CHAR(160)," "),SUMPRODUCT(MIN(FIND({0,1,2,3,4,5,6,7,8,9},SUBSTITUTE($B205,CHAR(160)," ")&amp;"0123456789"))),ROW(INDIRECT("1:6")))),"0"),"SIN NUMERO"))</f>
        <v>INC 1663</v>
      </c>
      <c r="O205" t="str">
        <f ca="1">IF($N205="","",IF(LEFT(UPPER($P205),9)="VERIFICAR","VERIFICAR",IF(AND($H205&lt;&gt;"",COUNTIFS($N$2:$N$1000,$N205,$H$2:$H$1000,$H205)&gt;1),"DUPLICADA",IF(TRIM(IF($A205="","tipo ","")&amp;IF($F205="","fecha de firma ","")&amp;IF($G205="","decisión ","")&amp;IF($H205="","N° resolución ","")&amp;IF($I205="","N° dictamen",""))&lt;&gt;"","INCOMPLETA: "&amp;TRIM(IF($A205="","tipo ","")&amp;IF($F205="","fecha de firma ","")&amp;IF($G205="","decisión ","")&amp;IF($H205="","N° resolución ","")&amp;IF($I205="","N° dictamen","")),IF(LEFT($N205,4)&lt;&gt;"CONC","OK",IF(N($Q205)=0,IF(AND(ISNUMBER($E205),$E205&gt;=DATE(2024,1,1)),"FALTA EN evol_conc","OK"),IF(INDEX(evol_conc!$H:$H,$Q205)&lt;&gt;$F205,"FIRMA DISTINTA EN evol_conc ("&amp;IF(INDEX(evol_conc!$H:$H,$Q205)="","vacía",DAY(INDEX(evol_conc!$H:$H,$Q205))&amp;"/"&amp;MONTH(INDEX(evol_conc!$H:$H,$Q205))&amp;"/"&amp;YEAR(INDEX(evol_conc!$H:$H,$Q205)))&amp;")",IF(INDEX(evol_conc!$G:$G,$Q205)&lt;&gt;$E205,"INGRESO DISTINTO EN evol_conc ("&amp;IF(INDEX(evol_conc!$G:$G,$Q205)="","vacía",DAY(INDEX(evol_conc!$G:$G,$Q205))&amp;"/"&amp;MONTH(INDEX(evol_conc!$G:$G,$Q205))&amp;"/"&amp;YEAR(INDEX(evol_conc!$G:$G,$Q205)))&amp;")","OK"))))))))</f>
        <v>OK</v>
      </c>
      <c r="Q205">
        <f ca="1">IF($N205="","",IFERROR(MATCH($N205,evol_conc!$P:$P,0),0))</f>
        <v>0</v>
      </c>
    </row>
    <row r="206" spans="1:17" ht="18" hidden="1" customHeight="1" x14ac:dyDescent="0.25">
      <c r="A206" t="s">
        <v>1089</v>
      </c>
      <c r="B206" t="s">
        <v>1502</v>
      </c>
      <c r="D206" t="s">
        <v>1503</v>
      </c>
      <c r="E206" s="16">
        <v>45987</v>
      </c>
      <c r="F206" s="16">
        <v>46061</v>
      </c>
      <c r="G206" t="s">
        <v>1504</v>
      </c>
      <c r="H206" t="s">
        <v>1505</v>
      </c>
      <c r="I206" t="s">
        <v>1506</v>
      </c>
      <c r="J206" t="s">
        <v>1507</v>
      </c>
      <c r="L206" s="53">
        <f t="shared" si="6"/>
        <v>2.4666666666666668</v>
      </c>
      <c r="M206" s="19">
        <f t="shared" si="7"/>
        <v>74</v>
      </c>
      <c r="N206" t="str">
        <f ca="1">IF(TRIM(SUBSTITUTE($B206,CHAR(160)," "))="","",IFERROR(IF(ISNUMBER(SEARCH("INC",$B206)),"INC",IF(ISNUMBER(SEARCH("OPI",$B206)),"OPI",IF(ISNUMBER(SEARCH("DP",$B206)),"DP","CONC")))&amp;" "&amp;TEXT(LOOKUP(9.99E+307,--MID(SUBSTITUTE($B206,CHAR(160)," "),SUMPRODUCT(MIN(FIND({0,1,2,3,4,5,6,7,8,9},SUBSTITUTE($B206,CHAR(160)," ")&amp;"0123456789"))),ROW(INDIRECT("1:6")))),"0"),"SIN NUMERO"))</f>
        <v>OPI 389</v>
      </c>
      <c r="O206" t="str">
        <f ca="1">IF($N206="","",IF(LEFT(UPPER($P206),9)="VERIFICAR","VERIFICAR",IF(AND($H206&lt;&gt;"",COUNTIFS($N$2:$N$1000,$N206,$H$2:$H$1000,$H206)&gt;1),"DUPLICADA",IF(TRIM(IF($A206="","tipo ","")&amp;IF($F206="","fecha de firma ","")&amp;IF($G206="","decisión ","")&amp;IF($H206="","N° resolución ","")&amp;IF($I206="","N° dictamen",""))&lt;&gt;"","INCOMPLETA: "&amp;TRIM(IF($A206="","tipo ","")&amp;IF($F206="","fecha de firma ","")&amp;IF($G206="","decisión ","")&amp;IF($H206="","N° resolución ","")&amp;IF($I206="","N° dictamen","")),IF(LEFT($N206,4)&lt;&gt;"CONC","OK",IF(N($Q206)=0,IF(AND(ISNUMBER($E206),$E206&gt;=DATE(2024,1,1)),"FALTA EN evol_conc","OK"),IF(INDEX(evol_conc!$H:$H,$Q206)&lt;&gt;$F206,"FIRMA DISTINTA EN evol_conc ("&amp;IF(INDEX(evol_conc!$H:$H,$Q206)="","vacía",DAY(INDEX(evol_conc!$H:$H,$Q206))&amp;"/"&amp;MONTH(INDEX(evol_conc!$H:$H,$Q206))&amp;"/"&amp;YEAR(INDEX(evol_conc!$H:$H,$Q206)))&amp;")",IF(INDEX(evol_conc!$G:$G,$Q206)&lt;&gt;$E206,"INGRESO DISTINTO EN evol_conc ("&amp;IF(INDEX(evol_conc!$G:$G,$Q206)="","vacía",DAY(INDEX(evol_conc!$G:$G,$Q206))&amp;"/"&amp;MONTH(INDEX(evol_conc!$G:$G,$Q206))&amp;"/"&amp;YEAR(INDEX(evol_conc!$G:$G,$Q206)))&amp;")","OK"))))))))</f>
        <v>OK</v>
      </c>
      <c r="Q206">
        <f ca="1">IF($N206="","",IFERROR(MATCH($N206,evol_conc!$P:$P,0),0))</f>
        <v>0</v>
      </c>
    </row>
    <row r="207" spans="1:17" ht="18" hidden="1" customHeight="1" x14ac:dyDescent="0.25">
      <c r="A207" t="s">
        <v>547</v>
      </c>
      <c r="B207" t="s">
        <v>1508</v>
      </c>
      <c r="D207" t="s">
        <v>1509</v>
      </c>
      <c r="E207" s="16">
        <v>45603</v>
      </c>
      <c r="F207" s="16">
        <v>46072</v>
      </c>
      <c r="G207" t="s">
        <v>1413</v>
      </c>
      <c r="H207" t="s">
        <v>1510</v>
      </c>
      <c r="I207" t="s">
        <v>1511</v>
      </c>
      <c r="J207" t="s">
        <v>1512</v>
      </c>
      <c r="K207" t="s">
        <v>592</v>
      </c>
      <c r="L207" s="53">
        <f t="shared" si="6"/>
        <v>15.633333333333333</v>
      </c>
      <c r="M207" s="19">
        <f t="shared" si="7"/>
        <v>469</v>
      </c>
      <c r="N207" t="str">
        <f ca="1">IF(TRIM(SUBSTITUTE($B207,CHAR(160)," "))="","",IFERROR(IF(ISNUMBER(SEARCH("INC",$B207)),"INC",IF(ISNUMBER(SEARCH("OPI",$B207)),"OPI",IF(ISNUMBER(SEARCH("DP",$B207)),"DP","CONC")))&amp;" "&amp;TEXT(LOOKUP(9.99E+307,--MID(SUBSTITUTE($B207,CHAR(160)," "),SUMPRODUCT(MIN(FIND({0,1,2,3,4,5,6,7,8,9},SUBSTITUTE($B207,CHAR(160)," ")&amp;"0123456789"))),ROW(INDIRECT("1:6")))),"0"),"SIN NUMERO"))</f>
        <v>CONC 2002</v>
      </c>
      <c r="O207" t="str">
        <f ca="1">IF($N207="","",IF(LEFT(UPPER($P207),9)="VERIFICAR","VERIFICAR",IF(AND($H207&lt;&gt;"",COUNTIFS($N$2:$N$1000,$N207,$H$2:$H$1000,$H207)&gt;1),"DUPLICADA",IF(TRIM(IF($A207="","tipo ","")&amp;IF($F207="","fecha de firma ","")&amp;IF($G207="","decisión ","")&amp;IF($H207="","N° resolución ","")&amp;IF($I207="","N° dictamen",""))&lt;&gt;"","INCOMPLETA: "&amp;TRIM(IF($A207="","tipo ","")&amp;IF($F207="","fecha de firma ","")&amp;IF($G207="","decisión ","")&amp;IF($H207="","N° resolución ","")&amp;IF($I207="","N° dictamen","")),IF(LEFT($N207,4)&lt;&gt;"CONC","OK",IF(N($Q207)=0,IF(AND(ISNUMBER($E207),$E207&gt;=DATE(2024,1,1)),"FALTA EN evol_conc","OK"),IF(INDEX(evol_conc!$H:$H,$Q207)&lt;&gt;$F207,"FIRMA DISTINTA EN evol_conc ("&amp;IF(INDEX(evol_conc!$H:$H,$Q207)="","vacía",DAY(INDEX(evol_conc!$H:$H,$Q207))&amp;"/"&amp;MONTH(INDEX(evol_conc!$H:$H,$Q207))&amp;"/"&amp;YEAR(INDEX(evol_conc!$H:$H,$Q207)))&amp;")",IF(INDEX(evol_conc!$G:$G,$Q207)&lt;&gt;$E207,"INGRESO DISTINTO EN evol_conc ("&amp;IF(INDEX(evol_conc!$G:$G,$Q207)="","vacía",DAY(INDEX(evol_conc!$G:$G,$Q207))&amp;"/"&amp;MONTH(INDEX(evol_conc!$G:$G,$Q207))&amp;"/"&amp;YEAR(INDEX(evol_conc!$G:$G,$Q207)))&amp;")","OK"))))))))</f>
        <v>OK</v>
      </c>
      <c r="Q207">
        <f ca="1">IF($N207="","",IFERROR(MATCH($N207,evol_conc!$P:$P,0),0))</f>
        <v>78</v>
      </c>
    </row>
    <row r="208" spans="1:17" ht="18" hidden="1" customHeight="1" x14ac:dyDescent="0.25">
      <c r="A208" t="s">
        <v>624</v>
      </c>
      <c r="B208" t="s">
        <v>1513</v>
      </c>
      <c r="D208" t="s">
        <v>1514</v>
      </c>
      <c r="E208" s="16">
        <v>45910</v>
      </c>
      <c r="F208" s="16">
        <v>46073</v>
      </c>
      <c r="G208" t="s">
        <v>1313</v>
      </c>
      <c r="H208" t="s">
        <v>1515</v>
      </c>
      <c r="I208" t="s">
        <v>1516</v>
      </c>
      <c r="J208" t="s">
        <v>852</v>
      </c>
      <c r="K208" t="s">
        <v>592</v>
      </c>
      <c r="L208" s="53">
        <f t="shared" si="6"/>
        <v>5.4333333333333336</v>
      </c>
      <c r="M208" s="19">
        <f t="shared" si="7"/>
        <v>163</v>
      </c>
      <c r="N208" t="str">
        <f ca="1">IF(TRIM(SUBSTITUTE($B208,CHAR(160)," "))="","",IFERROR(IF(ISNUMBER(SEARCH("INC",$B208)),"INC",IF(ISNUMBER(SEARCH("OPI",$B208)),"OPI",IF(ISNUMBER(SEARCH("DP",$B208)),"DP","CONC")))&amp;" "&amp;TEXT(LOOKUP(9.99E+307,--MID(SUBSTITUTE($B208,CHAR(160)," "),SUMPRODUCT(MIN(FIND({0,1,2,3,4,5,6,7,8,9},SUBSTITUTE($B208,CHAR(160)," ")&amp;"0123456789"))),ROW(INDIRECT("1:6")))),"0"),"SIN NUMERO"))</f>
        <v>CONC 2059</v>
      </c>
      <c r="O208" t="str">
        <f ca="1">IF($N208="","",IF(LEFT(UPPER($P208),9)="VERIFICAR","VERIFICAR",IF(AND($H208&lt;&gt;"",COUNTIFS($N$2:$N$1000,$N208,$H$2:$H$1000,$H208)&gt;1),"DUPLICADA",IF(TRIM(IF($A208="","tipo ","")&amp;IF($F208="","fecha de firma ","")&amp;IF($G208="","decisión ","")&amp;IF($H208="","N° resolución ","")&amp;IF($I208="","N° dictamen",""))&lt;&gt;"","INCOMPLETA: "&amp;TRIM(IF($A208="","tipo ","")&amp;IF($F208="","fecha de firma ","")&amp;IF($G208="","decisión ","")&amp;IF($H208="","N° resolución ","")&amp;IF($I208="","N° dictamen","")),IF(LEFT($N208,4)&lt;&gt;"CONC","OK",IF(N($Q208)=0,IF(AND(ISNUMBER($E208),$E208&gt;=DATE(2024,1,1)),"FALTA EN evol_conc","OK"),IF(INDEX(evol_conc!$H:$H,$Q208)&lt;&gt;$F208,"FIRMA DISTINTA EN evol_conc ("&amp;IF(INDEX(evol_conc!$H:$H,$Q208)="","vacía",DAY(INDEX(evol_conc!$H:$H,$Q208))&amp;"/"&amp;MONTH(INDEX(evol_conc!$H:$H,$Q208))&amp;"/"&amp;YEAR(INDEX(evol_conc!$H:$H,$Q208)))&amp;")",IF(INDEX(evol_conc!$G:$G,$Q208)&lt;&gt;$E208,"INGRESO DISTINTO EN evol_conc ("&amp;IF(INDEX(evol_conc!$G:$G,$Q208)="","vacía",DAY(INDEX(evol_conc!$G:$G,$Q208))&amp;"/"&amp;MONTH(INDEX(evol_conc!$G:$G,$Q208))&amp;"/"&amp;YEAR(INDEX(evol_conc!$G:$G,$Q208)))&amp;")","OK"))))))))</f>
        <v>OK</v>
      </c>
      <c r="Q208">
        <f ca="1">IF($N208="","",IFERROR(MATCH($N208,evol_conc!$P:$P,0),0))</f>
        <v>136</v>
      </c>
    </row>
    <row r="209" spans="1:17" ht="18" hidden="1" customHeight="1" x14ac:dyDescent="0.25">
      <c r="A209" t="s">
        <v>624</v>
      </c>
      <c r="B209" t="s">
        <v>1517</v>
      </c>
      <c r="D209" t="s">
        <v>1518</v>
      </c>
      <c r="E209" s="16">
        <v>45636</v>
      </c>
      <c r="F209" s="16">
        <v>46080</v>
      </c>
      <c r="G209" t="s">
        <v>1313</v>
      </c>
      <c r="H209" t="s">
        <v>1519</v>
      </c>
      <c r="I209" t="s">
        <v>1520</v>
      </c>
      <c r="J209" t="s">
        <v>1521</v>
      </c>
      <c r="K209" t="s">
        <v>592</v>
      </c>
      <c r="L209" s="53">
        <f t="shared" si="6"/>
        <v>14.8</v>
      </c>
      <c r="M209" s="19">
        <f t="shared" si="7"/>
        <v>444</v>
      </c>
      <c r="N209" t="str">
        <f ca="1">IF(TRIM(SUBSTITUTE($B209,CHAR(160)," "))="","",IFERROR(IF(ISNUMBER(SEARCH("INC",$B209)),"INC",IF(ISNUMBER(SEARCH("OPI",$B209)),"OPI",IF(ISNUMBER(SEARCH("DP",$B209)),"DP","CONC")))&amp;" "&amp;TEXT(LOOKUP(9.99E+307,--MID(SUBSTITUTE($B209,CHAR(160)," "),SUMPRODUCT(MIN(FIND({0,1,2,3,4,5,6,7,8,9},SUBSTITUTE($B209,CHAR(160)," ")&amp;"0123456789"))),ROW(INDIRECT("1:6")))),"0"),"SIN NUMERO"))</f>
        <v>CONC 2008</v>
      </c>
      <c r="O209" t="str">
        <f ca="1">IF($N209="","",IF(LEFT(UPPER($P209),9)="VERIFICAR","VERIFICAR",IF(AND($H209&lt;&gt;"",COUNTIFS($N$2:$N$1000,$N209,$H$2:$H$1000,$H209)&gt;1),"DUPLICADA",IF(TRIM(IF($A209="","tipo ","")&amp;IF($F209="","fecha de firma ","")&amp;IF($G209="","decisión ","")&amp;IF($H209="","N° resolución ","")&amp;IF($I209="","N° dictamen",""))&lt;&gt;"","INCOMPLETA: "&amp;TRIM(IF($A209="","tipo ","")&amp;IF($F209="","fecha de firma ","")&amp;IF($G209="","decisión ","")&amp;IF($H209="","N° resolución ","")&amp;IF($I209="","N° dictamen","")),IF(LEFT($N209,4)&lt;&gt;"CONC","OK",IF(N($Q209)=0,IF(AND(ISNUMBER($E209),$E209&gt;=DATE(2024,1,1)),"FALTA EN evol_conc","OK"),IF(INDEX(evol_conc!$H:$H,$Q209)&lt;&gt;$F209,"FIRMA DISTINTA EN evol_conc ("&amp;IF(INDEX(evol_conc!$H:$H,$Q209)="","vacía",DAY(INDEX(evol_conc!$H:$H,$Q209))&amp;"/"&amp;MONTH(INDEX(evol_conc!$H:$H,$Q209))&amp;"/"&amp;YEAR(INDEX(evol_conc!$H:$H,$Q209)))&amp;")",IF(INDEX(evol_conc!$G:$G,$Q209)&lt;&gt;$E209,"INGRESO DISTINTO EN evol_conc ("&amp;IF(INDEX(evol_conc!$G:$G,$Q209)="","vacía",DAY(INDEX(evol_conc!$G:$G,$Q209))&amp;"/"&amp;MONTH(INDEX(evol_conc!$G:$G,$Q209))&amp;"/"&amp;YEAR(INDEX(evol_conc!$G:$G,$Q209)))&amp;")","OK"))))))))</f>
        <v>OK</v>
      </c>
      <c r="Q209">
        <f ca="1">IF($N209="","",IFERROR(MATCH($N209,evol_conc!$P:$P,0),0))</f>
        <v>85</v>
      </c>
    </row>
    <row r="210" spans="1:17" ht="18" hidden="1" customHeight="1" x14ac:dyDescent="0.25">
      <c r="A210" t="s">
        <v>624</v>
      </c>
      <c r="B210" t="s">
        <v>1522</v>
      </c>
      <c r="D210" t="s">
        <v>1523</v>
      </c>
      <c r="E210" s="16">
        <v>46049</v>
      </c>
      <c r="F210" s="16">
        <v>46080</v>
      </c>
      <c r="G210" t="s">
        <v>1313</v>
      </c>
      <c r="H210" t="s">
        <v>1524</v>
      </c>
      <c r="I210" t="s">
        <v>1525</v>
      </c>
      <c r="J210" t="s">
        <v>852</v>
      </c>
      <c r="K210" t="s">
        <v>592</v>
      </c>
      <c r="L210" s="53">
        <f t="shared" si="6"/>
        <v>1.0333333333333334</v>
      </c>
      <c r="M210" s="19">
        <f t="shared" si="7"/>
        <v>31</v>
      </c>
      <c r="N210" t="str">
        <f ca="1">IF(TRIM(SUBSTITUTE($B210,CHAR(160)," "))="","",IFERROR(IF(ISNUMBER(SEARCH("INC",$B210)),"INC",IF(ISNUMBER(SEARCH("OPI",$B210)),"OPI",IF(ISNUMBER(SEARCH("DP",$B210)),"DP","CONC")))&amp;" "&amp;TEXT(LOOKUP(9.99E+307,--MID(SUBSTITUTE($B210,CHAR(160)," "),SUMPRODUCT(MIN(FIND({0,1,2,3,4,5,6,7,8,9},SUBSTITUTE($B210,CHAR(160)," ")&amp;"0123456789"))),ROW(INDIRECT("1:6")))),"0"),"SIN NUMERO"))</f>
        <v>CONC 2089</v>
      </c>
      <c r="O210" t="str">
        <f ca="1">IF($N210="","",IF(LEFT(UPPER($P210),9)="VERIFICAR","VERIFICAR",IF(AND($H210&lt;&gt;"",COUNTIFS($N$2:$N$1000,$N210,$H$2:$H$1000,$H210)&gt;1),"DUPLICADA",IF(TRIM(IF($A210="","tipo ","")&amp;IF($F210="","fecha de firma ","")&amp;IF($G210="","decisión ","")&amp;IF($H210="","N° resolución ","")&amp;IF($I210="","N° dictamen",""))&lt;&gt;"","INCOMPLETA: "&amp;TRIM(IF($A210="","tipo ","")&amp;IF($F210="","fecha de firma ","")&amp;IF($G210="","decisión ","")&amp;IF($H210="","N° resolución ","")&amp;IF($I210="","N° dictamen","")),IF(LEFT($N210,4)&lt;&gt;"CONC","OK",IF(N($Q210)=0,IF(AND(ISNUMBER($E210),$E210&gt;=DATE(2024,1,1)),"FALTA EN evol_conc","OK"),IF(INDEX(evol_conc!$H:$H,$Q210)&lt;&gt;$F210,"FIRMA DISTINTA EN evol_conc ("&amp;IF(INDEX(evol_conc!$H:$H,$Q210)="","vacía",DAY(INDEX(evol_conc!$H:$H,$Q210))&amp;"/"&amp;MONTH(INDEX(evol_conc!$H:$H,$Q210))&amp;"/"&amp;YEAR(INDEX(evol_conc!$H:$H,$Q210)))&amp;")",IF(INDEX(evol_conc!$G:$G,$Q210)&lt;&gt;$E210,"INGRESO DISTINTO EN evol_conc ("&amp;IF(INDEX(evol_conc!$G:$G,$Q210)="","vacía",DAY(INDEX(evol_conc!$G:$G,$Q210))&amp;"/"&amp;MONTH(INDEX(evol_conc!$G:$G,$Q210))&amp;"/"&amp;YEAR(INDEX(evol_conc!$G:$G,$Q210)))&amp;")","OK"))))))))</f>
        <v>OK</v>
      </c>
      <c r="Q210">
        <f ca="1">IF($N210="","",IFERROR(MATCH($N210,evol_conc!$P:$P,0),0))</f>
        <v>167</v>
      </c>
    </row>
    <row r="211" spans="1:17" ht="18" hidden="1" customHeight="1" x14ac:dyDescent="0.25">
      <c r="A211" t="s">
        <v>624</v>
      </c>
      <c r="B211" t="s">
        <v>1526</v>
      </c>
      <c r="D211" t="s">
        <v>1527</v>
      </c>
      <c r="E211" s="16">
        <v>46028</v>
      </c>
      <c r="F211" s="16">
        <v>46083</v>
      </c>
      <c r="G211" t="s">
        <v>1313</v>
      </c>
      <c r="H211" t="s">
        <v>1528</v>
      </c>
      <c r="I211" t="s">
        <v>1529</v>
      </c>
      <c r="J211" t="s">
        <v>1530</v>
      </c>
      <c r="K211" t="s">
        <v>581</v>
      </c>
      <c r="L211" s="53">
        <f t="shared" si="6"/>
        <v>1.8333333333333333</v>
      </c>
      <c r="M211" s="19">
        <f t="shared" si="7"/>
        <v>55</v>
      </c>
      <c r="N211" t="str">
        <f ca="1">IF(TRIM(SUBSTITUTE($B211,CHAR(160)," "))="","",IFERROR(IF(ISNUMBER(SEARCH("INC",$B211)),"INC",IF(ISNUMBER(SEARCH("OPI",$B211)),"OPI",IF(ISNUMBER(SEARCH("DP",$B211)),"DP","CONC")))&amp;" "&amp;TEXT(LOOKUP(9.99E+307,--MID(SUBSTITUTE($B211,CHAR(160)," "),SUMPRODUCT(MIN(FIND({0,1,2,3,4,5,6,7,8,9},SUBSTITUTE($B211,CHAR(160)," ")&amp;"0123456789"))),ROW(INDIRECT("1:6")))),"0"),"SIN NUMERO"))</f>
        <v>CONC 2084</v>
      </c>
      <c r="O211" t="str">
        <f ca="1">IF($N211="","",IF(LEFT(UPPER($P211),9)="VERIFICAR","VERIFICAR",IF(AND($H211&lt;&gt;"",COUNTIFS($N$2:$N$1000,$N211,$H$2:$H$1000,$H211)&gt;1),"DUPLICADA",IF(TRIM(IF($A211="","tipo ","")&amp;IF($F211="","fecha de firma ","")&amp;IF($G211="","decisión ","")&amp;IF($H211="","N° resolución ","")&amp;IF($I211="","N° dictamen",""))&lt;&gt;"","INCOMPLETA: "&amp;TRIM(IF($A211="","tipo ","")&amp;IF($F211="","fecha de firma ","")&amp;IF($G211="","decisión ","")&amp;IF($H211="","N° resolución ","")&amp;IF($I211="","N° dictamen","")),IF(LEFT($N211,4)&lt;&gt;"CONC","OK",IF(N($Q211)=0,IF(AND(ISNUMBER($E211),$E211&gt;=DATE(2024,1,1)),"FALTA EN evol_conc","OK"),IF(INDEX(evol_conc!$H:$H,$Q211)&lt;&gt;$F211,"FIRMA DISTINTA EN evol_conc ("&amp;IF(INDEX(evol_conc!$H:$H,$Q211)="","vacía",DAY(INDEX(evol_conc!$H:$H,$Q211))&amp;"/"&amp;MONTH(INDEX(evol_conc!$H:$H,$Q211))&amp;"/"&amp;YEAR(INDEX(evol_conc!$H:$H,$Q211)))&amp;")",IF(INDEX(evol_conc!$G:$G,$Q211)&lt;&gt;$E211,"INGRESO DISTINTO EN evol_conc ("&amp;IF(INDEX(evol_conc!$G:$G,$Q211)="","vacía",DAY(INDEX(evol_conc!$G:$G,$Q211))&amp;"/"&amp;MONTH(INDEX(evol_conc!$G:$G,$Q211))&amp;"/"&amp;YEAR(INDEX(evol_conc!$G:$G,$Q211)))&amp;")","OK"))))))))</f>
        <v>OK</v>
      </c>
      <c r="Q211">
        <f ca="1">IF($N211="","",IFERROR(MATCH($N211,evol_conc!$P:$P,0),0))</f>
        <v>162</v>
      </c>
    </row>
    <row r="212" spans="1:17" ht="18" hidden="1" customHeight="1" x14ac:dyDescent="0.25">
      <c r="A212" t="s">
        <v>624</v>
      </c>
      <c r="B212" t="s">
        <v>1531</v>
      </c>
      <c r="D212" t="s">
        <v>1532</v>
      </c>
      <c r="E212" s="16">
        <v>45904</v>
      </c>
      <c r="F212" s="16">
        <v>46092</v>
      </c>
      <c r="G212" t="s">
        <v>1313</v>
      </c>
      <c r="H212" t="s">
        <v>1533</v>
      </c>
      <c r="I212" t="s">
        <v>1534</v>
      </c>
      <c r="J212" t="s">
        <v>1130</v>
      </c>
      <c r="K212" t="s">
        <v>592</v>
      </c>
      <c r="L212" s="53">
        <f t="shared" si="6"/>
        <v>6.2666666666666666</v>
      </c>
      <c r="M212" s="19">
        <f t="shared" si="7"/>
        <v>188</v>
      </c>
      <c r="N212" t="str">
        <f ca="1">IF(TRIM(SUBSTITUTE($B212,CHAR(160)," "))="","",IFERROR(IF(ISNUMBER(SEARCH("INC",$B212)),"INC",IF(ISNUMBER(SEARCH("OPI",$B212)),"OPI",IF(ISNUMBER(SEARCH("DP",$B212)),"DP","CONC")))&amp;" "&amp;TEXT(LOOKUP(9.99E+307,--MID(SUBSTITUTE($B212,CHAR(160)," "),SUMPRODUCT(MIN(FIND({0,1,2,3,4,5,6,7,8,9},SUBSTITUTE($B212,CHAR(160)," ")&amp;"0123456789"))),ROW(INDIRECT("1:6")))),"0"),"SIN NUMERO"))</f>
        <v>CONC 2056</v>
      </c>
      <c r="O212" t="str">
        <f ca="1">IF($N212="","",IF(LEFT(UPPER($P212),9)="VERIFICAR","VERIFICAR",IF(AND($H212&lt;&gt;"",COUNTIFS($N$2:$N$1000,$N212,$H$2:$H$1000,$H212)&gt;1),"DUPLICADA",IF(TRIM(IF($A212="","tipo ","")&amp;IF($F212="","fecha de firma ","")&amp;IF($G212="","decisión ","")&amp;IF($H212="","N° resolución ","")&amp;IF($I212="","N° dictamen",""))&lt;&gt;"","INCOMPLETA: "&amp;TRIM(IF($A212="","tipo ","")&amp;IF($F212="","fecha de firma ","")&amp;IF($G212="","decisión ","")&amp;IF($H212="","N° resolución ","")&amp;IF($I212="","N° dictamen","")),IF(LEFT($N212,4)&lt;&gt;"CONC","OK",IF(N($Q212)=0,IF(AND(ISNUMBER($E212),$E212&gt;=DATE(2024,1,1)),"FALTA EN evol_conc","OK"),IF(INDEX(evol_conc!$H:$H,$Q212)&lt;&gt;$F212,"FIRMA DISTINTA EN evol_conc ("&amp;IF(INDEX(evol_conc!$H:$H,$Q212)="","vacía",DAY(INDEX(evol_conc!$H:$H,$Q212))&amp;"/"&amp;MONTH(INDEX(evol_conc!$H:$H,$Q212))&amp;"/"&amp;YEAR(INDEX(evol_conc!$H:$H,$Q212)))&amp;")",IF(INDEX(evol_conc!$G:$G,$Q212)&lt;&gt;$E212,"INGRESO DISTINTO EN evol_conc ("&amp;IF(INDEX(evol_conc!$G:$G,$Q212)="","vacía",DAY(INDEX(evol_conc!$G:$G,$Q212))&amp;"/"&amp;MONTH(INDEX(evol_conc!$G:$G,$Q212))&amp;"/"&amp;YEAR(INDEX(evol_conc!$G:$G,$Q212)))&amp;")","OK"))))))))</f>
        <v>OK</v>
      </c>
      <c r="Q212">
        <f ca="1">IF($N212="","",IFERROR(MATCH($N212,evol_conc!$P:$P,0),0))</f>
        <v>134</v>
      </c>
    </row>
    <row r="213" spans="1:17" ht="18" hidden="1" customHeight="1" x14ac:dyDescent="0.25">
      <c r="A213" t="s">
        <v>1061</v>
      </c>
      <c r="B213" t="s">
        <v>1535</v>
      </c>
      <c r="D213" t="s">
        <v>1536</v>
      </c>
      <c r="E213" s="16">
        <v>45106</v>
      </c>
      <c r="F213" s="16">
        <v>46093</v>
      </c>
      <c r="G213" t="s">
        <v>1537</v>
      </c>
      <c r="H213" t="s">
        <v>1538</v>
      </c>
      <c r="I213" t="s">
        <v>1539</v>
      </c>
      <c r="J213" t="s">
        <v>1540</v>
      </c>
      <c r="K213" t="s">
        <v>1541</v>
      </c>
      <c r="L213" s="53">
        <f t="shared" si="6"/>
        <v>32.9</v>
      </c>
      <c r="M213" s="19">
        <f t="shared" si="7"/>
        <v>987</v>
      </c>
      <c r="N213" t="str">
        <f ca="1">IF(TRIM(SUBSTITUTE($B213,CHAR(160)," "))="","",IFERROR(IF(ISNUMBER(SEARCH("INC",$B213)),"INC",IF(ISNUMBER(SEARCH("OPI",$B213)),"OPI",IF(ISNUMBER(SEARCH("DP",$B213)),"DP","CONC")))&amp;" "&amp;TEXT(LOOKUP(9.99E+307,--MID(SUBSTITUTE($B213,CHAR(160)," "),SUMPRODUCT(MIN(FIND({0,1,2,3,4,5,6,7,8,9},SUBSTITUTE($B213,CHAR(160)," ")&amp;"0123456789"))),ROW(INDIRECT("1:6")))),"0"),"SIN NUMERO"))</f>
        <v>INC 1663</v>
      </c>
      <c r="O213" t="str">
        <f ca="1">IF($N213="","",IF(LEFT(UPPER($P213),9)="VERIFICAR","VERIFICAR",IF(AND($H213&lt;&gt;"",COUNTIFS($N$2:$N$1000,$N213,$H$2:$H$1000,$H213)&gt;1),"DUPLICADA",IF(TRIM(IF($A213="","tipo ","")&amp;IF($F213="","fecha de firma ","")&amp;IF($G213="","decisión ","")&amp;IF($H213="","N° resolución ","")&amp;IF($I213="","N° dictamen",""))&lt;&gt;"","INCOMPLETA: "&amp;TRIM(IF($A213="","tipo ","")&amp;IF($F213="","fecha de firma ","")&amp;IF($G213="","decisión ","")&amp;IF($H213="","N° resolución ","")&amp;IF($I213="","N° dictamen","")),IF(LEFT($N213,4)&lt;&gt;"CONC","OK",IF(N($Q213)=0,IF(AND(ISNUMBER($E213),$E213&gt;=DATE(2024,1,1)),"FALTA EN evol_conc","OK"),IF(INDEX(evol_conc!$H:$H,$Q213)&lt;&gt;$F213,"FIRMA DISTINTA EN evol_conc ("&amp;IF(INDEX(evol_conc!$H:$H,$Q213)="","vacía",DAY(INDEX(evol_conc!$H:$H,$Q213))&amp;"/"&amp;MONTH(INDEX(evol_conc!$H:$H,$Q213))&amp;"/"&amp;YEAR(INDEX(evol_conc!$H:$H,$Q213)))&amp;")",IF(INDEX(evol_conc!$G:$G,$Q213)&lt;&gt;$E213,"INGRESO DISTINTO EN evol_conc ("&amp;IF(INDEX(evol_conc!$G:$G,$Q213)="","vacía",DAY(INDEX(evol_conc!$G:$G,$Q213))&amp;"/"&amp;MONTH(INDEX(evol_conc!$G:$G,$Q213))&amp;"/"&amp;YEAR(INDEX(evol_conc!$G:$G,$Q213)))&amp;")","OK"))))))))</f>
        <v>OK</v>
      </c>
      <c r="Q213">
        <f ca="1">IF($N213="","",IFERROR(MATCH($N213,evol_conc!$P:$P,0),0))</f>
        <v>0</v>
      </c>
    </row>
    <row r="214" spans="1:17" ht="18" hidden="1" customHeight="1" x14ac:dyDescent="0.25">
      <c r="A214" t="s">
        <v>1089</v>
      </c>
      <c r="B214" t="s">
        <v>1542</v>
      </c>
      <c r="D214" t="s">
        <v>1543</v>
      </c>
      <c r="E214" s="16">
        <v>46014</v>
      </c>
      <c r="F214" s="16">
        <v>46093</v>
      </c>
      <c r="G214" t="s">
        <v>1493</v>
      </c>
      <c r="H214" t="s">
        <v>1544</v>
      </c>
      <c r="I214" t="s">
        <v>1545</v>
      </c>
      <c r="L214" s="53">
        <f t="shared" si="6"/>
        <v>2.6333333333333333</v>
      </c>
      <c r="M214" s="19">
        <f t="shared" si="7"/>
        <v>79</v>
      </c>
      <c r="N214" t="str">
        <f ca="1">IF(TRIM(SUBSTITUTE($B214,CHAR(160)," "))="","",IFERROR(IF(ISNUMBER(SEARCH("INC",$B214)),"INC",IF(ISNUMBER(SEARCH("OPI",$B214)),"OPI",IF(ISNUMBER(SEARCH("DP",$B214)),"DP","CONC")))&amp;" "&amp;TEXT(LOOKUP(9.99E+307,--MID(SUBSTITUTE($B214,CHAR(160)," "),SUMPRODUCT(MIN(FIND({0,1,2,3,4,5,6,7,8,9},SUBSTITUTE($B214,CHAR(160)," ")&amp;"0123456789"))),ROW(INDIRECT("1:6")))),"0"),"SIN NUMERO"))</f>
        <v>OPI 391</v>
      </c>
      <c r="O214" t="str">
        <f ca="1">IF($N214="","",IF(LEFT(UPPER($P214),9)="VERIFICAR","VERIFICAR",IF(AND($H214&lt;&gt;"",COUNTIFS($N$2:$N$1000,$N214,$H$2:$H$1000,$H214)&gt;1),"DUPLICADA",IF(TRIM(IF($A214="","tipo ","")&amp;IF($F214="","fecha de firma ","")&amp;IF($G214="","decisión ","")&amp;IF($H214="","N° resolución ","")&amp;IF($I214="","N° dictamen",""))&lt;&gt;"","INCOMPLETA: "&amp;TRIM(IF($A214="","tipo ","")&amp;IF($F214="","fecha de firma ","")&amp;IF($G214="","decisión ","")&amp;IF($H214="","N° resolución ","")&amp;IF($I214="","N° dictamen","")),IF(LEFT($N214,4)&lt;&gt;"CONC","OK",IF(N($Q214)=0,IF(AND(ISNUMBER($E214),$E214&gt;=DATE(2024,1,1)),"FALTA EN evol_conc","OK"),IF(INDEX(evol_conc!$H:$H,$Q214)&lt;&gt;$F214,"FIRMA DISTINTA EN evol_conc ("&amp;IF(INDEX(evol_conc!$H:$H,$Q214)="","vacía",DAY(INDEX(evol_conc!$H:$H,$Q214))&amp;"/"&amp;MONTH(INDEX(evol_conc!$H:$H,$Q214))&amp;"/"&amp;YEAR(INDEX(evol_conc!$H:$H,$Q214)))&amp;")",IF(INDEX(evol_conc!$G:$G,$Q214)&lt;&gt;$E214,"INGRESO DISTINTO EN evol_conc ("&amp;IF(INDEX(evol_conc!$G:$G,$Q214)="","vacía",DAY(INDEX(evol_conc!$G:$G,$Q214))&amp;"/"&amp;MONTH(INDEX(evol_conc!$G:$G,$Q214))&amp;"/"&amp;YEAR(INDEX(evol_conc!$G:$G,$Q214)))&amp;")","OK"))))))))</f>
        <v>OK</v>
      </c>
      <c r="Q214">
        <f ca="1">IF($N214="","",IFERROR(MATCH($N214,evol_conc!$P:$P,0),0))</f>
        <v>0</v>
      </c>
    </row>
    <row r="215" spans="1:17" ht="18" hidden="1" customHeight="1" x14ac:dyDescent="0.25">
      <c r="A215" t="s">
        <v>1061</v>
      </c>
      <c r="B215" t="s">
        <v>1535</v>
      </c>
      <c r="D215" t="s">
        <v>1536</v>
      </c>
      <c r="E215" s="16">
        <v>45106</v>
      </c>
      <c r="F215" s="16">
        <v>46097</v>
      </c>
      <c r="G215" t="s">
        <v>1546</v>
      </c>
      <c r="H215" t="s">
        <v>1547</v>
      </c>
      <c r="I215" t="s">
        <v>1548</v>
      </c>
      <c r="J215" t="s">
        <v>1540</v>
      </c>
      <c r="L215" s="53">
        <f t="shared" si="6"/>
        <v>33.033333333333331</v>
      </c>
      <c r="M215" s="19">
        <f t="shared" si="7"/>
        <v>991</v>
      </c>
      <c r="N215" t="str">
        <f ca="1">IF(TRIM(SUBSTITUTE($B215,CHAR(160)," "))="","",IFERROR(IF(ISNUMBER(SEARCH("INC",$B215)),"INC",IF(ISNUMBER(SEARCH("OPI",$B215)),"OPI",IF(ISNUMBER(SEARCH("DP",$B215)),"DP","CONC")))&amp;" "&amp;TEXT(LOOKUP(9.99E+307,--MID(SUBSTITUTE($B215,CHAR(160)," "),SUMPRODUCT(MIN(FIND({0,1,2,3,4,5,6,7,8,9},SUBSTITUTE($B215,CHAR(160)," ")&amp;"0123456789"))),ROW(INDIRECT("1:6")))),"0"),"SIN NUMERO"))</f>
        <v>INC 1663</v>
      </c>
      <c r="O215" t="str">
        <f ca="1">IF($N215="","",IF(LEFT(UPPER($P215),9)="VERIFICAR","VERIFICAR",IF(AND($H215&lt;&gt;"",COUNTIFS($N$2:$N$1000,$N215,$H$2:$H$1000,$H215)&gt;1),"DUPLICADA",IF(TRIM(IF($A215="","tipo ","")&amp;IF($F215="","fecha de firma ","")&amp;IF($G215="","decisión ","")&amp;IF($H215="","N° resolución ","")&amp;IF($I215="","N° dictamen",""))&lt;&gt;"","INCOMPLETA: "&amp;TRIM(IF($A215="","tipo ","")&amp;IF($F215="","fecha de firma ","")&amp;IF($G215="","decisión ","")&amp;IF($H215="","N° resolución ","")&amp;IF($I215="","N° dictamen","")),IF(LEFT($N215,4)&lt;&gt;"CONC","OK",IF(N($Q215)=0,IF(AND(ISNUMBER($E215),$E215&gt;=DATE(2024,1,1)),"FALTA EN evol_conc","OK"),IF(INDEX(evol_conc!$H:$H,$Q215)&lt;&gt;$F215,"FIRMA DISTINTA EN evol_conc ("&amp;IF(INDEX(evol_conc!$H:$H,$Q215)="","vacía",DAY(INDEX(evol_conc!$H:$H,$Q215))&amp;"/"&amp;MONTH(INDEX(evol_conc!$H:$H,$Q215))&amp;"/"&amp;YEAR(INDEX(evol_conc!$H:$H,$Q215)))&amp;")",IF(INDEX(evol_conc!$G:$G,$Q215)&lt;&gt;$E215,"INGRESO DISTINTO EN evol_conc ("&amp;IF(INDEX(evol_conc!$G:$G,$Q215)="","vacía",DAY(INDEX(evol_conc!$G:$G,$Q215))&amp;"/"&amp;MONTH(INDEX(evol_conc!$G:$G,$Q215))&amp;"/"&amp;YEAR(INDEX(evol_conc!$G:$G,$Q215)))&amp;")","OK"))))))))</f>
        <v>OK</v>
      </c>
      <c r="Q215">
        <f ca="1">IF($N215="","",IFERROR(MATCH($N215,evol_conc!$P:$P,0),0))</f>
        <v>0</v>
      </c>
    </row>
    <row r="216" spans="1:17" ht="18" hidden="1" customHeight="1" x14ac:dyDescent="0.25">
      <c r="A216" t="s">
        <v>547</v>
      </c>
      <c r="B216" t="s">
        <v>1549</v>
      </c>
      <c r="D216" t="s">
        <v>1550</v>
      </c>
      <c r="E216" s="16">
        <v>45348</v>
      </c>
      <c r="F216" s="16">
        <v>46097</v>
      </c>
      <c r="G216" t="s">
        <v>1551</v>
      </c>
      <c r="H216" t="s">
        <v>1552</v>
      </c>
      <c r="I216" t="s">
        <v>1553</v>
      </c>
      <c r="J216" t="s">
        <v>1554</v>
      </c>
      <c r="K216" t="s">
        <v>560</v>
      </c>
      <c r="L216" s="53">
        <f t="shared" si="6"/>
        <v>24.966666666666665</v>
      </c>
      <c r="M216" s="19">
        <f t="shared" si="7"/>
        <v>749</v>
      </c>
      <c r="N216" t="str">
        <f ca="1">IF(TRIM(SUBSTITUTE($B216,CHAR(160)," "))="","",IFERROR(IF(ISNUMBER(SEARCH("INC",$B216)),"INC",IF(ISNUMBER(SEARCH("OPI",$B216)),"OPI",IF(ISNUMBER(SEARCH("DP",$B216)),"DP","CONC")))&amp;" "&amp;TEXT(LOOKUP(9.99E+307,--MID(SUBSTITUTE($B216,CHAR(160)," "),SUMPRODUCT(MIN(FIND({0,1,2,3,4,5,6,7,8,9},SUBSTITUTE($B216,CHAR(160)," ")&amp;"0123456789"))),ROW(INDIRECT("1:6")))),"0"),"SIN NUMERO"))</f>
        <v>CONC 1960</v>
      </c>
      <c r="O216" t="str">
        <f ca="1">IF($N216="","",IF(LEFT(UPPER($P216),9)="VERIFICAR","VERIFICAR",IF(AND($H216&lt;&gt;"",COUNTIFS($N$2:$N$1000,$N216,$H$2:$H$1000,$H216)&gt;1),"DUPLICADA",IF(TRIM(IF($A216="","tipo ","")&amp;IF($F216="","fecha de firma ","")&amp;IF($G216="","decisión ","")&amp;IF($H216="","N° resolución ","")&amp;IF($I216="","N° dictamen",""))&lt;&gt;"","INCOMPLETA: "&amp;TRIM(IF($A216="","tipo ","")&amp;IF($F216="","fecha de firma ","")&amp;IF($G216="","decisión ","")&amp;IF($H216="","N° resolución ","")&amp;IF($I216="","N° dictamen","")),IF(LEFT($N216,4)&lt;&gt;"CONC","OK",IF(N($Q216)=0,IF(AND(ISNUMBER($E216),$E216&gt;=DATE(2024,1,1)),"FALTA EN evol_conc","OK"),IF(INDEX(evol_conc!$H:$H,$Q216)&lt;&gt;$F216,"FIRMA DISTINTA EN evol_conc ("&amp;IF(INDEX(evol_conc!$H:$H,$Q216)="","vacía",DAY(INDEX(evol_conc!$H:$H,$Q216))&amp;"/"&amp;MONTH(INDEX(evol_conc!$H:$H,$Q216))&amp;"/"&amp;YEAR(INDEX(evol_conc!$H:$H,$Q216)))&amp;")",IF(INDEX(evol_conc!$G:$G,$Q216)&lt;&gt;$E216,"INGRESO DISTINTO EN evol_conc ("&amp;IF(INDEX(evol_conc!$G:$G,$Q216)="","vacía",DAY(INDEX(evol_conc!$G:$G,$Q216))&amp;"/"&amp;MONTH(INDEX(evol_conc!$G:$G,$Q216))&amp;"/"&amp;YEAR(INDEX(evol_conc!$G:$G,$Q216)))&amp;")","OK"))))))))</f>
        <v>OK</v>
      </c>
      <c r="Q216">
        <f ca="1">IF($N216="","",IFERROR(MATCH($N216,evol_conc!$P:$P,0),0))</f>
        <v>38</v>
      </c>
    </row>
    <row r="217" spans="1:17" ht="18" hidden="1" customHeight="1" x14ac:dyDescent="0.25">
      <c r="A217" t="s">
        <v>1061</v>
      </c>
      <c r="B217" t="s">
        <v>1535</v>
      </c>
      <c r="D217" t="s">
        <v>1536</v>
      </c>
      <c r="E217" s="16">
        <v>45106</v>
      </c>
      <c r="F217" s="16">
        <v>46099</v>
      </c>
      <c r="G217" t="s">
        <v>1546</v>
      </c>
      <c r="H217" t="s">
        <v>1555</v>
      </c>
      <c r="I217" t="s">
        <v>1556</v>
      </c>
      <c r="J217" t="s">
        <v>1540</v>
      </c>
      <c r="L217" s="53">
        <f t="shared" si="6"/>
        <v>33.1</v>
      </c>
      <c r="M217" s="19">
        <f t="shared" si="7"/>
        <v>993</v>
      </c>
      <c r="N217" t="str">
        <f ca="1">IF(TRIM(SUBSTITUTE($B217,CHAR(160)," "))="","",IFERROR(IF(ISNUMBER(SEARCH("INC",$B217)),"INC",IF(ISNUMBER(SEARCH("OPI",$B217)),"OPI",IF(ISNUMBER(SEARCH("DP",$B217)),"DP","CONC")))&amp;" "&amp;TEXT(LOOKUP(9.99E+307,--MID(SUBSTITUTE($B217,CHAR(160)," "),SUMPRODUCT(MIN(FIND({0,1,2,3,4,5,6,7,8,9},SUBSTITUTE($B217,CHAR(160)," ")&amp;"0123456789"))),ROW(INDIRECT("1:6")))),"0"),"SIN NUMERO"))</f>
        <v>INC 1663</v>
      </c>
      <c r="O217" t="str">
        <f ca="1">IF($N217="","",IF(LEFT(UPPER($P217),9)="VERIFICAR","VERIFICAR",IF(AND($H217&lt;&gt;"",COUNTIFS($N$2:$N$1000,$N217,$H$2:$H$1000,$H217)&gt;1),"DUPLICADA",IF(TRIM(IF($A217="","tipo ","")&amp;IF($F217="","fecha de firma ","")&amp;IF($G217="","decisión ","")&amp;IF($H217="","N° resolución ","")&amp;IF($I217="","N° dictamen",""))&lt;&gt;"","INCOMPLETA: "&amp;TRIM(IF($A217="","tipo ","")&amp;IF($F217="","fecha de firma ","")&amp;IF($G217="","decisión ","")&amp;IF($H217="","N° resolución ","")&amp;IF($I217="","N° dictamen","")),IF(LEFT($N217,4)&lt;&gt;"CONC","OK",IF(N($Q217)=0,IF(AND(ISNUMBER($E217),$E217&gt;=DATE(2024,1,1)),"FALTA EN evol_conc","OK"),IF(INDEX(evol_conc!$H:$H,$Q217)&lt;&gt;$F217,"FIRMA DISTINTA EN evol_conc ("&amp;IF(INDEX(evol_conc!$H:$H,$Q217)="","vacía",DAY(INDEX(evol_conc!$H:$H,$Q217))&amp;"/"&amp;MONTH(INDEX(evol_conc!$H:$H,$Q217))&amp;"/"&amp;YEAR(INDEX(evol_conc!$H:$H,$Q217)))&amp;")",IF(INDEX(evol_conc!$G:$G,$Q217)&lt;&gt;$E217,"INGRESO DISTINTO EN evol_conc ("&amp;IF(INDEX(evol_conc!$G:$G,$Q217)="","vacía",DAY(INDEX(evol_conc!$G:$G,$Q217))&amp;"/"&amp;MONTH(INDEX(evol_conc!$G:$G,$Q217))&amp;"/"&amp;YEAR(INDEX(evol_conc!$G:$G,$Q217)))&amp;")","OK"))))))))</f>
        <v>OK</v>
      </c>
      <c r="Q217">
        <f ca="1">IF($N217="","",IFERROR(MATCH($N217,evol_conc!$P:$P,0),0))</f>
        <v>0</v>
      </c>
    </row>
    <row r="218" spans="1:17" ht="18" hidden="1" customHeight="1" x14ac:dyDescent="0.25">
      <c r="A218" t="s">
        <v>547</v>
      </c>
      <c r="B218" t="s">
        <v>1557</v>
      </c>
      <c r="D218" t="s">
        <v>1558</v>
      </c>
      <c r="E218" s="16">
        <v>45757</v>
      </c>
      <c r="F218" s="16">
        <v>46107</v>
      </c>
      <c r="G218" t="s">
        <v>1413</v>
      </c>
      <c r="H218" t="s">
        <v>1559</v>
      </c>
      <c r="I218" t="s">
        <v>1560</v>
      </c>
      <c r="J218" t="s">
        <v>1561</v>
      </c>
      <c r="K218" t="s">
        <v>592</v>
      </c>
      <c r="L218" s="53">
        <f t="shared" si="6"/>
        <v>11.666666666666666</v>
      </c>
      <c r="M218" s="19">
        <f t="shared" si="7"/>
        <v>350</v>
      </c>
      <c r="N218" t="str">
        <f ca="1">IF(TRIM(SUBSTITUTE($B218,CHAR(160)," "))="","",IFERROR(IF(ISNUMBER(SEARCH("INC",$B218)),"INC",IF(ISNUMBER(SEARCH("OPI",$B218)),"OPI",IF(ISNUMBER(SEARCH("DP",$B218)),"DP","CONC")))&amp;" "&amp;TEXT(LOOKUP(9.99E+307,--MID(SUBSTITUTE($B218,CHAR(160)," "),SUMPRODUCT(MIN(FIND({0,1,2,3,4,5,6,7,8,9},SUBSTITUTE($B218,CHAR(160)," ")&amp;"0123456789"))),ROW(INDIRECT("1:6")))),"0"),"SIN NUMERO"))</f>
        <v>CONC 2032</v>
      </c>
      <c r="O218" t="str">
        <f ca="1">IF($N218="","",IF(LEFT(UPPER($P218),9)="VERIFICAR","VERIFICAR",IF(AND($H218&lt;&gt;"",COUNTIFS($N$2:$N$1000,$N218,$H$2:$H$1000,$H218)&gt;1),"DUPLICADA",IF(TRIM(IF($A218="","tipo ","")&amp;IF($F218="","fecha de firma ","")&amp;IF($G218="","decisión ","")&amp;IF($H218="","N° resolución ","")&amp;IF($I218="","N° dictamen",""))&lt;&gt;"","INCOMPLETA: "&amp;TRIM(IF($A218="","tipo ","")&amp;IF($F218="","fecha de firma ","")&amp;IF($G218="","decisión ","")&amp;IF($H218="","N° resolución ","")&amp;IF($I218="","N° dictamen","")),IF(LEFT($N218,4)&lt;&gt;"CONC","OK",IF(N($Q218)=0,IF(AND(ISNUMBER($E218),$E218&gt;=DATE(2024,1,1)),"FALTA EN evol_conc","OK"),IF(INDEX(evol_conc!$H:$H,$Q218)&lt;&gt;$F218,"FIRMA DISTINTA EN evol_conc ("&amp;IF(INDEX(evol_conc!$H:$H,$Q218)="","vacía",DAY(INDEX(evol_conc!$H:$H,$Q218))&amp;"/"&amp;MONTH(INDEX(evol_conc!$H:$H,$Q218))&amp;"/"&amp;YEAR(INDEX(evol_conc!$H:$H,$Q218)))&amp;")",IF(INDEX(evol_conc!$G:$G,$Q218)&lt;&gt;$E218,"INGRESO DISTINTO EN evol_conc ("&amp;IF(INDEX(evol_conc!$G:$G,$Q218)="","vacía",DAY(INDEX(evol_conc!$G:$G,$Q218))&amp;"/"&amp;MONTH(INDEX(evol_conc!$G:$G,$Q218))&amp;"/"&amp;YEAR(INDEX(evol_conc!$G:$G,$Q218)))&amp;")","OK"))))))))</f>
        <v>OK</v>
      </c>
      <c r="Q218">
        <f ca="1">IF($N218="","",IFERROR(MATCH($N218,evol_conc!$P:$P,0),0))</f>
        <v>110</v>
      </c>
    </row>
    <row r="219" spans="1:17" ht="18" customHeight="1" x14ac:dyDescent="0.25">
      <c r="A219" t="s">
        <v>547</v>
      </c>
      <c r="B219" t="s">
        <v>1562</v>
      </c>
      <c r="D219" t="s">
        <v>1563</v>
      </c>
      <c r="E219" s="16">
        <v>45659</v>
      </c>
      <c r="F219" s="16">
        <v>46111</v>
      </c>
      <c r="G219" t="s">
        <v>1413</v>
      </c>
      <c r="H219" t="s">
        <v>1564</v>
      </c>
      <c r="I219" t="s">
        <v>1565</v>
      </c>
      <c r="J219" t="s">
        <v>1566</v>
      </c>
      <c r="K219" t="s">
        <v>554</v>
      </c>
      <c r="L219" s="53">
        <f t="shared" si="6"/>
        <v>15.066666666666666</v>
      </c>
      <c r="M219" s="19">
        <f t="shared" si="7"/>
        <v>452</v>
      </c>
      <c r="N219" t="str">
        <f ca="1">IF(TRIM(SUBSTITUTE($B219,CHAR(160)," "))="","",IFERROR(IF(ISNUMBER(SEARCH("INC",$B219)),"INC",IF(ISNUMBER(SEARCH("OPI",$B219)),"OPI",IF(ISNUMBER(SEARCH("DP",$B219)),"DP","CONC")))&amp;" "&amp;TEXT(LOOKUP(9.99E+307,--MID(SUBSTITUTE($B219,CHAR(160)," "),SUMPRODUCT(MIN(FIND({0,1,2,3,4,5,6,7,8,9},SUBSTITUTE($B219,CHAR(160)," ")&amp;"0123456789"))),ROW(INDIRECT("1:6")))),"0"),"SIN NUMERO"))</f>
        <v>CONC 2014</v>
      </c>
      <c r="O219" t="str">
        <f ca="1">IF($N219="","",IF(LEFT(UPPER($P219),9)="VERIFICAR","VERIFICAR",IF(AND($H219&lt;&gt;"",COUNTIFS($N$2:$N$1000,$N219,$H$2:$H$1000,$H219)&gt;1),"DUPLICADA",IF(TRIM(IF($A219="","tipo ","")&amp;IF($F219="","fecha de firma ","")&amp;IF($G219="","decisión ","")&amp;IF($H219="","N° resolución ","")&amp;IF($I219="","N° dictamen",""))&lt;&gt;"","INCOMPLETA: "&amp;TRIM(IF($A219="","tipo ","")&amp;IF($F219="","fecha de firma ","")&amp;IF($G219="","decisión ","")&amp;IF($H219="","N° resolución ","")&amp;IF($I219="","N° dictamen","")),IF(LEFT($N219,4)&lt;&gt;"CONC","OK",IF(N($Q219)=0,IF(AND(ISNUMBER($E219),$E219&gt;=DATE(2024,1,1)),"FALTA EN evol_conc","OK"),IF(INDEX(evol_conc!$H:$H,$Q219)&lt;&gt;$F219,"FIRMA DISTINTA EN evol_conc ("&amp;IF(INDEX(evol_conc!$H:$H,$Q219)="","vacía",DAY(INDEX(evol_conc!$H:$H,$Q219))&amp;"/"&amp;MONTH(INDEX(evol_conc!$H:$H,$Q219))&amp;"/"&amp;YEAR(INDEX(evol_conc!$H:$H,$Q219)))&amp;")",IF(INDEX(evol_conc!$G:$G,$Q219)&lt;&gt;$E219,"INGRESO DISTINTO EN evol_conc ("&amp;IF(INDEX(evol_conc!$G:$G,$Q219)="","vacía",DAY(INDEX(evol_conc!$G:$G,$Q219))&amp;"/"&amp;MONTH(INDEX(evol_conc!$G:$G,$Q219))&amp;"/"&amp;YEAR(INDEX(evol_conc!$G:$G,$Q219)))&amp;")","OK"))))))))</f>
        <v>OK</v>
      </c>
      <c r="Q219">
        <f ca="1">IF($N219="","",IFERROR(MATCH($N219,evol_conc!$P:$P,0),0))</f>
        <v>91</v>
      </c>
    </row>
    <row r="220" spans="1:17" ht="18" customHeight="1" x14ac:dyDescent="0.25">
      <c r="A220" t="s">
        <v>624</v>
      </c>
      <c r="B220" t="s">
        <v>1567</v>
      </c>
      <c r="D220" t="s">
        <v>1568</v>
      </c>
      <c r="E220" s="16">
        <v>45993</v>
      </c>
      <c r="F220" s="16">
        <v>46112</v>
      </c>
      <c r="G220" t="s">
        <v>1313</v>
      </c>
      <c r="H220" t="s">
        <v>1569</v>
      </c>
      <c r="I220" t="s">
        <v>1570</v>
      </c>
      <c r="J220" t="s">
        <v>1130</v>
      </c>
      <c r="K220" t="s">
        <v>592</v>
      </c>
      <c r="L220" s="53">
        <f t="shared" si="6"/>
        <v>3.9666666666666668</v>
      </c>
      <c r="M220" s="19">
        <f t="shared" si="7"/>
        <v>119</v>
      </c>
      <c r="N220" t="str">
        <f ca="1">IF(TRIM(SUBSTITUTE($B220,CHAR(160)," "))="","",IFERROR(IF(ISNUMBER(SEARCH("INC",$B220)),"INC",IF(ISNUMBER(SEARCH("OPI",$B220)),"OPI",IF(ISNUMBER(SEARCH("DP",$B220)),"DP","CONC")))&amp;" "&amp;TEXT(LOOKUP(9.99E+307,--MID(SUBSTITUTE($B220,CHAR(160)," "),SUMPRODUCT(MIN(FIND({0,1,2,3,4,5,6,7,8,9},SUBSTITUTE($B220,CHAR(160)," ")&amp;"0123456789"))),ROW(INDIRECT("1:6")))),"0"),"SIN NUMERO"))</f>
        <v>CONC 2073</v>
      </c>
      <c r="O220" t="str">
        <f ca="1">IF($N220="","",IF(LEFT(UPPER($P220),9)="VERIFICAR","VERIFICAR",IF(AND($H220&lt;&gt;"",COUNTIFS($N$2:$N$1000,$N220,$H$2:$H$1000,$H220)&gt;1),"DUPLICADA",IF(TRIM(IF($A220="","tipo ","")&amp;IF($F220="","fecha de firma ","")&amp;IF($G220="","decisión ","")&amp;IF($H220="","N° resolución ","")&amp;IF($I220="","N° dictamen",""))&lt;&gt;"","INCOMPLETA: "&amp;TRIM(IF($A220="","tipo ","")&amp;IF($F220="","fecha de firma ","")&amp;IF($G220="","decisión ","")&amp;IF($H220="","N° resolución ","")&amp;IF($I220="","N° dictamen","")),IF(LEFT($N220,4)&lt;&gt;"CONC","OK",IF(N($Q220)=0,IF(AND(ISNUMBER($E220),$E220&gt;=DATE(2024,1,1)),"FALTA EN evol_conc","OK"),IF(INDEX(evol_conc!$H:$H,$Q220)&lt;&gt;$F220,"FIRMA DISTINTA EN evol_conc ("&amp;IF(INDEX(evol_conc!$H:$H,$Q220)="","vacía",DAY(INDEX(evol_conc!$H:$H,$Q220))&amp;"/"&amp;MONTH(INDEX(evol_conc!$H:$H,$Q220))&amp;"/"&amp;YEAR(INDEX(evol_conc!$H:$H,$Q220)))&amp;")",IF(INDEX(evol_conc!$G:$G,$Q220)&lt;&gt;$E220,"INGRESO DISTINTO EN evol_conc ("&amp;IF(INDEX(evol_conc!$G:$G,$Q220)="","vacía",DAY(INDEX(evol_conc!$G:$G,$Q220))&amp;"/"&amp;MONTH(INDEX(evol_conc!$G:$G,$Q220))&amp;"/"&amp;YEAR(INDEX(evol_conc!$G:$G,$Q220)))&amp;")","OK"))))))))</f>
        <v>OK</v>
      </c>
      <c r="Q220">
        <f ca="1">IF($N220="","",IFERROR(MATCH($N220,evol_conc!$P:$P,0),0))</f>
        <v>151</v>
      </c>
    </row>
    <row r="221" spans="1:17" ht="18" customHeight="1" x14ac:dyDescent="0.25">
      <c r="A221" t="s">
        <v>624</v>
      </c>
      <c r="B221" t="s">
        <v>1571</v>
      </c>
      <c r="D221" t="s">
        <v>1572</v>
      </c>
      <c r="E221" s="16">
        <v>46000</v>
      </c>
      <c r="F221" s="16">
        <v>46112</v>
      </c>
      <c r="G221" t="s">
        <v>1313</v>
      </c>
      <c r="H221" t="s">
        <v>1573</v>
      </c>
      <c r="I221" t="s">
        <v>1574</v>
      </c>
      <c r="J221" t="s">
        <v>1130</v>
      </c>
      <c r="K221" t="s">
        <v>592</v>
      </c>
      <c r="L221" s="53">
        <f t="shared" si="6"/>
        <v>3.7333333333333334</v>
      </c>
      <c r="M221" s="19">
        <f t="shared" si="7"/>
        <v>112</v>
      </c>
      <c r="N221" t="str">
        <f ca="1">IF(TRIM(SUBSTITUTE($B221,CHAR(160)," "))="","",IFERROR(IF(ISNUMBER(SEARCH("INC",$B221)),"INC",IF(ISNUMBER(SEARCH("OPI",$B221)),"OPI",IF(ISNUMBER(SEARCH("DP",$B221)),"DP","CONC")))&amp;" "&amp;TEXT(LOOKUP(9.99E+307,--MID(SUBSTITUTE($B221,CHAR(160)," "),SUMPRODUCT(MIN(FIND({0,1,2,3,4,5,6,7,8,9},SUBSTITUTE($B221,CHAR(160)," ")&amp;"0123456789"))),ROW(INDIRECT("1:6")))),"0"),"SIN NUMERO"))</f>
        <v>CONC 2077</v>
      </c>
      <c r="O221" t="str">
        <f ca="1">IF($N221="","",IF(LEFT(UPPER($P221),9)="VERIFICAR","VERIFICAR",IF(AND($H221&lt;&gt;"",COUNTIFS($N$2:$N$1000,$N221,$H$2:$H$1000,$H221)&gt;1),"DUPLICADA",IF(TRIM(IF($A221="","tipo ","")&amp;IF($F221="","fecha de firma ","")&amp;IF($G221="","decisión ","")&amp;IF($H221="","N° resolución ","")&amp;IF($I221="","N° dictamen",""))&lt;&gt;"","INCOMPLETA: "&amp;TRIM(IF($A221="","tipo ","")&amp;IF($F221="","fecha de firma ","")&amp;IF($G221="","decisión ","")&amp;IF($H221="","N° resolución ","")&amp;IF($I221="","N° dictamen","")),IF(LEFT($N221,4)&lt;&gt;"CONC","OK",IF(N($Q221)=0,IF(AND(ISNUMBER($E221),$E221&gt;=DATE(2024,1,1)),"FALTA EN evol_conc","OK"),IF(INDEX(evol_conc!$H:$H,$Q221)&lt;&gt;$F221,"FIRMA DISTINTA EN evol_conc ("&amp;IF(INDEX(evol_conc!$H:$H,$Q221)="","vacía",DAY(INDEX(evol_conc!$H:$H,$Q221))&amp;"/"&amp;MONTH(INDEX(evol_conc!$H:$H,$Q221))&amp;"/"&amp;YEAR(INDEX(evol_conc!$H:$H,$Q221)))&amp;")",IF(INDEX(evol_conc!$G:$G,$Q221)&lt;&gt;$E221,"INGRESO DISTINTO EN evol_conc ("&amp;IF(INDEX(evol_conc!$G:$G,$Q221)="","vacía",DAY(INDEX(evol_conc!$G:$G,$Q221))&amp;"/"&amp;MONTH(INDEX(evol_conc!$G:$G,$Q221))&amp;"/"&amp;YEAR(INDEX(evol_conc!$G:$G,$Q221)))&amp;")","OK"))))))))</f>
        <v>OK</v>
      </c>
      <c r="Q221">
        <f ca="1">IF($N221="","",IFERROR(MATCH($N221,evol_conc!$P:$P,0),0))</f>
        <v>155</v>
      </c>
    </row>
    <row r="222" spans="1:17" ht="18" customHeight="1" x14ac:dyDescent="0.25">
      <c r="A222" t="s">
        <v>547</v>
      </c>
      <c r="B222" t="s">
        <v>1575</v>
      </c>
      <c r="D222" t="s">
        <v>1576</v>
      </c>
      <c r="E222" s="16">
        <v>44180</v>
      </c>
      <c r="F222" s="16">
        <v>46120</v>
      </c>
      <c r="G222" t="s">
        <v>1577</v>
      </c>
      <c r="H222" t="s">
        <v>1578</v>
      </c>
      <c r="I222" t="s">
        <v>1579</v>
      </c>
      <c r="J222" t="s">
        <v>1580</v>
      </c>
      <c r="L222" s="53">
        <f t="shared" si="6"/>
        <v>64.666666666666671</v>
      </c>
      <c r="M222" s="19">
        <f t="shared" si="7"/>
        <v>1940</v>
      </c>
      <c r="N222" t="str">
        <f ca="1">IF(TRIM(SUBSTITUTE($B222,CHAR(160)," "))="","",IFERROR(IF(ISNUMBER(SEARCH("INC",$B222)),"INC",IF(ISNUMBER(SEARCH("OPI",$B222)),"OPI",IF(ISNUMBER(SEARCH("DP",$B222)),"DP","CONC")))&amp;" "&amp;TEXT(LOOKUP(9.99E+307,--MID(SUBSTITUTE($B222,CHAR(160)," "),SUMPRODUCT(MIN(FIND({0,1,2,3,4,5,6,7,8,9},SUBSTITUTE($B222,CHAR(160)," ")&amp;"0123456789"))),ROW(INDIRECT("1:6")))),"0"),"SIN NUMERO"))</f>
        <v>CONC 1780</v>
      </c>
      <c r="O222" t="str">
        <f ca="1">IF($N222="","",IF(LEFT(UPPER($P222),9)="VERIFICAR","VERIFICAR",IF(AND($H222&lt;&gt;"",COUNTIFS($N$2:$N$1000,$N222,$H$2:$H$1000,$H222)&gt;1),"DUPLICADA",IF(TRIM(IF($A222="","tipo ","")&amp;IF($F222="","fecha de firma ","")&amp;IF($G222="","decisión ","")&amp;IF($H222="","N° resolución ","")&amp;IF($I222="","N° dictamen",""))&lt;&gt;"","INCOMPLETA: "&amp;TRIM(IF($A222="","tipo ","")&amp;IF($F222="","fecha de firma ","")&amp;IF($G222="","decisión ","")&amp;IF($H222="","N° resolución ","")&amp;IF($I222="","N° dictamen","")),IF(LEFT($N222,4)&lt;&gt;"CONC","OK",IF(N($Q222)=0,IF(AND(ISNUMBER($E222),$E222&gt;=DATE(2024,1,1)),"FALTA EN evol_conc","OK"),IF(INDEX(evol_conc!$H:$H,$Q222)&lt;&gt;$F222,"FIRMA DISTINTA EN evol_conc ("&amp;IF(INDEX(evol_conc!$H:$H,$Q222)="","vacía",DAY(INDEX(evol_conc!$H:$H,$Q222))&amp;"/"&amp;MONTH(INDEX(evol_conc!$H:$H,$Q222))&amp;"/"&amp;YEAR(INDEX(evol_conc!$H:$H,$Q222)))&amp;")",IF(INDEX(evol_conc!$G:$G,$Q222)&lt;&gt;$E222,"INGRESO DISTINTO EN evol_conc ("&amp;IF(INDEX(evol_conc!$G:$G,$Q222)="","vacía",DAY(INDEX(evol_conc!$G:$G,$Q222))&amp;"/"&amp;MONTH(INDEX(evol_conc!$G:$G,$Q222))&amp;"/"&amp;YEAR(INDEX(evol_conc!$G:$G,$Q222)))&amp;")","OK"))))))))</f>
        <v>OK</v>
      </c>
      <c r="Q222">
        <f ca="1">IF($N222="","",IFERROR(MATCH($N222,evol_conc!$P:$P,0),0))</f>
        <v>23</v>
      </c>
    </row>
    <row r="223" spans="1:17" ht="18" customHeight="1" x14ac:dyDescent="0.25">
      <c r="A223" t="s">
        <v>547</v>
      </c>
      <c r="B223" t="s">
        <v>1581</v>
      </c>
      <c r="D223" t="s">
        <v>1582</v>
      </c>
      <c r="E223" s="16">
        <v>45448</v>
      </c>
      <c r="F223" s="16">
        <v>46120</v>
      </c>
      <c r="G223" t="s">
        <v>1413</v>
      </c>
      <c r="H223" t="s">
        <v>1583</v>
      </c>
      <c r="I223" t="s">
        <v>1584</v>
      </c>
      <c r="J223" t="s">
        <v>1585</v>
      </c>
      <c r="K223" t="s">
        <v>560</v>
      </c>
      <c r="L223" s="53">
        <f t="shared" si="6"/>
        <v>22.4</v>
      </c>
      <c r="M223" s="19">
        <f t="shared" si="7"/>
        <v>672</v>
      </c>
      <c r="N223" t="str">
        <f ca="1">IF(TRIM(SUBSTITUTE($B223,CHAR(160)," "))="","",IFERROR(IF(ISNUMBER(SEARCH("INC",$B223)),"INC",IF(ISNUMBER(SEARCH("OPI",$B223)),"OPI",IF(ISNUMBER(SEARCH("DP",$B223)),"DP","CONC")))&amp;" "&amp;TEXT(LOOKUP(9.99E+307,--MID(SUBSTITUTE($B223,CHAR(160)," "),SUMPRODUCT(MIN(FIND({0,1,2,3,4,5,6,7,8,9},SUBSTITUTE($B223,CHAR(160)," ")&amp;"0123456789"))),ROW(INDIRECT("1:6")))),"0"),"SIN NUMERO"))</f>
        <v>CONC 1979</v>
      </c>
      <c r="O223" t="str">
        <f ca="1">IF($N223="","",IF(LEFT(UPPER($P223),9)="VERIFICAR","VERIFICAR",IF(AND($H223&lt;&gt;"",COUNTIFS($N$2:$N$1000,$N223,$H$2:$H$1000,$H223)&gt;1),"DUPLICADA",IF(TRIM(IF($A223="","tipo ","")&amp;IF($F223="","fecha de firma ","")&amp;IF($G223="","decisión ","")&amp;IF($H223="","N° resolución ","")&amp;IF($I223="","N° dictamen",""))&lt;&gt;"","INCOMPLETA: "&amp;TRIM(IF($A223="","tipo ","")&amp;IF($F223="","fecha de firma ","")&amp;IF($G223="","decisión ","")&amp;IF($H223="","N° resolución ","")&amp;IF($I223="","N° dictamen","")),IF(LEFT($N223,4)&lt;&gt;"CONC","OK",IF(N($Q223)=0,IF(AND(ISNUMBER($E223),$E223&gt;=DATE(2024,1,1)),"FALTA EN evol_conc","OK"),IF(INDEX(evol_conc!$H:$H,$Q223)&lt;&gt;$F223,"FIRMA DISTINTA EN evol_conc ("&amp;IF(INDEX(evol_conc!$H:$H,$Q223)="","vacía",DAY(INDEX(evol_conc!$H:$H,$Q223))&amp;"/"&amp;MONTH(INDEX(evol_conc!$H:$H,$Q223))&amp;"/"&amp;YEAR(INDEX(evol_conc!$H:$H,$Q223)))&amp;")",IF(INDEX(evol_conc!$G:$G,$Q223)&lt;&gt;$E223,"INGRESO DISTINTO EN evol_conc ("&amp;IF(INDEX(evol_conc!$G:$G,$Q223)="","vacía",DAY(INDEX(evol_conc!$G:$G,$Q223))&amp;"/"&amp;MONTH(INDEX(evol_conc!$G:$G,$Q223))&amp;"/"&amp;YEAR(INDEX(evol_conc!$G:$G,$Q223)))&amp;")","OK"))))))))</f>
        <v>OK</v>
      </c>
      <c r="Q223">
        <f ca="1">IF($N223="","",IFERROR(MATCH($N223,evol_conc!$P:$P,0),0))</f>
        <v>55</v>
      </c>
    </row>
    <row r="224" spans="1:17" ht="18" customHeight="1" x14ac:dyDescent="0.25">
      <c r="A224" t="s">
        <v>547</v>
      </c>
      <c r="B224" t="s">
        <v>1586</v>
      </c>
      <c r="D224" t="s">
        <v>1587</v>
      </c>
      <c r="E224" s="16">
        <v>44789</v>
      </c>
      <c r="F224" s="16">
        <v>46122</v>
      </c>
      <c r="G224" t="s">
        <v>1413</v>
      </c>
      <c r="H224" t="s">
        <v>1588</v>
      </c>
      <c r="I224" t="s">
        <v>1589</v>
      </c>
      <c r="J224" t="s">
        <v>1580</v>
      </c>
      <c r="K224" t="s">
        <v>581</v>
      </c>
      <c r="L224" s="53">
        <f t="shared" si="6"/>
        <v>44.43333333333333</v>
      </c>
      <c r="M224" s="19">
        <f t="shared" si="7"/>
        <v>1333</v>
      </c>
      <c r="N224" t="str">
        <f ca="1">IF(TRIM(SUBSTITUTE($B224,CHAR(160)," "))="","",IFERROR(IF(ISNUMBER(SEARCH("INC",$B224)),"INC",IF(ISNUMBER(SEARCH("OPI",$B224)),"OPI",IF(ISNUMBER(SEARCH("DP",$B224)),"DP","CONC")))&amp;" "&amp;TEXT(LOOKUP(9.99E+307,--MID(SUBSTITUTE($B224,CHAR(160)," "),SUMPRODUCT(MIN(FIND({0,1,2,3,4,5,6,7,8,9},SUBSTITUTE($B224,CHAR(160)," ")&amp;"0123456789"))),ROW(INDIRECT("1:6")))),"0"),"SIN NUMERO"))</f>
        <v>CONC 1864</v>
      </c>
      <c r="O224" t="str">
        <f ca="1">IF($N224="","",IF(LEFT(UPPER($P224),9)="VERIFICAR","VERIFICAR",IF(AND($H224&lt;&gt;"",COUNTIFS($N$2:$N$1000,$N224,$H$2:$H$1000,$H224)&gt;1),"DUPLICADA",IF(TRIM(IF($A224="","tipo ","")&amp;IF($F224="","fecha de firma ","")&amp;IF($G224="","decisión ","")&amp;IF($H224="","N° resolución ","")&amp;IF($I224="","N° dictamen",""))&lt;&gt;"","INCOMPLETA: "&amp;TRIM(IF($A224="","tipo ","")&amp;IF($F224="","fecha de firma ","")&amp;IF($G224="","decisión ","")&amp;IF($H224="","N° resolución ","")&amp;IF($I224="","N° dictamen","")),IF(LEFT($N224,4)&lt;&gt;"CONC","OK",IF(N($Q224)=0,IF(AND(ISNUMBER($E224),$E224&gt;=DATE(2024,1,1)),"FALTA EN evol_conc","OK"),IF(INDEX(evol_conc!$H:$H,$Q224)&lt;&gt;$F224,"FIRMA DISTINTA EN evol_conc ("&amp;IF(INDEX(evol_conc!$H:$H,$Q224)="","vacía",DAY(INDEX(evol_conc!$H:$H,$Q224))&amp;"/"&amp;MONTH(INDEX(evol_conc!$H:$H,$Q224))&amp;"/"&amp;YEAR(INDEX(evol_conc!$H:$H,$Q224)))&amp;")",IF(INDEX(evol_conc!$G:$G,$Q224)&lt;&gt;$E224,"INGRESO DISTINTO EN evol_conc ("&amp;IF(INDEX(evol_conc!$G:$G,$Q224)="","vacía",DAY(INDEX(evol_conc!$G:$G,$Q224))&amp;"/"&amp;MONTH(INDEX(evol_conc!$G:$G,$Q224))&amp;"/"&amp;YEAR(INDEX(evol_conc!$G:$G,$Q224)))&amp;")","OK"))))))))</f>
        <v>OK</v>
      </c>
      <c r="Q224">
        <f ca="1">IF($N224="","",IFERROR(MATCH($N224,evol_conc!$P:$P,0),0))</f>
        <v>30</v>
      </c>
    </row>
    <row r="225" spans="1:17" ht="18" customHeight="1" x14ac:dyDescent="0.25">
      <c r="A225" t="s">
        <v>624</v>
      </c>
      <c r="B225" t="s">
        <v>1590</v>
      </c>
      <c r="D225" t="s">
        <v>1591</v>
      </c>
      <c r="E225" s="16">
        <v>45996</v>
      </c>
      <c r="F225" s="16">
        <v>46122</v>
      </c>
      <c r="G225" t="s">
        <v>1413</v>
      </c>
      <c r="H225" t="s">
        <v>1592</v>
      </c>
      <c r="I225" t="s">
        <v>1593</v>
      </c>
      <c r="J225" t="s">
        <v>1594</v>
      </c>
      <c r="K225" t="s">
        <v>554</v>
      </c>
      <c r="L225" s="53">
        <f t="shared" si="6"/>
        <v>4.2</v>
      </c>
      <c r="M225" s="19">
        <f t="shared" si="7"/>
        <v>126</v>
      </c>
      <c r="N225" t="str">
        <f ca="1">IF(TRIM(SUBSTITUTE($B225,CHAR(160)," "))="","",IFERROR(IF(ISNUMBER(SEARCH("INC",$B225)),"INC",IF(ISNUMBER(SEARCH("OPI",$B225)),"OPI",IF(ISNUMBER(SEARCH("DP",$B225)),"DP","CONC")))&amp;" "&amp;TEXT(LOOKUP(9.99E+307,--MID(SUBSTITUTE($B225,CHAR(160)," "),SUMPRODUCT(MIN(FIND({0,1,2,3,4,5,6,7,8,9},SUBSTITUTE($B225,CHAR(160)," ")&amp;"0123456789"))),ROW(INDIRECT("1:6")))),"0"),"SIN NUMERO"))</f>
        <v>CONC 2075</v>
      </c>
      <c r="O225" t="str">
        <f ca="1">IF($N225="","",IF(LEFT(UPPER($P225),9)="VERIFICAR","VERIFICAR",IF(AND($H225&lt;&gt;"",COUNTIFS($N$2:$N$1000,$N225,$H$2:$H$1000,$H225)&gt;1),"DUPLICADA",IF(TRIM(IF($A225="","tipo ","")&amp;IF($F225="","fecha de firma ","")&amp;IF($G225="","decisión ","")&amp;IF($H225="","N° resolución ","")&amp;IF($I225="","N° dictamen",""))&lt;&gt;"","INCOMPLETA: "&amp;TRIM(IF($A225="","tipo ","")&amp;IF($F225="","fecha de firma ","")&amp;IF($G225="","decisión ","")&amp;IF($H225="","N° resolución ","")&amp;IF($I225="","N° dictamen","")),IF(LEFT($N225,4)&lt;&gt;"CONC","OK",IF(N($Q225)=0,IF(AND(ISNUMBER($E225),$E225&gt;=DATE(2024,1,1)),"FALTA EN evol_conc","OK"),IF(INDEX(evol_conc!$H:$H,$Q225)&lt;&gt;$F225,"FIRMA DISTINTA EN evol_conc ("&amp;IF(INDEX(evol_conc!$H:$H,$Q225)="","vacía",DAY(INDEX(evol_conc!$H:$H,$Q225))&amp;"/"&amp;MONTH(INDEX(evol_conc!$H:$H,$Q225))&amp;"/"&amp;YEAR(INDEX(evol_conc!$H:$H,$Q225)))&amp;")",IF(INDEX(evol_conc!$G:$G,$Q225)&lt;&gt;$E225,"INGRESO DISTINTO EN evol_conc ("&amp;IF(INDEX(evol_conc!$G:$G,$Q225)="","vacía",DAY(INDEX(evol_conc!$G:$G,$Q225))&amp;"/"&amp;MONTH(INDEX(evol_conc!$G:$G,$Q225))&amp;"/"&amp;YEAR(INDEX(evol_conc!$G:$G,$Q225)))&amp;")","OK"))))))))</f>
        <v>VERIFICAR</v>
      </c>
      <c r="P225" t="s">
        <v>1595</v>
      </c>
      <c r="Q225">
        <f ca="1">IF($N225="","",IFERROR(MATCH($N225,evol_conc!$P:$P,0),0))</f>
        <v>154</v>
      </c>
    </row>
    <row r="226" spans="1:17" ht="18" customHeight="1" x14ac:dyDescent="0.25">
      <c r="A226" t="s">
        <v>624</v>
      </c>
      <c r="B226" t="s">
        <v>1596</v>
      </c>
      <c r="D226" t="s">
        <v>1597</v>
      </c>
      <c r="E226" s="16">
        <v>45883</v>
      </c>
      <c r="F226" s="16">
        <v>46128</v>
      </c>
      <c r="G226" t="s">
        <v>1598</v>
      </c>
      <c r="H226" t="s">
        <v>1599</v>
      </c>
      <c r="I226" t="s">
        <v>1600</v>
      </c>
      <c r="J226" t="s">
        <v>1601</v>
      </c>
      <c r="K226" t="s">
        <v>581</v>
      </c>
      <c r="L226" s="53">
        <f t="shared" si="6"/>
        <v>8.1666666666666661</v>
      </c>
      <c r="M226" s="19">
        <f t="shared" si="7"/>
        <v>245</v>
      </c>
      <c r="N226" t="str">
        <f ca="1">IF(TRIM(SUBSTITUTE($B226,CHAR(160)," "))="","",IFERROR(IF(ISNUMBER(SEARCH("INC",$B226)),"INC",IF(ISNUMBER(SEARCH("OPI",$B226)),"OPI",IF(ISNUMBER(SEARCH("DP",$B226)),"DP","CONC")))&amp;" "&amp;TEXT(LOOKUP(9.99E+307,--MID(SUBSTITUTE($B226,CHAR(160)," "),SUMPRODUCT(MIN(FIND({0,1,2,3,4,5,6,7,8,9},SUBSTITUTE($B226,CHAR(160)," ")&amp;"0123456789"))),ROW(INDIRECT("1:6")))),"0"),"SIN NUMERO"))</f>
        <v>CONC 2052</v>
      </c>
      <c r="O226" t="str">
        <f ca="1">IF($N226="","",IF(LEFT(UPPER($P226),9)="VERIFICAR","VERIFICAR",IF(AND($H226&lt;&gt;"",COUNTIFS($N$2:$N$1000,$N226,$H$2:$H$1000,$H226)&gt;1),"DUPLICADA",IF(TRIM(IF($A226="","tipo ","")&amp;IF($F226="","fecha de firma ","")&amp;IF($G226="","decisión ","")&amp;IF($H226="","N° resolución ","")&amp;IF($I226="","N° dictamen",""))&lt;&gt;"","INCOMPLETA: "&amp;TRIM(IF($A226="","tipo ","")&amp;IF($F226="","fecha de firma ","")&amp;IF($G226="","decisión ","")&amp;IF($H226="","N° resolución ","")&amp;IF($I226="","N° dictamen","")),IF(LEFT($N226,4)&lt;&gt;"CONC","OK",IF(N($Q226)=0,IF(AND(ISNUMBER($E226),$E226&gt;=DATE(2024,1,1)),"FALTA EN evol_conc","OK"),IF(INDEX(evol_conc!$H:$H,$Q226)&lt;&gt;$F226,"FIRMA DISTINTA EN evol_conc ("&amp;IF(INDEX(evol_conc!$H:$H,$Q226)="","vacía",DAY(INDEX(evol_conc!$H:$H,$Q226))&amp;"/"&amp;MONTH(INDEX(evol_conc!$H:$H,$Q226))&amp;"/"&amp;YEAR(INDEX(evol_conc!$H:$H,$Q226)))&amp;")",IF(INDEX(evol_conc!$G:$G,$Q226)&lt;&gt;$E226,"INGRESO DISTINTO EN evol_conc ("&amp;IF(INDEX(evol_conc!$G:$G,$Q226)="","vacía",DAY(INDEX(evol_conc!$G:$G,$Q226))&amp;"/"&amp;MONTH(INDEX(evol_conc!$G:$G,$Q226))&amp;"/"&amp;YEAR(INDEX(evol_conc!$G:$G,$Q226)))&amp;")","OK"))))))))</f>
        <v>OK</v>
      </c>
      <c r="Q226">
        <f ca="1">IF($N226="","",IFERROR(MATCH($N226,evol_conc!$P:$P,0),0))</f>
        <v>130</v>
      </c>
    </row>
    <row r="227" spans="1:17" ht="18" customHeight="1" x14ac:dyDescent="0.25">
      <c r="A227" t="s">
        <v>547</v>
      </c>
      <c r="B227" t="s">
        <v>1602</v>
      </c>
      <c r="D227" t="s">
        <v>1603</v>
      </c>
      <c r="E227" s="16">
        <v>45909</v>
      </c>
      <c r="F227" s="16">
        <v>46128</v>
      </c>
      <c r="G227" t="s">
        <v>1604</v>
      </c>
      <c r="H227" t="s">
        <v>1605</v>
      </c>
      <c r="I227" t="s">
        <v>1606</v>
      </c>
      <c r="J227" t="s">
        <v>1607</v>
      </c>
      <c r="K227" t="s">
        <v>660</v>
      </c>
      <c r="L227" s="53">
        <f t="shared" si="6"/>
        <v>7.3</v>
      </c>
      <c r="M227" s="19">
        <f t="shared" si="7"/>
        <v>219</v>
      </c>
      <c r="N227" t="str">
        <f ca="1">IF(TRIM(SUBSTITUTE($B227,CHAR(160)," "))="","",IFERROR(IF(ISNUMBER(SEARCH("INC",$B227)),"INC",IF(ISNUMBER(SEARCH("OPI",$B227)),"OPI",IF(ISNUMBER(SEARCH("DP",$B227)),"DP","CONC")))&amp;" "&amp;TEXT(LOOKUP(9.99E+307,--MID(SUBSTITUTE($B227,CHAR(160)," "),SUMPRODUCT(MIN(FIND({0,1,2,3,4,5,6,7,8,9},SUBSTITUTE($B227,CHAR(160)," ")&amp;"0123456789"))),ROW(INDIRECT("1:6")))),"0"),"SIN NUMERO"))</f>
        <v>CONC 2057</v>
      </c>
      <c r="O227" t="str">
        <f ca="1">IF($N227="","",IF(LEFT(UPPER($P227),9)="VERIFICAR","VERIFICAR",IF(AND($H227&lt;&gt;"",COUNTIFS($N$2:$N$1000,$N227,$H$2:$H$1000,$H227)&gt;1),"DUPLICADA",IF(TRIM(IF($A227="","tipo ","")&amp;IF($F227="","fecha de firma ","")&amp;IF($G227="","decisión ","")&amp;IF($H227="","N° resolución ","")&amp;IF($I227="","N° dictamen",""))&lt;&gt;"","INCOMPLETA: "&amp;TRIM(IF($A227="","tipo ","")&amp;IF($F227="","fecha de firma ","")&amp;IF($G227="","decisión ","")&amp;IF($H227="","N° resolución ","")&amp;IF($I227="","N° dictamen","")),IF(LEFT($N227,4)&lt;&gt;"CONC","OK",IF(N($Q227)=0,IF(AND(ISNUMBER($E227),$E227&gt;=DATE(2024,1,1)),"FALTA EN evol_conc","OK"),IF(INDEX(evol_conc!$H:$H,$Q227)&lt;&gt;$F227,"FIRMA DISTINTA EN evol_conc ("&amp;IF(INDEX(evol_conc!$H:$H,$Q227)="","vacía",DAY(INDEX(evol_conc!$H:$H,$Q227))&amp;"/"&amp;MONTH(INDEX(evol_conc!$H:$H,$Q227))&amp;"/"&amp;YEAR(INDEX(evol_conc!$H:$H,$Q227)))&amp;")",IF(INDEX(evol_conc!$G:$G,$Q227)&lt;&gt;$E227,"INGRESO DISTINTO EN evol_conc ("&amp;IF(INDEX(evol_conc!$G:$G,$Q227)="","vacía",DAY(INDEX(evol_conc!$G:$G,$Q227))&amp;"/"&amp;MONTH(INDEX(evol_conc!$G:$G,$Q227))&amp;"/"&amp;YEAR(INDEX(evol_conc!$G:$G,$Q227)))&amp;")","OK"))))))))</f>
        <v>OK</v>
      </c>
      <c r="Q227">
        <f ca="1">IF($N227="","",IFERROR(MATCH($N227,evol_conc!$P:$P,0),0))</f>
        <v>135</v>
      </c>
    </row>
    <row r="228" spans="1:17" ht="18" customHeight="1" x14ac:dyDescent="0.25">
      <c r="A228" t="s">
        <v>624</v>
      </c>
      <c r="B228" t="s">
        <v>1608</v>
      </c>
      <c r="D228" t="s">
        <v>1609</v>
      </c>
      <c r="E228" s="16">
        <v>45925</v>
      </c>
      <c r="F228" s="16">
        <v>46128</v>
      </c>
      <c r="G228" t="s">
        <v>1598</v>
      </c>
      <c r="H228" t="s">
        <v>1610</v>
      </c>
      <c r="I228" t="s">
        <v>1611</v>
      </c>
      <c r="J228" t="s">
        <v>1612</v>
      </c>
      <c r="K228" t="s">
        <v>592</v>
      </c>
      <c r="L228" s="53">
        <f t="shared" si="6"/>
        <v>6.7666666666666666</v>
      </c>
      <c r="M228" s="19">
        <f t="shared" si="7"/>
        <v>203</v>
      </c>
      <c r="N228" t="str">
        <f ca="1">IF(TRIM(SUBSTITUTE($B228,CHAR(160)," "))="","",IFERROR(IF(ISNUMBER(SEARCH("INC",$B228)),"INC",IF(ISNUMBER(SEARCH("OPI",$B228)),"OPI",IF(ISNUMBER(SEARCH("DP",$B228)),"DP","CONC")))&amp;" "&amp;TEXT(LOOKUP(9.99E+307,--MID(SUBSTITUTE($B228,CHAR(160)," "),SUMPRODUCT(MIN(FIND({0,1,2,3,4,5,6,7,8,9},SUBSTITUTE($B228,CHAR(160)," ")&amp;"0123456789"))),ROW(INDIRECT("1:6")))),"0"),"SIN NUMERO"))</f>
        <v>CONC 2061</v>
      </c>
      <c r="O228" t="str">
        <f ca="1">IF($N228="","",IF(LEFT(UPPER($P228),9)="VERIFICAR","VERIFICAR",IF(AND($H228&lt;&gt;"",COUNTIFS($N$2:$N$1000,$N228,$H$2:$H$1000,$H228)&gt;1),"DUPLICADA",IF(TRIM(IF($A228="","tipo ","")&amp;IF($F228="","fecha de firma ","")&amp;IF($G228="","decisión ","")&amp;IF($H228="","N° resolución ","")&amp;IF($I228="","N° dictamen",""))&lt;&gt;"","INCOMPLETA: "&amp;TRIM(IF($A228="","tipo ","")&amp;IF($F228="","fecha de firma ","")&amp;IF($G228="","decisión ","")&amp;IF($H228="","N° resolución ","")&amp;IF($I228="","N° dictamen","")),IF(LEFT($N228,4)&lt;&gt;"CONC","OK",IF(N($Q228)=0,IF(AND(ISNUMBER($E228),$E228&gt;=DATE(2024,1,1)),"FALTA EN evol_conc","OK"),IF(INDEX(evol_conc!$H:$H,$Q228)&lt;&gt;$F228,"FIRMA DISTINTA EN evol_conc ("&amp;IF(INDEX(evol_conc!$H:$H,$Q228)="","vacía",DAY(INDEX(evol_conc!$H:$H,$Q228))&amp;"/"&amp;MONTH(INDEX(evol_conc!$H:$H,$Q228))&amp;"/"&amp;YEAR(INDEX(evol_conc!$H:$H,$Q228)))&amp;")",IF(INDEX(evol_conc!$G:$G,$Q228)&lt;&gt;$E228,"INGRESO DISTINTO EN evol_conc ("&amp;IF(INDEX(evol_conc!$G:$G,$Q228)="","vacía",DAY(INDEX(evol_conc!$G:$G,$Q228))&amp;"/"&amp;MONTH(INDEX(evol_conc!$G:$G,$Q228))&amp;"/"&amp;YEAR(INDEX(evol_conc!$G:$G,$Q228)))&amp;")","OK"))))))))</f>
        <v>OK</v>
      </c>
      <c r="Q228">
        <f ca="1">IF($N228="","",IFERROR(MATCH($N228,evol_conc!$P:$P,0),0))</f>
        <v>139</v>
      </c>
    </row>
    <row r="229" spans="1:17" ht="18" customHeight="1" x14ac:dyDescent="0.25">
      <c r="A229" t="s">
        <v>1089</v>
      </c>
      <c r="B229" t="s">
        <v>1613</v>
      </c>
      <c r="D229" t="s">
        <v>1614</v>
      </c>
      <c r="E229" s="16">
        <v>46113</v>
      </c>
      <c r="F229" s="16">
        <v>46128</v>
      </c>
      <c r="H229" t="s">
        <v>1615</v>
      </c>
      <c r="I229" t="s">
        <v>1616</v>
      </c>
      <c r="J229" t="s">
        <v>1617</v>
      </c>
      <c r="L229" s="53">
        <f t="shared" si="6"/>
        <v>0.5</v>
      </c>
      <c r="M229" s="19">
        <f t="shared" si="7"/>
        <v>15</v>
      </c>
      <c r="N229" t="str">
        <f ca="1">IF(TRIM(SUBSTITUTE($B229,CHAR(160)," "))="","",IFERROR(IF(ISNUMBER(SEARCH("INC",$B229)),"INC",IF(ISNUMBER(SEARCH("OPI",$B229)),"OPI",IF(ISNUMBER(SEARCH("DP",$B229)),"DP","CONC")))&amp;" "&amp;TEXT(LOOKUP(9.99E+307,--MID(SUBSTITUTE($B229,CHAR(160)," "),SUMPRODUCT(MIN(FIND({0,1,2,3,4,5,6,7,8,9},SUBSTITUTE($B229,CHAR(160)," ")&amp;"0123456789"))),ROW(INDIRECT("1:6")))),"0"),"SIN NUMERO"))</f>
        <v>OPI 393</v>
      </c>
      <c r="O229" t="str">
        <f ca="1">IF($N229="","",IF(LEFT(UPPER($P229),9)="VERIFICAR","VERIFICAR",IF(AND($H229&lt;&gt;"",COUNTIFS($N$2:$N$1000,$N229,$H$2:$H$1000,$H229)&gt;1),"DUPLICADA",IF(TRIM(IF($A229="","tipo ","")&amp;IF($F229="","fecha de firma ","")&amp;IF($G229="","decisión ","")&amp;IF($H229="","N° resolución ","")&amp;IF($I229="","N° dictamen",""))&lt;&gt;"","INCOMPLETA: "&amp;TRIM(IF($A229="","tipo ","")&amp;IF($F229="","fecha de firma ","")&amp;IF($G229="","decisión ","")&amp;IF($H229="","N° resolución ","")&amp;IF($I229="","N° dictamen","")),IF(LEFT($N229,4)&lt;&gt;"CONC","OK",IF(N($Q229)=0,IF(AND(ISNUMBER($E229),$E229&gt;=DATE(2024,1,1)),"FALTA EN evol_conc","OK"),IF(INDEX(evol_conc!$H:$H,$Q229)&lt;&gt;$F229,"FIRMA DISTINTA EN evol_conc ("&amp;IF(INDEX(evol_conc!$H:$H,$Q229)="","vacía",DAY(INDEX(evol_conc!$H:$H,$Q229))&amp;"/"&amp;MONTH(INDEX(evol_conc!$H:$H,$Q229))&amp;"/"&amp;YEAR(INDEX(evol_conc!$H:$H,$Q229)))&amp;")",IF(INDEX(evol_conc!$G:$G,$Q229)&lt;&gt;$E229,"INGRESO DISTINTO EN evol_conc ("&amp;IF(INDEX(evol_conc!$G:$G,$Q229)="","vacía",DAY(INDEX(evol_conc!$G:$G,$Q229))&amp;"/"&amp;MONTH(INDEX(evol_conc!$G:$G,$Q229))&amp;"/"&amp;YEAR(INDEX(evol_conc!$G:$G,$Q229)))&amp;")","OK"))))))))</f>
        <v>INCOMPLETA: decisión</v>
      </c>
      <c r="Q229">
        <f ca="1">IF($N229="","",IFERROR(MATCH($N229,evol_conc!$P:$P,0),0))</f>
        <v>0</v>
      </c>
    </row>
    <row r="230" spans="1:17" ht="18" customHeight="1" x14ac:dyDescent="0.25">
      <c r="A230" t="s">
        <v>624</v>
      </c>
      <c r="B230" t="s">
        <v>1618</v>
      </c>
      <c r="D230" t="s">
        <v>1619</v>
      </c>
      <c r="E230" s="16">
        <v>46122</v>
      </c>
      <c r="F230" s="16">
        <v>46129</v>
      </c>
      <c r="G230" t="s">
        <v>1598</v>
      </c>
      <c r="H230" t="s">
        <v>1620</v>
      </c>
      <c r="I230" t="s">
        <v>1621</v>
      </c>
      <c r="J230" t="s">
        <v>1622</v>
      </c>
      <c r="K230" t="s">
        <v>581</v>
      </c>
      <c r="L230" s="53">
        <f t="shared" si="6"/>
        <v>0.23333333333333334</v>
      </c>
      <c r="M230" s="19">
        <f t="shared" si="7"/>
        <v>7</v>
      </c>
      <c r="N230" t="str">
        <f ca="1">IF(TRIM(SUBSTITUTE($B230,CHAR(160)," "))="","",IFERROR(IF(ISNUMBER(SEARCH("INC",$B230)),"INC",IF(ISNUMBER(SEARCH("OPI",$B230)),"OPI",IF(ISNUMBER(SEARCH("DP",$B230)),"DP","CONC")))&amp;" "&amp;TEXT(LOOKUP(9.99E+307,--MID(SUBSTITUTE($B230,CHAR(160)," "),SUMPRODUCT(MIN(FIND({0,1,2,3,4,5,6,7,8,9},SUBSTITUTE($B230,CHAR(160)," ")&amp;"0123456789"))),ROW(INDIRECT("1:6")))),"0"),"SIN NUMERO"))</f>
        <v>CONC 2098</v>
      </c>
      <c r="O230" t="str">
        <f ca="1">IF($N230="","",IF(LEFT(UPPER($P230),9)="VERIFICAR","VERIFICAR",IF(AND($H230&lt;&gt;"",COUNTIFS($N$2:$N$1000,$N230,$H$2:$H$1000,$H230)&gt;1),"DUPLICADA",IF(TRIM(IF($A230="","tipo ","")&amp;IF($F230="","fecha de firma ","")&amp;IF($G230="","decisión ","")&amp;IF($H230="","N° resolución ","")&amp;IF($I230="","N° dictamen",""))&lt;&gt;"","INCOMPLETA: "&amp;TRIM(IF($A230="","tipo ","")&amp;IF($F230="","fecha de firma ","")&amp;IF($G230="","decisión ","")&amp;IF($H230="","N° resolución ","")&amp;IF($I230="","N° dictamen","")),IF(LEFT($N230,4)&lt;&gt;"CONC","OK",IF(N($Q230)=0,IF(AND(ISNUMBER($E230),$E230&gt;=DATE(2024,1,1)),"FALTA EN evol_conc","OK"),IF(INDEX(evol_conc!$H:$H,$Q230)&lt;&gt;$F230,"FIRMA DISTINTA EN evol_conc ("&amp;IF(INDEX(evol_conc!$H:$H,$Q230)="","vacía",DAY(INDEX(evol_conc!$H:$H,$Q230))&amp;"/"&amp;MONTH(INDEX(evol_conc!$H:$H,$Q230))&amp;"/"&amp;YEAR(INDEX(evol_conc!$H:$H,$Q230)))&amp;")",IF(INDEX(evol_conc!$G:$G,$Q230)&lt;&gt;$E230,"INGRESO DISTINTO EN evol_conc ("&amp;IF(INDEX(evol_conc!$G:$G,$Q230)="","vacía",DAY(INDEX(evol_conc!$G:$G,$Q230))&amp;"/"&amp;MONTH(INDEX(evol_conc!$G:$G,$Q230))&amp;"/"&amp;YEAR(INDEX(evol_conc!$G:$G,$Q230)))&amp;")","OK"))))))))</f>
        <v>OK</v>
      </c>
      <c r="Q230">
        <f ca="1">IF($N230="","",IFERROR(MATCH($N230,evol_conc!$P:$P,0),0))</f>
        <v>176</v>
      </c>
    </row>
    <row r="231" spans="1:17" ht="18" customHeight="1" x14ac:dyDescent="0.25">
      <c r="A231" t="s">
        <v>547</v>
      </c>
      <c r="B231" t="s">
        <v>1623</v>
      </c>
      <c r="D231" t="s">
        <v>1624</v>
      </c>
      <c r="E231" s="16">
        <v>45994</v>
      </c>
      <c r="F231" s="16">
        <v>46132</v>
      </c>
      <c r="G231" t="s">
        <v>1625</v>
      </c>
      <c r="H231" t="s">
        <v>1626</v>
      </c>
      <c r="I231" t="s">
        <v>1627</v>
      </c>
      <c r="J231" t="s">
        <v>1628</v>
      </c>
      <c r="L231" s="53">
        <f t="shared" si="6"/>
        <v>4.5999999999999996</v>
      </c>
      <c r="M231" s="19">
        <f t="shared" si="7"/>
        <v>138</v>
      </c>
      <c r="N231" t="str">
        <f ca="1">IF(TRIM(SUBSTITUTE($B231,CHAR(160)," "))="","",IFERROR(IF(ISNUMBER(SEARCH("INC",$B231)),"INC",IF(ISNUMBER(SEARCH("OPI",$B231)),"OPI",IF(ISNUMBER(SEARCH("DP",$B231)),"DP","CONC")))&amp;" "&amp;TEXT(LOOKUP(9.99E+307,--MID(SUBSTITUTE($B231,CHAR(160)," "),SUMPRODUCT(MIN(FIND({0,1,2,3,4,5,6,7,8,9},SUBSTITUTE($B231,CHAR(160)," ")&amp;"0123456789"))),ROW(INDIRECT("1:6")))),"0"),"SIN NUMERO"))</f>
        <v>CONC 2074</v>
      </c>
      <c r="O231" t="str">
        <f ca="1">IF($N231="","",IF(LEFT(UPPER($P231),9)="VERIFICAR","VERIFICAR",IF(AND($H231&lt;&gt;"",COUNTIFS($N$2:$N$1000,$N231,$H$2:$H$1000,$H231)&gt;1),"DUPLICADA",IF(TRIM(IF($A231="","tipo ","")&amp;IF($F231="","fecha de firma ","")&amp;IF($G231="","decisión ","")&amp;IF($H231="","N° resolución ","")&amp;IF($I231="","N° dictamen",""))&lt;&gt;"","INCOMPLETA: "&amp;TRIM(IF($A231="","tipo ","")&amp;IF($F231="","fecha de firma ","")&amp;IF($G231="","decisión ","")&amp;IF($H231="","N° resolución ","")&amp;IF($I231="","N° dictamen","")),IF(LEFT($N231,4)&lt;&gt;"CONC","OK",IF(N($Q231)=0,IF(AND(ISNUMBER($E231),$E231&gt;=DATE(2024,1,1)),"FALTA EN evol_conc","OK"),IF(INDEX(evol_conc!$H:$H,$Q231)&lt;&gt;$F231,"FIRMA DISTINTA EN evol_conc ("&amp;IF(INDEX(evol_conc!$H:$H,$Q231)="","vacía",DAY(INDEX(evol_conc!$H:$H,$Q231))&amp;"/"&amp;MONTH(INDEX(evol_conc!$H:$H,$Q231))&amp;"/"&amp;YEAR(INDEX(evol_conc!$H:$H,$Q231)))&amp;")",IF(INDEX(evol_conc!$G:$G,$Q231)&lt;&gt;$E231,"INGRESO DISTINTO EN evol_conc ("&amp;IF(INDEX(evol_conc!$G:$G,$Q231)="","vacía",DAY(INDEX(evol_conc!$G:$G,$Q231))&amp;"/"&amp;MONTH(INDEX(evol_conc!$G:$G,$Q231))&amp;"/"&amp;YEAR(INDEX(evol_conc!$G:$G,$Q231)))&amp;")","OK"))))))))</f>
        <v>OK</v>
      </c>
      <c r="Q231">
        <f ca="1">IF($N231="","",IFERROR(MATCH($N231,evol_conc!$P:$P,0),0))</f>
        <v>152</v>
      </c>
    </row>
    <row r="232" spans="1:17" ht="18" customHeight="1" x14ac:dyDescent="0.25">
      <c r="A232" t="s">
        <v>624</v>
      </c>
      <c r="B232" t="s">
        <v>1629</v>
      </c>
      <c r="D232" t="s">
        <v>1630</v>
      </c>
      <c r="E232" s="16">
        <v>45840</v>
      </c>
      <c r="F232" s="16">
        <v>46134</v>
      </c>
      <c r="G232" t="s">
        <v>1598</v>
      </c>
      <c r="H232" t="s">
        <v>1631</v>
      </c>
      <c r="I232" t="s">
        <v>1632</v>
      </c>
      <c r="J232" t="s">
        <v>1633</v>
      </c>
      <c r="K232" t="s">
        <v>560</v>
      </c>
      <c r="L232" s="53">
        <f t="shared" si="6"/>
        <v>9.8000000000000007</v>
      </c>
      <c r="M232" s="19">
        <f t="shared" si="7"/>
        <v>294</v>
      </c>
      <c r="N232" t="str">
        <f ca="1">IF(TRIM(SUBSTITUTE($B232,CHAR(160)," "))="","",IFERROR(IF(ISNUMBER(SEARCH("INC",$B232)),"INC",IF(ISNUMBER(SEARCH("OPI",$B232)),"OPI",IF(ISNUMBER(SEARCH("DP",$B232)),"DP","CONC")))&amp;" "&amp;TEXT(LOOKUP(9.99E+307,--MID(SUBSTITUTE($B232,CHAR(160)," "),SUMPRODUCT(MIN(FIND({0,1,2,3,4,5,6,7,8,9},SUBSTITUTE($B232,CHAR(160)," ")&amp;"0123456789"))),ROW(INDIRECT("1:6")))),"0"),"SIN NUMERO"))</f>
        <v>CONC 2044</v>
      </c>
      <c r="O232" t="str">
        <f ca="1">IF($N232="","",IF(LEFT(UPPER($P232),9)="VERIFICAR","VERIFICAR",IF(AND($H232&lt;&gt;"",COUNTIFS($N$2:$N$1000,$N232,$H$2:$H$1000,$H232)&gt;1),"DUPLICADA",IF(TRIM(IF($A232="","tipo ","")&amp;IF($F232="","fecha de firma ","")&amp;IF($G232="","decisión ","")&amp;IF($H232="","N° resolución ","")&amp;IF($I232="","N° dictamen",""))&lt;&gt;"","INCOMPLETA: "&amp;TRIM(IF($A232="","tipo ","")&amp;IF($F232="","fecha de firma ","")&amp;IF($G232="","decisión ","")&amp;IF($H232="","N° resolución ","")&amp;IF($I232="","N° dictamen","")),IF(LEFT($N232,4)&lt;&gt;"CONC","OK",IF(N($Q232)=0,IF(AND(ISNUMBER($E232),$E232&gt;=DATE(2024,1,1)),"FALTA EN evol_conc","OK"),IF(INDEX(evol_conc!$H:$H,$Q232)&lt;&gt;$F232,"FIRMA DISTINTA EN evol_conc ("&amp;IF(INDEX(evol_conc!$H:$H,$Q232)="","vacía",DAY(INDEX(evol_conc!$H:$H,$Q232))&amp;"/"&amp;MONTH(INDEX(evol_conc!$H:$H,$Q232))&amp;"/"&amp;YEAR(INDEX(evol_conc!$H:$H,$Q232)))&amp;")",IF(INDEX(evol_conc!$G:$G,$Q232)&lt;&gt;$E232,"INGRESO DISTINTO EN evol_conc ("&amp;IF(INDEX(evol_conc!$G:$G,$Q232)="","vacía",DAY(INDEX(evol_conc!$G:$G,$Q232))&amp;"/"&amp;MONTH(INDEX(evol_conc!$G:$G,$Q232))&amp;"/"&amp;YEAR(INDEX(evol_conc!$G:$G,$Q232)))&amp;")","OK"))))))))</f>
        <v>OK</v>
      </c>
      <c r="Q232">
        <f ca="1">IF($N232="","",IFERROR(MATCH($N232,evol_conc!$P:$P,0),0))</f>
        <v>122</v>
      </c>
    </row>
    <row r="233" spans="1:17" ht="18" customHeight="1" x14ac:dyDescent="0.25">
      <c r="A233" t="s">
        <v>624</v>
      </c>
      <c r="B233" t="s">
        <v>1634</v>
      </c>
      <c r="D233" t="s">
        <v>1635</v>
      </c>
      <c r="E233" s="16">
        <v>46041</v>
      </c>
      <c r="F233" s="16">
        <v>46134</v>
      </c>
      <c r="G233" t="s">
        <v>1598</v>
      </c>
      <c r="H233" t="s">
        <v>1636</v>
      </c>
      <c r="I233" t="s">
        <v>1637</v>
      </c>
      <c r="J233" t="s">
        <v>852</v>
      </c>
      <c r="K233" t="s">
        <v>592</v>
      </c>
      <c r="L233" s="53">
        <f t="shared" si="6"/>
        <v>3.1</v>
      </c>
      <c r="M233" s="19">
        <f t="shared" si="7"/>
        <v>93</v>
      </c>
      <c r="N233" t="str">
        <f ca="1">IF(TRIM(SUBSTITUTE($B233,CHAR(160)," "))="","",IFERROR(IF(ISNUMBER(SEARCH("INC",$B233)),"INC",IF(ISNUMBER(SEARCH("OPI",$B233)),"OPI",IF(ISNUMBER(SEARCH("DP",$B233)),"DP","CONC")))&amp;" "&amp;TEXT(LOOKUP(9.99E+307,--MID(SUBSTITUTE($B233,CHAR(160)," "),SUMPRODUCT(MIN(FIND({0,1,2,3,4,5,6,7,8,9},SUBSTITUTE($B233,CHAR(160)," ")&amp;"0123456789"))),ROW(INDIRECT("1:6")))),"0"),"SIN NUMERO"))</f>
        <v>CONC 2087</v>
      </c>
      <c r="O233" t="str">
        <f ca="1">IF($N233="","",IF(LEFT(UPPER($P233),9)="VERIFICAR","VERIFICAR",IF(AND($H233&lt;&gt;"",COUNTIFS($N$2:$N$1000,$N233,$H$2:$H$1000,$H233)&gt;1),"DUPLICADA",IF(TRIM(IF($A233="","tipo ","")&amp;IF($F233="","fecha de firma ","")&amp;IF($G233="","decisión ","")&amp;IF($H233="","N° resolución ","")&amp;IF($I233="","N° dictamen",""))&lt;&gt;"","INCOMPLETA: "&amp;TRIM(IF($A233="","tipo ","")&amp;IF($F233="","fecha de firma ","")&amp;IF($G233="","decisión ","")&amp;IF($H233="","N° resolución ","")&amp;IF($I233="","N° dictamen","")),IF(LEFT($N233,4)&lt;&gt;"CONC","OK",IF(N($Q233)=0,IF(AND(ISNUMBER($E233),$E233&gt;=DATE(2024,1,1)),"FALTA EN evol_conc","OK"),IF(INDEX(evol_conc!$H:$H,$Q233)&lt;&gt;$F233,"FIRMA DISTINTA EN evol_conc ("&amp;IF(INDEX(evol_conc!$H:$H,$Q233)="","vacía",DAY(INDEX(evol_conc!$H:$H,$Q233))&amp;"/"&amp;MONTH(INDEX(evol_conc!$H:$H,$Q233))&amp;"/"&amp;YEAR(INDEX(evol_conc!$H:$H,$Q233)))&amp;")",IF(INDEX(evol_conc!$G:$G,$Q233)&lt;&gt;$E233,"INGRESO DISTINTO EN evol_conc ("&amp;IF(INDEX(evol_conc!$G:$G,$Q233)="","vacía",DAY(INDEX(evol_conc!$G:$G,$Q233))&amp;"/"&amp;MONTH(INDEX(evol_conc!$G:$G,$Q233))&amp;"/"&amp;YEAR(INDEX(evol_conc!$G:$G,$Q233)))&amp;")","OK"))))))))</f>
        <v>OK</v>
      </c>
      <c r="Q233">
        <f ca="1">IF($N233="","",IFERROR(MATCH($N233,evol_conc!$P:$P,0),0))</f>
        <v>165</v>
      </c>
    </row>
    <row r="234" spans="1:17" ht="18" customHeight="1" x14ac:dyDescent="0.25">
      <c r="A234" t="s">
        <v>624</v>
      </c>
      <c r="B234" t="s">
        <v>1638</v>
      </c>
      <c r="D234" t="s">
        <v>1639</v>
      </c>
      <c r="E234" s="16">
        <v>46020</v>
      </c>
      <c r="F234" s="16">
        <v>46135</v>
      </c>
      <c r="G234" t="s">
        <v>1598</v>
      </c>
      <c r="H234" t="s">
        <v>1640</v>
      </c>
      <c r="I234" t="s">
        <v>1641</v>
      </c>
      <c r="J234" t="s">
        <v>852</v>
      </c>
      <c r="K234" t="s">
        <v>592</v>
      </c>
      <c r="L234" s="53">
        <f t="shared" si="6"/>
        <v>3.8333333333333335</v>
      </c>
      <c r="M234" s="19">
        <f t="shared" si="7"/>
        <v>115</v>
      </c>
      <c r="N234" t="str">
        <f ca="1">IF(TRIM(SUBSTITUTE($B234,CHAR(160)," "))="","",IFERROR(IF(ISNUMBER(SEARCH("INC",$B234)),"INC",IF(ISNUMBER(SEARCH("OPI",$B234)),"OPI",IF(ISNUMBER(SEARCH("DP",$B234)),"DP","CONC")))&amp;" "&amp;TEXT(LOOKUP(9.99E+307,--MID(SUBSTITUTE($B234,CHAR(160)," "),SUMPRODUCT(MIN(FIND({0,1,2,3,4,5,6,7,8,9},SUBSTITUTE($B234,CHAR(160)," ")&amp;"0123456789"))),ROW(INDIRECT("1:6")))),"0"),"SIN NUMERO"))</f>
        <v>CONC 2080</v>
      </c>
      <c r="O234" t="str">
        <f ca="1">IF($N234="","",IF(LEFT(UPPER($P234),9)="VERIFICAR","VERIFICAR",IF(AND($H234&lt;&gt;"",COUNTIFS($N$2:$N$1000,$N234,$H$2:$H$1000,$H234)&gt;1),"DUPLICADA",IF(TRIM(IF($A234="","tipo ","")&amp;IF($F234="","fecha de firma ","")&amp;IF($G234="","decisión ","")&amp;IF($H234="","N° resolución ","")&amp;IF($I234="","N° dictamen",""))&lt;&gt;"","INCOMPLETA: "&amp;TRIM(IF($A234="","tipo ","")&amp;IF($F234="","fecha de firma ","")&amp;IF($G234="","decisión ","")&amp;IF($H234="","N° resolución ","")&amp;IF($I234="","N° dictamen","")),IF(LEFT($N234,4)&lt;&gt;"CONC","OK",IF(N($Q234)=0,IF(AND(ISNUMBER($E234),$E234&gt;=DATE(2024,1,1)),"FALTA EN evol_conc","OK"),IF(INDEX(evol_conc!$H:$H,$Q234)&lt;&gt;$F234,"FIRMA DISTINTA EN evol_conc ("&amp;IF(INDEX(evol_conc!$H:$H,$Q234)="","vacía",DAY(INDEX(evol_conc!$H:$H,$Q234))&amp;"/"&amp;MONTH(INDEX(evol_conc!$H:$H,$Q234))&amp;"/"&amp;YEAR(INDEX(evol_conc!$H:$H,$Q234)))&amp;")",IF(INDEX(evol_conc!$G:$G,$Q234)&lt;&gt;$E234,"INGRESO DISTINTO EN evol_conc ("&amp;IF(INDEX(evol_conc!$G:$G,$Q234)="","vacía",DAY(INDEX(evol_conc!$G:$G,$Q234))&amp;"/"&amp;MONTH(INDEX(evol_conc!$G:$G,$Q234))&amp;"/"&amp;YEAR(INDEX(evol_conc!$G:$G,$Q234)))&amp;")","OK"))))))))</f>
        <v>OK</v>
      </c>
      <c r="Q234">
        <f ca="1">IF($N234="","",IFERROR(MATCH($N234,evol_conc!$P:$P,0),0))</f>
        <v>158</v>
      </c>
    </row>
    <row r="235" spans="1:17" ht="18" customHeight="1" x14ac:dyDescent="0.25">
      <c r="A235" t="s">
        <v>547</v>
      </c>
      <c r="B235" t="s">
        <v>1642</v>
      </c>
      <c r="D235" t="s">
        <v>1643</v>
      </c>
      <c r="E235" s="16">
        <v>45898</v>
      </c>
      <c r="F235" s="16">
        <v>46136</v>
      </c>
      <c r="G235" t="s">
        <v>1551</v>
      </c>
      <c r="H235" t="s">
        <v>1644</v>
      </c>
      <c r="I235" t="s">
        <v>1645</v>
      </c>
      <c r="J235" t="s">
        <v>1646</v>
      </c>
      <c r="K235" t="s">
        <v>1541</v>
      </c>
      <c r="L235" s="53">
        <f t="shared" si="6"/>
        <v>7.9333333333333336</v>
      </c>
      <c r="M235" s="19">
        <f t="shared" si="7"/>
        <v>238</v>
      </c>
      <c r="N235" t="str">
        <f ca="1">IF(TRIM(SUBSTITUTE($B235,CHAR(160)," "))="","",IFERROR(IF(ISNUMBER(SEARCH("INC",$B235)),"INC",IF(ISNUMBER(SEARCH("OPI",$B235)),"OPI",IF(ISNUMBER(SEARCH("DP",$B235)),"DP","CONC")))&amp;" "&amp;TEXT(LOOKUP(9.99E+307,--MID(SUBSTITUTE($B235,CHAR(160)," "),SUMPRODUCT(MIN(FIND({0,1,2,3,4,5,6,7,8,9},SUBSTITUTE($B235,CHAR(160)," ")&amp;"0123456789"))),ROW(INDIRECT("1:6")))),"0"),"SIN NUMERO"))</f>
        <v>CONC 2055</v>
      </c>
      <c r="O235" t="str">
        <f ca="1">IF($N235="","",IF(LEFT(UPPER($P235),9)="VERIFICAR","VERIFICAR",IF(AND($H235&lt;&gt;"",COUNTIFS($N$2:$N$1000,$N235,$H$2:$H$1000,$H235)&gt;1),"DUPLICADA",IF(TRIM(IF($A235="","tipo ","")&amp;IF($F235="","fecha de firma ","")&amp;IF($G235="","decisión ","")&amp;IF($H235="","N° resolución ","")&amp;IF($I235="","N° dictamen",""))&lt;&gt;"","INCOMPLETA: "&amp;TRIM(IF($A235="","tipo ","")&amp;IF($F235="","fecha de firma ","")&amp;IF($G235="","decisión ","")&amp;IF($H235="","N° resolución ","")&amp;IF($I235="","N° dictamen","")),IF(LEFT($N235,4)&lt;&gt;"CONC","OK",IF(N($Q235)=0,IF(AND(ISNUMBER($E235),$E235&gt;=DATE(2024,1,1)),"FALTA EN evol_conc","OK"),IF(INDEX(evol_conc!$H:$H,$Q235)&lt;&gt;$F235,"FIRMA DISTINTA EN evol_conc ("&amp;IF(INDEX(evol_conc!$H:$H,$Q235)="","vacía",DAY(INDEX(evol_conc!$H:$H,$Q235))&amp;"/"&amp;MONTH(INDEX(evol_conc!$H:$H,$Q235))&amp;"/"&amp;YEAR(INDEX(evol_conc!$H:$H,$Q235)))&amp;")",IF(INDEX(evol_conc!$G:$G,$Q235)&lt;&gt;$E235,"INGRESO DISTINTO EN evol_conc ("&amp;IF(INDEX(evol_conc!$G:$G,$Q235)="","vacía",DAY(INDEX(evol_conc!$G:$G,$Q235))&amp;"/"&amp;MONTH(INDEX(evol_conc!$G:$G,$Q235))&amp;"/"&amp;YEAR(INDEX(evol_conc!$G:$G,$Q235)))&amp;")","OK"))))))))</f>
        <v>OK</v>
      </c>
      <c r="Q235">
        <f ca="1">IF($N235="","",IFERROR(MATCH($N235,evol_conc!$P:$P,0),0))</f>
        <v>133</v>
      </c>
    </row>
    <row r="236" spans="1:17" ht="18" customHeight="1" x14ac:dyDescent="0.25">
      <c r="A236" t="s">
        <v>547</v>
      </c>
      <c r="B236" t="s">
        <v>1647</v>
      </c>
      <c r="D236" t="s">
        <v>1648</v>
      </c>
      <c r="E236" s="16">
        <v>45357</v>
      </c>
      <c r="F236" s="16">
        <v>46147</v>
      </c>
      <c r="G236" t="s">
        <v>1551</v>
      </c>
      <c r="H236" t="s">
        <v>1649</v>
      </c>
      <c r="I236" t="s">
        <v>1650</v>
      </c>
      <c r="J236" t="s">
        <v>1651</v>
      </c>
      <c r="K236" t="s">
        <v>560</v>
      </c>
      <c r="L236" s="53">
        <f t="shared" si="6"/>
        <v>26.333333333333332</v>
      </c>
      <c r="M236" s="19">
        <f t="shared" si="7"/>
        <v>790</v>
      </c>
      <c r="N236" t="str">
        <f ca="1">IF(TRIM(SUBSTITUTE($B236,CHAR(160)," "))="","",IFERROR(IF(ISNUMBER(SEARCH("INC",$B236)),"INC",IF(ISNUMBER(SEARCH("OPI",$B236)),"OPI",IF(ISNUMBER(SEARCH("DP",$B236)),"DP","CONC")))&amp;" "&amp;TEXT(LOOKUP(9.99E+307,--MID(SUBSTITUTE($B236,CHAR(160)," "),SUMPRODUCT(MIN(FIND({0,1,2,3,4,5,6,7,8,9},SUBSTITUTE($B236,CHAR(160)," ")&amp;"0123456789"))),ROW(INDIRECT("1:6")))),"0"),"SIN NUMERO"))</f>
        <v>CONC 1961</v>
      </c>
      <c r="O236" t="str">
        <f ca="1">IF($N236="","",IF(LEFT(UPPER($P236),9)="VERIFICAR","VERIFICAR",IF(AND($H236&lt;&gt;"",COUNTIFS($N$2:$N$1000,$N236,$H$2:$H$1000,$H236)&gt;1),"DUPLICADA",IF(TRIM(IF($A236="","tipo ","")&amp;IF($F236="","fecha de firma ","")&amp;IF($G236="","decisión ","")&amp;IF($H236="","N° resolución ","")&amp;IF($I236="","N° dictamen",""))&lt;&gt;"","INCOMPLETA: "&amp;TRIM(IF($A236="","tipo ","")&amp;IF($F236="","fecha de firma ","")&amp;IF($G236="","decisión ","")&amp;IF($H236="","N° resolución ","")&amp;IF($I236="","N° dictamen","")),IF(LEFT($N236,4)&lt;&gt;"CONC","OK",IF(N($Q236)=0,IF(AND(ISNUMBER($E236),$E236&gt;=DATE(2024,1,1)),"FALTA EN evol_conc","OK"),IF(INDEX(evol_conc!$H:$H,$Q236)&lt;&gt;$F236,"FIRMA DISTINTA EN evol_conc ("&amp;IF(INDEX(evol_conc!$H:$H,$Q236)="","vacía",DAY(INDEX(evol_conc!$H:$H,$Q236))&amp;"/"&amp;MONTH(INDEX(evol_conc!$H:$H,$Q236))&amp;"/"&amp;YEAR(INDEX(evol_conc!$H:$H,$Q236)))&amp;")",IF(INDEX(evol_conc!$G:$G,$Q236)&lt;&gt;$E236,"INGRESO DISTINTO EN evol_conc ("&amp;IF(INDEX(evol_conc!$G:$G,$Q236)="","vacía",DAY(INDEX(evol_conc!$G:$G,$Q236))&amp;"/"&amp;MONTH(INDEX(evol_conc!$G:$G,$Q236))&amp;"/"&amp;YEAR(INDEX(evol_conc!$G:$G,$Q236)))&amp;")","OK"))))))))</f>
        <v>OK</v>
      </c>
      <c r="Q236">
        <f ca="1">IF($N236="","",IFERROR(MATCH($N236,evol_conc!$P:$P,0),0))</f>
        <v>39</v>
      </c>
    </row>
    <row r="237" spans="1:17" ht="18" customHeight="1" x14ac:dyDescent="0.25">
      <c r="A237" t="s">
        <v>547</v>
      </c>
      <c r="B237" t="s">
        <v>1652</v>
      </c>
      <c r="D237" t="s">
        <v>1653</v>
      </c>
      <c r="E237" s="16">
        <v>45601</v>
      </c>
      <c r="F237" s="16">
        <v>46147</v>
      </c>
      <c r="G237" t="s">
        <v>1654</v>
      </c>
      <c r="H237" t="s">
        <v>1655</v>
      </c>
      <c r="I237" t="s">
        <v>1656</v>
      </c>
      <c r="J237" t="s">
        <v>1657</v>
      </c>
      <c r="K237" t="s">
        <v>1126</v>
      </c>
      <c r="L237" s="53">
        <f t="shared" si="6"/>
        <v>18.2</v>
      </c>
      <c r="M237" s="19">
        <f t="shared" si="7"/>
        <v>546</v>
      </c>
      <c r="N237" t="str">
        <f ca="1">IF(TRIM(SUBSTITUTE($B237,CHAR(160)," "))="","",IFERROR(IF(ISNUMBER(SEARCH("INC",$B237)),"INC",IF(ISNUMBER(SEARCH("OPI",$B237)),"OPI",IF(ISNUMBER(SEARCH("DP",$B237)),"DP","CONC")))&amp;" "&amp;TEXT(LOOKUP(9.99E+307,--MID(SUBSTITUTE($B237,CHAR(160)," "),SUMPRODUCT(MIN(FIND({0,1,2,3,4,5,6,7,8,9},SUBSTITUTE($B237,CHAR(160)," ")&amp;"0123456789"))),ROW(INDIRECT("1:6")))),"0"),"SIN NUMERO"))</f>
        <v>CONC 2000</v>
      </c>
      <c r="O237" t="str">
        <f ca="1">IF($N237="","",IF(LEFT(UPPER($P237),9)="VERIFICAR","VERIFICAR",IF(AND($H237&lt;&gt;"",COUNTIFS($N$2:$N$1000,$N237,$H$2:$H$1000,$H237)&gt;1),"DUPLICADA",IF(TRIM(IF($A237="","tipo ","")&amp;IF($F237="","fecha de firma ","")&amp;IF($G237="","decisión ","")&amp;IF($H237="","N° resolución ","")&amp;IF($I237="","N° dictamen",""))&lt;&gt;"","INCOMPLETA: "&amp;TRIM(IF($A237="","tipo ","")&amp;IF($F237="","fecha de firma ","")&amp;IF($G237="","decisión ","")&amp;IF($H237="","N° resolución ","")&amp;IF($I237="","N° dictamen","")),IF(LEFT($N237,4)&lt;&gt;"CONC","OK",IF(N($Q237)=0,IF(AND(ISNUMBER($E237),$E237&gt;=DATE(2024,1,1)),"FALTA EN evol_conc","OK"),IF(INDEX(evol_conc!$H:$H,$Q237)&lt;&gt;$F237,"FIRMA DISTINTA EN evol_conc ("&amp;IF(INDEX(evol_conc!$H:$H,$Q237)="","vacía",DAY(INDEX(evol_conc!$H:$H,$Q237))&amp;"/"&amp;MONTH(INDEX(evol_conc!$H:$H,$Q237))&amp;"/"&amp;YEAR(INDEX(evol_conc!$H:$H,$Q237)))&amp;")",IF(INDEX(evol_conc!$G:$G,$Q237)&lt;&gt;$E237,"INGRESO DISTINTO EN evol_conc ("&amp;IF(INDEX(evol_conc!$G:$G,$Q237)="","vacía",DAY(INDEX(evol_conc!$G:$G,$Q237))&amp;"/"&amp;MONTH(INDEX(evol_conc!$G:$G,$Q237))&amp;"/"&amp;YEAR(INDEX(evol_conc!$G:$G,$Q237)))&amp;")","OK"))))))))</f>
        <v>OK</v>
      </c>
      <c r="Q237">
        <f ca="1">IF($N237="","",IFERROR(MATCH($N237,evol_conc!$P:$P,0),0))</f>
        <v>77</v>
      </c>
    </row>
    <row r="238" spans="1:17" ht="18" customHeight="1" x14ac:dyDescent="0.25">
      <c r="A238" t="s">
        <v>624</v>
      </c>
      <c r="B238" t="s">
        <v>1658</v>
      </c>
      <c r="D238" t="s">
        <v>1659</v>
      </c>
      <c r="E238" s="16">
        <v>45820</v>
      </c>
      <c r="F238" s="16">
        <v>46157</v>
      </c>
      <c r="G238" t="s">
        <v>1598</v>
      </c>
      <c r="H238" t="s">
        <v>1592</v>
      </c>
      <c r="I238" t="s">
        <v>1660</v>
      </c>
      <c r="J238" t="s">
        <v>1661</v>
      </c>
      <c r="K238" t="s">
        <v>560</v>
      </c>
      <c r="L238" s="53">
        <f t="shared" si="6"/>
        <v>11.233333333333333</v>
      </c>
      <c r="M238" s="19">
        <f t="shared" si="7"/>
        <v>337</v>
      </c>
      <c r="N238" t="str">
        <f ca="1">IF(TRIM(SUBSTITUTE($B238,CHAR(160)," "))="","",IFERROR(IF(ISNUMBER(SEARCH("INC",$B238)),"INC",IF(ISNUMBER(SEARCH("OPI",$B238)),"OPI",IF(ISNUMBER(SEARCH("DP",$B238)),"DP","CONC")))&amp;" "&amp;TEXT(LOOKUP(9.99E+307,--MID(SUBSTITUTE($B238,CHAR(160)," "),SUMPRODUCT(MIN(FIND({0,1,2,3,4,5,6,7,8,9},SUBSTITUTE($B238,CHAR(160)," ")&amp;"0123456789"))),ROW(INDIRECT("1:6")))),"0"),"SIN NUMERO"))</f>
        <v>CONC 2040</v>
      </c>
      <c r="O238" t="str">
        <f ca="1">IF($N238="","",IF(LEFT(UPPER($P238),9)="VERIFICAR","VERIFICAR",IF(AND($H238&lt;&gt;"",COUNTIFS($N$2:$N$1000,$N238,$H$2:$H$1000,$H238)&gt;1),"DUPLICADA",IF(TRIM(IF($A238="","tipo ","")&amp;IF($F238="","fecha de firma ","")&amp;IF($G238="","decisión ","")&amp;IF($H238="","N° resolución ","")&amp;IF($I238="","N° dictamen",""))&lt;&gt;"","INCOMPLETA: "&amp;TRIM(IF($A238="","tipo ","")&amp;IF($F238="","fecha de firma ","")&amp;IF($G238="","decisión ","")&amp;IF($H238="","N° resolución ","")&amp;IF($I238="","N° dictamen","")),IF(LEFT($N238,4)&lt;&gt;"CONC","OK",IF(N($Q238)=0,IF(AND(ISNUMBER($E238),$E238&gt;=DATE(2024,1,1)),"FALTA EN evol_conc","OK"),IF(INDEX(evol_conc!$H:$H,$Q238)&lt;&gt;$F238,"FIRMA DISTINTA EN evol_conc ("&amp;IF(INDEX(evol_conc!$H:$H,$Q238)="","vacía",DAY(INDEX(evol_conc!$H:$H,$Q238))&amp;"/"&amp;MONTH(INDEX(evol_conc!$H:$H,$Q238))&amp;"/"&amp;YEAR(INDEX(evol_conc!$H:$H,$Q238)))&amp;")",IF(INDEX(evol_conc!$G:$G,$Q238)&lt;&gt;$E238,"INGRESO DISTINTO EN evol_conc ("&amp;IF(INDEX(evol_conc!$G:$G,$Q238)="","vacía",DAY(INDEX(evol_conc!$G:$G,$Q238))&amp;"/"&amp;MONTH(INDEX(evol_conc!$G:$G,$Q238))&amp;"/"&amp;YEAR(INDEX(evol_conc!$G:$G,$Q238)))&amp;")","OK"))))))))</f>
        <v>VERIFICAR</v>
      </c>
      <c r="P238" t="s">
        <v>1662</v>
      </c>
      <c r="Q238">
        <f ca="1">IF($N238="","",IFERROR(MATCH($N238,evol_conc!$P:$P,0),0))</f>
        <v>118</v>
      </c>
    </row>
    <row r="239" spans="1:17" ht="18" customHeight="1" x14ac:dyDescent="0.25">
      <c r="A239" t="s">
        <v>624</v>
      </c>
      <c r="B239" t="s">
        <v>1663</v>
      </c>
      <c r="D239" t="s">
        <v>1664</v>
      </c>
      <c r="E239" s="16">
        <v>46156</v>
      </c>
      <c r="F239" s="16">
        <v>46157</v>
      </c>
      <c r="G239" t="s">
        <v>1598</v>
      </c>
      <c r="H239" t="s">
        <v>1665</v>
      </c>
      <c r="I239" t="s">
        <v>1666</v>
      </c>
      <c r="J239" t="s">
        <v>1667</v>
      </c>
      <c r="K239" t="s">
        <v>592</v>
      </c>
      <c r="L239" s="53">
        <f t="shared" si="6"/>
        <v>3.3333333333333333E-2</v>
      </c>
      <c r="M239" s="19">
        <f t="shared" si="7"/>
        <v>1</v>
      </c>
      <c r="N239" t="str">
        <f ca="1">IF(TRIM(SUBSTITUTE($B239,CHAR(160)," "))="","",IFERROR(IF(ISNUMBER(SEARCH("INC",$B239)),"INC",IF(ISNUMBER(SEARCH("OPI",$B239)),"OPI",IF(ISNUMBER(SEARCH("DP",$B239)),"DP","CONC")))&amp;" "&amp;TEXT(LOOKUP(9.99E+307,--MID(SUBSTITUTE($B239,CHAR(160)," "),SUMPRODUCT(MIN(FIND({0,1,2,3,4,5,6,7,8,9},SUBSTITUTE($B239,CHAR(160)," ")&amp;"0123456789"))),ROW(INDIRECT("1:6")))),"0"),"SIN NUMERO"))</f>
        <v>CONC 2106</v>
      </c>
      <c r="O239" t="str">
        <f ca="1">IF($N239="","",IF(LEFT(UPPER($P239),9)="VERIFICAR","VERIFICAR",IF(AND($H239&lt;&gt;"",COUNTIFS($N$2:$N$1000,$N239,$H$2:$H$1000,$H239)&gt;1),"DUPLICADA",IF(TRIM(IF($A239="","tipo ","")&amp;IF($F239="","fecha de firma ","")&amp;IF($G239="","decisión ","")&amp;IF($H239="","N° resolución ","")&amp;IF($I239="","N° dictamen",""))&lt;&gt;"","INCOMPLETA: "&amp;TRIM(IF($A239="","tipo ","")&amp;IF($F239="","fecha de firma ","")&amp;IF($G239="","decisión ","")&amp;IF($H239="","N° resolución ","")&amp;IF($I239="","N° dictamen","")),IF(LEFT($N239,4)&lt;&gt;"CONC","OK",IF(N($Q239)=0,IF(AND(ISNUMBER($E239),$E239&gt;=DATE(2024,1,1)),"FALTA EN evol_conc","OK"),IF(INDEX(evol_conc!$H:$H,$Q239)&lt;&gt;$F239,"FIRMA DISTINTA EN evol_conc ("&amp;IF(INDEX(evol_conc!$H:$H,$Q239)="","vacía",DAY(INDEX(evol_conc!$H:$H,$Q239))&amp;"/"&amp;MONTH(INDEX(evol_conc!$H:$H,$Q239))&amp;"/"&amp;YEAR(INDEX(evol_conc!$H:$H,$Q239)))&amp;")",IF(INDEX(evol_conc!$G:$G,$Q239)&lt;&gt;$E239,"INGRESO DISTINTO EN evol_conc ("&amp;IF(INDEX(evol_conc!$G:$G,$Q239)="","vacía",DAY(INDEX(evol_conc!$G:$G,$Q239))&amp;"/"&amp;MONTH(INDEX(evol_conc!$G:$G,$Q239))&amp;"/"&amp;YEAR(INDEX(evol_conc!$G:$G,$Q239)))&amp;")","OK"))))))))</f>
        <v>OK</v>
      </c>
      <c r="Q239">
        <f ca="1">IF($N239="","",IFERROR(MATCH($N239,evol_conc!$P:$P,0),0))</f>
        <v>184</v>
      </c>
    </row>
    <row r="240" spans="1:17" ht="18" customHeight="1" x14ac:dyDescent="0.25">
      <c r="A240" t="s">
        <v>1089</v>
      </c>
      <c r="B240" t="s">
        <v>1668</v>
      </c>
      <c r="D240" t="s">
        <v>1669</v>
      </c>
      <c r="E240" s="16">
        <v>45908</v>
      </c>
      <c r="F240" s="16">
        <v>46162</v>
      </c>
      <c r="G240" t="s">
        <v>1493</v>
      </c>
      <c r="H240" t="s">
        <v>1670</v>
      </c>
      <c r="I240" t="s">
        <v>1671</v>
      </c>
      <c r="J240" t="s">
        <v>724</v>
      </c>
      <c r="L240" s="53">
        <f t="shared" si="6"/>
        <v>8.4666666666666668</v>
      </c>
      <c r="M240" s="19">
        <f t="shared" si="7"/>
        <v>254</v>
      </c>
      <c r="N240" t="str">
        <f ca="1">IF(TRIM(SUBSTITUTE($B240,CHAR(160)," "))="","",IFERROR(IF(ISNUMBER(SEARCH("INC",$B240)),"INC",IF(ISNUMBER(SEARCH("OPI",$B240)),"OPI",IF(ISNUMBER(SEARCH("DP",$B240)),"DP","CONC")))&amp;" "&amp;TEXT(LOOKUP(9.99E+307,--MID(SUBSTITUTE($B240,CHAR(160)," "),SUMPRODUCT(MIN(FIND({0,1,2,3,4,5,6,7,8,9},SUBSTITUTE($B240,CHAR(160)," ")&amp;"0123456789"))),ROW(INDIRECT("1:6")))),"0"),"SIN NUMERO"))</f>
        <v>OPI 384</v>
      </c>
      <c r="O240" t="str">
        <f ca="1">IF($N240="","",IF(LEFT(UPPER($P240),9)="VERIFICAR","VERIFICAR",IF(AND($H240&lt;&gt;"",COUNTIFS($N$2:$N$1000,$N240,$H$2:$H$1000,$H240)&gt;1),"DUPLICADA",IF(TRIM(IF($A240="","tipo ","")&amp;IF($F240="","fecha de firma ","")&amp;IF($G240="","decisión ","")&amp;IF($H240="","N° resolución ","")&amp;IF($I240="","N° dictamen",""))&lt;&gt;"","INCOMPLETA: "&amp;TRIM(IF($A240="","tipo ","")&amp;IF($F240="","fecha de firma ","")&amp;IF($G240="","decisión ","")&amp;IF($H240="","N° resolución ","")&amp;IF($I240="","N° dictamen","")),IF(LEFT($N240,4)&lt;&gt;"CONC","OK",IF(N($Q240)=0,IF(AND(ISNUMBER($E240),$E240&gt;=DATE(2024,1,1)),"FALTA EN evol_conc","OK"),IF(INDEX(evol_conc!$H:$H,$Q240)&lt;&gt;$F240,"FIRMA DISTINTA EN evol_conc ("&amp;IF(INDEX(evol_conc!$H:$H,$Q240)="","vacía",DAY(INDEX(evol_conc!$H:$H,$Q240))&amp;"/"&amp;MONTH(INDEX(evol_conc!$H:$H,$Q240))&amp;"/"&amp;YEAR(INDEX(evol_conc!$H:$H,$Q240)))&amp;")",IF(INDEX(evol_conc!$G:$G,$Q240)&lt;&gt;$E240,"INGRESO DISTINTO EN evol_conc ("&amp;IF(INDEX(evol_conc!$G:$G,$Q240)="","vacía",DAY(INDEX(evol_conc!$G:$G,$Q240))&amp;"/"&amp;MONTH(INDEX(evol_conc!$G:$G,$Q240))&amp;"/"&amp;YEAR(INDEX(evol_conc!$G:$G,$Q240)))&amp;")","OK"))))))))</f>
        <v>OK</v>
      </c>
      <c r="Q240">
        <f ca="1">IF($N240="","",IFERROR(MATCH($N240,evol_conc!$P:$P,0),0))</f>
        <v>0</v>
      </c>
    </row>
    <row r="241" spans="1:17" ht="18" customHeight="1" x14ac:dyDescent="0.25">
      <c r="A241" t="s">
        <v>547</v>
      </c>
      <c r="B241" t="s">
        <v>1672</v>
      </c>
      <c r="D241" t="s">
        <v>1673</v>
      </c>
      <c r="E241" s="16">
        <v>45968</v>
      </c>
      <c r="F241" s="16">
        <v>46162</v>
      </c>
      <c r="G241" t="s">
        <v>1551</v>
      </c>
      <c r="H241" t="s">
        <v>1674</v>
      </c>
      <c r="I241" t="s">
        <v>1675</v>
      </c>
      <c r="J241" t="s">
        <v>1676</v>
      </c>
      <c r="K241" t="s">
        <v>592</v>
      </c>
      <c r="L241" s="53">
        <f t="shared" si="6"/>
        <v>6.4666666666666668</v>
      </c>
      <c r="M241" s="19">
        <f t="shared" si="7"/>
        <v>194</v>
      </c>
      <c r="N241" t="str">
        <f ca="1">IF(TRIM(SUBSTITUTE($B241,CHAR(160)," "))="","",IFERROR(IF(ISNUMBER(SEARCH("INC",$B241)),"INC",IF(ISNUMBER(SEARCH("OPI",$B241)),"OPI",IF(ISNUMBER(SEARCH("DP",$B241)),"DP","CONC")))&amp;" "&amp;TEXT(LOOKUP(9.99E+307,--MID(SUBSTITUTE($B241,CHAR(160)," "),SUMPRODUCT(MIN(FIND({0,1,2,3,4,5,6,7,8,9},SUBSTITUTE($B241,CHAR(160)," ")&amp;"0123456789"))),ROW(INDIRECT("1:6")))),"0"),"SIN NUMERO"))</f>
        <v>CONC 2071</v>
      </c>
      <c r="O241" t="str">
        <f ca="1">IF($N241="","",IF(LEFT(UPPER($P241),9)="VERIFICAR","VERIFICAR",IF(AND($H241&lt;&gt;"",COUNTIFS($N$2:$N$1000,$N241,$H$2:$H$1000,$H241)&gt;1),"DUPLICADA",IF(TRIM(IF($A241="","tipo ","")&amp;IF($F241="","fecha de firma ","")&amp;IF($G241="","decisión ","")&amp;IF($H241="","N° resolución ","")&amp;IF($I241="","N° dictamen",""))&lt;&gt;"","INCOMPLETA: "&amp;TRIM(IF($A241="","tipo ","")&amp;IF($F241="","fecha de firma ","")&amp;IF($G241="","decisión ","")&amp;IF($H241="","N° resolución ","")&amp;IF($I241="","N° dictamen","")),IF(LEFT($N241,4)&lt;&gt;"CONC","OK",IF(N($Q241)=0,IF(AND(ISNUMBER($E241),$E241&gt;=DATE(2024,1,1)),"FALTA EN evol_conc","OK"),IF(INDEX(evol_conc!$H:$H,$Q241)&lt;&gt;$F241,"FIRMA DISTINTA EN evol_conc ("&amp;IF(INDEX(evol_conc!$H:$H,$Q241)="","vacía",DAY(INDEX(evol_conc!$H:$H,$Q241))&amp;"/"&amp;MONTH(INDEX(evol_conc!$H:$H,$Q241))&amp;"/"&amp;YEAR(INDEX(evol_conc!$H:$H,$Q241)))&amp;")",IF(INDEX(evol_conc!$G:$G,$Q241)&lt;&gt;$E241,"INGRESO DISTINTO EN evol_conc ("&amp;IF(INDEX(evol_conc!$G:$G,$Q241)="","vacía",DAY(INDEX(evol_conc!$G:$G,$Q241))&amp;"/"&amp;MONTH(INDEX(evol_conc!$G:$G,$Q241))&amp;"/"&amp;YEAR(INDEX(evol_conc!$G:$G,$Q241)))&amp;")","OK"))))))))</f>
        <v>OK</v>
      </c>
      <c r="Q241">
        <f ca="1">IF($N241="","",IFERROR(MATCH($N241,evol_conc!$P:$P,0),0))</f>
        <v>149</v>
      </c>
    </row>
    <row r="242" spans="1:17" ht="18" customHeight="1" x14ac:dyDescent="0.25">
      <c r="A242" t="s">
        <v>624</v>
      </c>
      <c r="B242" t="s">
        <v>1677</v>
      </c>
      <c r="D242" t="s">
        <v>1678</v>
      </c>
      <c r="E242" s="16">
        <v>46127</v>
      </c>
      <c r="F242" s="16">
        <v>46163</v>
      </c>
      <c r="G242" t="s">
        <v>1679</v>
      </c>
      <c r="H242" t="s">
        <v>1680</v>
      </c>
      <c r="I242" t="s">
        <v>1681</v>
      </c>
      <c r="J242" t="s">
        <v>1682</v>
      </c>
      <c r="L242" s="53">
        <f t="shared" si="6"/>
        <v>1.2</v>
      </c>
      <c r="M242" s="19">
        <f t="shared" si="7"/>
        <v>36</v>
      </c>
      <c r="N242" t="str">
        <f ca="1">IF(TRIM(SUBSTITUTE($B242,CHAR(160)," "))="","",IFERROR(IF(ISNUMBER(SEARCH("INC",$B242)),"INC",IF(ISNUMBER(SEARCH("OPI",$B242)),"OPI",IF(ISNUMBER(SEARCH("DP",$B242)),"DP","CONC")))&amp;" "&amp;TEXT(LOOKUP(9.99E+307,--MID(SUBSTITUTE($B242,CHAR(160)," "),SUMPRODUCT(MIN(FIND({0,1,2,3,4,5,6,7,8,9},SUBSTITUTE($B242,CHAR(160)," ")&amp;"0123456789"))),ROW(INDIRECT("1:6")))),"0"),"SIN NUMERO"))</f>
        <v>CONC 2099</v>
      </c>
      <c r="O242" t="str">
        <f ca="1">IF($N242="","",IF(LEFT(UPPER($P242),9)="VERIFICAR","VERIFICAR",IF(AND($H242&lt;&gt;"",COUNTIFS($N$2:$N$1000,$N242,$H$2:$H$1000,$H242)&gt;1),"DUPLICADA",IF(TRIM(IF($A242="","tipo ","")&amp;IF($F242="","fecha de firma ","")&amp;IF($G242="","decisión ","")&amp;IF($H242="","N° resolución ","")&amp;IF($I242="","N° dictamen",""))&lt;&gt;"","INCOMPLETA: "&amp;TRIM(IF($A242="","tipo ","")&amp;IF($F242="","fecha de firma ","")&amp;IF($G242="","decisión ","")&amp;IF($H242="","N° resolución ","")&amp;IF($I242="","N° dictamen","")),IF(LEFT($N242,4)&lt;&gt;"CONC","OK",IF(N($Q242)=0,IF(AND(ISNUMBER($E242),$E242&gt;=DATE(2024,1,1)),"FALTA EN evol_conc","OK"),IF(INDEX(evol_conc!$H:$H,$Q242)&lt;&gt;$F242,"FIRMA DISTINTA EN evol_conc ("&amp;IF(INDEX(evol_conc!$H:$H,$Q242)="","vacía",DAY(INDEX(evol_conc!$H:$H,$Q242))&amp;"/"&amp;MONTH(INDEX(evol_conc!$H:$H,$Q242))&amp;"/"&amp;YEAR(INDEX(evol_conc!$H:$H,$Q242)))&amp;")",IF(INDEX(evol_conc!$G:$G,$Q242)&lt;&gt;$E242,"INGRESO DISTINTO EN evol_conc ("&amp;IF(INDEX(evol_conc!$G:$G,$Q242)="","vacía",DAY(INDEX(evol_conc!$G:$G,$Q242))&amp;"/"&amp;MONTH(INDEX(evol_conc!$G:$G,$Q242))&amp;"/"&amp;YEAR(INDEX(evol_conc!$G:$G,$Q242)))&amp;")","OK"))))))))</f>
        <v>OK</v>
      </c>
      <c r="Q242">
        <f ca="1">IF($N242="","",IFERROR(MATCH($N242,evol_conc!$P:$P,0),0))</f>
        <v>177</v>
      </c>
    </row>
    <row r="243" spans="1:17" ht="18" customHeight="1" x14ac:dyDescent="0.25">
      <c r="A243" t="s">
        <v>624</v>
      </c>
      <c r="B243" t="s">
        <v>1683</v>
      </c>
      <c r="D243" t="s">
        <v>1684</v>
      </c>
      <c r="E243" s="16">
        <v>46163</v>
      </c>
      <c r="F243" s="16">
        <v>46169</v>
      </c>
      <c r="G243" t="s">
        <v>1598</v>
      </c>
      <c r="H243" t="s">
        <v>1685</v>
      </c>
      <c r="I243" t="s">
        <v>1686</v>
      </c>
      <c r="J243" t="s">
        <v>1687</v>
      </c>
      <c r="K243" t="s">
        <v>592</v>
      </c>
      <c r="L243" s="53">
        <f t="shared" si="6"/>
        <v>0.2</v>
      </c>
      <c r="M243" s="19">
        <f t="shared" si="7"/>
        <v>6</v>
      </c>
      <c r="N243" t="str">
        <f ca="1">IF(TRIM(SUBSTITUTE($B243,CHAR(160)," "))="","",IFERROR(IF(ISNUMBER(SEARCH("INC",$B243)),"INC",IF(ISNUMBER(SEARCH("OPI",$B243)),"OPI",IF(ISNUMBER(SEARCH("DP",$B243)),"DP","CONC")))&amp;" "&amp;TEXT(LOOKUP(9.99E+307,--MID(SUBSTITUTE($B243,CHAR(160)," "),SUMPRODUCT(MIN(FIND({0,1,2,3,4,5,6,7,8,9},SUBSTITUTE($B243,CHAR(160)," ")&amp;"0123456789"))),ROW(INDIRECT("1:6")))),"0"),"SIN NUMERO"))</f>
        <v>CONC 2109</v>
      </c>
      <c r="O243" t="str">
        <f ca="1">IF($N243="","",IF(LEFT(UPPER($P243),9)="VERIFICAR","VERIFICAR",IF(AND($H243&lt;&gt;"",COUNTIFS($N$2:$N$1000,$N243,$H$2:$H$1000,$H243)&gt;1),"DUPLICADA",IF(TRIM(IF($A243="","tipo ","")&amp;IF($F243="","fecha de firma ","")&amp;IF($G243="","decisión ","")&amp;IF($H243="","N° resolución ","")&amp;IF($I243="","N° dictamen",""))&lt;&gt;"","INCOMPLETA: "&amp;TRIM(IF($A243="","tipo ","")&amp;IF($F243="","fecha de firma ","")&amp;IF($G243="","decisión ","")&amp;IF($H243="","N° resolución ","")&amp;IF($I243="","N° dictamen","")),IF(LEFT($N243,4)&lt;&gt;"CONC","OK",IF(N($Q243)=0,IF(AND(ISNUMBER($E243),$E243&gt;=DATE(2024,1,1)),"FALTA EN evol_conc","OK"),IF(INDEX(evol_conc!$H:$H,$Q243)&lt;&gt;$F243,"FIRMA DISTINTA EN evol_conc ("&amp;IF(INDEX(evol_conc!$H:$H,$Q243)="","vacía",DAY(INDEX(evol_conc!$H:$H,$Q243))&amp;"/"&amp;MONTH(INDEX(evol_conc!$H:$H,$Q243))&amp;"/"&amp;YEAR(INDEX(evol_conc!$H:$H,$Q243)))&amp;")",IF(INDEX(evol_conc!$G:$G,$Q243)&lt;&gt;$E243,"INGRESO DISTINTO EN evol_conc ("&amp;IF(INDEX(evol_conc!$G:$G,$Q243)="","vacía",DAY(INDEX(evol_conc!$G:$G,$Q243))&amp;"/"&amp;MONTH(INDEX(evol_conc!$G:$G,$Q243))&amp;"/"&amp;YEAR(INDEX(evol_conc!$G:$G,$Q243)))&amp;")","OK"))))))))</f>
        <v>OK</v>
      </c>
      <c r="Q243">
        <f ca="1">IF($N243="","",IFERROR(MATCH($N243,evol_conc!$P:$P,0),0))</f>
        <v>187</v>
      </c>
    </row>
    <row r="244" spans="1:17" ht="18" customHeight="1" x14ac:dyDescent="0.25">
      <c r="A244" t="s">
        <v>547</v>
      </c>
      <c r="B244" t="s">
        <v>1688</v>
      </c>
      <c r="D244" t="s">
        <v>1689</v>
      </c>
      <c r="E244" s="16">
        <v>45852</v>
      </c>
      <c r="F244" s="16">
        <v>46171</v>
      </c>
      <c r="G244" t="s">
        <v>1551</v>
      </c>
      <c r="H244" t="s">
        <v>1690</v>
      </c>
      <c r="I244" t="s">
        <v>1691</v>
      </c>
      <c r="J244" t="s">
        <v>1692</v>
      </c>
      <c r="K244" t="s">
        <v>560</v>
      </c>
      <c r="L244" s="53">
        <f t="shared" si="6"/>
        <v>10.633333333333333</v>
      </c>
      <c r="M244" s="19">
        <f t="shared" si="7"/>
        <v>319</v>
      </c>
      <c r="N244" t="str">
        <f ca="1">IF(TRIM(SUBSTITUTE($B244,CHAR(160)," "))="","",IFERROR(IF(ISNUMBER(SEARCH("INC",$B244)),"INC",IF(ISNUMBER(SEARCH("OPI",$B244)),"OPI",IF(ISNUMBER(SEARCH("DP",$B244)),"DP","CONC")))&amp;" "&amp;TEXT(LOOKUP(9.99E+307,--MID(SUBSTITUTE($B244,CHAR(160)," "),SUMPRODUCT(MIN(FIND({0,1,2,3,4,5,6,7,8,9},SUBSTITUTE($B244,CHAR(160)," ")&amp;"0123456789"))),ROW(INDIRECT("1:6")))),"0"),"SIN NUMERO"))</f>
        <v>CONC 2047</v>
      </c>
      <c r="O244" t="str">
        <f ca="1">IF($N244="","",IF(LEFT(UPPER($P244),9)="VERIFICAR","VERIFICAR",IF(AND($H244&lt;&gt;"",COUNTIFS($N$2:$N$1000,$N244,$H$2:$H$1000,$H244)&gt;1),"DUPLICADA",IF(TRIM(IF($A244="","tipo ","")&amp;IF($F244="","fecha de firma ","")&amp;IF($G244="","decisión ","")&amp;IF($H244="","N° resolución ","")&amp;IF($I244="","N° dictamen",""))&lt;&gt;"","INCOMPLETA: "&amp;TRIM(IF($A244="","tipo ","")&amp;IF($F244="","fecha de firma ","")&amp;IF($G244="","decisión ","")&amp;IF($H244="","N° resolución ","")&amp;IF($I244="","N° dictamen","")),IF(LEFT($N244,4)&lt;&gt;"CONC","OK",IF(N($Q244)=0,IF(AND(ISNUMBER($E244),$E244&gt;=DATE(2024,1,1)),"FALTA EN evol_conc","OK"),IF(INDEX(evol_conc!$H:$H,$Q244)&lt;&gt;$F244,"FIRMA DISTINTA EN evol_conc ("&amp;IF(INDEX(evol_conc!$H:$H,$Q244)="","vacía",DAY(INDEX(evol_conc!$H:$H,$Q244))&amp;"/"&amp;MONTH(INDEX(evol_conc!$H:$H,$Q244))&amp;"/"&amp;YEAR(INDEX(evol_conc!$H:$H,$Q244)))&amp;")",IF(INDEX(evol_conc!$G:$G,$Q244)&lt;&gt;$E244,"INGRESO DISTINTO EN evol_conc ("&amp;IF(INDEX(evol_conc!$G:$G,$Q244)="","vacía",DAY(INDEX(evol_conc!$G:$G,$Q244))&amp;"/"&amp;MONTH(INDEX(evol_conc!$G:$G,$Q244))&amp;"/"&amp;YEAR(INDEX(evol_conc!$G:$G,$Q244)))&amp;")","OK"))))))))</f>
        <v>OK</v>
      </c>
      <c r="Q244">
        <f ca="1">IF($N244="","",IFERROR(MATCH($N244,evol_conc!$P:$P,0),0))</f>
        <v>125</v>
      </c>
    </row>
    <row r="245" spans="1:17" ht="18" customHeight="1" x14ac:dyDescent="0.25">
      <c r="A245" t="s">
        <v>1089</v>
      </c>
      <c r="B245" t="s">
        <v>1693</v>
      </c>
      <c r="D245" t="s">
        <v>1694</v>
      </c>
      <c r="E245" s="16">
        <v>46024</v>
      </c>
      <c r="F245" s="16">
        <v>46171</v>
      </c>
      <c r="G245" t="s">
        <v>1493</v>
      </c>
      <c r="H245" t="s">
        <v>1695</v>
      </c>
      <c r="I245" t="s">
        <v>1696</v>
      </c>
      <c r="J245" t="s">
        <v>1697</v>
      </c>
      <c r="L245" s="53">
        <f t="shared" si="6"/>
        <v>4.9000000000000004</v>
      </c>
      <c r="M245" s="19">
        <f t="shared" si="7"/>
        <v>147</v>
      </c>
      <c r="N245" t="str">
        <f ca="1">IF(TRIM(SUBSTITUTE($B245,CHAR(160)," "))="","",IFERROR(IF(ISNUMBER(SEARCH("INC",$B245)),"INC",IF(ISNUMBER(SEARCH("OPI",$B245)),"OPI",IF(ISNUMBER(SEARCH("DP",$B245)),"DP","CONC")))&amp;" "&amp;TEXT(LOOKUP(9.99E+307,--MID(SUBSTITUTE($B245,CHAR(160)," "),SUMPRODUCT(MIN(FIND({0,1,2,3,4,5,6,7,8,9},SUBSTITUTE($B245,CHAR(160)," ")&amp;"0123456789"))),ROW(INDIRECT("1:6")))),"0"),"SIN NUMERO"))</f>
        <v>OPI 392</v>
      </c>
      <c r="O245" t="str">
        <f ca="1">IF($N245="","",IF(LEFT(UPPER($P245),9)="VERIFICAR","VERIFICAR",IF(AND($H245&lt;&gt;"",COUNTIFS($N$2:$N$1000,$N245,$H$2:$H$1000,$H245)&gt;1),"DUPLICADA",IF(TRIM(IF($A245="","tipo ","")&amp;IF($F245="","fecha de firma ","")&amp;IF($G245="","decisión ","")&amp;IF($H245="","N° resolución ","")&amp;IF($I245="","N° dictamen",""))&lt;&gt;"","INCOMPLETA: "&amp;TRIM(IF($A245="","tipo ","")&amp;IF($F245="","fecha de firma ","")&amp;IF($G245="","decisión ","")&amp;IF($H245="","N° resolución ","")&amp;IF($I245="","N° dictamen","")),IF(LEFT($N245,4)&lt;&gt;"CONC","OK",IF(N($Q245)=0,IF(AND(ISNUMBER($E245),$E245&gt;=DATE(2024,1,1)),"FALTA EN evol_conc","OK"),IF(INDEX(evol_conc!$H:$H,$Q245)&lt;&gt;$F245,"FIRMA DISTINTA EN evol_conc ("&amp;IF(INDEX(evol_conc!$H:$H,$Q245)="","vacía",DAY(INDEX(evol_conc!$H:$H,$Q245))&amp;"/"&amp;MONTH(INDEX(evol_conc!$H:$H,$Q245))&amp;"/"&amp;YEAR(INDEX(evol_conc!$H:$H,$Q245)))&amp;")",IF(INDEX(evol_conc!$G:$G,$Q245)&lt;&gt;$E245,"INGRESO DISTINTO EN evol_conc ("&amp;IF(INDEX(evol_conc!$G:$G,$Q245)="","vacía",DAY(INDEX(evol_conc!$G:$G,$Q245))&amp;"/"&amp;MONTH(INDEX(evol_conc!$G:$G,$Q245))&amp;"/"&amp;YEAR(INDEX(evol_conc!$G:$G,$Q245)))&amp;")","OK"))))))))</f>
        <v>OK</v>
      </c>
      <c r="Q245">
        <f ca="1">IF($N245="","",IFERROR(MATCH($N245,evol_conc!$P:$P,0),0))</f>
        <v>0</v>
      </c>
    </row>
    <row r="246" spans="1:17" ht="18" customHeight="1" x14ac:dyDescent="0.25">
      <c r="A246" t="s">
        <v>547</v>
      </c>
      <c r="B246" t="s">
        <v>1698</v>
      </c>
      <c r="D246" t="s">
        <v>1699</v>
      </c>
      <c r="E246" s="16">
        <v>46148</v>
      </c>
      <c r="F246" s="16">
        <v>46175</v>
      </c>
      <c r="G246" t="s">
        <v>1551</v>
      </c>
      <c r="H246" t="s">
        <v>1700</v>
      </c>
      <c r="I246" t="s">
        <v>1701</v>
      </c>
      <c r="J246" t="s">
        <v>1702</v>
      </c>
      <c r="K246" t="s">
        <v>560</v>
      </c>
      <c r="L246" s="53">
        <f t="shared" si="6"/>
        <v>0.9</v>
      </c>
      <c r="M246" s="19">
        <f t="shared" si="7"/>
        <v>27</v>
      </c>
      <c r="N246" t="str">
        <f ca="1">IF(TRIM(SUBSTITUTE($B246,CHAR(160)," "))="","",IFERROR(IF(ISNUMBER(SEARCH("INC",$B246)),"INC",IF(ISNUMBER(SEARCH("OPI",$B246)),"OPI",IF(ISNUMBER(SEARCH("DP",$B246)),"DP","CONC")))&amp;" "&amp;TEXT(LOOKUP(9.99E+307,--MID(SUBSTITUTE($B246,CHAR(160)," "),SUMPRODUCT(MIN(FIND({0,1,2,3,4,5,6,7,8,9},SUBSTITUTE($B246,CHAR(160)," ")&amp;"0123456789"))),ROW(INDIRECT("1:6")))),"0"),"SIN NUMERO"))</f>
        <v>CONC 2101</v>
      </c>
      <c r="O246" t="str">
        <f ca="1">IF($N246="","",IF(LEFT(UPPER($P246),9)="VERIFICAR","VERIFICAR",IF(AND($H246&lt;&gt;"",COUNTIFS($N$2:$N$1000,$N246,$H$2:$H$1000,$H246)&gt;1),"DUPLICADA",IF(TRIM(IF($A246="","tipo ","")&amp;IF($F246="","fecha de firma ","")&amp;IF($G246="","decisión ","")&amp;IF($H246="","N° resolución ","")&amp;IF($I246="","N° dictamen",""))&lt;&gt;"","INCOMPLETA: "&amp;TRIM(IF($A246="","tipo ","")&amp;IF($F246="","fecha de firma ","")&amp;IF($G246="","decisión ","")&amp;IF($H246="","N° resolución ","")&amp;IF($I246="","N° dictamen","")),IF(LEFT($N246,4)&lt;&gt;"CONC","OK",IF(N($Q246)=0,IF(AND(ISNUMBER($E246),$E246&gt;=DATE(2024,1,1)),"FALTA EN evol_conc","OK"),IF(INDEX(evol_conc!$H:$H,$Q246)&lt;&gt;$F246,"FIRMA DISTINTA EN evol_conc ("&amp;IF(INDEX(evol_conc!$H:$H,$Q246)="","vacía",DAY(INDEX(evol_conc!$H:$H,$Q246))&amp;"/"&amp;MONTH(INDEX(evol_conc!$H:$H,$Q246))&amp;"/"&amp;YEAR(INDEX(evol_conc!$H:$H,$Q246)))&amp;")",IF(INDEX(evol_conc!$G:$G,$Q246)&lt;&gt;$E246,"INGRESO DISTINTO EN evol_conc ("&amp;IF(INDEX(evol_conc!$G:$G,$Q246)="","vacía",DAY(INDEX(evol_conc!$G:$G,$Q246))&amp;"/"&amp;MONTH(INDEX(evol_conc!$G:$G,$Q246))&amp;"/"&amp;YEAR(INDEX(evol_conc!$G:$G,$Q246)))&amp;")","OK"))))))))</f>
        <v>OK</v>
      </c>
      <c r="Q246">
        <f ca="1">IF($N246="","",IFERROR(MATCH($N246,evol_conc!$P:$P,0),0))</f>
        <v>179</v>
      </c>
    </row>
    <row r="247" spans="1:17" ht="18" customHeight="1" x14ac:dyDescent="0.25">
      <c r="A247" t="s">
        <v>624</v>
      </c>
      <c r="B247" t="s">
        <v>1703</v>
      </c>
      <c r="D247" t="s">
        <v>1704</v>
      </c>
      <c r="E247" s="16">
        <v>45863</v>
      </c>
      <c r="F247" s="16">
        <v>46184</v>
      </c>
      <c r="G247" t="s">
        <v>1598</v>
      </c>
      <c r="H247" t="s">
        <v>1705</v>
      </c>
      <c r="I247" t="s">
        <v>1706</v>
      </c>
      <c r="J247" t="s">
        <v>1707</v>
      </c>
      <c r="K247" t="s">
        <v>560</v>
      </c>
      <c r="L247" s="53">
        <f t="shared" si="6"/>
        <v>10.7</v>
      </c>
      <c r="M247" s="19">
        <f t="shared" si="7"/>
        <v>321</v>
      </c>
      <c r="N247" t="str">
        <f ca="1">IF(TRIM(SUBSTITUTE($B247,CHAR(160)," "))="","",IFERROR(IF(ISNUMBER(SEARCH("INC",$B247)),"INC",IF(ISNUMBER(SEARCH("OPI",$B247)),"OPI",IF(ISNUMBER(SEARCH("DP",$B247)),"DP","CONC")))&amp;" "&amp;TEXT(LOOKUP(9.99E+307,--MID(SUBSTITUTE($B247,CHAR(160)," "),SUMPRODUCT(MIN(FIND({0,1,2,3,4,5,6,7,8,9},SUBSTITUTE($B247,CHAR(160)," ")&amp;"0123456789"))),ROW(INDIRECT("1:6")))),"0"),"SIN NUMERO"))</f>
        <v>CONC 2049</v>
      </c>
      <c r="O247" t="str">
        <f ca="1">IF($N247="","",IF(LEFT(UPPER($P247),9)="VERIFICAR","VERIFICAR",IF(AND($H247&lt;&gt;"",COUNTIFS($N$2:$N$1000,$N247,$H$2:$H$1000,$H247)&gt;1),"DUPLICADA",IF(TRIM(IF($A247="","tipo ","")&amp;IF($F247="","fecha de firma ","")&amp;IF($G247="","decisión ","")&amp;IF($H247="","N° resolución ","")&amp;IF($I247="","N° dictamen",""))&lt;&gt;"","INCOMPLETA: "&amp;TRIM(IF($A247="","tipo ","")&amp;IF($F247="","fecha de firma ","")&amp;IF($G247="","decisión ","")&amp;IF($H247="","N° resolución ","")&amp;IF($I247="","N° dictamen","")),IF(LEFT($N247,4)&lt;&gt;"CONC","OK",IF(N($Q247)=0,IF(AND(ISNUMBER($E247),$E247&gt;=DATE(2024,1,1)),"FALTA EN evol_conc","OK"),IF(INDEX(evol_conc!$H:$H,$Q247)&lt;&gt;$F247,"FIRMA DISTINTA EN evol_conc ("&amp;IF(INDEX(evol_conc!$H:$H,$Q247)="","vacía",DAY(INDEX(evol_conc!$H:$H,$Q247))&amp;"/"&amp;MONTH(INDEX(evol_conc!$H:$H,$Q247))&amp;"/"&amp;YEAR(INDEX(evol_conc!$H:$H,$Q247)))&amp;")",IF(INDEX(evol_conc!$G:$G,$Q247)&lt;&gt;$E247,"INGRESO DISTINTO EN evol_conc ("&amp;IF(INDEX(evol_conc!$G:$G,$Q247)="","vacía",DAY(INDEX(evol_conc!$G:$G,$Q247))&amp;"/"&amp;MONTH(INDEX(evol_conc!$G:$G,$Q247))&amp;"/"&amp;YEAR(INDEX(evol_conc!$G:$G,$Q247)))&amp;")","OK"))))))))</f>
        <v>OK</v>
      </c>
      <c r="Q247">
        <f ca="1">IF($N247="","",IFERROR(MATCH($N247,evol_conc!$P:$P,0),0))</f>
        <v>127</v>
      </c>
    </row>
    <row r="248" spans="1:17" ht="18" customHeight="1" x14ac:dyDescent="0.25">
      <c r="A248" t="s">
        <v>624</v>
      </c>
      <c r="B248" t="s">
        <v>1708</v>
      </c>
      <c r="D248" t="s">
        <v>1709</v>
      </c>
      <c r="E248" s="16">
        <v>46149</v>
      </c>
      <c r="F248" s="16">
        <v>46184</v>
      </c>
      <c r="G248" t="s">
        <v>1598</v>
      </c>
      <c r="H248" t="s">
        <v>1710</v>
      </c>
      <c r="I248" t="s">
        <v>1711</v>
      </c>
      <c r="J248" t="s">
        <v>1130</v>
      </c>
      <c r="K248" t="s">
        <v>592</v>
      </c>
      <c r="L248" s="53">
        <f t="shared" si="6"/>
        <v>1.1666666666666667</v>
      </c>
      <c r="M248" s="19">
        <f t="shared" si="7"/>
        <v>35</v>
      </c>
      <c r="N248" t="str">
        <f ca="1">IF(TRIM(SUBSTITUTE($B248,CHAR(160)," "))="","",IFERROR(IF(ISNUMBER(SEARCH("INC",$B248)),"INC",IF(ISNUMBER(SEARCH("OPI",$B248)),"OPI",IF(ISNUMBER(SEARCH("DP",$B248)),"DP","CONC")))&amp;" "&amp;TEXT(LOOKUP(9.99E+307,--MID(SUBSTITUTE($B248,CHAR(160)," "),SUMPRODUCT(MIN(FIND({0,1,2,3,4,5,6,7,8,9},SUBSTITUTE($B248,CHAR(160)," ")&amp;"0123456789"))),ROW(INDIRECT("1:6")))),"0"),"SIN NUMERO"))</f>
        <v>CONC 2102</v>
      </c>
      <c r="O248" t="str">
        <f ca="1">IF($N248="","",IF(LEFT(UPPER($P248),9)="VERIFICAR","VERIFICAR",IF(AND($H248&lt;&gt;"",COUNTIFS($N$2:$N$1000,$N248,$H$2:$H$1000,$H248)&gt;1),"DUPLICADA",IF(TRIM(IF($A248="","tipo ","")&amp;IF($F248="","fecha de firma ","")&amp;IF($G248="","decisión ","")&amp;IF($H248="","N° resolución ","")&amp;IF($I248="","N° dictamen",""))&lt;&gt;"","INCOMPLETA: "&amp;TRIM(IF($A248="","tipo ","")&amp;IF($F248="","fecha de firma ","")&amp;IF($G248="","decisión ","")&amp;IF($H248="","N° resolución ","")&amp;IF($I248="","N° dictamen","")),IF(LEFT($N248,4)&lt;&gt;"CONC","OK",IF(N($Q248)=0,IF(AND(ISNUMBER($E248),$E248&gt;=DATE(2024,1,1)),"FALTA EN evol_conc","OK"),IF(INDEX(evol_conc!$H:$H,$Q248)&lt;&gt;$F248,"FIRMA DISTINTA EN evol_conc ("&amp;IF(INDEX(evol_conc!$H:$H,$Q248)="","vacía",DAY(INDEX(evol_conc!$H:$H,$Q248))&amp;"/"&amp;MONTH(INDEX(evol_conc!$H:$H,$Q248))&amp;"/"&amp;YEAR(INDEX(evol_conc!$H:$H,$Q248)))&amp;")",IF(INDEX(evol_conc!$G:$G,$Q248)&lt;&gt;$E248,"INGRESO DISTINTO EN evol_conc ("&amp;IF(INDEX(evol_conc!$G:$G,$Q248)="","vacía",DAY(INDEX(evol_conc!$G:$G,$Q248))&amp;"/"&amp;MONTH(INDEX(evol_conc!$G:$G,$Q248))&amp;"/"&amp;YEAR(INDEX(evol_conc!$G:$G,$Q248)))&amp;")","OK"))))))))</f>
        <v>OK</v>
      </c>
      <c r="Q248">
        <f ca="1">IF($N248="","",IFERROR(MATCH($N248,evol_conc!$P:$P,0),0))</f>
        <v>180</v>
      </c>
    </row>
    <row r="249" spans="1:17" ht="18" customHeight="1" x14ac:dyDescent="0.25">
      <c r="A249" t="s">
        <v>624</v>
      </c>
      <c r="B249" t="s">
        <v>1712</v>
      </c>
      <c r="D249" t="s">
        <v>1713</v>
      </c>
      <c r="E249" s="16">
        <v>46156</v>
      </c>
      <c r="F249" s="16">
        <v>46185</v>
      </c>
      <c r="G249" s="16" t="s">
        <v>1598</v>
      </c>
      <c r="H249" t="s">
        <v>1714</v>
      </c>
      <c r="I249" t="s">
        <v>1715</v>
      </c>
      <c r="J249" t="s">
        <v>1130</v>
      </c>
      <c r="K249" t="s">
        <v>560</v>
      </c>
      <c r="L249" s="53">
        <f t="shared" si="6"/>
        <v>0.96666666666666667</v>
      </c>
      <c r="M249" s="19">
        <f t="shared" si="7"/>
        <v>29</v>
      </c>
      <c r="N249" t="str">
        <f ca="1">IF(TRIM(SUBSTITUTE($B249,CHAR(160)," "))="","",IFERROR(IF(ISNUMBER(SEARCH("INC",$B249)),"INC",IF(ISNUMBER(SEARCH("OPI",$B249)),"OPI",IF(ISNUMBER(SEARCH("DP",$B249)),"DP","CONC")))&amp;" "&amp;TEXT(LOOKUP(9.99E+307,--MID(SUBSTITUTE($B249,CHAR(160)," "),SUMPRODUCT(MIN(FIND({0,1,2,3,4,5,6,7,8,9},SUBSTITUTE($B249,CHAR(160)," ")&amp;"0123456789"))),ROW(INDIRECT("1:6")))),"0"),"SIN NUMERO"))</f>
        <v>CONC 2107</v>
      </c>
      <c r="O249" t="str">
        <f ca="1">IF($N249="","",IF(LEFT(UPPER($P249),9)="VERIFICAR","VERIFICAR",IF(AND($H249&lt;&gt;"",COUNTIFS($N$2:$N$1000,$N249,$H$2:$H$1000,$H249)&gt;1),"DUPLICADA",IF(TRIM(IF($A249="","tipo ","")&amp;IF($F249="","fecha de firma ","")&amp;IF($G249="","decisión ","")&amp;IF($H249="","N° resolución ","")&amp;IF($I249="","N° dictamen",""))&lt;&gt;"","INCOMPLETA: "&amp;TRIM(IF($A249="","tipo ","")&amp;IF($F249="","fecha de firma ","")&amp;IF($G249="","decisión ","")&amp;IF($H249="","N° resolución ","")&amp;IF($I249="","N° dictamen","")),IF(LEFT($N249,4)&lt;&gt;"CONC","OK",IF(N($Q249)=0,IF(AND(ISNUMBER($E249),$E249&gt;=DATE(2024,1,1)),"FALTA EN evol_conc","OK"),IF(INDEX(evol_conc!$H:$H,$Q249)&lt;&gt;$F249,"FIRMA DISTINTA EN evol_conc ("&amp;IF(INDEX(evol_conc!$H:$H,$Q249)="","vacía",DAY(INDEX(evol_conc!$H:$H,$Q249))&amp;"/"&amp;MONTH(INDEX(evol_conc!$H:$H,$Q249))&amp;"/"&amp;YEAR(INDEX(evol_conc!$H:$H,$Q249)))&amp;")",IF(INDEX(evol_conc!$G:$G,$Q249)&lt;&gt;$E249,"INGRESO DISTINTO EN evol_conc ("&amp;IF(INDEX(evol_conc!$G:$G,$Q249)="","vacía",DAY(INDEX(evol_conc!$G:$G,$Q249))&amp;"/"&amp;MONTH(INDEX(evol_conc!$G:$G,$Q249))&amp;"/"&amp;YEAR(INDEX(evol_conc!$G:$G,$Q249)))&amp;")","OK"))))))))</f>
        <v>OK</v>
      </c>
      <c r="Q249">
        <f ca="1">IF($N249="","",IFERROR(MATCH($N249,evol_conc!$P:$P,0),0))</f>
        <v>185</v>
      </c>
    </row>
    <row r="250" spans="1:17" ht="18" customHeight="1" x14ac:dyDescent="0.25">
      <c r="A250" t="s">
        <v>624</v>
      </c>
      <c r="B250" t="s">
        <v>1716</v>
      </c>
      <c r="D250" t="s">
        <v>1717</v>
      </c>
      <c r="E250" s="16">
        <v>45937</v>
      </c>
      <c r="F250" s="16">
        <v>46191</v>
      </c>
      <c r="G250" t="s">
        <v>1598</v>
      </c>
      <c r="H250" t="s">
        <v>1718</v>
      </c>
      <c r="I250" t="s">
        <v>1719</v>
      </c>
      <c r="J250" t="s">
        <v>1720</v>
      </c>
      <c r="K250" t="s">
        <v>560</v>
      </c>
      <c r="L250" s="53">
        <f t="shared" si="6"/>
        <v>8.4666666666666668</v>
      </c>
      <c r="M250" s="19">
        <f t="shared" si="7"/>
        <v>254</v>
      </c>
      <c r="N250" t="str">
        <f ca="1">IF(TRIM(SUBSTITUTE($B250,CHAR(160)," "))="","",IFERROR(IF(ISNUMBER(SEARCH("INC",$B250)),"INC",IF(ISNUMBER(SEARCH("OPI",$B250)),"OPI",IF(ISNUMBER(SEARCH("DP",$B250)),"DP","CONC")))&amp;" "&amp;TEXT(LOOKUP(9.99E+307,--MID(SUBSTITUTE($B250,CHAR(160)," "),SUMPRODUCT(MIN(FIND({0,1,2,3,4,5,6,7,8,9},SUBSTITUTE($B250,CHAR(160)," ")&amp;"0123456789"))),ROW(INDIRECT("1:6")))),"0"),"SIN NUMERO"))</f>
        <v>CONC 2066</v>
      </c>
      <c r="O250" t="str">
        <f ca="1">IF($N250="","",IF(LEFT(UPPER($P250),9)="VERIFICAR","VERIFICAR",IF(AND($H250&lt;&gt;"",COUNTIFS($N$2:$N$1000,$N250,$H$2:$H$1000,$H250)&gt;1),"DUPLICADA",IF(TRIM(IF($A250="","tipo ","")&amp;IF($F250="","fecha de firma ","")&amp;IF($G250="","decisión ","")&amp;IF($H250="","N° resolución ","")&amp;IF($I250="","N° dictamen",""))&lt;&gt;"","INCOMPLETA: "&amp;TRIM(IF($A250="","tipo ","")&amp;IF($F250="","fecha de firma ","")&amp;IF($G250="","decisión ","")&amp;IF($H250="","N° resolución ","")&amp;IF($I250="","N° dictamen","")),IF(LEFT($N250,4)&lt;&gt;"CONC","OK",IF(N($Q250)=0,IF(AND(ISNUMBER($E250),$E250&gt;=DATE(2024,1,1)),"FALTA EN evol_conc","OK"),IF(INDEX(evol_conc!$H:$H,$Q250)&lt;&gt;$F250,"FIRMA DISTINTA EN evol_conc ("&amp;IF(INDEX(evol_conc!$H:$H,$Q250)="","vacía",DAY(INDEX(evol_conc!$H:$H,$Q250))&amp;"/"&amp;MONTH(INDEX(evol_conc!$H:$H,$Q250))&amp;"/"&amp;YEAR(INDEX(evol_conc!$H:$H,$Q250)))&amp;")",IF(INDEX(evol_conc!$G:$G,$Q250)&lt;&gt;$E250,"INGRESO DISTINTO EN evol_conc ("&amp;IF(INDEX(evol_conc!$G:$G,$Q250)="","vacía",DAY(INDEX(evol_conc!$G:$G,$Q250))&amp;"/"&amp;MONTH(INDEX(evol_conc!$G:$G,$Q250))&amp;"/"&amp;YEAR(INDEX(evol_conc!$G:$G,$Q250)))&amp;")","OK"))))))))</f>
        <v>OK</v>
      </c>
      <c r="Q250">
        <f ca="1">IF($N250="","",IFERROR(MATCH($N250,evol_conc!$P:$P,0),0))</f>
        <v>144</v>
      </c>
    </row>
    <row r="251" spans="1:17" ht="18" customHeight="1" x14ac:dyDescent="0.25">
      <c r="A251" t="s">
        <v>547</v>
      </c>
      <c r="B251" t="s">
        <v>1721</v>
      </c>
      <c r="D251" t="s">
        <v>1722</v>
      </c>
      <c r="E251" s="16">
        <v>46008</v>
      </c>
      <c r="F251" s="16">
        <v>46195</v>
      </c>
      <c r="G251" s="16" t="s">
        <v>1551</v>
      </c>
      <c r="H251" t="s">
        <v>1723</v>
      </c>
      <c r="I251" t="s">
        <v>1724</v>
      </c>
      <c r="J251" t="s">
        <v>1725</v>
      </c>
      <c r="K251" t="s">
        <v>554</v>
      </c>
      <c r="L251" s="53">
        <f t="shared" si="6"/>
        <v>6.2333333333333334</v>
      </c>
      <c r="M251" s="19">
        <f t="shared" si="7"/>
        <v>187</v>
      </c>
      <c r="N251" t="str">
        <f ca="1">IF(TRIM(SUBSTITUTE($B251,CHAR(160)," "))="","",IFERROR(IF(ISNUMBER(SEARCH("INC",$B251)),"INC",IF(ISNUMBER(SEARCH("OPI",$B251)),"OPI",IF(ISNUMBER(SEARCH("DP",$B251)),"DP","CONC")))&amp;" "&amp;TEXT(LOOKUP(9.99E+307,--MID(SUBSTITUTE($B251,CHAR(160)," "),SUMPRODUCT(MIN(FIND({0,1,2,3,4,5,6,7,8,9},SUBSTITUTE($B251,CHAR(160)," ")&amp;"0123456789"))),ROW(INDIRECT("1:6")))),"0"),"SIN NUMERO"))</f>
        <v>CONC 2079</v>
      </c>
      <c r="O251" t="str">
        <f ca="1">IF($N251="","",IF(LEFT(UPPER($P251),9)="VERIFICAR","VERIFICAR",IF(AND($H251&lt;&gt;"",COUNTIFS($N$2:$N$1000,$N251,$H$2:$H$1000,$H251)&gt;1),"DUPLICADA",IF(TRIM(IF($A251="","tipo ","")&amp;IF($F251="","fecha de firma ","")&amp;IF($G251="","decisión ","")&amp;IF($H251="","N° resolución ","")&amp;IF($I251="","N° dictamen",""))&lt;&gt;"","INCOMPLETA: "&amp;TRIM(IF($A251="","tipo ","")&amp;IF($F251="","fecha de firma ","")&amp;IF($G251="","decisión ","")&amp;IF($H251="","N° resolución ","")&amp;IF($I251="","N° dictamen","")),IF(LEFT($N251,4)&lt;&gt;"CONC","OK",IF(N($Q251)=0,IF(AND(ISNUMBER($E251),$E251&gt;=DATE(2024,1,1)),"FALTA EN evol_conc","OK"),IF(INDEX(evol_conc!$H:$H,$Q251)&lt;&gt;$F251,"FIRMA DISTINTA EN evol_conc ("&amp;IF(INDEX(evol_conc!$H:$H,$Q251)="","vacía",DAY(INDEX(evol_conc!$H:$H,$Q251))&amp;"/"&amp;MONTH(INDEX(evol_conc!$H:$H,$Q251))&amp;"/"&amp;YEAR(INDEX(evol_conc!$H:$H,$Q251)))&amp;")",IF(INDEX(evol_conc!$G:$G,$Q251)&lt;&gt;$E251,"INGRESO DISTINTO EN evol_conc ("&amp;IF(INDEX(evol_conc!$G:$G,$Q251)="","vacía",DAY(INDEX(evol_conc!$G:$G,$Q251))&amp;"/"&amp;MONTH(INDEX(evol_conc!$G:$G,$Q251))&amp;"/"&amp;YEAR(INDEX(evol_conc!$G:$G,$Q251)))&amp;")","OK"))))))))</f>
        <v>OK</v>
      </c>
      <c r="Q251">
        <f ca="1">IF($N251="","",IFERROR(MATCH($N251,evol_conc!$P:$P,0),0))</f>
        <v>157</v>
      </c>
    </row>
    <row r="252" spans="1:17" ht="18" customHeight="1" x14ac:dyDescent="0.25">
      <c r="A252" t="s">
        <v>547</v>
      </c>
      <c r="B252" t="s">
        <v>1726</v>
      </c>
      <c r="D252" t="s">
        <v>1727</v>
      </c>
      <c r="E252" s="16">
        <v>46001</v>
      </c>
      <c r="F252" s="16">
        <v>46196</v>
      </c>
      <c r="G252" s="16" t="s">
        <v>1551</v>
      </c>
      <c r="H252" t="s">
        <v>1728</v>
      </c>
      <c r="I252" t="s">
        <v>1729</v>
      </c>
      <c r="J252" t="s">
        <v>1730</v>
      </c>
      <c r="K252" t="s">
        <v>560</v>
      </c>
      <c r="L252" s="53">
        <f t="shared" si="6"/>
        <v>6.5</v>
      </c>
      <c r="M252" s="19">
        <f t="shared" si="7"/>
        <v>195</v>
      </c>
      <c r="N252" t="str">
        <f ca="1">IF(TRIM(SUBSTITUTE($B252,CHAR(160)," "))="","",IFERROR(IF(ISNUMBER(SEARCH("INC",$B252)),"INC",IF(ISNUMBER(SEARCH("OPI",$B252)),"OPI",IF(ISNUMBER(SEARCH("DP",$B252)),"DP","CONC")))&amp;" "&amp;TEXT(LOOKUP(9.99E+307,--MID(SUBSTITUTE($B252,CHAR(160)," "),SUMPRODUCT(MIN(FIND({0,1,2,3,4,5,6,7,8,9},SUBSTITUTE($B252,CHAR(160)," ")&amp;"0123456789"))),ROW(INDIRECT("1:6")))),"0"),"SIN NUMERO"))</f>
        <v>CONC 2078</v>
      </c>
      <c r="O252" t="str">
        <f ca="1">IF($N252="","",IF(LEFT(UPPER($P252),9)="VERIFICAR","VERIFICAR",IF(AND($H252&lt;&gt;"",COUNTIFS($N$2:$N$1000,$N252,$H$2:$H$1000,$H252)&gt;1),"DUPLICADA",IF(TRIM(IF($A252="","tipo ","")&amp;IF($F252="","fecha de firma ","")&amp;IF($G252="","decisión ","")&amp;IF($H252="","N° resolución ","")&amp;IF($I252="","N° dictamen",""))&lt;&gt;"","INCOMPLETA: "&amp;TRIM(IF($A252="","tipo ","")&amp;IF($F252="","fecha de firma ","")&amp;IF($G252="","decisión ","")&amp;IF($H252="","N° resolución ","")&amp;IF($I252="","N° dictamen","")),IF(LEFT($N252,4)&lt;&gt;"CONC","OK",IF(N($Q252)=0,IF(AND(ISNUMBER($E252),$E252&gt;=DATE(2024,1,1)),"FALTA EN evol_conc","OK"),IF(INDEX(evol_conc!$H:$H,$Q252)&lt;&gt;$F252,"FIRMA DISTINTA EN evol_conc ("&amp;IF(INDEX(evol_conc!$H:$H,$Q252)="","vacía",DAY(INDEX(evol_conc!$H:$H,$Q252))&amp;"/"&amp;MONTH(INDEX(evol_conc!$H:$H,$Q252))&amp;"/"&amp;YEAR(INDEX(evol_conc!$H:$H,$Q252)))&amp;")",IF(INDEX(evol_conc!$G:$G,$Q252)&lt;&gt;$E252,"INGRESO DISTINTO EN evol_conc ("&amp;IF(INDEX(evol_conc!$G:$G,$Q252)="","vacía",DAY(INDEX(evol_conc!$G:$G,$Q252))&amp;"/"&amp;MONTH(INDEX(evol_conc!$G:$G,$Q252))&amp;"/"&amp;YEAR(INDEX(evol_conc!$G:$G,$Q252)))&amp;")","OK"))))))))</f>
        <v>OK</v>
      </c>
      <c r="Q252">
        <f ca="1">IF($N252="","",IFERROR(MATCH($N252,evol_conc!$P:$P,0),0))</f>
        <v>156</v>
      </c>
    </row>
    <row r="253" spans="1:17" ht="18" customHeight="1" x14ac:dyDescent="0.25">
      <c r="A253" t="s">
        <v>624</v>
      </c>
      <c r="B253" t="s">
        <v>1731</v>
      </c>
      <c r="D253" t="s">
        <v>1732</v>
      </c>
      <c r="E253" s="16">
        <v>46034</v>
      </c>
      <c r="F253" s="16">
        <v>46197</v>
      </c>
      <c r="G253" s="16" t="s">
        <v>1598</v>
      </c>
      <c r="H253" t="s">
        <v>1733</v>
      </c>
      <c r="I253" t="s">
        <v>1734</v>
      </c>
      <c r="J253" t="s">
        <v>1735</v>
      </c>
      <c r="K253" t="s">
        <v>554</v>
      </c>
      <c r="L253" s="53">
        <f t="shared" si="6"/>
        <v>5.4333333333333336</v>
      </c>
      <c r="M253" s="19">
        <f t="shared" si="7"/>
        <v>163</v>
      </c>
      <c r="N253" t="str">
        <f ca="1">IF(TRIM(SUBSTITUTE($B253,CHAR(160)," "))="","",IFERROR(IF(ISNUMBER(SEARCH("INC",$B253)),"INC",IF(ISNUMBER(SEARCH("OPI",$B253)),"OPI",IF(ISNUMBER(SEARCH("DP",$B253)),"DP","CONC")))&amp;" "&amp;TEXT(LOOKUP(9.99E+307,--MID(SUBSTITUTE($B253,CHAR(160)," "),SUMPRODUCT(MIN(FIND({0,1,2,3,4,5,6,7,8,9},SUBSTITUTE($B253,CHAR(160)," ")&amp;"0123456789"))),ROW(INDIRECT("1:6")))),"0"),"SIN NUMERO"))</f>
        <v>CONC 2086</v>
      </c>
      <c r="O253" t="str">
        <f ca="1">IF($N253="","",IF(LEFT(UPPER($P253),9)="VERIFICAR","VERIFICAR",IF(AND($H253&lt;&gt;"",COUNTIFS($N$2:$N$1000,$N253,$H$2:$H$1000,$H253)&gt;1),"DUPLICADA",IF(TRIM(IF($A253="","tipo ","")&amp;IF($F253="","fecha de firma ","")&amp;IF($G253="","decisión ","")&amp;IF($H253="","N° resolución ","")&amp;IF($I253="","N° dictamen",""))&lt;&gt;"","INCOMPLETA: "&amp;TRIM(IF($A253="","tipo ","")&amp;IF($F253="","fecha de firma ","")&amp;IF($G253="","decisión ","")&amp;IF($H253="","N° resolución ","")&amp;IF($I253="","N° dictamen","")),IF(LEFT($N253,4)&lt;&gt;"CONC","OK",IF(N($Q253)=0,IF(AND(ISNUMBER($E253),$E253&gt;=DATE(2024,1,1)),"FALTA EN evol_conc","OK"),IF(INDEX(evol_conc!$H:$H,$Q253)&lt;&gt;$F253,"FIRMA DISTINTA EN evol_conc ("&amp;IF(INDEX(evol_conc!$H:$H,$Q253)="","vacía",DAY(INDEX(evol_conc!$H:$H,$Q253))&amp;"/"&amp;MONTH(INDEX(evol_conc!$H:$H,$Q253))&amp;"/"&amp;YEAR(INDEX(evol_conc!$H:$H,$Q253)))&amp;")",IF(INDEX(evol_conc!$G:$G,$Q253)&lt;&gt;$E253,"INGRESO DISTINTO EN evol_conc ("&amp;IF(INDEX(evol_conc!$G:$G,$Q253)="","vacía",DAY(INDEX(evol_conc!$G:$G,$Q253))&amp;"/"&amp;MONTH(INDEX(evol_conc!$G:$G,$Q253))&amp;"/"&amp;YEAR(INDEX(evol_conc!$G:$G,$Q253)))&amp;")","OK"))))))))</f>
        <v>OK</v>
      </c>
      <c r="Q253">
        <f ca="1">IF($N253="","",IFERROR(MATCH($N253,evol_conc!$P:$P,0),0))</f>
        <v>164</v>
      </c>
    </row>
    <row r="254" spans="1:17" ht="18" customHeight="1" x14ac:dyDescent="0.25">
      <c r="A254" t="s">
        <v>624</v>
      </c>
      <c r="B254" t="s">
        <v>1736</v>
      </c>
      <c r="D254" t="s">
        <v>1737</v>
      </c>
      <c r="E254" s="16">
        <v>46164</v>
      </c>
      <c r="F254" s="16">
        <v>46199</v>
      </c>
      <c r="G254" s="16" t="s">
        <v>1598</v>
      </c>
      <c r="H254" t="s">
        <v>1738</v>
      </c>
      <c r="I254" t="s">
        <v>1739</v>
      </c>
      <c r="J254" t="s">
        <v>1450</v>
      </c>
      <c r="K254" t="s">
        <v>560</v>
      </c>
      <c r="L254" s="53">
        <f t="shared" si="6"/>
        <v>1.1666666666666667</v>
      </c>
      <c r="M254" s="19">
        <f t="shared" si="7"/>
        <v>35</v>
      </c>
      <c r="N254" t="str">
        <f ca="1">IF(TRIM(SUBSTITUTE($B254,CHAR(160)," "))="","",IFERROR(IF(ISNUMBER(SEARCH("INC",$B254)),"INC",IF(ISNUMBER(SEARCH("OPI",$B254)),"OPI",IF(ISNUMBER(SEARCH("DP",$B254)),"DP","CONC")))&amp;" "&amp;TEXT(LOOKUP(9.99E+307,--MID(SUBSTITUTE($B254,CHAR(160)," "),SUMPRODUCT(MIN(FIND({0,1,2,3,4,5,6,7,8,9},SUBSTITUTE($B254,CHAR(160)," ")&amp;"0123456789"))),ROW(INDIRECT("1:6")))),"0"),"SIN NUMERO"))</f>
        <v>CONC 2110</v>
      </c>
      <c r="O254" t="str">
        <f ca="1">IF($N254="","",IF(LEFT(UPPER($P254),9)="VERIFICAR","VERIFICAR",IF(AND($H254&lt;&gt;"",COUNTIFS($N$2:$N$1000,$N254,$H$2:$H$1000,$H254)&gt;1),"DUPLICADA",IF(TRIM(IF($A254="","tipo ","")&amp;IF($F254="","fecha de firma ","")&amp;IF($G254="","decisión ","")&amp;IF($H254="","N° resolución ","")&amp;IF($I254="","N° dictamen",""))&lt;&gt;"","INCOMPLETA: "&amp;TRIM(IF($A254="","tipo ","")&amp;IF($F254="","fecha de firma ","")&amp;IF($G254="","decisión ","")&amp;IF($H254="","N° resolución ","")&amp;IF($I254="","N° dictamen","")),IF(LEFT($N254,4)&lt;&gt;"CONC","OK",IF(N($Q254)=0,IF(AND(ISNUMBER($E254),$E254&gt;=DATE(2024,1,1)),"FALTA EN evol_conc","OK"),IF(INDEX(evol_conc!$H:$H,$Q254)&lt;&gt;$F254,"FIRMA DISTINTA EN evol_conc ("&amp;IF(INDEX(evol_conc!$H:$H,$Q254)="","vacía",DAY(INDEX(evol_conc!$H:$H,$Q254))&amp;"/"&amp;MONTH(INDEX(evol_conc!$H:$H,$Q254))&amp;"/"&amp;YEAR(INDEX(evol_conc!$H:$H,$Q254)))&amp;")",IF(INDEX(evol_conc!$G:$G,$Q254)&lt;&gt;$E254,"INGRESO DISTINTO EN evol_conc ("&amp;IF(INDEX(evol_conc!$G:$G,$Q254)="","vacía",DAY(INDEX(evol_conc!$G:$G,$Q254))&amp;"/"&amp;MONTH(INDEX(evol_conc!$G:$G,$Q254))&amp;"/"&amp;YEAR(INDEX(evol_conc!$G:$G,$Q254)))&amp;")","OK"))))))))</f>
        <v>OK</v>
      </c>
      <c r="Q254">
        <f ca="1">IF($N254="","",IFERROR(MATCH($N254,evol_conc!$P:$P,0),0))</f>
        <v>188</v>
      </c>
    </row>
    <row r="255" spans="1:17" ht="18" customHeight="1" x14ac:dyDescent="0.25">
      <c r="A255" s="44" t="s">
        <v>547</v>
      </c>
      <c r="B255" s="44" t="s">
        <v>1740</v>
      </c>
      <c r="D255" s="44" t="s">
        <v>1741</v>
      </c>
      <c r="E255" s="26">
        <v>45281</v>
      </c>
      <c r="F255" s="26">
        <v>46203</v>
      </c>
      <c r="G255" s="44" t="s">
        <v>1742</v>
      </c>
      <c r="H255" s="44" t="s">
        <v>1743</v>
      </c>
      <c r="I255" s="44" t="s">
        <v>1744</v>
      </c>
      <c r="J255" s="44" t="s">
        <v>1745</v>
      </c>
      <c r="K255" s="44" t="s">
        <v>560</v>
      </c>
      <c r="L255" s="53">
        <f t="shared" si="6"/>
        <v>30.733333333333334</v>
      </c>
      <c r="M255" s="19">
        <f t="shared" si="7"/>
        <v>922</v>
      </c>
      <c r="N255" t="str">
        <f ca="1">IF(TRIM(SUBSTITUTE($B255,CHAR(160)," "))="","",IFERROR(IF(ISNUMBER(SEARCH("INC",$B255)),"INC",IF(ISNUMBER(SEARCH("OPI",$B255)),"OPI",IF(ISNUMBER(SEARCH("DP",$B255)),"DP","CONC")))&amp;" "&amp;TEXT(LOOKUP(9.99E+307,--MID(SUBSTITUTE($B255,CHAR(160)," "),SUMPRODUCT(MIN(FIND({0,1,2,3,4,5,6,7,8,9},SUBSTITUTE($B255,CHAR(160)," ")&amp;"0123456789"))),ROW(INDIRECT("1:6")))),"0"),"SIN NUMERO"))</f>
        <v>CONC 1955</v>
      </c>
      <c r="O255" t="str">
        <f ca="1">IF($N255="","",IF(LEFT(UPPER($P255),9)="VERIFICAR","VERIFICAR",IF(AND($H255&lt;&gt;"",COUNTIFS($N$2:$N$1000,$N255,$H$2:$H$1000,$H255)&gt;1),"DUPLICADA",IF(TRIM(IF($A255="","tipo ","")&amp;IF($F255="","fecha de firma ","")&amp;IF($G255="","decisión ","")&amp;IF($H255="","N° resolución ","")&amp;IF($I255="","N° dictamen",""))&lt;&gt;"","INCOMPLETA: "&amp;TRIM(IF($A255="","tipo ","")&amp;IF($F255="","fecha de firma ","")&amp;IF($G255="","decisión ","")&amp;IF($H255="","N° resolución ","")&amp;IF($I255="","N° dictamen","")),IF(LEFT($N255,4)&lt;&gt;"CONC","OK",IF(N($Q255)=0,IF(AND(ISNUMBER($E255),$E255&gt;=DATE(2024,1,1)),"FALTA EN evol_conc","OK"),IF(INDEX(evol_conc!$H:$H,$Q255)&lt;&gt;$F255,"FIRMA DISTINTA EN evol_conc ("&amp;IF(INDEX(evol_conc!$H:$H,$Q255)="","vacía",DAY(INDEX(evol_conc!$H:$H,$Q255))&amp;"/"&amp;MONTH(INDEX(evol_conc!$H:$H,$Q255))&amp;"/"&amp;YEAR(INDEX(evol_conc!$H:$H,$Q255)))&amp;")",IF(INDEX(evol_conc!$G:$G,$Q255)&lt;&gt;$E255,"INGRESO DISTINTO EN evol_conc ("&amp;IF(INDEX(evol_conc!$G:$G,$Q255)="","vacía",DAY(INDEX(evol_conc!$G:$G,$Q255))&amp;"/"&amp;MONTH(INDEX(evol_conc!$G:$G,$Q255))&amp;"/"&amp;YEAR(INDEX(evol_conc!$G:$G,$Q255)))&amp;")","OK"))))))))</f>
        <v>OK</v>
      </c>
      <c r="Q255">
        <f ca="1">IF($N255="","",IFERROR(MATCH($N255,evol_conc!$P:$P,0),0))</f>
        <v>33</v>
      </c>
    </row>
    <row r="256" spans="1:17" ht="18" customHeight="1" x14ac:dyDescent="0.25">
      <c r="A256" t="s">
        <v>624</v>
      </c>
      <c r="B256" t="s">
        <v>1746</v>
      </c>
      <c r="D256" t="s">
        <v>1747</v>
      </c>
      <c r="E256" s="16">
        <v>46189</v>
      </c>
      <c r="F256" s="16">
        <v>46203</v>
      </c>
      <c r="G256" s="16" t="s">
        <v>1598</v>
      </c>
      <c r="H256" t="s">
        <v>1748</v>
      </c>
      <c r="I256" t="s">
        <v>1749</v>
      </c>
      <c r="J256" t="s">
        <v>1750</v>
      </c>
      <c r="K256" t="s">
        <v>592</v>
      </c>
      <c r="L256" s="53">
        <f t="shared" si="6"/>
        <v>0.46666666666666667</v>
      </c>
      <c r="M256" s="19">
        <f t="shared" si="7"/>
        <v>14</v>
      </c>
      <c r="N256" t="str">
        <f ca="1">IF(TRIM(SUBSTITUTE($B256,CHAR(160)," "))="","",IFERROR(IF(ISNUMBER(SEARCH("INC",$B256)),"INC",IF(ISNUMBER(SEARCH("OPI",$B256)),"OPI",IF(ISNUMBER(SEARCH("DP",$B256)),"DP","CONC")))&amp;" "&amp;TEXT(LOOKUP(9.99E+307,--MID(SUBSTITUTE($B256,CHAR(160)," "),SUMPRODUCT(MIN(FIND({0,1,2,3,4,5,6,7,8,9},SUBSTITUTE($B256,CHAR(160)," ")&amp;"0123456789"))),ROW(INDIRECT("1:6")))),"0"),"SIN NUMERO"))</f>
        <v>CONC 2123</v>
      </c>
      <c r="O256" t="str">
        <f ca="1">IF($N256="","",IF(LEFT(UPPER($P256),9)="VERIFICAR","VERIFICAR",IF(AND($H256&lt;&gt;"",COUNTIFS($N$2:$N$1000,$N256,$H$2:$H$1000,$H256)&gt;1),"DUPLICADA",IF(TRIM(IF($A256="","tipo ","")&amp;IF($F256="","fecha de firma ","")&amp;IF($G256="","decisión ","")&amp;IF($H256="","N° resolución ","")&amp;IF($I256="","N° dictamen",""))&lt;&gt;"","INCOMPLETA: "&amp;TRIM(IF($A256="","tipo ","")&amp;IF($F256="","fecha de firma ","")&amp;IF($G256="","decisión ","")&amp;IF($H256="","N° resolución ","")&amp;IF($I256="","N° dictamen","")),IF(LEFT($N256,4)&lt;&gt;"CONC","OK",IF(N($Q256)=0,IF(AND(ISNUMBER($E256),$E256&gt;=DATE(2024,1,1)),"FALTA EN evol_conc","OK"),IF(INDEX(evol_conc!$H:$H,$Q256)&lt;&gt;$F256,"FIRMA DISTINTA EN evol_conc ("&amp;IF(INDEX(evol_conc!$H:$H,$Q256)="","vacía",DAY(INDEX(evol_conc!$H:$H,$Q256))&amp;"/"&amp;MONTH(INDEX(evol_conc!$H:$H,$Q256))&amp;"/"&amp;YEAR(INDEX(evol_conc!$H:$H,$Q256)))&amp;")",IF(INDEX(evol_conc!$G:$G,$Q256)&lt;&gt;$E256,"INGRESO DISTINTO EN evol_conc ("&amp;IF(INDEX(evol_conc!$G:$G,$Q256)="","vacía",DAY(INDEX(evol_conc!$G:$G,$Q256))&amp;"/"&amp;MONTH(INDEX(evol_conc!$G:$G,$Q256))&amp;"/"&amp;YEAR(INDEX(evol_conc!$G:$G,$Q256)))&amp;")","OK"))))))))</f>
        <v>OK</v>
      </c>
      <c r="Q256">
        <f ca="1">IF($N256="","",IFERROR(MATCH($N256,evol_conc!$P:$P,0),0))</f>
        <v>201</v>
      </c>
    </row>
    <row r="257" spans="1:17" ht="18" customHeight="1" x14ac:dyDescent="0.25">
      <c r="A257" t="s">
        <v>624</v>
      </c>
      <c r="B257" t="s">
        <v>1751</v>
      </c>
      <c r="D257" t="s">
        <v>1752</v>
      </c>
      <c r="E257" s="16">
        <v>46185</v>
      </c>
      <c r="F257" s="16">
        <v>46206</v>
      </c>
      <c r="G257" s="16" t="s">
        <v>1598</v>
      </c>
      <c r="H257" t="s">
        <v>1753</v>
      </c>
      <c r="I257" t="s">
        <v>1754</v>
      </c>
      <c r="J257" t="s">
        <v>1755</v>
      </c>
      <c r="K257" t="s">
        <v>581</v>
      </c>
      <c r="L257" s="53">
        <f t="shared" si="6"/>
        <v>0.7</v>
      </c>
      <c r="M257" s="19">
        <f t="shared" si="7"/>
        <v>21</v>
      </c>
      <c r="N257" t="str">
        <f ca="1">IF(TRIM(SUBSTITUTE($B257,CHAR(160)," "))="","",IFERROR(IF(ISNUMBER(SEARCH("INC",$B257)),"INC",IF(ISNUMBER(SEARCH("OPI",$B257)),"OPI",IF(ISNUMBER(SEARCH("DP",$B257)),"DP","CONC")))&amp;" "&amp;TEXT(LOOKUP(9.99E+307,--MID(SUBSTITUTE($B257,CHAR(160)," "),SUMPRODUCT(MIN(FIND({0,1,2,3,4,5,6,7,8,9},SUBSTITUTE($B257,CHAR(160)," ")&amp;"0123456789"))),ROW(INDIRECT("1:6")))),"0"),"SIN NUMERO"))</f>
        <v>CONC 2122</v>
      </c>
      <c r="O257" t="str">
        <f ca="1">IF($N257="","",IF(LEFT(UPPER($P257),9)="VERIFICAR","VERIFICAR",IF(AND($H257&lt;&gt;"",COUNTIFS($N$2:$N$1000,$N257,$H$2:$H$1000,$H257)&gt;1),"DUPLICADA",IF(TRIM(IF($A257="","tipo ","")&amp;IF($F257="","fecha de firma ","")&amp;IF($G257="","decisión ","")&amp;IF($H257="","N° resolución ","")&amp;IF($I257="","N° dictamen",""))&lt;&gt;"","INCOMPLETA: "&amp;TRIM(IF($A257="","tipo ","")&amp;IF($F257="","fecha de firma ","")&amp;IF($G257="","decisión ","")&amp;IF($H257="","N° resolución ","")&amp;IF($I257="","N° dictamen","")),IF(LEFT($N257,4)&lt;&gt;"CONC","OK",IF(N($Q257)=0,IF(AND(ISNUMBER($E257),$E257&gt;=DATE(2024,1,1)),"FALTA EN evol_conc","OK"),IF(INDEX(evol_conc!$H:$H,$Q257)&lt;&gt;$F257,"FIRMA DISTINTA EN evol_conc ("&amp;IF(INDEX(evol_conc!$H:$H,$Q257)="","vacía",DAY(INDEX(evol_conc!$H:$H,$Q257))&amp;"/"&amp;MONTH(INDEX(evol_conc!$H:$H,$Q257))&amp;"/"&amp;YEAR(INDEX(evol_conc!$H:$H,$Q257)))&amp;")",IF(INDEX(evol_conc!$G:$G,$Q257)&lt;&gt;$E257,"INGRESO DISTINTO EN evol_conc ("&amp;IF(INDEX(evol_conc!$G:$G,$Q257)="","vacía",DAY(INDEX(evol_conc!$G:$G,$Q257))&amp;"/"&amp;MONTH(INDEX(evol_conc!$G:$G,$Q257))&amp;"/"&amp;YEAR(INDEX(evol_conc!$G:$G,$Q257)))&amp;")","OK"))))))))</f>
        <v>OK</v>
      </c>
      <c r="Q257">
        <f ca="1">IF($N257="","",IFERROR(MATCH($N257,evol_conc!$P:$P,0),0))</f>
        <v>200</v>
      </c>
    </row>
    <row r="258" spans="1:17" ht="18" customHeight="1" x14ac:dyDescent="0.25">
      <c r="A258" t="s">
        <v>624</v>
      </c>
      <c r="B258" t="s">
        <v>1756</v>
      </c>
      <c r="D258" t="s">
        <v>1757</v>
      </c>
      <c r="E258" s="16">
        <v>46199</v>
      </c>
      <c r="F258" s="16">
        <v>46211</v>
      </c>
      <c r="G258" s="16" t="s">
        <v>1598</v>
      </c>
      <c r="H258" t="s">
        <v>1758</v>
      </c>
      <c r="I258" t="s">
        <v>1759</v>
      </c>
      <c r="J258" t="s">
        <v>1760</v>
      </c>
      <c r="K258" t="s">
        <v>560</v>
      </c>
      <c r="L258" s="53">
        <f t="shared" ref="L258:L321" si="8">IF(OR($E258="",$F258=""),"",($F258-$E258)/30)</f>
        <v>0.4</v>
      </c>
      <c r="M258" s="19">
        <f t="shared" ref="M258:M321" si="9">IF(OR($E258="",$F258=""),"",$F258-$E258)</f>
        <v>12</v>
      </c>
      <c r="N258" t="str">
        <f ca="1">IF(TRIM(SUBSTITUTE($B258,CHAR(160)," "))="","",IFERROR(IF(ISNUMBER(SEARCH("INC",$B258)),"INC",IF(ISNUMBER(SEARCH("OPI",$B258)),"OPI",IF(ISNUMBER(SEARCH("DP",$B258)),"DP","CONC")))&amp;" "&amp;TEXT(LOOKUP(9.99E+307,--MID(SUBSTITUTE($B258,CHAR(160)," "),SUMPRODUCT(MIN(FIND({0,1,2,3,4,5,6,7,8,9},SUBSTITUTE($B258,CHAR(160)," ")&amp;"0123456789"))),ROW(INDIRECT("1:6")))),"0"),"SIN NUMERO"))</f>
        <v>CONC 2126</v>
      </c>
      <c r="O258" t="str">
        <f ca="1">IF($N258="","",IF(LEFT(UPPER($P258),9)="VERIFICAR","VERIFICAR",IF(AND($H258&lt;&gt;"",COUNTIFS($N$2:$N$1000,$N258,$H$2:$H$1000,$H258)&gt;1),"DUPLICADA",IF(TRIM(IF($A258="","tipo ","")&amp;IF($F258="","fecha de firma ","")&amp;IF($G258="","decisión ","")&amp;IF($H258="","N° resolución ","")&amp;IF($I258="","N° dictamen",""))&lt;&gt;"","INCOMPLETA: "&amp;TRIM(IF($A258="","tipo ","")&amp;IF($F258="","fecha de firma ","")&amp;IF($G258="","decisión ","")&amp;IF($H258="","N° resolución ","")&amp;IF($I258="","N° dictamen","")),IF(LEFT($N258,4)&lt;&gt;"CONC","OK",IF(N($Q258)=0,IF(AND(ISNUMBER($E258),$E258&gt;=DATE(2024,1,1)),"FALTA EN evol_conc","OK"),IF(INDEX(evol_conc!$H:$H,$Q258)&lt;&gt;$F258,"FIRMA DISTINTA EN evol_conc ("&amp;IF(INDEX(evol_conc!$H:$H,$Q258)="","vacía",DAY(INDEX(evol_conc!$H:$H,$Q258))&amp;"/"&amp;MONTH(INDEX(evol_conc!$H:$H,$Q258))&amp;"/"&amp;YEAR(INDEX(evol_conc!$H:$H,$Q258)))&amp;")",IF(INDEX(evol_conc!$G:$G,$Q258)&lt;&gt;$E258,"INGRESO DISTINTO EN evol_conc ("&amp;IF(INDEX(evol_conc!$G:$G,$Q258)="","vacía",DAY(INDEX(evol_conc!$G:$G,$Q258))&amp;"/"&amp;MONTH(INDEX(evol_conc!$G:$G,$Q258))&amp;"/"&amp;YEAR(INDEX(evol_conc!$G:$G,$Q258)))&amp;")","OK"))))))))</f>
        <v>OK</v>
      </c>
      <c r="Q258">
        <f ca="1">IF($N258="","",IFERROR(MATCH($N258,evol_conc!$P:$P,0),0))</f>
        <v>204</v>
      </c>
    </row>
    <row r="259" spans="1:17" ht="18" customHeight="1" x14ac:dyDescent="0.25">
      <c r="A259" t="s">
        <v>547</v>
      </c>
      <c r="B259" t="s">
        <v>1761</v>
      </c>
      <c r="D259" t="s">
        <v>1762</v>
      </c>
      <c r="E259" s="16">
        <v>46071</v>
      </c>
      <c r="F259" s="16">
        <v>46220</v>
      </c>
      <c r="G259" s="16" t="s">
        <v>1763</v>
      </c>
      <c r="H259" t="s">
        <v>1764</v>
      </c>
      <c r="I259" t="s">
        <v>1765</v>
      </c>
      <c r="J259" t="s">
        <v>1766</v>
      </c>
      <c r="K259" t="s">
        <v>592</v>
      </c>
      <c r="L259" s="53">
        <f t="shared" si="8"/>
        <v>4.9666666666666668</v>
      </c>
      <c r="M259" s="19">
        <f t="shared" si="9"/>
        <v>149</v>
      </c>
      <c r="N259" t="str">
        <f ca="1">IF(TRIM(SUBSTITUTE($B259,CHAR(160)," "))="","",IFERROR(IF(ISNUMBER(SEARCH("INC",$B259)),"INC",IF(ISNUMBER(SEARCH("OPI",$B259)),"OPI",IF(ISNUMBER(SEARCH("DP",$B259)),"DP","CONC")))&amp;" "&amp;TEXT(LOOKUP(9.99E+307,--MID(SUBSTITUTE($B259,CHAR(160)," "),SUMPRODUCT(MIN(FIND({0,1,2,3,4,5,6,7,8,9},SUBSTITUTE($B259,CHAR(160)," ")&amp;"0123456789"))),ROW(INDIRECT("1:6")))),"0"),"SIN NUMERO"))</f>
        <v>CONC 2091</v>
      </c>
      <c r="O259" t="str">
        <f ca="1">IF($N259="","",IF(LEFT(UPPER($P259),9)="VERIFICAR","VERIFICAR",IF(AND($H259&lt;&gt;"",COUNTIFS($N$2:$N$1000,$N259,$H$2:$H$1000,$H259)&gt;1),"DUPLICADA",IF(TRIM(IF($A259="","tipo ","")&amp;IF($F259="","fecha de firma ","")&amp;IF($G259="","decisión ","")&amp;IF($H259="","N° resolución ","")&amp;IF($I259="","N° dictamen",""))&lt;&gt;"","INCOMPLETA: "&amp;TRIM(IF($A259="","tipo ","")&amp;IF($F259="","fecha de firma ","")&amp;IF($G259="","decisión ","")&amp;IF($H259="","N° resolución ","")&amp;IF($I259="","N° dictamen","")),IF(LEFT($N259,4)&lt;&gt;"CONC","OK",IF(N($Q259)=0,IF(AND(ISNUMBER($E259),$E259&gt;=DATE(2024,1,1)),"FALTA EN evol_conc","OK"),IF(INDEX(evol_conc!$H:$H,$Q259)&lt;&gt;$F259,"FIRMA DISTINTA EN evol_conc ("&amp;IF(INDEX(evol_conc!$H:$H,$Q259)="","vacía",DAY(INDEX(evol_conc!$H:$H,$Q259))&amp;"/"&amp;MONTH(INDEX(evol_conc!$H:$H,$Q259))&amp;"/"&amp;YEAR(INDEX(evol_conc!$H:$H,$Q259)))&amp;")",IF(INDEX(evol_conc!$G:$G,$Q259)&lt;&gt;$E259,"INGRESO DISTINTO EN evol_conc ("&amp;IF(INDEX(evol_conc!$G:$G,$Q259)="","vacía",DAY(INDEX(evol_conc!$G:$G,$Q259))&amp;"/"&amp;MONTH(INDEX(evol_conc!$G:$G,$Q259))&amp;"/"&amp;YEAR(INDEX(evol_conc!$G:$G,$Q259)))&amp;")","OK"))))))))</f>
        <v>OK</v>
      </c>
      <c r="Q259">
        <f ca="1">IF($N259="","",IFERROR(MATCH($N259,evol_conc!$P:$P,0),0))</f>
        <v>169</v>
      </c>
    </row>
    <row r="260" spans="1:17" ht="18" customHeight="1" x14ac:dyDescent="0.25">
      <c r="A260" t="s">
        <v>547</v>
      </c>
      <c r="B260" t="s">
        <v>1767</v>
      </c>
      <c r="D260" t="s">
        <v>1768</v>
      </c>
      <c r="E260" s="16">
        <v>45684</v>
      </c>
      <c r="F260" s="16">
        <v>46224</v>
      </c>
      <c r="G260" s="16" t="s">
        <v>1551</v>
      </c>
      <c r="H260" s="16" t="s">
        <v>1769</v>
      </c>
      <c r="I260" t="s">
        <v>1770</v>
      </c>
      <c r="J260" t="s">
        <v>1771</v>
      </c>
      <c r="K260" t="s">
        <v>560</v>
      </c>
      <c r="L260" s="53">
        <f t="shared" si="8"/>
        <v>18</v>
      </c>
      <c r="M260" s="19">
        <f t="shared" si="9"/>
        <v>540</v>
      </c>
      <c r="N260" t="str">
        <f ca="1">IF(TRIM(SUBSTITUTE($B260,CHAR(160)," "))="","",IFERROR(IF(ISNUMBER(SEARCH("INC",$B260)),"INC",IF(ISNUMBER(SEARCH("OPI",$B260)),"OPI",IF(ISNUMBER(SEARCH("DP",$B260)),"DP","CONC")))&amp;" "&amp;TEXT(LOOKUP(9.99E+307,--MID(SUBSTITUTE($B260,CHAR(160)," "),SUMPRODUCT(MIN(FIND({0,1,2,3,4,5,6,7,8,9},SUBSTITUTE($B260,CHAR(160)," ")&amp;"0123456789"))),ROW(INDIRECT("1:6")))),"0"),"SIN NUMERO"))</f>
        <v>CONC 2019</v>
      </c>
      <c r="O260" t="str">
        <f ca="1">IF($N260="","",IF(LEFT(UPPER($P260),9)="VERIFICAR","VERIFICAR",IF(AND($H260&lt;&gt;"",COUNTIFS($N$2:$N$1000,$N260,$H$2:$H$1000,$H260)&gt;1),"DUPLICADA",IF(TRIM(IF($A260="","tipo ","")&amp;IF($F260="","fecha de firma ","")&amp;IF($G260="","decisión ","")&amp;IF($H260="","N° resolución ","")&amp;IF($I260="","N° dictamen",""))&lt;&gt;"","INCOMPLETA: "&amp;TRIM(IF($A260="","tipo ","")&amp;IF($F260="","fecha de firma ","")&amp;IF($G260="","decisión ","")&amp;IF($H260="","N° resolución ","")&amp;IF($I260="","N° dictamen","")),IF(LEFT($N260,4)&lt;&gt;"CONC","OK",IF(N($Q260)=0,IF(AND(ISNUMBER($E260),$E260&gt;=DATE(2024,1,1)),"FALTA EN evol_conc","OK"),IF(INDEX(evol_conc!$H:$H,$Q260)&lt;&gt;$F260,"FIRMA DISTINTA EN evol_conc ("&amp;IF(INDEX(evol_conc!$H:$H,$Q260)="","vacía",DAY(INDEX(evol_conc!$H:$H,$Q260))&amp;"/"&amp;MONTH(INDEX(evol_conc!$H:$H,$Q260))&amp;"/"&amp;YEAR(INDEX(evol_conc!$H:$H,$Q260)))&amp;")",IF(INDEX(evol_conc!$G:$G,$Q260)&lt;&gt;$E260,"INGRESO DISTINTO EN evol_conc ("&amp;IF(INDEX(evol_conc!$G:$G,$Q260)="","vacía",DAY(INDEX(evol_conc!$G:$G,$Q260))&amp;"/"&amp;MONTH(INDEX(evol_conc!$G:$G,$Q260))&amp;"/"&amp;YEAR(INDEX(evol_conc!$G:$G,$Q260)))&amp;")","OK"))))))))</f>
        <v>OK</v>
      </c>
      <c r="Q260">
        <f ca="1">IF($N260="","",IFERROR(MATCH($N260,evol_conc!$P:$P,0),0))</f>
        <v>96</v>
      </c>
    </row>
    <row r="261" spans="1:17" ht="18" customHeight="1" x14ac:dyDescent="0.25">
      <c r="A261" t="s">
        <v>624</v>
      </c>
      <c r="B261" t="s">
        <v>1772</v>
      </c>
      <c r="D261" t="s">
        <v>1773</v>
      </c>
      <c r="E261" s="16">
        <v>46216</v>
      </c>
      <c r="F261" s="16">
        <v>46224</v>
      </c>
      <c r="G261" s="16" t="s">
        <v>1598</v>
      </c>
      <c r="H261" t="s">
        <v>1774</v>
      </c>
      <c r="I261" t="s">
        <v>1775</v>
      </c>
      <c r="J261" t="s">
        <v>1776</v>
      </c>
      <c r="K261" t="s">
        <v>592</v>
      </c>
      <c r="L261" s="53">
        <f t="shared" si="8"/>
        <v>0.26666666666666666</v>
      </c>
      <c r="M261" s="19">
        <f t="shared" si="9"/>
        <v>8</v>
      </c>
      <c r="N261" t="str">
        <f ca="1">IF(TRIM(SUBSTITUTE($B261,CHAR(160)," "))="","",IFERROR(IF(ISNUMBER(SEARCH("INC",$B261)),"INC",IF(ISNUMBER(SEARCH("OPI",$B261)),"OPI",IF(ISNUMBER(SEARCH("DP",$B261)),"DP","CONC")))&amp;" "&amp;TEXT(LOOKUP(9.99E+307,--MID(SUBSTITUTE($B261,CHAR(160)," "),SUMPRODUCT(MIN(FIND({0,1,2,3,4,5,6,7,8,9},SUBSTITUTE($B261,CHAR(160)," ")&amp;"0123456789"))),ROW(INDIRECT("1:6")))),"0"),"SIN NUMERO"))</f>
        <v>CONC 2129</v>
      </c>
      <c r="O261" t="str">
        <f ca="1">IF($N261="","",IF(LEFT(UPPER($P261),9)="VERIFICAR","VERIFICAR",IF(AND($H261&lt;&gt;"",COUNTIFS($N$2:$N$1000,$N261,$H$2:$H$1000,$H261)&gt;1),"DUPLICADA",IF(TRIM(IF($A261="","tipo ","")&amp;IF($F261="","fecha de firma ","")&amp;IF($G261="","decisión ","")&amp;IF($H261="","N° resolución ","")&amp;IF($I261="","N° dictamen",""))&lt;&gt;"","INCOMPLETA: "&amp;TRIM(IF($A261="","tipo ","")&amp;IF($F261="","fecha de firma ","")&amp;IF($G261="","decisión ","")&amp;IF($H261="","N° resolución ","")&amp;IF($I261="","N° dictamen","")),IF(LEFT($N261,4)&lt;&gt;"CONC","OK",IF(N($Q261)=0,IF(AND(ISNUMBER($E261),$E261&gt;=DATE(2024,1,1)),"FALTA EN evol_conc","OK"),IF(INDEX(evol_conc!$H:$H,$Q261)&lt;&gt;$F261,"FIRMA DISTINTA EN evol_conc ("&amp;IF(INDEX(evol_conc!$H:$H,$Q261)="","vacía",DAY(INDEX(evol_conc!$H:$H,$Q261))&amp;"/"&amp;MONTH(INDEX(evol_conc!$H:$H,$Q261))&amp;"/"&amp;YEAR(INDEX(evol_conc!$H:$H,$Q261)))&amp;")",IF(INDEX(evol_conc!$G:$G,$Q261)&lt;&gt;$E261,"INGRESO DISTINTO EN evol_conc ("&amp;IF(INDEX(evol_conc!$G:$G,$Q261)="","vacía",DAY(INDEX(evol_conc!$G:$G,$Q261))&amp;"/"&amp;MONTH(INDEX(evol_conc!$G:$G,$Q261))&amp;"/"&amp;YEAR(INDEX(evol_conc!$G:$G,$Q261)))&amp;")","OK"))))))))</f>
        <v>OK</v>
      </c>
      <c r="Q261">
        <f ca="1">IF($N261="","",IFERROR(MATCH($N261,evol_conc!$P:$P,0),0))</f>
        <v>206</v>
      </c>
    </row>
    <row r="262" spans="1:17" ht="18" customHeight="1" x14ac:dyDescent="0.25">
      <c r="A262" t="s">
        <v>624</v>
      </c>
      <c r="B262" t="s">
        <v>1777</v>
      </c>
      <c r="D262" t="s">
        <v>1778</v>
      </c>
      <c r="E262" s="16">
        <v>46184</v>
      </c>
      <c r="F262" s="16">
        <v>46225</v>
      </c>
      <c r="G262" s="16" t="s">
        <v>1598</v>
      </c>
      <c r="H262" t="s">
        <v>1779</v>
      </c>
      <c r="I262" t="s">
        <v>1780</v>
      </c>
      <c r="J262" t="s">
        <v>1781</v>
      </c>
      <c r="K262" t="s">
        <v>581</v>
      </c>
      <c r="L262" s="53">
        <f t="shared" si="8"/>
        <v>1.3666666666666667</v>
      </c>
      <c r="M262" s="19">
        <f t="shared" si="9"/>
        <v>41</v>
      </c>
      <c r="N262" t="str">
        <f ca="1">IF(TRIM(SUBSTITUTE($B262,CHAR(160)," "))="","",IFERROR(IF(ISNUMBER(SEARCH("INC",$B262)),"INC",IF(ISNUMBER(SEARCH("OPI",$B262)),"OPI",IF(ISNUMBER(SEARCH("DP",$B262)),"DP","CONC")))&amp;" "&amp;TEXT(LOOKUP(9.99E+307,--MID(SUBSTITUTE($B262,CHAR(160)," "),SUMPRODUCT(MIN(FIND({0,1,2,3,4,5,6,7,8,9},SUBSTITUTE($B262,CHAR(160)," ")&amp;"0123456789"))),ROW(INDIRECT("1:6")))),"0"),"SIN NUMERO"))</f>
        <v>CONC 2120</v>
      </c>
      <c r="O262" t="str">
        <f ca="1">IF($N262="","",IF(LEFT(UPPER($P262),9)="VERIFICAR","VERIFICAR",IF(AND($H262&lt;&gt;"",COUNTIFS($N$2:$N$1000,$N262,$H$2:$H$1000,$H262)&gt;1),"DUPLICADA",IF(TRIM(IF($A262="","tipo ","")&amp;IF($F262="","fecha de firma ","")&amp;IF($G262="","decisión ","")&amp;IF($H262="","N° resolución ","")&amp;IF($I262="","N° dictamen",""))&lt;&gt;"","INCOMPLETA: "&amp;TRIM(IF($A262="","tipo ","")&amp;IF($F262="","fecha de firma ","")&amp;IF($G262="","decisión ","")&amp;IF($H262="","N° resolución ","")&amp;IF($I262="","N° dictamen","")),IF(LEFT($N262,4)&lt;&gt;"CONC","OK",IF(N($Q262)=0,IF(AND(ISNUMBER($E262),$E262&gt;=DATE(2024,1,1)),"FALTA EN evol_conc","OK"),IF(INDEX(evol_conc!$H:$H,$Q262)&lt;&gt;$F262,"FIRMA DISTINTA EN evol_conc ("&amp;IF(INDEX(evol_conc!$H:$H,$Q262)="","vacía",DAY(INDEX(evol_conc!$H:$H,$Q262))&amp;"/"&amp;MONTH(INDEX(evol_conc!$H:$H,$Q262))&amp;"/"&amp;YEAR(INDEX(evol_conc!$H:$H,$Q262)))&amp;")",IF(INDEX(evol_conc!$G:$G,$Q262)&lt;&gt;$E262,"INGRESO DISTINTO EN evol_conc ("&amp;IF(INDEX(evol_conc!$G:$G,$Q262)="","vacía",DAY(INDEX(evol_conc!$G:$G,$Q262))&amp;"/"&amp;MONTH(INDEX(evol_conc!$G:$G,$Q262))&amp;"/"&amp;YEAR(INDEX(evol_conc!$G:$G,$Q262)))&amp;")","OK"))))))))</f>
        <v>OK</v>
      </c>
      <c r="Q262">
        <f ca="1">IF($N262="","",IFERROR(MATCH($N262,evol_conc!$P:$P,0),0))</f>
        <v>198</v>
      </c>
    </row>
    <row r="263" spans="1:17" ht="18" customHeight="1" x14ac:dyDescent="0.25">
      <c r="A263" t="s">
        <v>624</v>
      </c>
      <c r="B263" t="s">
        <v>1782</v>
      </c>
      <c r="D263" t="s">
        <v>1783</v>
      </c>
      <c r="E263" s="16">
        <v>46139</v>
      </c>
      <c r="F263" s="16">
        <v>46231</v>
      </c>
      <c r="G263" s="16" t="s">
        <v>1763</v>
      </c>
      <c r="H263" t="s">
        <v>1784</v>
      </c>
      <c r="I263" t="s">
        <v>1785</v>
      </c>
      <c r="J263" t="s">
        <v>1786</v>
      </c>
      <c r="K263" t="s">
        <v>581</v>
      </c>
      <c r="L263" s="53">
        <f t="shared" si="8"/>
        <v>3.0666666666666669</v>
      </c>
      <c r="M263" s="19">
        <f t="shared" si="9"/>
        <v>92</v>
      </c>
      <c r="N263" t="str">
        <f ca="1">IF(TRIM(SUBSTITUTE($B263,CHAR(160)," "))="","",IFERROR(IF(ISNUMBER(SEARCH("INC",$B263)),"INC",IF(ISNUMBER(SEARCH("OPI",$B263)),"OPI",IF(ISNUMBER(SEARCH("DP",$B263)),"DP","CONC")))&amp;" "&amp;TEXT(LOOKUP(9.99E+307,--MID(SUBSTITUTE($B263,CHAR(160)," "),SUMPRODUCT(MIN(FIND({0,1,2,3,4,5,6,7,8,9},SUBSTITUTE($B263,CHAR(160)," ")&amp;"0123456789"))),ROW(INDIRECT("1:6")))),"0"),"SIN NUMERO"))</f>
        <v>CONC 2100</v>
      </c>
      <c r="O263" t="str">
        <f ca="1">IF($N263="","",IF(LEFT(UPPER($P263),9)="VERIFICAR","VERIFICAR",IF(AND($H263&lt;&gt;"",COUNTIFS($N$2:$N$1000,$N263,$H$2:$H$1000,$H263)&gt;1),"DUPLICADA",IF(TRIM(IF($A263="","tipo ","")&amp;IF($F263="","fecha de firma ","")&amp;IF($G263="","decisión ","")&amp;IF($H263="","N° resolución ","")&amp;IF($I263="","N° dictamen",""))&lt;&gt;"","INCOMPLETA: "&amp;TRIM(IF($A263="","tipo ","")&amp;IF($F263="","fecha de firma ","")&amp;IF($G263="","decisión ","")&amp;IF($H263="","N° resolución ","")&amp;IF($I263="","N° dictamen","")),IF(LEFT($N263,4)&lt;&gt;"CONC","OK",IF(N($Q263)=0,IF(AND(ISNUMBER($E263),$E263&gt;=DATE(2024,1,1)),"FALTA EN evol_conc","OK"),IF(INDEX(evol_conc!$H:$H,$Q263)&lt;&gt;$F263,"FIRMA DISTINTA EN evol_conc ("&amp;IF(INDEX(evol_conc!$H:$H,$Q263)="","vacía",DAY(INDEX(evol_conc!$H:$H,$Q263))&amp;"/"&amp;MONTH(INDEX(evol_conc!$H:$H,$Q263))&amp;"/"&amp;YEAR(INDEX(evol_conc!$H:$H,$Q263)))&amp;")",IF(INDEX(evol_conc!$G:$G,$Q263)&lt;&gt;$E263,"INGRESO DISTINTO EN evol_conc ("&amp;IF(INDEX(evol_conc!$G:$G,$Q263)="","vacía",DAY(INDEX(evol_conc!$G:$G,$Q263))&amp;"/"&amp;MONTH(INDEX(evol_conc!$G:$G,$Q263))&amp;"/"&amp;YEAR(INDEX(evol_conc!$G:$G,$Q263)))&amp;")","OK"))))))))</f>
        <v>OK</v>
      </c>
      <c r="Q263">
        <f ca="1">IF($N263="","",IFERROR(MATCH($N263,evol_conc!$P:$P,0),0))</f>
        <v>178</v>
      </c>
    </row>
    <row r="264" spans="1:17" ht="18" customHeight="1" x14ac:dyDescent="0.25">
      <c r="A264" s="44" t="s">
        <v>624</v>
      </c>
      <c r="B264" s="44" t="s">
        <v>1787</v>
      </c>
      <c r="D264" t="s">
        <v>1788</v>
      </c>
      <c r="E264" s="16">
        <v>46169</v>
      </c>
      <c r="F264" s="16">
        <v>46231</v>
      </c>
      <c r="G264" s="16" t="s">
        <v>1763</v>
      </c>
      <c r="H264" t="s">
        <v>1789</v>
      </c>
      <c r="I264" t="s">
        <v>1790</v>
      </c>
      <c r="J264" t="s">
        <v>1791</v>
      </c>
      <c r="K264" t="s">
        <v>581</v>
      </c>
      <c r="L264" s="53">
        <f t="shared" si="8"/>
        <v>2.0666666666666669</v>
      </c>
      <c r="M264" s="19">
        <f t="shared" si="9"/>
        <v>62</v>
      </c>
      <c r="N264" t="str">
        <f ca="1">IF(TRIM(SUBSTITUTE($B264,CHAR(160)," "))="","",IFERROR(IF(ISNUMBER(SEARCH("INC",$B264)),"INC",IF(ISNUMBER(SEARCH("OPI",$B264)),"OPI",IF(ISNUMBER(SEARCH("DP",$B264)),"DP","CONC")))&amp;" "&amp;TEXT(LOOKUP(9.99E+307,--MID(SUBSTITUTE($B264,CHAR(160)," "),SUMPRODUCT(MIN(FIND({0,1,2,3,4,5,6,7,8,9},SUBSTITUTE($B264,CHAR(160)," ")&amp;"0123456789"))),ROW(INDIRECT("1:6")))),"0"),"SIN NUMERO"))</f>
        <v>CONC 2112</v>
      </c>
      <c r="O264" t="str">
        <f ca="1">IF($N264="","",IF(LEFT(UPPER($P264),9)="VERIFICAR","VERIFICAR",IF(AND($H264&lt;&gt;"",COUNTIFS($N$2:$N$1000,$N264,$H$2:$H$1000,$H264)&gt;1),"DUPLICADA",IF(TRIM(IF($A264="","tipo ","")&amp;IF($F264="","fecha de firma ","")&amp;IF($G264="","decisión ","")&amp;IF($H264="","N° resolución ","")&amp;IF($I264="","N° dictamen",""))&lt;&gt;"","INCOMPLETA: "&amp;TRIM(IF($A264="","tipo ","")&amp;IF($F264="","fecha de firma ","")&amp;IF($G264="","decisión ","")&amp;IF($H264="","N° resolución ","")&amp;IF($I264="","N° dictamen","")),IF(LEFT($N264,4)&lt;&gt;"CONC","OK",IF(N($Q264)=0,IF(AND(ISNUMBER($E264),$E264&gt;=DATE(2024,1,1)),"FALTA EN evol_conc","OK"),IF(INDEX(evol_conc!$H:$H,$Q264)&lt;&gt;$F264,"FIRMA DISTINTA EN evol_conc ("&amp;IF(INDEX(evol_conc!$H:$H,$Q264)="","vacía",DAY(INDEX(evol_conc!$H:$H,$Q264))&amp;"/"&amp;MONTH(INDEX(evol_conc!$H:$H,$Q264))&amp;"/"&amp;YEAR(INDEX(evol_conc!$H:$H,$Q264)))&amp;")",IF(INDEX(evol_conc!$G:$G,$Q264)&lt;&gt;$E264,"INGRESO DISTINTO EN evol_conc ("&amp;IF(INDEX(evol_conc!$G:$G,$Q264)="","vacía",DAY(INDEX(evol_conc!$G:$G,$Q264))&amp;"/"&amp;MONTH(INDEX(evol_conc!$G:$G,$Q264))&amp;"/"&amp;YEAR(INDEX(evol_conc!$G:$G,$Q264)))&amp;")","OK"))))))))</f>
        <v>OK</v>
      </c>
      <c r="Q264">
        <f ca="1">IF($N264="","",IFERROR(MATCH($N264,evol_conc!$P:$P,0),0))</f>
        <v>190</v>
      </c>
    </row>
    <row r="265" spans="1:17" ht="18" customHeight="1" x14ac:dyDescent="0.25">
      <c r="A265" s="44" t="s">
        <v>624</v>
      </c>
      <c r="B265" s="44" t="s">
        <v>1792</v>
      </c>
      <c r="D265" s="44" t="s">
        <v>1793</v>
      </c>
      <c r="E265" s="26">
        <v>46190</v>
      </c>
      <c r="F265" s="26">
        <v>46238</v>
      </c>
      <c r="G265" s="44" t="s">
        <v>1598</v>
      </c>
      <c r="H265" s="44" t="s">
        <v>1794</v>
      </c>
      <c r="I265" s="44" t="s">
        <v>1795</v>
      </c>
      <c r="J265" s="44" t="s">
        <v>1796</v>
      </c>
      <c r="K265" s="44" t="s">
        <v>581</v>
      </c>
      <c r="L265" s="53">
        <f t="shared" si="8"/>
        <v>1.6</v>
      </c>
      <c r="M265" s="19">
        <f t="shared" si="9"/>
        <v>48</v>
      </c>
      <c r="N265" t="str">
        <f ca="1">IF(TRIM(SUBSTITUTE($B265,CHAR(160)," "))="","",IFERROR(IF(ISNUMBER(SEARCH("INC",$B265)),"INC",IF(ISNUMBER(SEARCH("OPI",$B265)),"OPI",IF(ISNUMBER(SEARCH("DP",$B265)),"DP","CONC")))&amp;" "&amp;TEXT(LOOKUP(9.99E+307,--MID(SUBSTITUTE($B265,CHAR(160)," "),SUMPRODUCT(MIN(FIND({0,1,2,3,4,5,6,7,8,9},SUBSTITUTE($B265,CHAR(160)," ")&amp;"0123456789"))),ROW(INDIRECT("1:6")))),"0"),"SIN NUMERO"))</f>
        <v>CONC 2124</v>
      </c>
      <c r="O265" t="str">
        <f ca="1">IF($N265="","",IF(LEFT(UPPER($P265),9)="VERIFICAR","VERIFICAR",IF(AND($H265&lt;&gt;"",COUNTIFS($N$2:$N$1000,$N265,$H$2:$H$1000,$H265)&gt;1),"DUPLICADA",IF(TRIM(IF($A265="","tipo ","")&amp;IF($F265="","fecha de firma ","")&amp;IF($G265="","decisión ","")&amp;IF($H265="","N° resolución ","")&amp;IF($I265="","N° dictamen",""))&lt;&gt;"","INCOMPLETA: "&amp;TRIM(IF($A265="","tipo ","")&amp;IF($F265="","fecha de firma ","")&amp;IF($G265="","decisión ","")&amp;IF($H265="","N° resolución ","")&amp;IF($I265="","N° dictamen","")),IF(LEFT($N265,4)&lt;&gt;"CONC","OK",IF(N($Q265)=0,IF(AND(ISNUMBER($E265),$E265&gt;=DATE(2024,1,1)),"FALTA EN evol_conc","OK"),IF(INDEX(evol_conc!$H:$H,$Q265)&lt;&gt;$F265,"FIRMA DISTINTA EN evol_conc ("&amp;IF(INDEX(evol_conc!$H:$H,$Q265)="","vacía",DAY(INDEX(evol_conc!$H:$H,$Q265))&amp;"/"&amp;MONTH(INDEX(evol_conc!$H:$H,$Q265))&amp;"/"&amp;YEAR(INDEX(evol_conc!$H:$H,$Q265)))&amp;")",IF(INDEX(evol_conc!$G:$G,$Q265)&lt;&gt;$E265,"INGRESO DISTINTO EN evol_conc ("&amp;IF(INDEX(evol_conc!$G:$G,$Q265)="","vacía",DAY(INDEX(evol_conc!$G:$G,$Q265))&amp;"/"&amp;MONTH(INDEX(evol_conc!$G:$G,$Q265))&amp;"/"&amp;YEAR(INDEX(evol_conc!$G:$G,$Q265)))&amp;")","OK"))))))))</f>
        <v>OK</v>
      </c>
      <c r="Q265">
        <f ca="1">IF($N265="","",IFERROR(MATCH($N265,evol_conc!$P:$P,0),0))</f>
        <v>202</v>
      </c>
    </row>
    <row r="266" spans="1:17" ht="18" customHeight="1" x14ac:dyDescent="0.25">
      <c r="A266" s="44" t="s">
        <v>624</v>
      </c>
      <c r="B266" s="44" t="s">
        <v>1797</v>
      </c>
      <c r="D266" s="44" t="s">
        <v>1798</v>
      </c>
      <c r="E266" s="26">
        <v>46227</v>
      </c>
      <c r="F266" s="26">
        <v>46239</v>
      </c>
      <c r="G266" s="44" t="s">
        <v>1598</v>
      </c>
      <c r="H266" s="44" t="s">
        <v>1799</v>
      </c>
      <c r="I266" s="44" t="s">
        <v>1800</v>
      </c>
      <c r="J266" s="44" t="s">
        <v>1801</v>
      </c>
      <c r="K266" s="44" t="s">
        <v>592</v>
      </c>
      <c r="L266" s="53">
        <f t="shared" si="8"/>
        <v>0.4</v>
      </c>
      <c r="M266" s="19">
        <f t="shared" si="9"/>
        <v>12</v>
      </c>
      <c r="N266" t="str">
        <f ca="1">IF(TRIM(SUBSTITUTE($B266,CHAR(160)," "))="","",IFERROR(IF(ISNUMBER(SEARCH("INC",$B266)),"INC",IF(ISNUMBER(SEARCH("OPI",$B266)),"OPI",IF(ISNUMBER(SEARCH("DP",$B266)),"DP","CONC")))&amp;" "&amp;TEXT(LOOKUP(9.99E+307,--MID(SUBSTITUTE($B266,CHAR(160)," "),SUMPRODUCT(MIN(FIND({0,1,2,3,4,5,6,7,8,9},SUBSTITUTE($B266,CHAR(160)," ")&amp;"0123456789"))),ROW(INDIRECT("1:6")))),"0"),"SIN NUMERO"))</f>
        <v>CONC 2133</v>
      </c>
      <c r="O266" t="str">
        <f ca="1">IF($N266="","",IF(LEFT(UPPER($P266),9)="VERIFICAR","VERIFICAR",IF(AND($H266&lt;&gt;"",COUNTIFS($N$2:$N$1000,$N266,$H$2:$H$1000,$H266)&gt;1),"DUPLICADA",IF(TRIM(IF($A266="","tipo ","")&amp;IF($F266="","fecha de firma ","")&amp;IF($G266="","decisión ","")&amp;IF($H266="","N° resolución ","")&amp;IF($I266="","N° dictamen",""))&lt;&gt;"","INCOMPLETA: "&amp;TRIM(IF($A266="","tipo ","")&amp;IF($F266="","fecha de firma ","")&amp;IF($G266="","decisión ","")&amp;IF($H266="","N° resolución ","")&amp;IF($I266="","N° dictamen","")),IF(LEFT($N266,4)&lt;&gt;"CONC","OK",IF(N($Q266)=0,IF(AND(ISNUMBER($E266),$E266&gt;=DATE(2024,1,1)),"FALTA EN evol_conc","OK"),IF(INDEX(evol_conc!$H:$H,$Q266)&lt;&gt;$F266,"FIRMA DISTINTA EN evol_conc ("&amp;IF(INDEX(evol_conc!$H:$H,$Q266)="","vacía",DAY(INDEX(evol_conc!$H:$H,$Q266))&amp;"/"&amp;MONTH(INDEX(evol_conc!$H:$H,$Q266))&amp;"/"&amp;YEAR(INDEX(evol_conc!$H:$H,$Q266)))&amp;")",IF(INDEX(evol_conc!$G:$G,$Q266)&lt;&gt;$E266,"INGRESO DISTINTO EN evol_conc ("&amp;IF(INDEX(evol_conc!$G:$G,$Q266)="","vacía",DAY(INDEX(evol_conc!$G:$G,$Q266))&amp;"/"&amp;MONTH(INDEX(evol_conc!$G:$G,$Q266))&amp;"/"&amp;YEAR(INDEX(evol_conc!$G:$G,$Q266)))&amp;")","OK"))))))))</f>
        <v>OK</v>
      </c>
      <c r="Q266">
        <f ca="1">IF($N266="","",IFERROR(MATCH($N266,evol_conc!$P:$P,0),0))</f>
        <v>211</v>
      </c>
    </row>
    <row r="267" spans="1:17" ht="18" customHeight="1" x14ac:dyDescent="0.25">
      <c r="A267" s="44" t="s">
        <v>624</v>
      </c>
      <c r="B267" s="44" t="s">
        <v>1802</v>
      </c>
      <c r="D267" s="44" t="s">
        <v>1803</v>
      </c>
      <c r="E267" s="26">
        <v>46153</v>
      </c>
      <c r="F267" s="26">
        <v>46244</v>
      </c>
      <c r="G267" s="44" t="s">
        <v>1804</v>
      </c>
      <c r="H267" s="44" t="s">
        <v>1805</v>
      </c>
      <c r="I267" s="44" t="s">
        <v>1806</v>
      </c>
      <c r="J267" s="44" t="s">
        <v>1801</v>
      </c>
      <c r="L267" s="53">
        <f t="shared" si="8"/>
        <v>3.0333333333333332</v>
      </c>
      <c r="M267" s="19">
        <f t="shared" si="9"/>
        <v>91</v>
      </c>
      <c r="N267" t="str">
        <f ca="1">IF(TRIM(SUBSTITUTE($B267,CHAR(160)," "))="","",IFERROR(IF(ISNUMBER(SEARCH("INC",$B267)),"INC",IF(ISNUMBER(SEARCH("OPI",$B267)),"OPI",IF(ISNUMBER(SEARCH("DP",$B267)),"DP","CONC")))&amp;" "&amp;TEXT(LOOKUP(9.99E+307,--MID(SUBSTITUTE($B267,CHAR(160)," "),SUMPRODUCT(MIN(FIND({0,1,2,3,4,5,6,7,8,9},SUBSTITUTE($B267,CHAR(160)," ")&amp;"0123456789"))),ROW(INDIRECT("1:6")))),"0"),"SIN NUMERO"))</f>
        <v>CONC 2104</v>
      </c>
      <c r="O267" t="str">
        <f ca="1">IF($N267="","",IF(LEFT(UPPER($P267),9)="VERIFICAR","VERIFICAR",IF(AND($H267&lt;&gt;"",COUNTIFS($N$2:$N$1000,$N267,$H$2:$H$1000,$H267)&gt;1),"DUPLICADA",IF(TRIM(IF($A267="","tipo ","")&amp;IF($F267="","fecha de firma ","")&amp;IF($G267="","decisión ","")&amp;IF($H267="","N° resolución ","")&amp;IF($I267="","N° dictamen",""))&lt;&gt;"","INCOMPLETA: "&amp;TRIM(IF($A267="","tipo ","")&amp;IF($F267="","fecha de firma ","")&amp;IF($G267="","decisión ","")&amp;IF($H267="","N° resolución ","")&amp;IF($I267="","N° dictamen","")),IF(LEFT($N267,4)&lt;&gt;"CONC","OK",IF(N($Q267)=0,IF(AND(ISNUMBER($E267),$E267&gt;=DATE(2024,1,1)),"FALTA EN evol_conc","OK"),IF(INDEX(evol_conc!$H:$H,$Q267)&lt;&gt;$F267,"FIRMA DISTINTA EN evol_conc ("&amp;IF(INDEX(evol_conc!$H:$H,$Q267)="","vacía",DAY(INDEX(evol_conc!$H:$H,$Q267))&amp;"/"&amp;MONTH(INDEX(evol_conc!$H:$H,$Q267))&amp;"/"&amp;YEAR(INDEX(evol_conc!$H:$H,$Q267)))&amp;")",IF(INDEX(evol_conc!$G:$G,$Q267)&lt;&gt;$E267,"INGRESO DISTINTO EN evol_conc ("&amp;IF(INDEX(evol_conc!$G:$G,$Q267)="","vacía",DAY(INDEX(evol_conc!$G:$G,$Q267))&amp;"/"&amp;MONTH(INDEX(evol_conc!$G:$G,$Q267))&amp;"/"&amp;YEAR(INDEX(evol_conc!$G:$G,$Q267)))&amp;")","OK"))))))))</f>
        <v>OK</v>
      </c>
      <c r="Q267">
        <f ca="1">IF($N267="","",IFERROR(MATCH($N267,evol_conc!$P:$P,0),0))</f>
        <v>182</v>
      </c>
    </row>
    <row r="268" spans="1:17" ht="18" customHeight="1" x14ac:dyDescent="0.25">
      <c r="A268" s="44" t="s">
        <v>624</v>
      </c>
      <c r="B268" s="44" t="s">
        <v>1807</v>
      </c>
      <c r="D268" s="44" t="s">
        <v>1808</v>
      </c>
      <c r="E268" s="26">
        <v>46244</v>
      </c>
      <c r="F268" s="26">
        <v>46245</v>
      </c>
      <c r="G268" s="44" t="s">
        <v>1598</v>
      </c>
      <c r="H268" s="44" t="s">
        <v>1809</v>
      </c>
      <c r="I268" s="44" t="s">
        <v>1810</v>
      </c>
      <c r="J268" s="44" t="s">
        <v>1811</v>
      </c>
      <c r="K268" s="44" t="s">
        <v>560</v>
      </c>
      <c r="L268" s="53">
        <f t="shared" si="8"/>
        <v>3.3333333333333333E-2</v>
      </c>
      <c r="M268" s="19">
        <f t="shared" si="9"/>
        <v>1</v>
      </c>
      <c r="N268" t="str">
        <f ca="1">IF(TRIM(SUBSTITUTE($B268,CHAR(160)," "))="","",IFERROR(IF(ISNUMBER(SEARCH("INC",$B268)),"INC",IF(ISNUMBER(SEARCH("OPI",$B268)),"OPI",IF(ISNUMBER(SEARCH("DP",$B268)),"DP","CONC")))&amp;" "&amp;TEXT(LOOKUP(9.99E+307,--MID(SUBSTITUTE($B268,CHAR(160)," "),SUMPRODUCT(MIN(FIND({0,1,2,3,4,5,6,7,8,9},SUBSTITUTE($B268,CHAR(160)," ")&amp;"0123456789"))),ROW(INDIRECT("1:6")))),"0"),"SIN NUMERO"))</f>
        <v>CONC 2139</v>
      </c>
      <c r="O268" t="str">
        <f ca="1">IF($N268="","",IF(LEFT(UPPER($P268),9)="VERIFICAR","VERIFICAR",IF(AND($H268&lt;&gt;"",COUNTIFS($N$2:$N$1000,$N268,$H$2:$H$1000,$H268)&gt;1),"DUPLICADA",IF(TRIM(IF($A268="","tipo ","")&amp;IF($F268="","fecha de firma ","")&amp;IF($G268="","decisión ","")&amp;IF($H268="","N° resolución ","")&amp;IF($I268="","N° dictamen",""))&lt;&gt;"","INCOMPLETA: "&amp;TRIM(IF($A268="","tipo ","")&amp;IF($F268="","fecha de firma ","")&amp;IF($G268="","decisión ","")&amp;IF($H268="","N° resolución ","")&amp;IF($I268="","N° dictamen","")),IF(LEFT($N268,4)&lt;&gt;"CONC","OK",IF(N($Q268)=0,IF(AND(ISNUMBER($E268),$E268&gt;=DATE(2024,1,1)),"FALTA EN evol_conc","OK"),IF(INDEX(evol_conc!$H:$H,$Q268)&lt;&gt;$F268,"FIRMA DISTINTA EN evol_conc ("&amp;IF(INDEX(evol_conc!$H:$H,$Q268)="","vacía",DAY(INDEX(evol_conc!$H:$H,$Q268))&amp;"/"&amp;MONTH(INDEX(evol_conc!$H:$H,$Q268))&amp;"/"&amp;YEAR(INDEX(evol_conc!$H:$H,$Q268)))&amp;")",IF(INDEX(evol_conc!$G:$G,$Q268)&lt;&gt;$E268,"INGRESO DISTINTO EN evol_conc ("&amp;IF(INDEX(evol_conc!$G:$G,$Q268)="","vacía",DAY(INDEX(evol_conc!$G:$G,$Q268))&amp;"/"&amp;MONTH(INDEX(evol_conc!$G:$G,$Q268))&amp;"/"&amp;YEAR(INDEX(evol_conc!$G:$G,$Q268)))&amp;")","OK"))))))))</f>
        <v>OK</v>
      </c>
      <c r="Q268">
        <f ca="1">IF($N268="","",IFERROR(MATCH($N268,evol_conc!$P:$P,0),0))</f>
        <v>217</v>
      </c>
    </row>
    <row r="269" spans="1:17" ht="18" customHeight="1" x14ac:dyDescent="0.25">
      <c r="A269" s="44" t="s">
        <v>624</v>
      </c>
      <c r="B269" s="44" t="s">
        <v>1812</v>
      </c>
      <c r="D269" s="44" t="s">
        <v>1813</v>
      </c>
      <c r="E269" s="26">
        <v>46073</v>
      </c>
      <c r="F269" s="26">
        <v>46246</v>
      </c>
      <c r="G269" s="44" t="s">
        <v>1598</v>
      </c>
      <c r="H269" s="44" t="s">
        <v>1814</v>
      </c>
      <c r="I269" s="44" t="s">
        <v>1815</v>
      </c>
      <c r="J269" s="44" t="s">
        <v>1816</v>
      </c>
      <c r="K269" s="44" t="s">
        <v>581</v>
      </c>
      <c r="L269" s="53">
        <f t="shared" si="8"/>
        <v>5.7666666666666666</v>
      </c>
      <c r="M269" s="19">
        <f t="shared" si="9"/>
        <v>173</v>
      </c>
      <c r="N269" t="str">
        <f ca="1">IF(TRIM(SUBSTITUTE($B269,CHAR(160)," "))="","",IFERROR(IF(ISNUMBER(SEARCH("INC",$B269)),"INC",IF(ISNUMBER(SEARCH("OPI",$B269)),"OPI",IF(ISNUMBER(SEARCH("DP",$B269)),"DP","CONC")))&amp;" "&amp;TEXT(LOOKUP(9.99E+307,--MID(SUBSTITUTE($B269,CHAR(160)," "),SUMPRODUCT(MIN(FIND({0,1,2,3,4,5,6,7,8,9},SUBSTITUTE($B269,CHAR(160)," ")&amp;"0123456789"))),ROW(INDIRECT("1:6")))),"0"),"SIN NUMERO"))</f>
        <v>CONC 2093</v>
      </c>
      <c r="O269" t="str">
        <f ca="1">IF($N269="","",IF(LEFT(UPPER($P269),9)="VERIFICAR","VERIFICAR",IF(AND($H269&lt;&gt;"",COUNTIFS($N$2:$N$1000,$N269,$H$2:$H$1000,$H269)&gt;1),"DUPLICADA",IF(TRIM(IF($A269="","tipo ","")&amp;IF($F269="","fecha de firma ","")&amp;IF($G269="","decisión ","")&amp;IF($H269="","N° resolución ","")&amp;IF($I269="","N° dictamen",""))&lt;&gt;"","INCOMPLETA: "&amp;TRIM(IF($A269="","tipo ","")&amp;IF($F269="","fecha de firma ","")&amp;IF($G269="","decisión ","")&amp;IF($H269="","N° resolución ","")&amp;IF($I269="","N° dictamen","")),IF(LEFT($N269,4)&lt;&gt;"CONC","OK",IF(N($Q269)=0,IF(AND(ISNUMBER($E269),$E269&gt;=DATE(2024,1,1)),"FALTA EN evol_conc","OK"),IF(INDEX(evol_conc!$H:$H,$Q269)&lt;&gt;$F269,"FIRMA DISTINTA EN evol_conc ("&amp;IF(INDEX(evol_conc!$H:$H,$Q269)="","vacía",DAY(INDEX(evol_conc!$H:$H,$Q269))&amp;"/"&amp;MONTH(INDEX(evol_conc!$H:$H,$Q269))&amp;"/"&amp;YEAR(INDEX(evol_conc!$H:$H,$Q269)))&amp;")",IF(INDEX(evol_conc!$G:$G,$Q269)&lt;&gt;$E269,"INGRESO DISTINTO EN evol_conc ("&amp;IF(INDEX(evol_conc!$G:$G,$Q269)="","vacía",DAY(INDEX(evol_conc!$G:$G,$Q269))&amp;"/"&amp;MONTH(INDEX(evol_conc!$G:$G,$Q269))&amp;"/"&amp;YEAR(INDEX(evol_conc!$G:$G,$Q269)))&amp;")","OK"))))))))</f>
        <v>OK</v>
      </c>
      <c r="Q269">
        <f ca="1">IF($N269="","",IFERROR(MATCH($N269,evol_conc!$P:$P,0),0))</f>
        <v>171</v>
      </c>
    </row>
    <row r="270" spans="1:17" ht="18" customHeight="1" x14ac:dyDescent="0.25">
      <c r="A270" s="44" t="s">
        <v>624</v>
      </c>
      <c r="B270" s="44" t="s">
        <v>1817</v>
      </c>
      <c r="D270" s="44" t="s">
        <v>1818</v>
      </c>
      <c r="E270" s="26">
        <v>46168</v>
      </c>
      <c r="F270" s="26">
        <v>46248</v>
      </c>
      <c r="G270" s="44" t="s">
        <v>1804</v>
      </c>
      <c r="H270" s="44" t="s">
        <v>1819</v>
      </c>
      <c r="I270" s="44" t="s">
        <v>1820</v>
      </c>
      <c r="J270" s="44" t="s">
        <v>1821</v>
      </c>
      <c r="L270" s="53">
        <f t="shared" si="8"/>
        <v>2.6666666666666665</v>
      </c>
      <c r="M270" s="19">
        <f t="shared" si="9"/>
        <v>80</v>
      </c>
      <c r="N270" t="str">
        <f ca="1">IF(TRIM(SUBSTITUTE($B270,CHAR(160)," "))="","",IFERROR(IF(ISNUMBER(SEARCH("INC",$B270)),"INC",IF(ISNUMBER(SEARCH("OPI",$B270)),"OPI",IF(ISNUMBER(SEARCH("DP",$B270)),"DP","CONC")))&amp;" "&amp;TEXT(LOOKUP(9.99E+307,--MID(SUBSTITUTE($B270,CHAR(160)," "),SUMPRODUCT(MIN(FIND({0,1,2,3,4,5,6,7,8,9},SUBSTITUTE($B270,CHAR(160)," ")&amp;"0123456789"))),ROW(INDIRECT("1:6")))),"0"),"SIN NUMERO"))</f>
        <v>CONC 2111</v>
      </c>
      <c r="O270" t="str">
        <f ca="1">IF($N270="","",IF(LEFT(UPPER($P270),9)="VERIFICAR","VERIFICAR",IF(AND($H270&lt;&gt;"",COUNTIFS($N$2:$N$1000,$N270,$H$2:$H$1000,$H270)&gt;1),"DUPLICADA",IF(TRIM(IF($A270="","tipo ","")&amp;IF($F270="","fecha de firma ","")&amp;IF($G270="","decisión ","")&amp;IF($H270="","N° resolución ","")&amp;IF($I270="","N° dictamen",""))&lt;&gt;"","INCOMPLETA: "&amp;TRIM(IF($A270="","tipo ","")&amp;IF($F270="","fecha de firma ","")&amp;IF($G270="","decisión ","")&amp;IF($H270="","N° resolución ","")&amp;IF($I270="","N° dictamen","")),IF(LEFT($N270,4)&lt;&gt;"CONC","OK",IF(N($Q270)=0,IF(AND(ISNUMBER($E270),$E270&gt;=DATE(2024,1,1)),"FALTA EN evol_conc","OK"),IF(INDEX(evol_conc!$H:$H,$Q270)&lt;&gt;$F270,"FIRMA DISTINTA EN evol_conc ("&amp;IF(INDEX(evol_conc!$H:$H,$Q270)="","vacía",DAY(INDEX(evol_conc!$H:$H,$Q270))&amp;"/"&amp;MONTH(INDEX(evol_conc!$H:$H,$Q270))&amp;"/"&amp;YEAR(INDEX(evol_conc!$H:$H,$Q270)))&amp;")",IF(INDEX(evol_conc!$G:$G,$Q270)&lt;&gt;$E270,"INGRESO DISTINTO EN evol_conc ("&amp;IF(INDEX(evol_conc!$G:$G,$Q270)="","vacía",DAY(INDEX(evol_conc!$G:$G,$Q270))&amp;"/"&amp;MONTH(INDEX(evol_conc!$G:$G,$Q270))&amp;"/"&amp;YEAR(INDEX(evol_conc!$G:$G,$Q270)))&amp;")","OK"))))))))</f>
        <v>VERIFICAR</v>
      </c>
      <c r="P270" t="s">
        <v>1822</v>
      </c>
      <c r="Q270">
        <f ca="1">IF($N270="","",IFERROR(MATCH($N270,evol_conc!$P:$P,0),0))</f>
        <v>189</v>
      </c>
    </row>
    <row r="271" spans="1:17" ht="18" customHeight="1" x14ac:dyDescent="0.25">
      <c r="A271" s="44" t="s">
        <v>624</v>
      </c>
      <c r="B271" s="44" t="s">
        <v>1823</v>
      </c>
      <c r="D271" s="44" t="s">
        <v>1824</v>
      </c>
      <c r="E271" s="26">
        <v>46216</v>
      </c>
      <c r="F271" s="26">
        <v>46248</v>
      </c>
      <c r="G271" s="44" t="s">
        <v>1598</v>
      </c>
      <c r="H271" s="44" t="s">
        <v>1825</v>
      </c>
      <c r="I271" s="44" t="s">
        <v>1826</v>
      </c>
      <c r="J271" s="44" t="s">
        <v>1450</v>
      </c>
      <c r="K271" s="44" t="s">
        <v>560</v>
      </c>
      <c r="L271" s="53">
        <f t="shared" si="8"/>
        <v>1.0666666666666667</v>
      </c>
      <c r="M271" s="19">
        <f t="shared" si="9"/>
        <v>32</v>
      </c>
      <c r="N271" t="str">
        <f ca="1">IF(TRIM(SUBSTITUTE($B271,CHAR(160)," "))="","",IFERROR(IF(ISNUMBER(SEARCH("INC",$B271)),"INC",IF(ISNUMBER(SEARCH("OPI",$B271)),"OPI",IF(ISNUMBER(SEARCH("DP",$B271)),"DP","CONC")))&amp;" "&amp;TEXT(LOOKUP(9.99E+307,--MID(SUBSTITUTE($B271,CHAR(160)," "),SUMPRODUCT(MIN(FIND({0,1,2,3,4,5,6,7,8,9},SUBSTITUTE($B271,CHAR(160)," ")&amp;"0123456789"))),ROW(INDIRECT("1:6")))),"0"),"SIN NUMERO"))</f>
        <v>CONC 2128</v>
      </c>
      <c r="O271" t="str">
        <f ca="1">IF($N271="","",IF(LEFT(UPPER($P271),9)="VERIFICAR","VERIFICAR",IF(AND($H271&lt;&gt;"",COUNTIFS($N$2:$N$1000,$N271,$H$2:$H$1000,$H271)&gt;1),"DUPLICADA",IF(TRIM(IF($A271="","tipo ","")&amp;IF($F271="","fecha de firma ","")&amp;IF($G271="","decisión ","")&amp;IF($H271="","N° resolución ","")&amp;IF($I271="","N° dictamen",""))&lt;&gt;"","INCOMPLETA: "&amp;TRIM(IF($A271="","tipo ","")&amp;IF($F271="","fecha de firma ","")&amp;IF($G271="","decisión ","")&amp;IF($H271="","N° resolución ","")&amp;IF($I271="","N° dictamen","")),IF(LEFT($N271,4)&lt;&gt;"CONC","OK",IF(N($Q271)=0,IF(AND(ISNUMBER($E271),$E271&gt;=DATE(2024,1,1)),"FALTA EN evol_conc","OK"),IF(INDEX(evol_conc!$H:$H,$Q271)&lt;&gt;$F271,"FIRMA DISTINTA EN evol_conc ("&amp;IF(INDEX(evol_conc!$H:$H,$Q271)="","vacía",DAY(INDEX(evol_conc!$H:$H,$Q271))&amp;"/"&amp;MONTH(INDEX(evol_conc!$H:$H,$Q271))&amp;"/"&amp;YEAR(INDEX(evol_conc!$H:$H,$Q271)))&amp;")",IF(INDEX(evol_conc!$G:$G,$Q271)&lt;&gt;$E271,"INGRESO DISTINTO EN evol_conc ("&amp;IF(INDEX(evol_conc!$G:$G,$Q271)="","vacía",DAY(INDEX(evol_conc!$G:$G,$Q271))&amp;"/"&amp;MONTH(INDEX(evol_conc!$G:$G,$Q271))&amp;"/"&amp;YEAR(INDEX(evol_conc!$G:$G,$Q271)))&amp;")","OK"))))))))</f>
        <v>OK</v>
      </c>
      <c r="Q271">
        <f ca="1">IF($N271="","",IFERROR(MATCH($N271,evol_conc!$P:$P,0),0))</f>
        <v>207</v>
      </c>
    </row>
    <row r="272" spans="1:17" ht="18" customHeight="1" x14ac:dyDescent="0.25">
      <c r="A272" s="44" t="s">
        <v>624</v>
      </c>
      <c r="B272" s="44" t="s">
        <v>1827</v>
      </c>
      <c r="D272" s="44" t="s">
        <v>1828</v>
      </c>
      <c r="E272" s="26">
        <v>46239</v>
      </c>
      <c r="F272" s="26">
        <v>46248</v>
      </c>
      <c r="G272" s="44" t="s">
        <v>1598</v>
      </c>
      <c r="H272" s="44" t="s">
        <v>1829</v>
      </c>
      <c r="I272" s="44" t="s">
        <v>1830</v>
      </c>
      <c r="J272" s="44" t="s">
        <v>1831</v>
      </c>
      <c r="L272" s="53">
        <f t="shared" si="8"/>
        <v>0.3</v>
      </c>
      <c r="M272" s="19">
        <f t="shared" si="9"/>
        <v>9</v>
      </c>
      <c r="N272" t="str">
        <f ca="1">IF(TRIM(SUBSTITUTE($B272,CHAR(160)," "))="","",IFERROR(IF(ISNUMBER(SEARCH("INC",$B272)),"INC",IF(ISNUMBER(SEARCH("OPI",$B272)),"OPI",IF(ISNUMBER(SEARCH("DP",$B272)),"DP","CONC")))&amp;" "&amp;TEXT(LOOKUP(9.99E+307,--MID(SUBSTITUTE($B272,CHAR(160)," "),SUMPRODUCT(MIN(FIND({0,1,2,3,4,5,6,7,8,9},SUBSTITUTE($B272,CHAR(160)," ")&amp;"0123456789"))),ROW(INDIRECT("1:6")))),"0"),"SIN NUMERO"))</f>
        <v>CONC 2137</v>
      </c>
      <c r="O272" t="str">
        <f ca="1">IF($N272="","",IF(LEFT(UPPER($P272),9)="VERIFICAR","VERIFICAR",IF(AND($H272&lt;&gt;"",COUNTIFS($N$2:$N$1000,$N272,$H$2:$H$1000,$H272)&gt;1),"DUPLICADA",IF(TRIM(IF($A272="","tipo ","")&amp;IF($F272="","fecha de firma ","")&amp;IF($G272="","decisión ","")&amp;IF($H272="","N° resolución ","")&amp;IF($I272="","N° dictamen",""))&lt;&gt;"","INCOMPLETA: "&amp;TRIM(IF($A272="","tipo ","")&amp;IF($F272="","fecha de firma ","")&amp;IF($G272="","decisión ","")&amp;IF($H272="","N° resolución ","")&amp;IF($I272="","N° dictamen","")),IF(LEFT($N272,4)&lt;&gt;"CONC","OK",IF(N($Q272)=0,IF(AND(ISNUMBER($E272),$E272&gt;=DATE(2024,1,1)),"FALTA EN evol_conc","OK"),IF(INDEX(evol_conc!$H:$H,$Q272)&lt;&gt;$F272,"FIRMA DISTINTA EN evol_conc ("&amp;IF(INDEX(evol_conc!$H:$H,$Q272)="","vacía",DAY(INDEX(evol_conc!$H:$H,$Q272))&amp;"/"&amp;MONTH(INDEX(evol_conc!$H:$H,$Q272))&amp;"/"&amp;YEAR(INDEX(evol_conc!$H:$H,$Q272)))&amp;")",IF(INDEX(evol_conc!$G:$G,$Q272)&lt;&gt;$E272,"INGRESO DISTINTO EN evol_conc ("&amp;IF(INDEX(evol_conc!$G:$G,$Q272)="","vacía",DAY(INDEX(evol_conc!$G:$G,$Q272))&amp;"/"&amp;MONTH(INDEX(evol_conc!$G:$G,$Q272))&amp;"/"&amp;YEAR(INDEX(evol_conc!$G:$G,$Q272)))&amp;")","OK"))))))))</f>
        <v>OK</v>
      </c>
      <c r="Q272">
        <f ca="1">IF($N272="","",IFERROR(MATCH($N272,evol_conc!$P:$P,0),0))</f>
        <v>215</v>
      </c>
    </row>
    <row r="273" spans="1:17" ht="18" customHeight="1" x14ac:dyDescent="0.25">
      <c r="A273" t="s">
        <v>547</v>
      </c>
      <c r="B273" t="s">
        <v>1832</v>
      </c>
      <c r="D273" t="s">
        <v>1833</v>
      </c>
      <c r="E273" s="16">
        <v>46083</v>
      </c>
      <c r="F273" s="16">
        <v>46265</v>
      </c>
      <c r="G273" t="s">
        <v>1551</v>
      </c>
      <c r="H273" t="s">
        <v>1834</v>
      </c>
      <c r="I273" t="s">
        <v>1835</v>
      </c>
      <c r="J273" t="s">
        <v>1836</v>
      </c>
      <c r="K273" t="s">
        <v>592</v>
      </c>
      <c r="L273" s="53">
        <f t="shared" si="8"/>
        <v>6.0666666666666664</v>
      </c>
      <c r="M273" s="19">
        <f t="shared" si="9"/>
        <v>182</v>
      </c>
      <c r="N273" t="str">
        <f ca="1">IF(TRIM(SUBSTITUTE($B273,CHAR(160)," "))="","",IFERROR(IF(ISNUMBER(SEARCH("INC",$B273)),"INC",IF(ISNUMBER(SEARCH("OPI",$B273)),"OPI",IF(ISNUMBER(SEARCH("DP",$B273)),"DP","CONC")))&amp;" "&amp;TEXT(LOOKUP(9.99E+307,--MID(SUBSTITUTE($B273,CHAR(160)," "),SUMPRODUCT(MIN(FIND({0,1,2,3,4,5,6,7,8,9},SUBSTITUTE($B273,CHAR(160)," ")&amp;"0123456789"))),ROW(INDIRECT("1:6")))),"0"),"SIN NUMERO"))</f>
        <v>CONC 2095</v>
      </c>
      <c r="O273" t="str">
        <f ca="1">IF($N273="","",IF(LEFT(UPPER($P273),9)="VERIFICAR","VERIFICAR",IF(AND($H273&lt;&gt;"",COUNTIFS($N$2:$N$1000,$N273,$H$2:$H$1000,$H273)&gt;1),"DUPLICADA",IF(TRIM(IF($A273="","tipo ","")&amp;IF($F273="","fecha de firma ","")&amp;IF($G273="","decisión ","")&amp;IF($H273="","N° resolución ","")&amp;IF($I273="","N° dictamen",""))&lt;&gt;"","INCOMPLETA: "&amp;TRIM(IF($A273="","tipo ","")&amp;IF($F273="","fecha de firma ","")&amp;IF($G273="","decisión ","")&amp;IF($H273="","N° resolución ","")&amp;IF($I273="","N° dictamen","")),IF(LEFT($N273,4)&lt;&gt;"CONC","OK",IF(N($Q273)=0,IF(AND(ISNUMBER($E273),$E273&gt;=DATE(2024,1,1)),"FALTA EN evol_conc","OK"),IF(INDEX(evol_conc!$H:$H,$Q273)&lt;&gt;$F273,"FIRMA DISTINTA EN evol_conc ("&amp;IF(INDEX(evol_conc!$H:$H,$Q273)="","vacía",DAY(INDEX(evol_conc!$H:$H,$Q273))&amp;"/"&amp;MONTH(INDEX(evol_conc!$H:$H,$Q273))&amp;"/"&amp;YEAR(INDEX(evol_conc!$H:$H,$Q273)))&amp;")",IF(INDEX(evol_conc!$G:$G,$Q273)&lt;&gt;$E273,"INGRESO DISTINTO EN evol_conc ("&amp;IF(INDEX(evol_conc!$G:$G,$Q273)="","vacía",DAY(INDEX(evol_conc!$G:$G,$Q273))&amp;"/"&amp;MONTH(INDEX(evol_conc!$G:$G,$Q273))&amp;"/"&amp;YEAR(INDEX(evol_conc!$G:$G,$Q273)))&amp;")","OK"))))))))</f>
        <v>OK</v>
      </c>
      <c r="Q273">
        <f ca="1">IF($N273="","",IFERROR(MATCH($N273,evol_conc!$P:$P,0),0))</f>
        <v>173</v>
      </c>
    </row>
    <row r="274" spans="1:17" ht="18" customHeight="1" x14ac:dyDescent="0.25">
      <c r="A274" s="44" t="s">
        <v>624</v>
      </c>
      <c r="B274" s="44" t="s">
        <v>1952</v>
      </c>
      <c r="D274" s="55" t="s">
        <v>505</v>
      </c>
      <c r="E274" s="16">
        <v>46216</v>
      </c>
      <c r="F274" s="16">
        <v>46267</v>
      </c>
      <c r="L274" s="53">
        <f t="shared" si="8"/>
        <v>1.7</v>
      </c>
      <c r="M274" s="19">
        <f t="shared" si="9"/>
        <v>51</v>
      </c>
      <c r="N274" t="str">
        <f ca="1">IF(TRIM(SUBSTITUTE($B274,CHAR(160)," "))="","",IFERROR(IF(ISNUMBER(SEARCH("INC",$B274)),"INC",IF(ISNUMBER(SEARCH("OPI",$B274)),"OPI",IF(ISNUMBER(SEARCH("DP",$B274)),"DP","CONC")))&amp;" "&amp;TEXT(LOOKUP(9.99E+307,--MID(SUBSTITUTE($B274,CHAR(160)," "),SUMPRODUCT(MIN(FIND({0,1,2,3,4,5,6,7,8,9},SUBSTITUTE($B274,CHAR(160)," ")&amp;"0123456789"))),ROW(INDIRECT("1:6")))),"0"),"SIN NUMERO"))</f>
        <v>CONC 2130</v>
      </c>
      <c r="O274" t="str">
        <f ca="1">IF($N274="","",IF(LEFT(UPPER($P274),9)="VERIFICAR","VERIFICAR",IF(AND($H274&lt;&gt;"",COUNTIFS($N$2:$N$1000,$N274,$H$2:$H$1000,$H274)&gt;1),"DUPLICADA",IF(TRIM(IF($A274="","tipo ","")&amp;IF($F274="","fecha de firma ","")&amp;IF($G274="","decisión ","")&amp;IF($H274="","N° resolución ","")&amp;IF($I274="","N° dictamen",""))&lt;&gt;"","INCOMPLETA: "&amp;TRIM(IF($A274="","tipo ","")&amp;IF($F274="","fecha de firma ","")&amp;IF($G274="","decisión ","")&amp;IF($H274="","N° resolución ","")&amp;IF($I274="","N° dictamen","")),IF(LEFT($N274,4)&lt;&gt;"CONC","OK",IF(N($Q274)=0,IF(AND(ISNUMBER($E274),$E274&gt;=DATE(2024,1,1)),"FALTA EN evol_conc","OK"),IF(INDEX(evol_conc!$H:$H,$Q274)&lt;&gt;$F274,"FIRMA DISTINTA EN evol_conc ("&amp;IF(INDEX(evol_conc!$H:$H,$Q274)="","vacía",DAY(INDEX(evol_conc!$H:$H,$Q274))&amp;"/"&amp;MONTH(INDEX(evol_conc!$H:$H,$Q274))&amp;"/"&amp;YEAR(INDEX(evol_conc!$H:$H,$Q274)))&amp;")",IF(INDEX(evol_conc!$G:$G,$Q274)&lt;&gt;$E274,"INGRESO DISTINTO EN evol_conc ("&amp;IF(INDEX(evol_conc!$G:$G,$Q274)="","vacía",DAY(INDEX(evol_conc!$G:$G,$Q274))&amp;"/"&amp;MONTH(INDEX(evol_conc!$G:$G,$Q274))&amp;"/"&amp;YEAR(INDEX(evol_conc!$G:$G,$Q274)))&amp;")","OK"))))))))</f>
        <v>INCOMPLETA: decisión N° resolución N° dictamen</v>
      </c>
      <c r="Q274">
        <f ca="1">IF($N274="","",IFERROR(MATCH($N274,evol_conc!$P:$P,0),0))</f>
        <v>208</v>
      </c>
    </row>
    <row r="275" spans="1:17" ht="18" customHeight="1" x14ac:dyDescent="0.25">
      <c r="A275" s="51" t="s">
        <v>547</v>
      </c>
      <c r="B275" s="44" t="s">
        <v>1953</v>
      </c>
      <c r="D275" s="55" t="s">
        <v>355</v>
      </c>
      <c r="E275" s="16">
        <v>45944</v>
      </c>
      <c r="F275" s="16">
        <v>46267</v>
      </c>
      <c r="L275" s="53">
        <f t="shared" si="8"/>
        <v>10.766666666666667</v>
      </c>
      <c r="M275" s="19">
        <f t="shared" si="9"/>
        <v>323</v>
      </c>
      <c r="N275" t="str">
        <f ca="1">IF(TRIM(SUBSTITUTE($B275,CHAR(160)," "))="","",IFERROR(IF(ISNUMBER(SEARCH("INC",$B275)),"INC",IF(ISNUMBER(SEARCH("OPI",$B275)),"OPI",IF(ISNUMBER(SEARCH("DP",$B275)),"DP","CONC")))&amp;" "&amp;TEXT(LOOKUP(9.99E+307,--MID(SUBSTITUTE($B275,CHAR(160)," "),SUMPRODUCT(MIN(FIND({0,1,2,3,4,5,6,7,8,9},SUBSTITUTE($B275,CHAR(160)," ")&amp;"0123456789"))),ROW(INDIRECT("1:6")))),"0"),"SIN NUMERO"))</f>
        <v>CONC 2067</v>
      </c>
      <c r="O275" t="str">
        <f ca="1">IF($N275="","",IF(LEFT(UPPER($P275),9)="VERIFICAR","VERIFICAR",IF(AND($H275&lt;&gt;"",COUNTIFS($N$2:$N$1000,$N275,$H$2:$H$1000,$H275)&gt;1),"DUPLICADA",IF(TRIM(IF($A275="","tipo ","")&amp;IF($F275="","fecha de firma ","")&amp;IF($G275="","decisión ","")&amp;IF($H275="","N° resolución ","")&amp;IF($I275="","N° dictamen",""))&lt;&gt;"","INCOMPLETA: "&amp;TRIM(IF($A275="","tipo ","")&amp;IF($F275="","fecha de firma ","")&amp;IF($G275="","decisión ","")&amp;IF($H275="","N° resolución ","")&amp;IF($I275="","N° dictamen","")),IF(LEFT($N275,4)&lt;&gt;"CONC","OK",IF(N($Q275)=0,IF(AND(ISNUMBER($E275),$E275&gt;=DATE(2024,1,1)),"FALTA EN evol_conc","OK"),IF(INDEX(evol_conc!$H:$H,$Q275)&lt;&gt;$F275,"FIRMA DISTINTA EN evol_conc ("&amp;IF(INDEX(evol_conc!$H:$H,$Q275)="","vacía",DAY(INDEX(evol_conc!$H:$H,$Q275))&amp;"/"&amp;MONTH(INDEX(evol_conc!$H:$H,$Q275))&amp;"/"&amp;YEAR(INDEX(evol_conc!$H:$H,$Q275)))&amp;")",IF(INDEX(evol_conc!$G:$G,$Q275)&lt;&gt;$E275,"INGRESO DISTINTO EN evol_conc ("&amp;IF(INDEX(evol_conc!$G:$G,$Q275)="","vacía",DAY(INDEX(evol_conc!$G:$G,$Q275))&amp;"/"&amp;MONTH(INDEX(evol_conc!$G:$G,$Q275))&amp;"/"&amp;YEAR(INDEX(evol_conc!$G:$G,$Q275)))&amp;")","OK"))))))))</f>
        <v>INCOMPLETA: decisión N° resolución N° dictamen</v>
      </c>
      <c r="Q275">
        <f ca="1">IF($N275="","",IFERROR(MATCH($N275,evol_conc!$P:$P,0),0))</f>
        <v>145</v>
      </c>
    </row>
    <row r="276" spans="1:17" ht="18" customHeight="1" x14ac:dyDescent="0.25">
      <c r="A276" s="51" t="s">
        <v>624</v>
      </c>
      <c r="B276" s="44" t="s">
        <v>1954</v>
      </c>
      <c r="D276" s="55" t="s">
        <v>515</v>
      </c>
      <c r="E276" s="16">
        <v>46234</v>
      </c>
      <c r="F276" s="16">
        <v>46273</v>
      </c>
      <c r="L276" s="53">
        <f t="shared" si="8"/>
        <v>1.3</v>
      </c>
      <c r="M276" s="19">
        <f t="shared" si="9"/>
        <v>39</v>
      </c>
      <c r="N276" t="str">
        <f ca="1">IF(TRIM(SUBSTITUTE($B276,CHAR(160)," "))="","",IFERROR(IF(ISNUMBER(SEARCH("INC",$B276)),"INC",IF(ISNUMBER(SEARCH("OPI",$B276)),"OPI",IF(ISNUMBER(SEARCH("DP",$B276)),"DP","CONC")))&amp;" "&amp;TEXT(LOOKUP(9.99E+307,--MID(SUBSTITUTE($B276,CHAR(160)," "),SUMPRODUCT(MIN(FIND({0,1,2,3,4,5,6,7,8,9},SUBSTITUTE($B276,CHAR(160)," ")&amp;"0123456789"))),ROW(INDIRECT("1:6")))),"0"),"SIN NUMERO"))</f>
        <v>CONC 2135</v>
      </c>
      <c r="O276" t="str">
        <f ca="1">IF($N276="","",IF(LEFT(UPPER($P276),9)="VERIFICAR","VERIFICAR",IF(AND($H276&lt;&gt;"",COUNTIFS($N$2:$N$1000,$N276,$H$2:$H$1000,$H276)&gt;1),"DUPLICADA",IF(TRIM(IF($A276="","tipo ","")&amp;IF($F276="","fecha de firma ","")&amp;IF($G276="","decisión ","")&amp;IF($H276="","N° resolución ","")&amp;IF($I276="","N° dictamen",""))&lt;&gt;"","INCOMPLETA: "&amp;TRIM(IF($A276="","tipo ","")&amp;IF($F276="","fecha de firma ","")&amp;IF($G276="","decisión ","")&amp;IF($H276="","N° resolución ","")&amp;IF($I276="","N° dictamen","")),IF(LEFT($N276,4)&lt;&gt;"CONC","OK",IF(N($Q276)=0,IF(AND(ISNUMBER($E276),$E276&gt;=DATE(2024,1,1)),"FALTA EN evol_conc","OK"),IF(INDEX(evol_conc!$H:$H,$Q276)&lt;&gt;$F276,"FIRMA DISTINTA EN evol_conc ("&amp;IF(INDEX(evol_conc!$H:$H,$Q276)="","vacía",DAY(INDEX(evol_conc!$H:$H,$Q276))&amp;"/"&amp;MONTH(INDEX(evol_conc!$H:$H,$Q276))&amp;"/"&amp;YEAR(INDEX(evol_conc!$H:$H,$Q276)))&amp;")",IF(INDEX(evol_conc!$G:$G,$Q276)&lt;&gt;$E276,"INGRESO DISTINTO EN evol_conc ("&amp;IF(INDEX(evol_conc!$G:$G,$Q276)="","vacía",DAY(INDEX(evol_conc!$G:$G,$Q276))&amp;"/"&amp;MONTH(INDEX(evol_conc!$G:$G,$Q276))&amp;"/"&amp;YEAR(INDEX(evol_conc!$G:$G,$Q276)))&amp;")","OK"))))))))</f>
        <v>INCOMPLETA: decisión N° resolución N° dictamen</v>
      </c>
      <c r="Q276">
        <f ca="1">IF($N276="","",IFERROR(MATCH($N276,evol_conc!$P:$P,0),0))</f>
        <v>213</v>
      </c>
    </row>
    <row r="277" spans="1:17" ht="18" customHeight="1" x14ac:dyDescent="0.25">
      <c r="A277" s="51" t="s">
        <v>624</v>
      </c>
      <c r="B277" s="44" t="s">
        <v>1955</v>
      </c>
      <c r="D277" s="55" t="s">
        <v>477</v>
      </c>
      <c r="E277" s="16">
        <v>46177</v>
      </c>
      <c r="F277" s="16">
        <v>46276</v>
      </c>
      <c r="L277" s="53">
        <f t="shared" si="8"/>
        <v>3.3</v>
      </c>
      <c r="M277" s="19">
        <f t="shared" si="9"/>
        <v>99</v>
      </c>
      <c r="N277" t="str">
        <f ca="1">IF(TRIM(SUBSTITUTE($B277,CHAR(160)," "))="","",IFERROR(IF(ISNUMBER(SEARCH("INC",$B277)),"INC",IF(ISNUMBER(SEARCH("OPI",$B277)),"OPI",IF(ISNUMBER(SEARCH("DP",$B277)),"DP","CONC")))&amp;" "&amp;TEXT(LOOKUP(9.99E+307,--MID(SUBSTITUTE($B277,CHAR(160)," "),SUMPRODUCT(MIN(FIND({0,1,2,3,4,5,6,7,8,9},SUBSTITUTE($B277,CHAR(160)," ")&amp;"0123456789"))),ROW(INDIRECT("1:6")))),"0"),"SIN NUMERO"))</f>
        <v>CONC 2117</v>
      </c>
      <c r="O277" t="str">
        <f ca="1">IF($N277="","",IF(LEFT(UPPER($P277),9)="VERIFICAR","VERIFICAR",IF(AND($H277&lt;&gt;"",COUNTIFS($N$2:$N$1000,$N277,$H$2:$H$1000,$H277)&gt;1),"DUPLICADA",IF(TRIM(IF($A277="","tipo ","")&amp;IF($F277="","fecha de firma ","")&amp;IF($G277="","decisión ","")&amp;IF($H277="","N° resolución ","")&amp;IF($I277="","N° dictamen",""))&lt;&gt;"","INCOMPLETA: "&amp;TRIM(IF($A277="","tipo ","")&amp;IF($F277="","fecha de firma ","")&amp;IF($G277="","decisión ","")&amp;IF($H277="","N° resolución ","")&amp;IF($I277="","N° dictamen","")),IF(LEFT($N277,4)&lt;&gt;"CONC","OK",IF(N($Q277)=0,IF(AND(ISNUMBER($E277),$E277&gt;=DATE(2024,1,1)),"FALTA EN evol_conc","OK"),IF(INDEX(evol_conc!$H:$H,$Q277)&lt;&gt;$F277,"FIRMA DISTINTA EN evol_conc ("&amp;IF(INDEX(evol_conc!$H:$H,$Q277)="","vacía",DAY(INDEX(evol_conc!$H:$H,$Q277))&amp;"/"&amp;MONTH(INDEX(evol_conc!$H:$H,$Q277))&amp;"/"&amp;YEAR(INDEX(evol_conc!$H:$H,$Q277)))&amp;")",IF(INDEX(evol_conc!$G:$G,$Q277)&lt;&gt;$E277,"INGRESO DISTINTO EN evol_conc ("&amp;IF(INDEX(evol_conc!$G:$G,$Q277)="","vacía",DAY(INDEX(evol_conc!$G:$G,$Q277))&amp;"/"&amp;MONTH(INDEX(evol_conc!$G:$G,$Q277))&amp;"/"&amp;YEAR(INDEX(evol_conc!$G:$G,$Q277)))&amp;")","OK"))))))))</f>
        <v>INCOMPLETA: decisión N° resolución N° dictamen</v>
      </c>
      <c r="Q277">
        <f ca="1">IF($N277="","",IFERROR(MATCH($N277,evol_conc!$P:$P,0),0))</f>
        <v>195</v>
      </c>
    </row>
    <row r="278" spans="1:17" ht="18" customHeight="1" x14ac:dyDescent="0.25">
      <c r="A278" s="51" t="s">
        <v>624</v>
      </c>
      <c r="B278" s="44" t="s">
        <v>1956</v>
      </c>
      <c r="D278" s="44" t="s">
        <v>521</v>
      </c>
      <c r="E278" s="16">
        <v>46239</v>
      </c>
      <c r="F278" s="16">
        <v>46276</v>
      </c>
      <c r="L278" s="53">
        <f t="shared" si="8"/>
        <v>1.2333333333333334</v>
      </c>
      <c r="M278" s="19">
        <f t="shared" si="9"/>
        <v>37</v>
      </c>
      <c r="N278" t="str">
        <f ca="1">IF(TRIM(SUBSTITUTE($B278,CHAR(160)," "))="","",IFERROR(IF(ISNUMBER(SEARCH("INC",$B278)),"INC",IF(ISNUMBER(SEARCH("OPI",$B278)),"OPI",IF(ISNUMBER(SEARCH("DP",$B278)),"DP","CONC")))&amp;" "&amp;TEXT(LOOKUP(9.99E+307,--MID(SUBSTITUTE($B278,CHAR(160)," "),SUMPRODUCT(MIN(FIND({0,1,2,3,4,5,6,7,8,9},SUBSTITUTE($B278,CHAR(160)," ")&amp;"0123456789"))),ROW(INDIRECT("1:6")))),"0"),"SIN NUMERO"))</f>
        <v>CONC 2138</v>
      </c>
      <c r="O278" t="str">
        <f ca="1">IF($N278="","",IF(LEFT(UPPER($P278),9)="VERIFICAR","VERIFICAR",IF(AND($H278&lt;&gt;"",COUNTIFS($N$2:$N$1000,$N278,$H$2:$H$1000,$H278)&gt;1),"DUPLICADA",IF(TRIM(IF($A278="","tipo ","")&amp;IF($F278="","fecha de firma ","")&amp;IF($G278="","decisión ","")&amp;IF($H278="","N° resolución ","")&amp;IF($I278="","N° dictamen",""))&lt;&gt;"","INCOMPLETA: "&amp;TRIM(IF($A278="","tipo ","")&amp;IF($F278="","fecha de firma ","")&amp;IF($G278="","decisión ","")&amp;IF($H278="","N° resolución ","")&amp;IF($I278="","N° dictamen","")),IF(LEFT($N278,4)&lt;&gt;"CONC","OK",IF(N($Q278)=0,IF(AND(ISNUMBER($E278),$E278&gt;=DATE(2024,1,1)),"FALTA EN evol_conc","OK"),IF(INDEX(evol_conc!$H:$H,$Q278)&lt;&gt;$F278,"FIRMA DISTINTA EN evol_conc ("&amp;IF(INDEX(evol_conc!$H:$H,$Q278)="","vacía",DAY(INDEX(evol_conc!$H:$H,$Q278))&amp;"/"&amp;MONTH(INDEX(evol_conc!$H:$H,$Q278))&amp;"/"&amp;YEAR(INDEX(evol_conc!$H:$H,$Q278)))&amp;")",IF(INDEX(evol_conc!$G:$G,$Q278)&lt;&gt;$E278,"INGRESO DISTINTO EN evol_conc ("&amp;IF(INDEX(evol_conc!$G:$G,$Q278)="","vacía",DAY(INDEX(evol_conc!$G:$G,$Q278))&amp;"/"&amp;MONTH(INDEX(evol_conc!$G:$G,$Q278))&amp;"/"&amp;YEAR(INDEX(evol_conc!$G:$G,$Q278)))&amp;")","OK"))))))))</f>
        <v>INCOMPLETA: decisión N° resolución N° dictamen</v>
      </c>
      <c r="Q278">
        <f ca="1">IF($N278="","",IFERROR(MATCH($N278,evol_conc!$P:$P,0),0))</f>
        <v>216</v>
      </c>
    </row>
    <row r="279" spans="1:17" ht="18" customHeight="1" x14ac:dyDescent="0.25">
      <c r="A279" s="51" t="s">
        <v>547</v>
      </c>
      <c r="B279" s="44" t="s">
        <v>1975</v>
      </c>
      <c r="D279" s="51" t="s">
        <v>1976</v>
      </c>
      <c r="E279" s="16">
        <v>46051</v>
      </c>
      <c r="F279" s="16">
        <v>46283</v>
      </c>
      <c r="L279" s="53">
        <f t="shared" si="8"/>
        <v>7.7333333333333334</v>
      </c>
      <c r="M279" s="19">
        <f t="shared" si="9"/>
        <v>232</v>
      </c>
      <c r="N279" t="str">
        <f ca="1">IF(TRIM(SUBSTITUTE($B279,CHAR(160)," "))="","",IFERROR(IF(ISNUMBER(SEARCH("INC",$B279)),"INC",IF(ISNUMBER(SEARCH("OPI",$B279)),"OPI",IF(ISNUMBER(SEARCH("DP",$B279)),"DP","CONC")))&amp;" "&amp;TEXT(LOOKUP(9.99E+307,--MID(SUBSTITUTE($B279,CHAR(160)," "),SUMPRODUCT(MIN(FIND({0,1,2,3,4,5,6,7,8,9},SUBSTITUTE($B279,CHAR(160)," ")&amp;"0123456789"))),ROW(INDIRECT("1:6")))),"0"),"SIN NUMERO"))</f>
        <v>CONC 2090</v>
      </c>
      <c r="O279" t="str">
        <f ca="1">IF($N279="","",IF(LEFT(UPPER($P279),9)="VERIFICAR","VERIFICAR",IF(AND($H279&lt;&gt;"",COUNTIFS($N$2:$N$1000,$N279,$H$2:$H$1000,$H279)&gt;1),"DUPLICADA",IF(TRIM(IF($A279="","tipo ","")&amp;IF($F279="","fecha de firma ","")&amp;IF($G279="","decisión ","")&amp;IF($H279="","N° resolución ","")&amp;IF($I279="","N° dictamen",""))&lt;&gt;"","INCOMPLETA: "&amp;TRIM(IF($A279="","tipo ","")&amp;IF($F279="","fecha de firma ","")&amp;IF($G279="","decisión ","")&amp;IF($H279="","N° resolución ","")&amp;IF($I279="","N° dictamen","")),IF(LEFT($N279,4)&lt;&gt;"CONC","OK",IF(N($Q279)=0,IF(AND(ISNUMBER($E279),$E279&gt;=DATE(2024,1,1)),"FALTA EN evol_conc","OK"),IF(INDEX(evol_conc!$H:$H,$Q279)&lt;&gt;$F279,"FIRMA DISTINTA EN evol_conc ("&amp;IF(INDEX(evol_conc!$H:$H,$Q279)="","vacía",DAY(INDEX(evol_conc!$H:$H,$Q279))&amp;"/"&amp;MONTH(INDEX(evol_conc!$H:$H,$Q279))&amp;"/"&amp;YEAR(INDEX(evol_conc!$H:$H,$Q279)))&amp;")",IF(INDEX(evol_conc!$G:$G,$Q279)&lt;&gt;$E279,"INGRESO DISTINTO EN evol_conc ("&amp;IF(INDEX(evol_conc!$G:$G,$Q279)="","vacía",DAY(INDEX(evol_conc!$G:$G,$Q279))&amp;"/"&amp;MONTH(INDEX(evol_conc!$G:$G,$Q279))&amp;"/"&amp;YEAR(INDEX(evol_conc!$G:$G,$Q279)))&amp;")","OK"))))))))</f>
        <v>INCOMPLETA: decisión N° resolución N° dictamen</v>
      </c>
      <c r="Q279">
        <f ca="1">IF($N279="","",IFERROR(MATCH($N279,evol_conc!$P:$P,0),0))</f>
        <v>168</v>
      </c>
    </row>
    <row r="280" spans="1:17" ht="18" customHeight="1" x14ac:dyDescent="0.25">
      <c r="A280" s="51" t="s">
        <v>624</v>
      </c>
      <c r="B280" s="44" t="s">
        <v>1977</v>
      </c>
      <c r="D280" s="51" t="s">
        <v>1978</v>
      </c>
      <c r="E280" s="16">
        <v>46262</v>
      </c>
      <c r="F280" s="16">
        <v>46296</v>
      </c>
      <c r="G280" t="s">
        <v>1598</v>
      </c>
      <c r="H280" s="51" t="s">
        <v>1979</v>
      </c>
      <c r="I280" t="s">
        <v>1980</v>
      </c>
      <c r="J280" t="s">
        <v>1981</v>
      </c>
      <c r="K280" t="s">
        <v>581</v>
      </c>
      <c r="L280" s="53">
        <f t="shared" si="8"/>
        <v>1.1333333333333333</v>
      </c>
      <c r="M280" s="19">
        <f t="shared" si="9"/>
        <v>34</v>
      </c>
      <c r="N280" t="str">
        <f ca="1">IF(TRIM(SUBSTITUTE($B280,CHAR(160)," "))="","",IFERROR(IF(ISNUMBER(SEARCH("INC",$B280)),"INC",IF(ISNUMBER(SEARCH("OPI",$B280)),"OPI",IF(ISNUMBER(SEARCH("DP",$B280)),"DP","CONC")))&amp;" "&amp;TEXT(LOOKUP(9.99E+307,--MID(SUBSTITUTE($B280,CHAR(160)," "),SUMPRODUCT(MIN(FIND({0,1,2,3,4,5,6,7,8,9},SUBSTITUTE($B280,CHAR(160)," ")&amp;"0123456789"))),ROW(INDIRECT("1:6")))),"0"),"SIN NUMERO"))</f>
        <v>CONC 2145</v>
      </c>
      <c r="O280" t="str">
        <f ca="1">IF($N280="","",IF(LEFT(UPPER($P280),9)="VERIFICAR","VERIFICAR",IF(AND($H280&lt;&gt;"",COUNTIFS($N$2:$N$1000,$N280,$H$2:$H$1000,$H280)&gt;1),"DUPLICADA",IF(TRIM(IF($A280="","tipo ","")&amp;IF($F280="","fecha de firma ","")&amp;IF($G280="","decisión ","")&amp;IF($H280="","N° resolución ","")&amp;IF($I280="","N° dictamen",""))&lt;&gt;"","INCOMPLETA: "&amp;TRIM(IF($A280="","tipo ","")&amp;IF($F280="","fecha de firma ","")&amp;IF($G280="","decisión ","")&amp;IF($H280="","N° resolución ","")&amp;IF($I280="","N° dictamen","")),IF(LEFT($N280,4)&lt;&gt;"CONC","OK",IF(N($Q280)=0,IF(AND(ISNUMBER($E280),$E280&gt;=DATE(2024,1,1)),"FALTA EN evol_conc","OK"),IF(INDEX(evol_conc!$H:$H,$Q280)&lt;&gt;$F280,"FIRMA DISTINTA EN evol_conc ("&amp;IF(INDEX(evol_conc!$H:$H,$Q280)="","vacía",DAY(INDEX(evol_conc!$H:$H,$Q280))&amp;"/"&amp;MONTH(INDEX(evol_conc!$H:$H,$Q280))&amp;"/"&amp;YEAR(INDEX(evol_conc!$H:$H,$Q280)))&amp;")",IF(INDEX(evol_conc!$G:$G,$Q280)&lt;&gt;$E280,"INGRESO DISTINTO EN evol_conc ("&amp;IF(INDEX(evol_conc!$G:$G,$Q280)="","vacía",DAY(INDEX(evol_conc!$G:$G,$Q280))&amp;"/"&amp;MONTH(INDEX(evol_conc!$G:$G,$Q280))&amp;"/"&amp;YEAR(INDEX(evol_conc!$G:$G,$Q280)))&amp;")","OK"))))))))</f>
        <v>FIRMA DISTINTA EN evol_conc (vacía)</v>
      </c>
      <c r="Q280">
        <f ca="1">IF($N280="","",IFERROR(MATCH($N280,evol_conc!$P:$P,0),0))</f>
        <v>223</v>
      </c>
    </row>
    <row r="281" spans="1:17" ht="18" customHeight="1" x14ac:dyDescent="0.25">
      <c r="G281" s="16"/>
      <c r="L281" s="53" t="str">
        <f t="shared" si="8"/>
        <v/>
      </c>
      <c r="M281" s="19" t="str">
        <f t="shared" si="9"/>
        <v/>
      </c>
      <c r="N281" t="str">
        <f ca="1">IF(TRIM(SUBSTITUTE($B281,CHAR(160)," "))="","",IFERROR(IF(ISNUMBER(SEARCH("INC",$B281)),"INC",IF(ISNUMBER(SEARCH("OPI",$B281)),"OPI",IF(ISNUMBER(SEARCH("DP",$B281)),"DP","CONC")))&amp;" "&amp;TEXT(LOOKUP(9.99E+307,--MID(SUBSTITUTE($B281,CHAR(160)," "),SUMPRODUCT(MIN(FIND({0,1,2,3,4,5,6,7,8,9},SUBSTITUTE($B281,CHAR(160)," ")&amp;"0123456789"))),ROW(INDIRECT("1:6")))),"0"),"SIN NUMERO"))</f>
        <v/>
      </c>
      <c r="O281" t="str">
        <f ca="1">IF($N281="","",IF(LEFT(UPPER($P281),9)="VERIFICAR","VERIFICAR",IF(AND($H281&lt;&gt;"",COUNTIFS($N$2:$N$1000,$N281,$H$2:$H$1000,$H281)&gt;1),"DUPLICADA",IF(TRIM(IF($A281="","tipo ","")&amp;IF($F281="","fecha de firma ","")&amp;IF($G281="","decisión ","")&amp;IF($H281="","N° resolución ","")&amp;IF($I281="","N° dictamen",""))&lt;&gt;"","INCOMPLETA: "&amp;TRIM(IF($A281="","tipo ","")&amp;IF($F281="","fecha de firma ","")&amp;IF($G281="","decisión ","")&amp;IF($H281="","N° resolución ","")&amp;IF($I281="","N° dictamen","")),IF(LEFT($N281,4)&lt;&gt;"CONC","OK",IF(N($Q281)=0,IF(AND(ISNUMBER($E281),$E281&gt;=DATE(2024,1,1)),"FALTA EN evol_conc","OK"),IF(INDEX(evol_conc!$H:$H,$Q281)&lt;&gt;$F281,"FIRMA DISTINTA EN evol_conc ("&amp;IF(INDEX(evol_conc!$H:$H,$Q281)="","vacía",DAY(INDEX(evol_conc!$H:$H,$Q281))&amp;"/"&amp;MONTH(INDEX(evol_conc!$H:$H,$Q281))&amp;"/"&amp;YEAR(INDEX(evol_conc!$H:$H,$Q281)))&amp;")",IF(INDEX(evol_conc!$G:$G,$Q281)&lt;&gt;$E281,"INGRESO DISTINTO EN evol_conc ("&amp;IF(INDEX(evol_conc!$G:$G,$Q281)="","vacía",DAY(INDEX(evol_conc!$G:$G,$Q281))&amp;"/"&amp;MONTH(INDEX(evol_conc!$G:$G,$Q281))&amp;"/"&amp;YEAR(INDEX(evol_conc!$G:$G,$Q281)))&amp;")","OK"))))))))</f>
        <v/>
      </c>
      <c r="Q281" t="str">
        <f ca="1">IF($N281="","",IFERROR(MATCH($N281,evol_conc!$P:$P,0),0))</f>
        <v/>
      </c>
    </row>
    <row r="282" spans="1:17" ht="18" customHeight="1" x14ac:dyDescent="0.25">
      <c r="L282" s="53" t="str">
        <f t="shared" si="8"/>
        <v/>
      </c>
      <c r="M282" s="19" t="str">
        <f t="shared" si="9"/>
        <v/>
      </c>
      <c r="N282" t="str">
        <f ca="1">IF(TRIM(SUBSTITUTE($B282,CHAR(160)," "))="","",IFERROR(IF(ISNUMBER(SEARCH("INC",$B282)),"INC",IF(ISNUMBER(SEARCH("OPI",$B282)),"OPI",IF(ISNUMBER(SEARCH("DP",$B282)),"DP","CONC")))&amp;" "&amp;TEXT(LOOKUP(9.99E+307,--MID(SUBSTITUTE($B282,CHAR(160)," "),SUMPRODUCT(MIN(FIND({0,1,2,3,4,5,6,7,8,9},SUBSTITUTE($B282,CHAR(160)," ")&amp;"0123456789"))),ROW(INDIRECT("1:6")))),"0"),"SIN NUMERO"))</f>
        <v/>
      </c>
      <c r="O282" t="str">
        <f ca="1">IF($N282="","",IF(LEFT(UPPER($P282),9)="VERIFICAR","VERIFICAR",IF(AND($H282&lt;&gt;"",COUNTIFS($N$2:$N$1000,$N282,$H$2:$H$1000,$H282)&gt;1),"DUPLICADA",IF(TRIM(IF($A282="","tipo ","")&amp;IF($F282="","fecha de firma ","")&amp;IF($G282="","decisión ","")&amp;IF($H282="","N° resolución ","")&amp;IF($I282="","N° dictamen",""))&lt;&gt;"","INCOMPLETA: "&amp;TRIM(IF($A282="","tipo ","")&amp;IF($F282="","fecha de firma ","")&amp;IF($G282="","decisión ","")&amp;IF($H282="","N° resolución ","")&amp;IF($I282="","N° dictamen","")),IF(LEFT($N282,4)&lt;&gt;"CONC","OK",IF(N($Q282)=0,IF(AND(ISNUMBER($E282),$E282&gt;=DATE(2024,1,1)),"FALTA EN evol_conc","OK"),IF(INDEX(evol_conc!$H:$H,$Q282)&lt;&gt;$F282,"FIRMA DISTINTA EN evol_conc ("&amp;IF(INDEX(evol_conc!$H:$H,$Q282)="","vacía",DAY(INDEX(evol_conc!$H:$H,$Q282))&amp;"/"&amp;MONTH(INDEX(evol_conc!$H:$H,$Q282))&amp;"/"&amp;YEAR(INDEX(evol_conc!$H:$H,$Q282)))&amp;")",IF(INDEX(evol_conc!$G:$G,$Q282)&lt;&gt;$E282,"INGRESO DISTINTO EN evol_conc ("&amp;IF(INDEX(evol_conc!$G:$G,$Q282)="","vacía",DAY(INDEX(evol_conc!$G:$G,$Q282))&amp;"/"&amp;MONTH(INDEX(evol_conc!$G:$G,$Q282))&amp;"/"&amp;YEAR(INDEX(evol_conc!$G:$G,$Q282)))&amp;")","OK"))))))))</f>
        <v/>
      </c>
      <c r="Q282" t="str">
        <f ca="1">IF($N282="","",IFERROR(MATCH($N282,evol_conc!$P:$P,0),0))</f>
        <v/>
      </c>
    </row>
    <row r="283" spans="1:17" ht="18" customHeight="1" x14ac:dyDescent="0.25">
      <c r="G283" s="16"/>
      <c r="L283" s="53" t="str">
        <f t="shared" si="8"/>
        <v/>
      </c>
      <c r="M283" s="19" t="str">
        <f t="shared" si="9"/>
        <v/>
      </c>
      <c r="N283" t="str">
        <f ca="1">IF(TRIM(SUBSTITUTE($B283,CHAR(160)," "))="","",IFERROR(IF(ISNUMBER(SEARCH("INC",$B283)),"INC",IF(ISNUMBER(SEARCH("OPI",$B283)),"OPI",IF(ISNUMBER(SEARCH("DP",$B283)),"DP","CONC")))&amp;" "&amp;TEXT(LOOKUP(9.99E+307,--MID(SUBSTITUTE($B283,CHAR(160)," "),SUMPRODUCT(MIN(FIND({0,1,2,3,4,5,6,7,8,9},SUBSTITUTE($B283,CHAR(160)," ")&amp;"0123456789"))),ROW(INDIRECT("1:6")))),"0"),"SIN NUMERO"))</f>
        <v/>
      </c>
      <c r="O283" t="str">
        <f ca="1">IF($N283="","",IF(LEFT(UPPER($P283),9)="VERIFICAR","VERIFICAR",IF(AND($H283&lt;&gt;"",COUNTIFS($N$2:$N$1000,$N283,$H$2:$H$1000,$H283)&gt;1),"DUPLICADA",IF(TRIM(IF($A283="","tipo ","")&amp;IF($F283="","fecha de firma ","")&amp;IF($G283="","decisión ","")&amp;IF($H283="","N° resolución ","")&amp;IF($I283="","N° dictamen",""))&lt;&gt;"","INCOMPLETA: "&amp;TRIM(IF($A283="","tipo ","")&amp;IF($F283="","fecha de firma ","")&amp;IF($G283="","decisión ","")&amp;IF($H283="","N° resolución ","")&amp;IF($I283="","N° dictamen","")),IF(LEFT($N283,4)&lt;&gt;"CONC","OK",IF(N($Q283)=0,IF(AND(ISNUMBER($E283),$E283&gt;=DATE(2024,1,1)),"FALTA EN evol_conc","OK"),IF(INDEX(evol_conc!$H:$H,$Q283)&lt;&gt;$F283,"FIRMA DISTINTA EN evol_conc ("&amp;IF(INDEX(evol_conc!$H:$H,$Q283)="","vacía",DAY(INDEX(evol_conc!$H:$H,$Q283))&amp;"/"&amp;MONTH(INDEX(evol_conc!$H:$H,$Q283))&amp;"/"&amp;YEAR(INDEX(evol_conc!$H:$H,$Q283)))&amp;")",IF(INDEX(evol_conc!$G:$G,$Q283)&lt;&gt;$E283,"INGRESO DISTINTO EN evol_conc ("&amp;IF(INDEX(evol_conc!$G:$G,$Q283)="","vacía",DAY(INDEX(evol_conc!$G:$G,$Q283))&amp;"/"&amp;MONTH(INDEX(evol_conc!$G:$G,$Q283))&amp;"/"&amp;YEAR(INDEX(evol_conc!$G:$G,$Q283)))&amp;")","OK"))))))))</f>
        <v/>
      </c>
      <c r="Q283" t="str">
        <f ca="1">IF($N283="","",IFERROR(MATCH($N283,evol_conc!$P:$P,0),0))</f>
        <v/>
      </c>
    </row>
    <row r="284" spans="1:17" ht="18" customHeight="1" x14ac:dyDescent="0.25">
      <c r="G284" s="16"/>
      <c r="L284" s="53" t="str">
        <f t="shared" si="8"/>
        <v/>
      </c>
      <c r="M284" s="19" t="str">
        <f t="shared" si="9"/>
        <v/>
      </c>
      <c r="N284" t="str">
        <f ca="1">IF(TRIM(SUBSTITUTE($B284,CHAR(160)," "))="","",IFERROR(IF(ISNUMBER(SEARCH("INC",$B284)),"INC",IF(ISNUMBER(SEARCH("OPI",$B284)),"OPI",IF(ISNUMBER(SEARCH("DP",$B284)),"DP","CONC")))&amp;" "&amp;TEXT(LOOKUP(9.99E+307,--MID(SUBSTITUTE($B284,CHAR(160)," "),SUMPRODUCT(MIN(FIND({0,1,2,3,4,5,6,7,8,9},SUBSTITUTE($B284,CHAR(160)," ")&amp;"0123456789"))),ROW(INDIRECT("1:6")))),"0"),"SIN NUMERO"))</f>
        <v/>
      </c>
      <c r="O284" t="str">
        <f ca="1">IF($N284="","",IF(LEFT(UPPER($P284),9)="VERIFICAR","VERIFICAR",IF(AND($H284&lt;&gt;"",COUNTIFS($N$2:$N$1000,$N284,$H$2:$H$1000,$H284)&gt;1),"DUPLICADA",IF(TRIM(IF($A284="","tipo ","")&amp;IF($F284="","fecha de firma ","")&amp;IF($G284="","decisión ","")&amp;IF($H284="","N° resolución ","")&amp;IF($I284="","N° dictamen",""))&lt;&gt;"","INCOMPLETA: "&amp;TRIM(IF($A284="","tipo ","")&amp;IF($F284="","fecha de firma ","")&amp;IF($G284="","decisión ","")&amp;IF($H284="","N° resolución ","")&amp;IF($I284="","N° dictamen","")),IF(LEFT($N284,4)&lt;&gt;"CONC","OK",IF(N($Q284)=0,IF(AND(ISNUMBER($E284),$E284&gt;=DATE(2024,1,1)),"FALTA EN evol_conc","OK"),IF(INDEX(evol_conc!$H:$H,$Q284)&lt;&gt;$F284,"FIRMA DISTINTA EN evol_conc ("&amp;IF(INDEX(evol_conc!$H:$H,$Q284)="","vacía",DAY(INDEX(evol_conc!$H:$H,$Q284))&amp;"/"&amp;MONTH(INDEX(evol_conc!$H:$H,$Q284))&amp;"/"&amp;YEAR(INDEX(evol_conc!$H:$H,$Q284)))&amp;")",IF(INDEX(evol_conc!$G:$G,$Q284)&lt;&gt;$E284,"INGRESO DISTINTO EN evol_conc ("&amp;IF(INDEX(evol_conc!$G:$G,$Q284)="","vacía",DAY(INDEX(evol_conc!$G:$G,$Q284))&amp;"/"&amp;MONTH(INDEX(evol_conc!$G:$G,$Q284))&amp;"/"&amp;YEAR(INDEX(evol_conc!$G:$G,$Q284)))&amp;")","OK"))))))))</f>
        <v/>
      </c>
      <c r="Q284" t="str">
        <f ca="1">IF($N284="","",IFERROR(MATCH($N284,evol_conc!$P:$P,0),0))</f>
        <v/>
      </c>
    </row>
    <row r="285" spans="1:17" ht="18" customHeight="1" x14ac:dyDescent="0.25">
      <c r="G285" s="16"/>
      <c r="L285" s="53" t="str">
        <f t="shared" si="8"/>
        <v/>
      </c>
      <c r="M285" s="19" t="str">
        <f t="shared" si="9"/>
        <v/>
      </c>
      <c r="N285" t="str">
        <f ca="1">IF(TRIM(SUBSTITUTE($B285,CHAR(160)," "))="","",IFERROR(IF(ISNUMBER(SEARCH("INC",$B285)),"INC",IF(ISNUMBER(SEARCH("OPI",$B285)),"OPI",IF(ISNUMBER(SEARCH("DP",$B285)),"DP","CONC")))&amp;" "&amp;TEXT(LOOKUP(9.99E+307,--MID(SUBSTITUTE($B285,CHAR(160)," "),SUMPRODUCT(MIN(FIND({0,1,2,3,4,5,6,7,8,9},SUBSTITUTE($B285,CHAR(160)," ")&amp;"0123456789"))),ROW(INDIRECT("1:6")))),"0"),"SIN NUMERO"))</f>
        <v/>
      </c>
      <c r="O285" t="str">
        <f ca="1">IF($N285="","",IF(LEFT(UPPER($P285),9)="VERIFICAR","VERIFICAR",IF(AND($H285&lt;&gt;"",COUNTIFS($N$2:$N$1000,$N285,$H$2:$H$1000,$H285)&gt;1),"DUPLICADA",IF(TRIM(IF($A285="","tipo ","")&amp;IF($F285="","fecha de firma ","")&amp;IF($G285="","decisión ","")&amp;IF($H285="","N° resolución ","")&amp;IF($I285="","N° dictamen",""))&lt;&gt;"","INCOMPLETA: "&amp;TRIM(IF($A285="","tipo ","")&amp;IF($F285="","fecha de firma ","")&amp;IF($G285="","decisión ","")&amp;IF($H285="","N° resolución ","")&amp;IF($I285="","N° dictamen","")),IF(LEFT($N285,4)&lt;&gt;"CONC","OK",IF(N($Q285)=0,IF(AND(ISNUMBER($E285),$E285&gt;=DATE(2024,1,1)),"FALTA EN evol_conc","OK"),IF(INDEX(evol_conc!$H:$H,$Q285)&lt;&gt;$F285,"FIRMA DISTINTA EN evol_conc ("&amp;IF(INDEX(evol_conc!$H:$H,$Q285)="","vacía",DAY(INDEX(evol_conc!$H:$H,$Q285))&amp;"/"&amp;MONTH(INDEX(evol_conc!$H:$H,$Q285))&amp;"/"&amp;YEAR(INDEX(evol_conc!$H:$H,$Q285)))&amp;")",IF(INDEX(evol_conc!$G:$G,$Q285)&lt;&gt;$E285,"INGRESO DISTINTO EN evol_conc ("&amp;IF(INDEX(evol_conc!$G:$G,$Q285)="","vacía",DAY(INDEX(evol_conc!$G:$G,$Q285))&amp;"/"&amp;MONTH(INDEX(evol_conc!$G:$G,$Q285))&amp;"/"&amp;YEAR(INDEX(evol_conc!$G:$G,$Q285)))&amp;")","OK"))))))))</f>
        <v/>
      </c>
      <c r="Q285" t="str">
        <f ca="1">IF($N285="","",IFERROR(MATCH($N285,evol_conc!$P:$P,0),0))</f>
        <v/>
      </c>
    </row>
    <row r="286" spans="1:17" ht="18" customHeight="1" x14ac:dyDescent="0.25">
      <c r="G286" s="16"/>
      <c r="L286" s="53" t="str">
        <f t="shared" si="8"/>
        <v/>
      </c>
      <c r="M286" s="19" t="str">
        <f t="shared" si="9"/>
        <v/>
      </c>
      <c r="N286" t="str">
        <f ca="1">IF(TRIM(SUBSTITUTE($B286,CHAR(160)," "))="","",IFERROR(IF(ISNUMBER(SEARCH("INC",$B286)),"INC",IF(ISNUMBER(SEARCH("OPI",$B286)),"OPI",IF(ISNUMBER(SEARCH("DP",$B286)),"DP","CONC")))&amp;" "&amp;TEXT(LOOKUP(9.99E+307,--MID(SUBSTITUTE($B286,CHAR(160)," "),SUMPRODUCT(MIN(FIND({0,1,2,3,4,5,6,7,8,9},SUBSTITUTE($B286,CHAR(160)," ")&amp;"0123456789"))),ROW(INDIRECT("1:6")))),"0"),"SIN NUMERO"))</f>
        <v/>
      </c>
      <c r="O286" t="str">
        <f ca="1">IF($N286="","",IF(LEFT(UPPER($P286),9)="VERIFICAR","VERIFICAR",IF(AND($H286&lt;&gt;"",COUNTIFS($N$2:$N$1000,$N286,$H$2:$H$1000,$H286)&gt;1),"DUPLICADA",IF(TRIM(IF($A286="","tipo ","")&amp;IF($F286="","fecha de firma ","")&amp;IF($G286="","decisión ","")&amp;IF($H286="","N° resolución ","")&amp;IF($I286="","N° dictamen",""))&lt;&gt;"","INCOMPLETA: "&amp;TRIM(IF($A286="","tipo ","")&amp;IF($F286="","fecha de firma ","")&amp;IF($G286="","decisión ","")&amp;IF($H286="","N° resolución ","")&amp;IF($I286="","N° dictamen","")),IF(LEFT($N286,4)&lt;&gt;"CONC","OK",IF(N($Q286)=0,IF(AND(ISNUMBER($E286),$E286&gt;=DATE(2024,1,1)),"FALTA EN evol_conc","OK"),IF(INDEX(evol_conc!$H:$H,$Q286)&lt;&gt;$F286,"FIRMA DISTINTA EN evol_conc ("&amp;IF(INDEX(evol_conc!$H:$H,$Q286)="","vacía",DAY(INDEX(evol_conc!$H:$H,$Q286))&amp;"/"&amp;MONTH(INDEX(evol_conc!$H:$H,$Q286))&amp;"/"&amp;YEAR(INDEX(evol_conc!$H:$H,$Q286)))&amp;")",IF(INDEX(evol_conc!$G:$G,$Q286)&lt;&gt;$E286,"INGRESO DISTINTO EN evol_conc ("&amp;IF(INDEX(evol_conc!$G:$G,$Q286)="","vacía",DAY(INDEX(evol_conc!$G:$G,$Q286))&amp;"/"&amp;MONTH(INDEX(evol_conc!$G:$G,$Q286))&amp;"/"&amp;YEAR(INDEX(evol_conc!$G:$G,$Q286)))&amp;")","OK"))))))))</f>
        <v/>
      </c>
      <c r="Q286" t="str">
        <f ca="1">IF($N286="","",IFERROR(MATCH($N286,evol_conc!$P:$P,0),0))</f>
        <v/>
      </c>
    </row>
    <row r="287" spans="1:17" ht="18" customHeight="1" x14ac:dyDescent="0.25">
      <c r="L287" s="53" t="str">
        <f t="shared" si="8"/>
        <v/>
      </c>
      <c r="M287" s="19" t="str">
        <f t="shared" si="9"/>
        <v/>
      </c>
      <c r="N287" t="str">
        <f ca="1">IF(TRIM(SUBSTITUTE($B287,CHAR(160)," "))="","",IFERROR(IF(ISNUMBER(SEARCH("INC",$B287)),"INC",IF(ISNUMBER(SEARCH("OPI",$B287)),"OPI",IF(ISNUMBER(SEARCH("DP",$B287)),"DP","CONC")))&amp;" "&amp;TEXT(LOOKUP(9.99E+307,--MID(SUBSTITUTE($B287,CHAR(160)," "),SUMPRODUCT(MIN(FIND({0,1,2,3,4,5,6,7,8,9},SUBSTITUTE($B287,CHAR(160)," ")&amp;"0123456789"))),ROW(INDIRECT("1:6")))),"0"),"SIN NUMERO"))</f>
        <v/>
      </c>
      <c r="O287" t="str">
        <f ca="1">IF($N287="","",IF(LEFT(UPPER($P287),9)="VERIFICAR","VERIFICAR",IF(AND($H287&lt;&gt;"",COUNTIFS($N$2:$N$1000,$N287,$H$2:$H$1000,$H287)&gt;1),"DUPLICADA",IF(TRIM(IF($A287="","tipo ","")&amp;IF($F287="","fecha de firma ","")&amp;IF($G287="","decisión ","")&amp;IF($H287="","N° resolución ","")&amp;IF($I287="","N° dictamen",""))&lt;&gt;"","INCOMPLETA: "&amp;TRIM(IF($A287="","tipo ","")&amp;IF($F287="","fecha de firma ","")&amp;IF($G287="","decisión ","")&amp;IF($H287="","N° resolución ","")&amp;IF($I287="","N° dictamen","")),IF(LEFT($N287,4)&lt;&gt;"CONC","OK",IF(N($Q287)=0,IF(AND(ISNUMBER($E287),$E287&gt;=DATE(2024,1,1)),"FALTA EN evol_conc","OK"),IF(INDEX(evol_conc!$H:$H,$Q287)&lt;&gt;$F287,"FIRMA DISTINTA EN evol_conc ("&amp;IF(INDEX(evol_conc!$H:$H,$Q287)="","vacía",DAY(INDEX(evol_conc!$H:$H,$Q287))&amp;"/"&amp;MONTH(INDEX(evol_conc!$H:$H,$Q287))&amp;"/"&amp;YEAR(INDEX(evol_conc!$H:$H,$Q287)))&amp;")",IF(INDEX(evol_conc!$G:$G,$Q287)&lt;&gt;$E287,"INGRESO DISTINTO EN evol_conc ("&amp;IF(INDEX(evol_conc!$G:$G,$Q287)="","vacía",DAY(INDEX(evol_conc!$G:$G,$Q287))&amp;"/"&amp;MONTH(INDEX(evol_conc!$G:$G,$Q287))&amp;"/"&amp;YEAR(INDEX(evol_conc!$G:$G,$Q287)))&amp;")","OK"))))))))</f>
        <v/>
      </c>
      <c r="Q287" t="str">
        <f ca="1">IF($N287="","",IFERROR(MATCH($N287,evol_conc!$P:$P,0),0))</f>
        <v/>
      </c>
    </row>
    <row r="288" spans="1:17" ht="18" customHeight="1" x14ac:dyDescent="0.25">
      <c r="G288" s="16"/>
      <c r="L288" s="53" t="str">
        <f t="shared" si="8"/>
        <v/>
      </c>
      <c r="M288" s="19" t="str">
        <f t="shared" si="9"/>
        <v/>
      </c>
      <c r="N288" t="str">
        <f ca="1">IF(TRIM(SUBSTITUTE($B288,CHAR(160)," "))="","",IFERROR(IF(ISNUMBER(SEARCH("INC",$B288)),"INC",IF(ISNUMBER(SEARCH("OPI",$B288)),"OPI",IF(ISNUMBER(SEARCH("DP",$B288)),"DP","CONC")))&amp;" "&amp;TEXT(LOOKUP(9.99E+307,--MID(SUBSTITUTE($B288,CHAR(160)," "),SUMPRODUCT(MIN(FIND({0,1,2,3,4,5,6,7,8,9},SUBSTITUTE($B288,CHAR(160)," ")&amp;"0123456789"))),ROW(INDIRECT("1:6")))),"0"),"SIN NUMERO"))</f>
        <v/>
      </c>
      <c r="O288" t="str">
        <f ca="1">IF($N288="","",IF(LEFT(UPPER($P288),9)="VERIFICAR","VERIFICAR",IF(AND($H288&lt;&gt;"",COUNTIFS($N$2:$N$1000,$N288,$H$2:$H$1000,$H288)&gt;1),"DUPLICADA",IF(TRIM(IF($A288="","tipo ","")&amp;IF($F288="","fecha de firma ","")&amp;IF($G288="","decisión ","")&amp;IF($H288="","N° resolución ","")&amp;IF($I288="","N° dictamen",""))&lt;&gt;"","INCOMPLETA: "&amp;TRIM(IF($A288="","tipo ","")&amp;IF($F288="","fecha de firma ","")&amp;IF($G288="","decisión ","")&amp;IF($H288="","N° resolución ","")&amp;IF($I288="","N° dictamen","")),IF(LEFT($N288,4)&lt;&gt;"CONC","OK",IF(N($Q288)=0,IF(AND(ISNUMBER($E288),$E288&gt;=DATE(2024,1,1)),"FALTA EN evol_conc","OK"),IF(INDEX(evol_conc!$H:$H,$Q288)&lt;&gt;$F288,"FIRMA DISTINTA EN evol_conc ("&amp;IF(INDEX(evol_conc!$H:$H,$Q288)="","vacía",DAY(INDEX(evol_conc!$H:$H,$Q288))&amp;"/"&amp;MONTH(INDEX(evol_conc!$H:$H,$Q288))&amp;"/"&amp;YEAR(INDEX(evol_conc!$H:$H,$Q288)))&amp;")",IF(INDEX(evol_conc!$G:$G,$Q288)&lt;&gt;$E288,"INGRESO DISTINTO EN evol_conc ("&amp;IF(INDEX(evol_conc!$G:$G,$Q288)="","vacía",DAY(INDEX(evol_conc!$G:$G,$Q288))&amp;"/"&amp;MONTH(INDEX(evol_conc!$G:$G,$Q288))&amp;"/"&amp;YEAR(INDEX(evol_conc!$G:$G,$Q288)))&amp;")","OK"))))))))</f>
        <v/>
      </c>
      <c r="Q288" t="str">
        <f ca="1">IF($N288="","",IFERROR(MATCH($N288,evol_conc!$P:$P,0),0))</f>
        <v/>
      </c>
    </row>
    <row r="289" spans="7:17" ht="18" customHeight="1" x14ac:dyDescent="0.25">
      <c r="G289" s="16"/>
      <c r="L289" s="53" t="str">
        <f t="shared" si="8"/>
        <v/>
      </c>
      <c r="M289" s="19" t="str">
        <f t="shared" si="9"/>
        <v/>
      </c>
      <c r="N289" t="str">
        <f ca="1">IF(TRIM(SUBSTITUTE($B289,CHAR(160)," "))="","",IFERROR(IF(ISNUMBER(SEARCH("INC",$B289)),"INC",IF(ISNUMBER(SEARCH("OPI",$B289)),"OPI",IF(ISNUMBER(SEARCH("DP",$B289)),"DP","CONC")))&amp;" "&amp;TEXT(LOOKUP(9.99E+307,--MID(SUBSTITUTE($B289,CHAR(160)," "),SUMPRODUCT(MIN(FIND({0,1,2,3,4,5,6,7,8,9},SUBSTITUTE($B289,CHAR(160)," ")&amp;"0123456789"))),ROW(INDIRECT("1:6")))),"0"),"SIN NUMERO"))</f>
        <v/>
      </c>
      <c r="O289" t="str">
        <f ca="1">IF($N289="","",IF(LEFT(UPPER($P289),9)="VERIFICAR","VERIFICAR",IF(AND($H289&lt;&gt;"",COUNTIFS($N$2:$N$1000,$N289,$H$2:$H$1000,$H289)&gt;1),"DUPLICADA",IF(TRIM(IF($A289="","tipo ","")&amp;IF($F289="","fecha de firma ","")&amp;IF($G289="","decisión ","")&amp;IF($H289="","N° resolución ","")&amp;IF($I289="","N° dictamen",""))&lt;&gt;"","INCOMPLETA: "&amp;TRIM(IF($A289="","tipo ","")&amp;IF($F289="","fecha de firma ","")&amp;IF($G289="","decisión ","")&amp;IF($H289="","N° resolución ","")&amp;IF($I289="","N° dictamen","")),IF(LEFT($N289,4)&lt;&gt;"CONC","OK",IF(N($Q289)=0,IF(AND(ISNUMBER($E289),$E289&gt;=DATE(2024,1,1)),"FALTA EN evol_conc","OK"),IF(INDEX(evol_conc!$H:$H,$Q289)&lt;&gt;$F289,"FIRMA DISTINTA EN evol_conc ("&amp;IF(INDEX(evol_conc!$H:$H,$Q289)="","vacía",DAY(INDEX(evol_conc!$H:$H,$Q289))&amp;"/"&amp;MONTH(INDEX(evol_conc!$H:$H,$Q289))&amp;"/"&amp;YEAR(INDEX(evol_conc!$H:$H,$Q289)))&amp;")",IF(INDEX(evol_conc!$G:$G,$Q289)&lt;&gt;$E289,"INGRESO DISTINTO EN evol_conc ("&amp;IF(INDEX(evol_conc!$G:$G,$Q289)="","vacía",DAY(INDEX(evol_conc!$G:$G,$Q289))&amp;"/"&amp;MONTH(INDEX(evol_conc!$G:$G,$Q289))&amp;"/"&amp;YEAR(INDEX(evol_conc!$G:$G,$Q289)))&amp;")","OK"))))))))</f>
        <v/>
      </c>
      <c r="Q289" t="str">
        <f ca="1">IF($N289="","",IFERROR(MATCH($N289,evol_conc!$P:$P,0),0))</f>
        <v/>
      </c>
    </row>
    <row r="290" spans="7:17" ht="18" customHeight="1" x14ac:dyDescent="0.25">
      <c r="G290" s="16"/>
      <c r="L290" s="53" t="str">
        <f t="shared" si="8"/>
        <v/>
      </c>
      <c r="M290" s="19" t="str">
        <f t="shared" si="9"/>
        <v/>
      </c>
      <c r="N290" t="str">
        <f ca="1">IF(TRIM(SUBSTITUTE($B290,CHAR(160)," "))="","",IFERROR(IF(ISNUMBER(SEARCH("INC",$B290)),"INC",IF(ISNUMBER(SEARCH("OPI",$B290)),"OPI",IF(ISNUMBER(SEARCH("DP",$B290)),"DP","CONC")))&amp;" "&amp;TEXT(LOOKUP(9.99E+307,--MID(SUBSTITUTE($B290,CHAR(160)," "),SUMPRODUCT(MIN(FIND({0,1,2,3,4,5,6,7,8,9},SUBSTITUTE($B290,CHAR(160)," ")&amp;"0123456789"))),ROW(INDIRECT("1:6")))),"0"),"SIN NUMERO"))</f>
        <v/>
      </c>
      <c r="O290" t="str">
        <f ca="1">IF($N290="","",IF(LEFT(UPPER($P290),9)="VERIFICAR","VERIFICAR",IF(AND($H290&lt;&gt;"",COUNTIFS($N$2:$N$1000,$N290,$H$2:$H$1000,$H290)&gt;1),"DUPLICADA",IF(TRIM(IF($A290="","tipo ","")&amp;IF($F290="","fecha de firma ","")&amp;IF($G290="","decisión ","")&amp;IF($H290="","N° resolución ","")&amp;IF($I290="","N° dictamen",""))&lt;&gt;"","INCOMPLETA: "&amp;TRIM(IF($A290="","tipo ","")&amp;IF($F290="","fecha de firma ","")&amp;IF($G290="","decisión ","")&amp;IF($H290="","N° resolución ","")&amp;IF($I290="","N° dictamen","")),IF(LEFT($N290,4)&lt;&gt;"CONC","OK",IF(N($Q290)=0,IF(AND(ISNUMBER($E290),$E290&gt;=DATE(2024,1,1)),"FALTA EN evol_conc","OK"),IF(INDEX(evol_conc!$H:$H,$Q290)&lt;&gt;$F290,"FIRMA DISTINTA EN evol_conc ("&amp;IF(INDEX(evol_conc!$H:$H,$Q290)="","vacía",DAY(INDEX(evol_conc!$H:$H,$Q290))&amp;"/"&amp;MONTH(INDEX(evol_conc!$H:$H,$Q290))&amp;"/"&amp;YEAR(INDEX(evol_conc!$H:$H,$Q290)))&amp;")",IF(INDEX(evol_conc!$G:$G,$Q290)&lt;&gt;$E290,"INGRESO DISTINTO EN evol_conc ("&amp;IF(INDEX(evol_conc!$G:$G,$Q290)="","vacía",DAY(INDEX(evol_conc!$G:$G,$Q290))&amp;"/"&amp;MONTH(INDEX(evol_conc!$G:$G,$Q290))&amp;"/"&amp;YEAR(INDEX(evol_conc!$G:$G,$Q290)))&amp;")","OK"))))))))</f>
        <v/>
      </c>
      <c r="Q290" t="str">
        <f ca="1">IF($N290="","",IFERROR(MATCH($N290,evol_conc!$P:$P,0),0))</f>
        <v/>
      </c>
    </row>
    <row r="291" spans="7:17" ht="18" customHeight="1" x14ac:dyDescent="0.25">
      <c r="G291" s="16"/>
      <c r="L291" s="53" t="str">
        <f t="shared" si="8"/>
        <v/>
      </c>
      <c r="M291" s="19" t="str">
        <f t="shared" si="9"/>
        <v/>
      </c>
      <c r="N291" t="str">
        <f ca="1">IF(TRIM(SUBSTITUTE($B291,CHAR(160)," "))="","",IFERROR(IF(ISNUMBER(SEARCH("INC",$B291)),"INC",IF(ISNUMBER(SEARCH("OPI",$B291)),"OPI",IF(ISNUMBER(SEARCH("DP",$B291)),"DP","CONC")))&amp;" "&amp;TEXT(LOOKUP(9.99E+307,--MID(SUBSTITUTE($B291,CHAR(160)," "),SUMPRODUCT(MIN(FIND({0,1,2,3,4,5,6,7,8,9},SUBSTITUTE($B291,CHAR(160)," ")&amp;"0123456789"))),ROW(INDIRECT("1:6")))),"0"),"SIN NUMERO"))</f>
        <v/>
      </c>
      <c r="O291" t="str">
        <f ca="1">IF($N291="","",IF(LEFT(UPPER($P291),9)="VERIFICAR","VERIFICAR",IF(AND($H291&lt;&gt;"",COUNTIFS($N$2:$N$1000,$N291,$H$2:$H$1000,$H291)&gt;1),"DUPLICADA",IF(TRIM(IF($A291="","tipo ","")&amp;IF($F291="","fecha de firma ","")&amp;IF($G291="","decisión ","")&amp;IF($H291="","N° resolución ","")&amp;IF($I291="","N° dictamen",""))&lt;&gt;"","INCOMPLETA: "&amp;TRIM(IF($A291="","tipo ","")&amp;IF($F291="","fecha de firma ","")&amp;IF($G291="","decisión ","")&amp;IF($H291="","N° resolución ","")&amp;IF($I291="","N° dictamen","")),IF(LEFT($N291,4)&lt;&gt;"CONC","OK",IF(N($Q291)=0,IF(AND(ISNUMBER($E291),$E291&gt;=DATE(2024,1,1)),"FALTA EN evol_conc","OK"),IF(INDEX(evol_conc!$H:$H,$Q291)&lt;&gt;$F291,"FIRMA DISTINTA EN evol_conc ("&amp;IF(INDEX(evol_conc!$H:$H,$Q291)="","vacía",DAY(INDEX(evol_conc!$H:$H,$Q291))&amp;"/"&amp;MONTH(INDEX(evol_conc!$H:$H,$Q291))&amp;"/"&amp;YEAR(INDEX(evol_conc!$H:$H,$Q291)))&amp;")",IF(INDEX(evol_conc!$G:$G,$Q291)&lt;&gt;$E291,"INGRESO DISTINTO EN evol_conc ("&amp;IF(INDEX(evol_conc!$G:$G,$Q291)="","vacía",DAY(INDEX(evol_conc!$G:$G,$Q291))&amp;"/"&amp;MONTH(INDEX(evol_conc!$G:$G,$Q291))&amp;"/"&amp;YEAR(INDEX(evol_conc!$G:$G,$Q291)))&amp;")","OK"))))))))</f>
        <v/>
      </c>
      <c r="Q291" t="str">
        <f ca="1">IF($N291="","",IFERROR(MATCH($N291,evol_conc!$P:$P,0),0))</f>
        <v/>
      </c>
    </row>
    <row r="292" spans="7:17" ht="18" customHeight="1" x14ac:dyDescent="0.25">
      <c r="G292" s="16"/>
      <c r="H292" s="16"/>
      <c r="L292" s="53" t="str">
        <f t="shared" si="8"/>
        <v/>
      </c>
      <c r="M292" s="19" t="str">
        <f t="shared" si="9"/>
        <v/>
      </c>
      <c r="N292" t="str">
        <f ca="1">IF(TRIM(SUBSTITUTE($B292,CHAR(160)," "))="","",IFERROR(IF(ISNUMBER(SEARCH("INC",$B292)),"INC",IF(ISNUMBER(SEARCH("OPI",$B292)),"OPI",IF(ISNUMBER(SEARCH("DP",$B292)),"DP","CONC")))&amp;" "&amp;TEXT(LOOKUP(9.99E+307,--MID(SUBSTITUTE($B292,CHAR(160)," "),SUMPRODUCT(MIN(FIND({0,1,2,3,4,5,6,7,8,9},SUBSTITUTE($B292,CHAR(160)," ")&amp;"0123456789"))),ROW(INDIRECT("1:6")))),"0"),"SIN NUMERO"))</f>
        <v/>
      </c>
      <c r="O292" t="str">
        <f ca="1">IF($N292="","",IF(LEFT(UPPER($P292),9)="VERIFICAR","VERIFICAR",IF(AND($H292&lt;&gt;"",COUNTIFS($N$2:$N$1000,$N292,$H$2:$H$1000,$H292)&gt;1),"DUPLICADA",IF(TRIM(IF($A292="","tipo ","")&amp;IF($F292="","fecha de firma ","")&amp;IF($G292="","decisión ","")&amp;IF($H292="","N° resolución ","")&amp;IF($I292="","N° dictamen",""))&lt;&gt;"","INCOMPLETA: "&amp;TRIM(IF($A292="","tipo ","")&amp;IF($F292="","fecha de firma ","")&amp;IF($G292="","decisión ","")&amp;IF($H292="","N° resolución ","")&amp;IF($I292="","N° dictamen","")),IF(LEFT($N292,4)&lt;&gt;"CONC","OK",IF(N($Q292)=0,IF(AND(ISNUMBER($E292),$E292&gt;=DATE(2024,1,1)),"FALTA EN evol_conc","OK"),IF(INDEX(evol_conc!$H:$H,$Q292)&lt;&gt;$F292,"FIRMA DISTINTA EN evol_conc ("&amp;IF(INDEX(evol_conc!$H:$H,$Q292)="","vacía",DAY(INDEX(evol_conc!$H:$H,$Q292))&amp;"/"&amp;MONTH(INDEX(evol_conc!$H:$H,$Q292))&amp;"/"&amp;YEAR(INDEX(evol_conc!$H:$H,$Q292)))&amp;")",IF(INDEX(evol_conc!$G:$G,$Q292)&lt;&gt;$E292,"INGRESO DISTINTO EN evol_conc ("&amp;IF(INDEX(evol_conc!$G:$G,$Q292)="","vacía",DAY(INDEX(evol_conc!$G:$G,$Q292))&amp;"/"&amp;MONTH(INDEX(evol_conc!$G:$G,$Q292))&amp;"/"&amp;YEAR(INDEX(evol_conc!$G:$G,$Q292)))&amp;")","OK"))))))))</f>
        <v/>
      </c>
      <c r="Q292" t="str">
        <f ca="1">IF($N292="","",IFERROR(MATCH($N292,evol_conc!$P:$P,0),0))</f>
        <v/>
      </c>
    </row>
    <row r="293" spans="7:17" ht="18" customHeight="1" x14ac:dyDescent="0.25">
      <c r="G293" s="16"/>
      <c r="L293" s="53" t="str">
        <f t="shared" si="8"/>
        <v/>
      </c>
      <c r="M293" s="19" t="str">
        <f t="shared" si="9"/>
        <v/>
      </c>
      <c r="N293" t="str">
        <f ca="1">IF(TRIM(SUBSTITUTE($B293,CHAR(160)," "))="","",IFERROR(IF(ISNUMBER(SEARCH("INC",$B293)),"INC",IF(ISNUMBER(SEARCH("OPI",$B293)),"OPI",IF(ISNUMBER(SEARCH("DP",$B293)),"DP","CONC")))&amp;" "&amp;TEXT(LOOKUP(9.99E+307,--MID(SUBSTITUTE($B293,CHAR(160)," "),SUMPRODUCT(MIN(FIND({0,1,2,3,4,5,6,7,8,9},SUBSTITUTE($B293,CHAR(160)," ")&amp;"0123456789"))),ROW(INDIRECT("1:6")))),"0"),"SIN NUMERO"))</f>
        <v/>
      </c>
      <c r="O293" t="str">
        <f ca="1">IF($N293="","",IF(LEFT(UPPER($P293),9)="VERIFICAR","VERIFICAR",IF(AND($H293&lt;&gt;"",COUNTIFS($N$2:$N$1000,$N293,$H$2:$H$1000,$H293)&gt;1),"DUPLICADA",IF(TRIM(IF($A293="","tipo ","")&amp;IF($F293="","fecha de firma ","")&amp;IF($G293="","decisión ","")&amp;IF($H293="","N° resolución ","")&amp;IF($I293="","N° dictamen",""))&lt;&gt;"","INCOMPLETA: "&amp;TRIM(IF($A293="","tipo ","")&amp;IF($F293="","fecha de firma ","")&amp;IF($G293="","decisión ","")&amp;IF($H293="","N° resolución ","")&amp;IF($I293="","N° dictamen","")),IF(LEFT($N293,4)&lt;&gt;"CONC","OK",IF(N($Q293)=0,IF(AND(ISNUMBER($E293),$E293&gt;=DATE(2024,1,1)),"FALTA EN evol_conc","OK"),IF(INDEX(evol_conc!$H:$H,$Q293)&lt;&gt;$F293,"FIRMA DISTINTA EN evol_conc ("&amp;IF(INDEX(evol_conc!$H:$H,$Q293)="","vacía",DAY(INDEX(evol_conc!$H:$H,$Q293))&amp;"/"&amp;MONTH(INDEX(evol_conc!$H:$H,$Q293))&amp;"/"&amp;YEAR(INDEX(evol_conc!$H:$H,$Q293)))&amp;")",IF(INDEX(evol_conc!$G:$G,$Q293)&lt;&gt;$E293,"INGRESO DISTINTO EN evol_conc ("&amp;IF(INDEX(evol_conc!$G:$G,$Q293)="","vacía",DAY(INDEX(evol_conc!$G:$G,$Q293))&amp;"/"&amp;MONTH(INDEX(evol_conc!$G:$G,$Q293))&amp;"/"&amp;YEAR(INDEX(evol_conc!$G:$G,$Q293)))&amp;")","OK"))))))))</f>
        <v/>
      </c>
      <c r="Q293" t="str">
        <f ca="1">IF($N293="","",IFERROR(MATCH($N293,evol_conc!$P:$P,0),0))</f>
        <v/>
      </c>
    </row>
    <row r="294" spans="7:17" ht="18" customHeight="1" x14ac:dyDescent="0.25">
      <c r="G294" s="16"/>
      <c r="L294" s="53" t="str">
        <f t="shared" si="8"/>
        <v/>
      </c>
      <c r="M294" s="19" t="str">
        <f t="shared" si="9"/>
        <v/>
      </c>
      <c r="N294" t="str">
        <f ca="1">IF(TRIM(SUBSTITUTE($B294,CHAR(160)," "))="","",IFERROR(IF(ISNUMBER(SEARCH("INC",$B294)),"INC",IF(ISNUMBER(SEARCH("OPI",$B294)),"OPI",IF(ISNUMBER(SEARCH("DP",$B294)),"DP","CONC")))&amp;" "&amp;TEXT(LOOKUP(9.99E+307,--MID(SUBSTITUTE($B294,CHAR(160)," "),SUMPRODUCT(MIN(FIND({0,1,2,3,4,5,6,7,8,9},SUBSTITUTE($B294,CHAR(160)," ")&amp;"0123456789"))),ROW(INDIRECT("1:6")))),"0"),"SIN NUMERO"))</f>
        <v/>
      </c>
      <c r="O294" t="str">
        <f ca="1">IF($N294="","",IF(LEFT(UPPER($P294),9)="VERIFICAR","VERIFICAR",IF(AND($H294&lt;&gt;"",COUNTIFS($N$2:$N$1000,$N294,$H$2:$H$1000,$H294)&gt;1),"DUPLICADA",IF(TRIM(IF($A294="","tipo ","")&amp;IF($F294="","fecha de firma ","")&amp;IF($G294="","decisión ","")&amp;IF($H294="","N° resolución ","")&amp;IF($I294="","N° dictamen",""))&lt;&gt;"","INCOMPLETA: "&amp;TRIM(IF($A294="","tipo ","")&amp;IF($F294="","fecha de firma ","")&amp;IF($G294="","decisión ","")&amp;IF($H294="","N° resolución ","")&amp;IF($I294="","N° dictamen","")),IF(LEFT($N294,4)&lt;&gt;"CONC","OK",IF(N($Q294)=0,IF(AND(ISNUMBER($E294),$E294&gt;=DATE(2024,1,1)),"FALTA EN evol_conc","OK"),IF(INDEX(evol_conc!$H:$H,$Q294)&lt;&gt;$F294,"FIRMA DISTINTA EN evol_conc ("&amp;IF(INDEX(evol_conc!$H:$H,$Q294)="","vacía",DAY(INDEX(evol_conc!$H:$H,$Q294))&amp;"/"&amp;MONTH(INDEX(evol_conc!$H:$H,$Q294))&amp;"/"&amp;YEAR(INDEX(evol_conc!$H:$H,$Q294)))&amp;")",IF(INDEX(evol_conc!$G:$G,$Q294)&lt;&gt;$E294,"INGRESO DISTINTO EN evol_conc ("&amp;IF(INDEX(evol_conc!$G:$G,$Q294)="","vacía",DAY(INDEX(evol_conc!$G:$G,$Q294))&amp;"/"&amp;MONTH(INDEX(evol_conc!$G:$G,$Q294))&amp;"/"&amp;YEAR(INDEX(evol_conc!$G:$G,$Q294)))&amp;")","OK"))))))))</f>
        <v/>
      </c>
      <c r="Q294" t="str">
        <f ca="1">IF($N294="","",IFERROR(MATCH($N294,evol_conc!$P:$P,0),0))</f>
        <v/>
      </c>
    </row>
    <row r="295" spans="7:17" ht="18" customHeight="1" x14ac:dyDescent="0.25">
      <c r="G295" s="16"/>
      <c r="L295" s="53" t="str">
        <f t="shared" si="8"/>
        <v/>
      </c>
      <c r="M295" s="19" t="str">
        <f t="shared" si="9"/>
        <v/>
      </c>
      <c r="N295" t="str">
        <f ca="1">IF(TRIM(SUBSTITUTE($B295,CHAR(160)," "))="","",IFERROR(IF(ISNUMBER(SEARCH("INC",$B295)),"INC",IF(ISNUMBER(SEARCH("OPI",$B295)),"OPI",IF(ISNUMBER(SEARCH("DP",$B295)),"DP","CONC")))&amp;" "&amp;TEXT(LOOKUP(9.99E+307,--MID(SUBSTITUTE($B295,CHAR(160)," "),SUMPRODUCT(MIN(FIND({0,1,2,3,4,5,6,7,8,9},SUBSTITUTE($B295,CHAR(160)," ")&amp;"0123456789"))),ROW(INDIRECT("1:6")))),"0"),"SIN NUMERO"))</f>
        <v/>
      </c>
      <c r="O295" t="str">
        <f ca="1">IF($N295="","",IF(LEFT(UPPER($P295),9)="VERIFICAR","VERIFICAR",IF(AND($H295&lt;&gt;"",COUNTIFS($N$2:$N$1000,$N295,$H$2:$H$1000,$H295)&gt;1),"DUPLICADA",IF(TRIM(IF($A295="","tipo ","")&amp;IF($F295="","fecha de firma ","")&amp;IF($G295="","decisión ","")&amp;IF($H295="","N° resolución ","")&amp;IF($I295="","N° dictamen",""))&lt;&gt;"","INCOMPLETA: "&amp;TRIM(IF($A295="","tipo ","")&amp;IF($F295="","fecha de firma ","")&amp;IF($G295="","decisión ","")&amp;IF($H295="","N° resolución ","")&amp;IF($I295="","N° dictamen","")),IF(LEFT($N295,4)&lt;&gt;"CONC","OK",IF(N($Q295)=0,IF(AND(ISNUMBER($E295),$E295&gt;=DATE(2024,1,1)),"FALTA EN evol_conc","OK"),IF(INDEX(evol_conc!$H:$H,$Q295)&lt;&gt;$F295,"FIRMA DISTINTA EN evol_conc ("&amp;IF(INDEX(evol_conc!$H:$H,$Q295)="","vacía",DAY(INDEX(evol_conc!$H:$H,$Q295))&amp;"/"&amp;MONTH(INDEX(evol_conc!$H:$H,$Q295))&amp;"/"&amp;YEAR(INDEX(evol_conc!$H:$H,$Q295)))&amp;")",IF(INDEX(evol_conc!$G:$G,$Q295)&lt;&gt;$E295,"INGRESO DISTINTO EN evol_conc ("&amp;IF(INDEX(evol_conc!$G:$G,$Q295)="","vacía",DAY(INDEX(evol_conc!$G:$G,$Q295))&amp;"/"&amp;MONTH(INDEX(evol_conc!$G:$G,$Q295))&amp;"/"&amp;YEAR(INDEX(evol_conc!$G:$G,$Q295)))&amp;")","OK"))))))))</f>
        <v/>
      </c>
      <c r="Q295" t="str">
        <f ca="1">IF($N295="","",IFERROR(MATCH($N295,evol_conc!$P:$P,0),0))</f>
        <v/>
      </c>
    </row>
    <row r="296" spans="7:17" ht="18" customHeight="1" x14ac:dyDescent="0.25">
      <c r="G296" s="16"/>
      <c r="L296" s="53" t="str">
        <f t="shared" si="8"/>
        <v/>
      </c>
      <c r="M296" s="19" t="str">
        <f t="shared" si="9"/>
        <v/>
      </c>
      <c r="N296" t="str">
        <f ca="1">IF(TRIM(SUBSTITUTE($B296,CHAR(160)," "))="","",IFERROR(IF(ISNUMBER(SEARCH("INC",$B296)),"INC",IF(ISNUMBER(SEARCH("OPI",$B296)),"OPI",IF(ISNUMBER(SEARCH("DP",$B296)),"DP","CONC")))&amp;" "&amp;TEXT(LOOKUP(9.99E+307,--MID(SUBSTITUTE($B296,CHAR(160)," "),SUMPRODUCT(MIN(FIND({0,1,2,3,4,5,6,7,8,9},SUBSTITUTE($B296,CHAR(160)," ")&amp;"0123456789"))),ROW(INDIRECT("1:6")))),"0"),"SIN NUMERO"))</f>
        <v/>
      </c>
      <c r="O296" t="str">
        <f ca="1">IF($N296="","",IF(LEFT(UPPER($P296),9)="VERIFICAR","VERIFICAR",IF(AND($H296&lt;&gt;"",COUNTIFS($N$2:$N$1000,$N296,$H$2:$H$1000,$H296)&gt;1),"DUPLICADA",IF(TRIM(IF($A296="","tipo ","")&amp;IF($F296="","fecha de firma ","")&amp;IF($G296="","decisión ","")&amp;IF($H296="","N° resolución ","")&amp;IF($I296="","N° dictamen",""))&lt;&gt;"","INCOMPLETA: "&amp;TRIM(IF($A296="","tipo ","")&amp;IF($F296="","fecha de firma ","")&amp;IF($G296="","decisión ","")&amp;IF($H296="","N° resolución ","")&amp;IF($I296="","N° dictamen","")),IF(LEFT($N296,4)&lt;&gt;"CONC","OK",IF(N($Q296)=0,IF(AND(ISNUMBER($E296),$E296&gt;=DATE(2024,1,1)),"FALTA EN evol_conc","OK"),IF(INDEX(evol_conc!$H:$H,$Q296)&lt;&gt;$F296,"FIRMA DISTINTA EN evol_conc ("&amp;IF(INDEX(evol_conc!$H:$H,$Q296)="","vacía",DAY(INDEX(evol_conc!$H:$H,$Q296))&amp;"/"&amp;MONTH(INDEX(evol_conc!$H:$H,$Q296))&amp;"/"&amp;YEAR(INDEX(evol_conc!$H:$H,$Q296)))&amp;")",IF(INDEX(evol_conc!$G:$G,$Q296)&lt;&gt;$E296,"INGRESO DISTINTO EN evol_conc ("&amp;IF(INDEX(evol_conc!$G:$G,$Q296)="","vacía",DAY(INDEX(evol_conc!$G:$G,$Q296))&amp;"/"&amp;MONTH(INDEX(evol_conc!$G:$G,$Q296))&amp;"/"&amp;YEAR(INDEX(evol_conc!$G:$G,$Q296)))&amp;")","OK"))))))))</f>
        <v/>
      </c>
      <c r="Q296" t="str">
        <f ca="1">IF($N296="","",IFERROR(MATCH($N296,evol_conc!$P:$P,0),0))</f>
        <v/>
      </c>
    </row>
    <row r="297" spans="7:17" ht="18" customHeight="1" x14ac:dyDescent="0.25">
      <c r="L297" s="53" t="str">
        <f t="shared" si="8"/>
        <v/>
      </c>
      <c r="M297" s="19" t="str">
        <f t="shared" si="9"/>
        <v/>
      </c>
      <c r="N297" t="str">
        <f ca="1">IF(TRIM(SUBSTITUTE($B297,CHAR(160)," "))="","",IFERROR(IF(ISNUMBER(SEARCH("INC",$B297)),"INC",IF(ISNUMBER(SEARCH("OPI",$B297)),"OPI",IF(ISNUMBER(SEARCH("DP",$B297)),"DP","CONC")))&amp;" "&amp;TEXT(LOOKUP(9.99E+307,--MID(SUBSTITUTE($B297,CHAR(160)," "),SUMPRODUCT(MIN(FIND({0,1,2,3,4,5,6,7,8,9},SUBSTITUTE($B297,CHAR(160)," ")&amp;"0123456789"))),ROW(INDIRECT("1:6")))),"0"),"SIN NUMERO"))</f>
        <v/>
      </c>
      <c r="O297" t="str">
        <f ca="1">IF($N297="","",IF(LEFT(UPPER($P297),9)="VERIFICAR","VERIFICAR",IF(AND($H297&lt;&gt;"",COUNTIFS($N$2:$N$1000,$N297,$H$2:$H$1000,$H297)&gt;1),"DUPLICADA",IF(TRIM(IF($A297="","tipo ","")&amp;IF($F297="","fecha de firma ","")&amp;IF($G297="","decisión ","")&amp;IF($H297="","N° resolución ","")&amp;IF($I297="","N° dictamen",""))&lt;&gt;"","INCOMPLETA: "&amp;TRIM(IF($A297="","tipo ","")&amp;IF($F297="","fecha de firma ","")&amp;IF($G297="","decisión ","")&amp;IF($H297="","N° resolución ","")&amp;IF($I297="","N° dictamen","")),IF(LEFT($N297,4)&lt;&gt;"CONC","OK",IF(N($Q297)=0,IF(AND(ISNUMBER($E297),$E297&gt;=DATE(2024,1,1)),"FALTA EN evol_conc","OK"),IF(INDEX(evol_conc!$H:$H,$Q297)&lt;&gt;$F297,"FIRMA DISTINTA EN evol_conc ("&amp;IF(INDEX(evol_conc!$H:$H,$Q297)="","vacía",DAY(INDEX(evol_conc!$H:$H,$Q297))&amp;"/"&amp;MONTH(INDEX(evol_conc!$H:$H,$Q297))&amp;"/"&amp;YEAR(INDEX(evol_conc!$H:$H,$Q297)))&amp;")",IF(INDEX(evol_conc!$G:$G,$Q297)&lt;&gt;$E297,"INGRESO DISTINTO EN evol_conc ("&amp;IF(INDEX(evol_conc!$G:$G,$Q297)="","vacía",DAY(INDEX(evol_conc!$G:$G,$Q297))&amp;"/"&amp;MONTH(INDEX(evol_conc!$G:$G,$Q297))&amp;"/"&amp;YEAR(INDEX(evol_conc!$G:$G,$Q297)))&amp;")","OK"))))))))</f>
        <v/>
      </c>
      <c r="Q297" t="str">
        <f ca="1">IF($N297="","",IFERROR(MATCH($N297,evol_conc!$P:$P,0),0))</f>
        <v/>
      </c>
    </row>
    <row r="298" spans="7:17" ht="18" customHeight="1" x14ac:dyDescent="0.25">
      <c r="L298" s="53" t="str">
        <f t="shared" si="8"/>
        <v/>
      </c>
      <c r="M298" s="19" t="str">
        <f t="shared" si="9"/>
        <v/>
      </c>
      <c r="N298" t="str">
        <f ca="1">IF(TRIM(SUBSTITUTE($B298,CHAR(160)," "))="","",IFERROR(IF(ISNUMBER(SEARCH("INC",$B298)),"INC",IF(ISNUMBER(SEARCH("OPI",$B298)),"OPI",IF(ISNUMBER(SEARCH("DP",$B298)),"DP","CONC")))&amp;" "&amp;TEXT(LOOKUP(9.99E+307,--MID(SUBSTITUTE($B298,CHAR(160)," "),SUMPRODUCT(MIN(FIND({0,1,2,3,4,5,6,7,8,9},SUBSTITUTE($B298,CHAR(160)," ")&amp;"0123456789"))),ROW(INDIRECT("1:6")))),"0"),"SIN NUMERO"))</f>
        <v/>
      </c>
      <c r="O298" t="str">
        <f ca="1">IF($N298="","",IF(LEFT(UPPER($P298),9)="VERIFICAR","VERIFICAR",IF(AND($H298&lt;&gt;"",COUNTIFS($N$2:$N$1000,$N298,$H$2:$H$1000,$H298)&gt;1),"DUPLICADA",IF(TRIM(IF($A298="","tipo ","")&amp;IF($F298="","fecha de firma ","")&amp;IF($G298="","decisión ","")&amp;IF($H298="","N° resolución ","")&amp;IF($I298="","N° dictamen",""))&lt;&gt;"","INCOMPLETA: "&amp;TRIM(IF($A298="","tipo ","")&amp;IF($F298="","fecha de firma ","")&amp;IF($G298="","decisión ","")&amp;IF($H298="","N° resolución ","")&amp;IF($I298="","N° dictamen","")),IF(LEFT($N298,4)&lt;&gt;"CONC","OK",IF(N($Q298)=0,IF(AND(ISNUMBER($E298),$E298&gt;=DATE(2024,1,1)),"FALTA EN evol_conc","OK"),IF(INDEX(evol_conc!$H:$H,$Q298)&lt;&gt;$F298,"FIRMA DISTINTA EN evol_conc ("&amp;IF(INDEX(evol_conc!$H:$H,$Q298)="","vacía",DAY(INDEX(evol_conc!$H:$H,$Q298))&amp;"/"&amp;MONTH(INDEX(evol_conc!$H:$H,$Q298))&amp;"/"&amp;YEAR(INDEX(evol_conc!$H:$H,$Q298)))&amp;")",IF(INDEX(evol_conc!$G:$G,$Q298)&lt;&gt;$E298,"INGRESO DISTINTO EN evol_conc ("&amp;IF(INDEX(evol_conc!$G:$G,$Q298)="","vacía",DAY(INDEX(evol_conc!$G:$G,$Q298))&amp;"/"&amp;MONTH(INDEX(evol_conc!$G:$G,$Q298))&amp;"/"&amp;YEAR(INDEX(evol_conc!$G:$G,$Q298)))&amp;")","OK"))))))))</f>
        <v/>
      </c>
      <c r="Q298" t="str">
        <f ca="1">IF($N298="","",IFERROR(MATCH($N298,evol_conc!$P:$P,0),0))</f>
        <v/>
      </c>
    </row>
    <row r="299" spans="7:17" ht="18" customHeight="1" x14ac:dyDescent="0.25">
      <c r="L299" s="53" t="str">
        <f t="shared" si="8"/>
        <v/>
      </c>
      <c r="M299" s="19" t="str">
        <f t="shared" si="9"/>
        <v/>
      </c>
      <c r="N299" t="str">
        <f ca="1">IF(TRIM(SUBSTITUTE($B299,CHAR(160)," "))="","",IFERROR(IF(ISNUMBER(SEARCH("INC",$B299)),"INC",IF(ISNUMBER(SEARCH("OPI",$B299)),"OPI",IF(ISNUMBER(SEARCH("DP",$B299)),"DP","CONC")))&amp;" "&amp;TEXT(LOOKUP(9.99E+307,--MID(SUBSTITUTE($B299,CHAR(160)," "),SUMPRODUCT(MIN(FIND({0,1,2,3,4,5,6,7,8,9},SUBSTITUTE($B299,CHAR(160)," ")&amp;"0123456789"))),ROW(INDIRECT("1:6")))),"0"),"SIN NUMERO"))</f>
        <v/>
      </c>
      <c r="O299" t="str">
        <f ca="1">IF($N299="","",IF(LEFT(UPPER($P299),9)="VERIFICAR","VERIFICAR",IF(AND($H299&lt;&gt;"",COUNTIFS($N$2:$N$1000,$N299,$H$2:$H$1000,$H299)&gt;1),"DUPLICADA",IF(TRIM(IF($A299="","tipo ","")&amp;IF($F299="","fecha de firma ","")&amp;IF($G299="","decisión ","")&amp;IF($H299="","N° resolución ","")&amp;IF($I299="","N° dictamen",""))&lt;&gt;"","INCOMPLETA: "&amp;TRIM(IF($A299="","tipo ","")&amp;IF($F299="","fecha de firma ","")&amp;IF($G299="","decisión ","")&amp;IF($H299="","N° resolución ","")&amp;IF($I299="","N° dictamen","")),IF(LEFT($N299,4)&lt;&gt;"CONC","OK",IF(N($Q299)=0,IF(AND(ISNUMBER($E299),$E299&gt;=DATE(2024,1,1)),"FALTA EN evol_conc","OK"),IF(INDEX(evol_conc!$H:$H,$Q299)&lt;&gt;$F299,"FIRMA DISTINTA EN evol_conc ("&amp;IF(INDEX(evol_conc!$H:$H,$Q299)="","vacía",DAY(INDEX(evol_conc!$H:$H,$Q299))&amp;"/"&amp;MONTH(INDEX(evol_conc!$H:$H,$Q299))&amp;"/"&amp;YEAR(INDEX(evol_conc!$H:$H,$Q299)))&amp;")",IF(INDEX(evol_conc!$G:$G,$Q299)&lt;&gt;$E299,"INGRESO DISTINTO EN evol_conc ("&amp;IF(INDEX(evol_conc!$G:$G,$Q299)="","vacía",DAY(INDEX(evol_conc!$G:$G,$Q299))&amp;"/"&amp;MONTH(INDEX(evol_conc!$G:$G,$Q299))&amp;"/"&amp;YEAR(INDEX(evol_conc!$G:$G,$Q299)))&amp;")","OK"))))))))</f>
        <v/>
      </c>
      <c r="Q299" t="str">
        <f ca="1">IF($N299="","",IFERROR(MATCH($N299,evol_conc!$P:$P,0),0))</f>
        <v/>
      </c>
    </row>
    <row r="300" spans="7:17" ht="18" customHeight="1" x14ac:dyDescent="0.25">
      <c r="L300" s="53" t="str">
        <f t="shared" si="8"/>
        <v/>
      </c>
      <c r="M300" s="19" t="str">
        <f t="shared" si="9"/>
        <v/>
      </c>
      <c r="N300" t="str">
        <f ca="1">IF(TRIM(SUBSTITUTE($B300,CHAR(160)," "))="","",IFERROR(IF(ISNUMBER(SEARCH("INC",$B300)),"INC",IF(ISNUMBER(SEARCH("OPI",$B300)),"OPI",IF(ISNUMBER(SEARCH("DP",$B300)),"DP","CONC")))&amp;" "&amp;TEXT(LOOKUP(9.99E+307,--MID(SUBSTITUTE($B300,CHAR(160)," "),SUMPRODUCT(MIN(FIND({0,1,2,3,4,5,6,7,8,9},SUBSTITUTE($B300,CHAR(160)," ")&amp;"0123456789"))),ROW(INDIRECT("1:6")))),"0"),"SIN NUMERO"))</f>
        <v/>
      </c>
      <c r="O300" t="str">
        <f ca="1">IF($N300="","",IF(LEFT(UPPER($P300),9)="VERIFICAR","VERIFICAR",IF(AND($H300&lt;&gt;"",COUNTIFS($N$2:$N$1000,$N300,$H$2:$H$1000,$H300)&gt;1),"DUPLICADA",IF(TRIM(IF($A300="","tipo ","")&amp;IF($F300="","fecha de firma ","")&amp;IF($G300="","decisión ","")&amp;IF($H300="","N° resolución ","")&amp;IF($I300="","N° dictamen",""))&lt;&gt;"","INCOMPLETA: "&amp;TRIM(IF($A300="","tipo ","")&amp;IF($F300="","fecha de firma ","")&amp;IF($G300="","decisión ","")&amp;IF($H300="","N° resolución ","")&amp;IF($I300="","N° dictamen","")),IF(LEFT($N300,4)&lt;&gt;"CONC","OK",IF(N($Q300)=0,IF(AND(ISNUMBER($E300),$E300&gt;=DATE(2024,1,1)),"FALTA EN evol_conc","OK"),IF(INDEX(evol_conc!$H:$H,$Q300)&lt;&gt;$F300,"FIRMA DISTINTA EN evol_conc ("&amp;IF(INDEX(evol_conc!$H:$H,$Q300)="","vacía",DAY(INDEX(evol_conc!$H:$H,$Q300))&amp;"/"&amp;MONTH(INDEX(evol_conc!$H:$H,$Q300))&amp;"/"&amp;YEAR(INDEX(evol_conc!$H:$H,$Q300)))&amp;")",IF(INDEX(evol_conc!$G:$G,$Q300)&lt;&gt;$E300,"INGRESO DISTINTO EN evol_conc ("&amp;IF(INDEX(evol_conc!$G:$G,$Q300)="","vacía",DAY(INDEX(evol_conc!$G:$G,$Q300))&amp;"/"&amp;MONTH(INDEX(evol_conc!$G:$G,$Q300))&amp;"/"&amp;YEAR(INDEX(evol_conc!$G:$G,$Q300)))&amp;")","OK"))))))))</f>
        <v/>
      </c>
      <c r="Q300" t="str">
        <f ca="1">IF($N300="","",IFERROR(MATCH($N300,evol_conc!$P:$P,0),0))</f>
        <v/>
      </c>
    </row>
    <row r="301" spans="7:17" ht="18" customHeight="1" x14ac:dyDescent="0.25">
      <c r="L301" s="53" t="str">
        <f t="shared" si="8"/>
        <v/>
      </c>
      <c r="M301" s="19" t="str">
        <f t="shared" si="9"/>
        <v/>
      </c>
      <c r="N301" t="str">
        <f ca="1">IF(TRIM(SUBSTITUTE($B301,CHAR(160)," "))="","",IFERROR(IF(ISNUMBER(SEARCH("INC",$B301)),"INC",IF(ISNUMBER(SEARCH("OPI",$B301)),"OPI",IF(ISNUMBER(SEARCH("DP",$B301)),"DP","CONC")))&amp;" "&amp;TEXT(LOOKUP(9.99E+307,--MID(SUBSTITUTE($B301,CHAR(160)," "),SUMPRODUCT(MIN(FIND({0,1,2,3,4,5,6,7,8,9},SUBSTITUTE($B301,CHAR(160)," ")&amp;"0123456789"))),ROW(INDIRECT("1:6")))),"0"),"SIN NUMERO"))</f>
        <v/>
      </c>
      <c r="O301" t="str">
        <f ca="1">IF($N301="","",IF(LEFT(UPPER($P301),9)="VERIFICAR","VERIFICAR",IF(AND($H301&lt;&gt;"",COUNTIFS($N$2:$N$1000,$N301,$H$2:$H$1000,$H301)&gt;1),"DUPLICADA",IF(TRIM(IF($A301="","tipo ","")&amp;IF($F301="","fecha de firma ","")&amp;IF($G301="","decisión ","")&amp;IF($H301="","N° resolución ","")&amp;IF($I301="","N° dictamen",""))&lt;&gt;"","INCOMPLETA: "&amp;TRIM(IF($A301="","tipo ","")&amp;IF($F301="","fecha de firma ","")&amp;IF($G301="","decisión ","")&amp;IF($H301="","N° resolución ","")&amp;IF($I301="","N° dictamen","")),IF(LEFT($N301,4)&lt;&gt;"CONC","OK",IF(N($Q301)=0,IF(AND(ISNUMBER($E301),$E301&gt;=DATE(2024,1,1)),"FALTA EN evol_conc","OK"),IF(INDEX(evol_conc!$H:$H,$Q301)&lt;&gt;$F301,"FIRMA DISTINTA EN evol_conc ("&amp;IF(INDEX(evol_conc!$H:$H,$Q301)="","vacía",DAY(INDEX(evol_conc!$H:$H,$Q301))&amp;"/"&amp;MONTH(INDEX(evol_conc!$H:$H,$Q301))&amp;"/"&amp;YEAR(INDEX(evol_conc!$H:$H,$Q301)))&amp;")",IF(INDEX(evol_conc!$G:$G,$Q301)&lt;&gt;$E301,"INGRESO DISTINTO EN evol_conc ("&amp;IF(INDEX(evol_conc!$G:$G,$Q301)="","vacía",DAY(INDEX(evol_conc!$G:$G,$Q301))&amp;"/"&amp;MONTH(INDEX(evol_conc!$G:$G,$Q301))&amp;"/"&amp;YEAR(INDEX(evol_conc!$G:$G,$Q301)))&amp;")","OK"))))))))</f>
        <v/>
      </c>
      <c r="Q301" t="str">
        <f ca="1">IF($N301="","",IFERROR(MATCH($N301,evol_conc!$P:$P,0),0))</f>
        <v/>
      </c>
    </row>
    <row r="302" spans="7:17" ht="18" customHeight="1" x14ac:dyDescent="0.25">
      <c r="L302" s="53" t="str">
        <f t="shared" si="8"/>
        <v/>
      </c>
      <c r="M302" s="19" t="str">
        <f t="shared" si="9"/>
        <v/>
      </c>
      <c r="N302" t="str">
        <f ca="1">IF(TRIM(SUBSTITUTE($B302,CHAR(160)," "))="","",IFERROR(IF(ISNUMBER(SEARCH("INC",$B302)),"INC",IF(ISNUMBER(SEARCH("OPI",$B302)),"OPI",IF(ISNUMBER(SEARCH("DP",$B302)),"DP","CONC")))&amp;" "&amp;TEXT(LOOKUP(9.99E+307,--MID(SUBSTITUTE($B302,CHAR(160)," "),SUMPRODUCT(MIN(FIND({0,1,2,3,4,5,6,7,8,9},SUBSTITUTE($B302,CHAR(160)," ")&amp;"0123456789"))),ROW(INDIRECT("1:6")))),"0"),"SIN NUMERO"))</f>
        <v/>
      </c>
      <c r="O302" t="str">
        <f ca="1">IF($N302="","",IF(LEFT(UPPER($P302),9)="VERIFICAR","VERIFICAR",IF(AND($H302&lt;&gt;"",COUNTIFS($N$2:$N$1000,$N302,$H$2:$H$1000,$H302)&gt;1),"DUPLICADA",IF(TRIM(IF($A302="","tipo ","")&amp;IF($F302="","fecha de firma ","")&amp;IF($G302="","decisión ","")&amp;IF($H302="","N° resolución ","")&amp;IF($I302="","N° dictamen",""))&lt;&gt;"","INCOMPLETA: "&amp;TRIM(IF($A302="","tipo ","")&amp;IF($F302="","fecha de firma ","")&amp;IF($G302="","decisión ","")&amp;IF($H302="","N° resolución ","")&amp;IF($I302="","N° dictamen","")),IF(LEFT($N302,4)&lt;&gt;"CONC","OK",IF(N($Q302)=0,IF(AND(ISNUMBER($E302),$E302&gt;=DATE(2024,1,1)),"FALTA EN evol_conc","OK"),IF(INDEX(evol_conc!$H:$H,$Q302)&lt;&gt;$F302,"FIRMA DISTINTA EN evol_conc ("&amp;IF(INDEX(evol_conc!$H:$H,$Q302)="","vacía",DAY(INDEX(evol_conc!$H:$H,$Q302))&amp;"/"&amp;MONTH(INDEX(evol_conc!$H:$H,$Q302))&amp;"/"&amp;YEAR(INDEX(evol_conc!$H:$H,$Q302)))&amp;")",IF(INDEX(evol_conc!$G:$G,$Q302)&lt;&gt;$E302,"INGRESO DISTINTO EN evol_conc ("&amp;IF(INDEX(evol_conc!$G:$G,$Q302)="","vacía",DAY(INDEX(evol_conc!$G:$G,$Q302))&amp;"/"&amp;MONTH(INDEX(evol_conc!$G:$G,$Q302))&amp;"/"&amp;YEAR(INDEX(evol_conc!$G:$G,$Q302)))&amp;")","OK"))))))))</f>
        <v/>
      </c>
      <c r="Q302" t="str">
        <f ca="1">IF($N302="","",IFERROR(MATCH($N302,evol_conc!$P:$P,0),0))</f>
        <v/>
      </c>
    </row>
    <row r="303" spans="7:17" ht="18" customHeight="1" x14ac:dyDescent="0.25">
      <c r="L303" s="53" t="str">
        <f t="shared" si="8"/>
        <v/>
      </c>
      <c r="M303" s="19" t="str">
        <f t="shared" si="9"/>
        <v/>
      </c>
      <c r="N303" t="str">
        <f ca="1">IF(TRIM(SUBSTITUTE($B303,CHAR(160)," "))="","",IFERROR(IF(ISNUMBER(SEARCH("INC",$B303)),"INC",IF(ISNUMBER(SEARCH("OPI",$B303)),"OPI",IF(ISNUMBER(SEARCH("DP",$B303)),"DP","CONC")))&amp;" "&amp;TEXT(LOOKUP(9.99E+307,--MID(SUBSTITUTE($B303,CHAR(160)," "),SUMPRODUCT(MIN(FIND({0,1,2,3,4,5,6,7,8,9},SUBSTITUTE($B303,CHAR(160)," ")&amp;"0123456789"))),ROW(INDIRECT("1:6")))),"0"),"SIN NUMERO"))</f>
        <v/>
      </c>
      <c r="O303" t="str">
        <f ca="1">IF($N303="","",IF(LEFT(UPPER($P303),9)="VERIFICAR","VERIFICAR",IF(AND($H303&lt;&gt;"",COUNTIFS($N$2:$N$1000,$N303,$H$2:$H$1000,$H303)&gt;1),"DUPLICADA",IF(TRIM(IF($A303="","tipo ","")&amp;IF($F303="","fecha de firma ","")&amp;IF($G303="","decisión ","")&amp;IF($H303="","N° resolución ","")&amp;IF($I303="","N° dictamen",""))&lt;&gt;"","INCOMPLETA: "&amp;TRIM(IF($A303="","tipo ","")&amp;IF($F303="","fecha de firma ","")&amp;IF($G303="","decisión ","")&amp;IF($H303="","N° resolución ","")&amp;IF($I303="","N° dictamen","")),IF(LEFT($N303,4)&lt;&gt;"CONC","OK",IF(N($Q303)=0,IF(AND(ISNUMBER($E303),$E303&gt;=DATE(2024,1,1)),"FALTA EN evol_conc","OK"),IF(INDEX(evol_conc!$H:$H,$Q303)&lt;&gt;$F303,"FIRMA DISTINTA EN evol_conc ("&amp;IF(INDEX(evol_conc!$H:$H,$Q303)="","vacía",DAY(INDEX(evol_conc!$H:$H,$Q303))&amp;"/"&amp;MONTH(INDEX(evol_conc!$H:$H,$Q303))&amp;"/"&amp;YEAR(INDEX(evol_conc!$H:$H,$Q303)))&amp;")",IF(INDEX(evol_conc!$G:$G,$Q303)&lt;&gt;$E303,"INGRESO DISTINTO EN evol_conc ("&amp;IF(INDEX(evol_conc!$G:$G,$Q303)="","vacía",DAY(INDEX(evol_conc!$G:$G,$Q303))&amp;"/"&amp;MONTH(INDEX(evol_conc!$G:$G,$Q303))&amp;"/"&amp;YEAR(INDEX(evol_conc!$G:$G,$Q303)))&amp;")","OK"))))))))</f>
        <v/>
      </c>
      <c r="Q303" t="str">
        <f ca="1">IF($N303="","",IFERROR(MATCH($N303,evol_conc!$P:$P,0),0))</f>
        <v/>
      </c>
    </row>
    <row r="304" spans="7:17" ht="18" customHeight="1" x14ac:dyDescent="0.25">
      <c r="L304" s="53" t="str">
        <f t="shared" si="8"/>
        <v/>
      </c>
      <c r="M304" s="19" t="str">
        <f t="shared" si="9"/>
        <v/>
      </c>
      <c r="N304" t="str">
        <f ca="1">IF(TRIM(SUBSTITUTE($B304,CHAR(160)," "))="","",IFERROR(IF(ISNUMBER(SEARCH("INC",$B304)),"INC",IF(ISNUMBER(SEARCH("OPI",$B304)),"OPI",IF(ISNUMBER(SEARCH("DP",$B304)),"DP","CONC")))&amp;" "&amp;TEXT(LOOKUP(9.99E+307,--MID(SUBSTITUTE($B304,CHAR(160)," "),SUMPRODUCT(MIN(FIND({0,1,2,3,4,5,6,7,8,9},SUBSTITUTE($B304,CHAR(160)," ")&amp;"0123456789"))),ROW(INDIRECT("1:6")))),"0"),"SIN NUMERO"))</f>
        <v/>
      </c>
      <c r="O304" t="str">
        <f ca="1">IF($N304="","",IF(LEFT(UPPER($P304),9)="VERIFICAR","VERIFICAR",IF(AND($H304&lt;&gt;"",COUNTIFS($N$2:$N$1000,$N304,$H$2:$H$1000,$H304)&gt;1),"DUPLICADA",IF(TRIM(IF($A304="","tipo ","")&amp;IF($F304="","fecha de firma ","")&amp;IF($G304="","decisión ","")&amp;IF($H304="","N° resolución ","")&amp;IF($I304="","N° dictamen",""))&lt;&gt;"","INCOMPLETA: "&amp;TRIM(IF($A304="","tipo ","")&amp;IF($F304="","fecha de firma ","")&amp;IF($G304="","decisión ","")&amp;IF($H304="","N° resolución ","")&amp;IF($I304="","N° dictamen","")),IF(LEFT($N304,4)&lt;&gt;"CONC","OK",IF(N($Q304)=0,IF(AND(ISNUMBER($E304),$E304&gt;=DATE(2024,1,1)),"FALTA EN evol_conc","OK"),IF(INDEX(evol_conc!$H:$H,$Q304)&lt;&gt;$F304,"FIRMA DISTINTA EN evol_conc ("&amp;IF(INDEX(evol_conc!$H:$H,$Q304)="","vacía",DAY(INDEX(evol_conc!$H:$H,$Q304))&amp;"/"&amp;MONTH(INDEX(evol_conc!$H:$H,$Q304))&amp;"/"&amp;YEAR(INDEX(evol_conc!$H:$H,$Q304)))&amp;")",IF(INDEX(evol_conc!$G:$G,$Q304)&lt;&gt;$E304,"INGRESO DISTINTO EN evol_conc ("&amp;IF(INDEX(evol_conc!$G:$G,$Q304)="","vacía",DAY(INDEX(evol_conc!$G:$G,$Q304))&amp;"/"&amp;MONTH(INDEX(evol_conc!$G:$G,$Q304))&amp;"/"&amp;YEAR(INDEX(evol_conc!$G:$G,$Q304)))&amp;")","OK"))))))))</f>
        <v/>
      </c>
      <c r="Q304" t="str">
        <f ca="1">IF($N304="","",IFERROR(MATCH($N304,evol_conc!$P:$P,0),0))</f>
        <v/>
      </c>
    </row>
    <row r="305" spans="12:17" ht="18" customHeight="1" x14ac:dyDescent="0.25">
      <c r="L305" s="53" t="str">
        <f t="shared" si="8"/>
        <v/>
      </c>
      <c r="M305" s="19" t="str">
        <f t="shared" si="9"/>
        <v/>
      </c>
      <c r="N305" t="str">
        <f ca="1">IF(TRIM(SUBSTITUTE($B305,CHAR(160)," "))="","",IFERROR(IF(ISNUMBER(SEARCH("INC",$B305)),"INC",IF(ISNUMBER(SEARCH("OPI",$B305)),"OPI",IF(ISNUMBER(SEARCH("DP",$B305)),"DP","CONC")))&amp;" "&amp;TEXT(LOOKUP(9.99E+307,--MID(SUBSTITUTE($B305,CHAR(160)," "),SUMPRODUCT(MIN(FIND({0,1,2,3,4,5,6,7,8,9},SUBSTITUTE($B305,CHAR(160)," ")&amp;"0123456789"))),ROW(INDIRECT("1:6")))),"0"),"SIN NUMERO"))</f>
        <v/>
      </c>
      <c r="O305" t="str">
        <f ca="1">IF($N305="","",IF(LEFT(UPPER($P305),9)="VERIFICAR","VERIFICAR",IF(AND($H305&lt;&gt;"",COUNTIFS($N$2:$N$1000,$N305,$H$2:$H$1000,$H305)&gt;1),"DUPLICADA",IF(TRIM(IF($A305="","tipo ","")&amp;IF($F305="","fecha de firma ","")&amp;IF($G305="","decisión ","")&amp;IF($H305="","N° resolución ","")&amp;IF($I305="","N° dictamen",""))&lt;&gt;"","INCOMPLETA: "&amp;TRIM(IF($A305="","tipo ","")&amp;IF($F305="","fecha de firma ","")&amp;IF($G305="","decisión ","")&amp;IF($H305="","N° resolución ","")&amp;IF($I305="","N° dictamen","")),IF(LEFT($N305,4)&lt;&gt;"CONC","OK",IF(N($Q305)=0,IF(AND(ISNUMBER($E305),$E305&gt;=DATE(2024,1,1)),"FALTA EN evol_conc","OK"),IF(INDEX(evol_conc!$H:$H,$Q305)&lt;&gt;$F305,"FIRMA DISTINTA EN evol_conc ("&amp;IF(INDEX(evol_conc!$H:$H,$Q305)="","vacía",DAY(INDEX(evol_conc!$H:$H,$Q305))&amp;"/"&amp;MONTH(INDEX(evol_conc!$H:$H,$Q305))&amp;"/"&amp;YEAR(INDEX(evol_conc!$H:$H,$Q305)))&amp;")",IF(INDEX(evol_conc!$G:$G,$Q305)&lt;&gt;$E305,"INGRESO DISTINTO EN evol_conc ("&amp;IF(INDEX(evol_conc!$G:$G,$Q305)="","vacía",DAY(INDEX(evol_conc!$G:$G,$Q305))&amp;"/"&amp;MONTH(INDEX(evol_conc!$G:$G,$Q305))&amp;"/"&amp;YEAR(INDEX(evol_conc!$G:$G,$Q305)))&amp;")","OK"))))))))</f>
        <v/>
      </c>
      <c r="Q305" t="str">
        <f ca="1">IF($N305="","",IFERROR(MATCH($N305,evol_conc!$P:$P,0),0))</f>
        <v/>
      </c>
    </row>
    <row r="306" spans="12:17" ht="18" customHeight="1" x14ac:dyDescent="0.25">
      <c r="L306" s="53" t="str">
        <f t="shared" si="8"/>
        <v/>
      </c>
      <c r="M306" s="19" t="str">
        <f t="shared" si="9"/>
        <v/>
      </c>
      <c r="N306" t="str">
        <f ca="1">IF(TRIM(SUBSTITUTE($B306,CHAR(160)," "))="","",IFERROR(IF(ISNUMBER(SEARCH("INC",$B306)),"INC",IF(ISNUMBER(SEARCH("OPI",$B306)),"OPI",IF(ISNUMBER(SEARCH("DP",$B306)),"DP","CONC")))&amp;" "&amp;TEXT(LOOKUP(9.99E+307,--MID(SUBSTITUTE($B306,CHAR(160)," "),SUMPRODUCT(MIN(FIND({0,1,2,3,4,5,6,7,8,9},SUBSTITUTE($B306,CHAR(160)," ")&amp;"0123456789"))),ROW(INDIRECT("1:6")))),"0"),"SIN NUMERO"))</f>
        <v/>
      </c>
      <c r="O306" t="str">
        <f ca="1">IF($N306="","",IF(LEFT(UPPER($P306),9)="VERIFICAR","VERIFICAR",IF(AND($H306&lt;&gt;"",COUNTIFS($N$2:$N$1000,$N306,$H$2:$H$1000,$H306)&gt;1),"DUPLICADA",IF(TRIM(IF($A306="","tipo ","")&amp;IF($F306="","fecha de firma ","")&amp;IF($G306="","decisión ","")&amp;IF($H306="","N° resolución ","")&amp;IF($I306="","N° dictamen",""))&lt;&gt;"","INCOMPLETA: "&amp;TRIM(IF($A306="","tipo ","")&amp;IF($F306="","fecha de firma ","")&amp;IF($G306="","decisión ","")&amp;IF($H306="","N° resolución ","")&amp;IF($I306="","N° dictamen","")),IF(LEFT($N306,4)&lt;&gt;"CONC","OK",IF(N($Q306)=0,IF(AND(ISNUMBER($E306),$E306&gt;=DATE(2024,1,1)),"FALTA EN evol_conc","OK"),IF(INDEX(evol_conc!$H:$H,$Q306)&lt;&gt;$F306,"FIRMA DISTINTA EN evol_conc ("&amp;IF(INDEX(evol_conc!$H:$H,$Q306)="","vacía",DAY(INDEX(evol_conc!$H:$H,$Q306))&amp;"/"&amp;MONTH(INDEX(evol_conc!$H:$H,$Q306))&amp;"/"&amp;YEAR(INDEX(evol_conc!$H:$H,$Q306)))&amp;")",IF(INDEX(evol_conc!$G:$G,$Q306)&lt;&gt;$E306,"INGRESO DISTINTO EN evol_conc ("&amp;IF(INDEX(evol_conc!$G:$G,$Q306)="","vacía",DAY(INDEX(evol_conc!$G:$G,$Q306))&amp;"/"&amp;MONTH(INDEX(evol_conc!$G:$G,$Q306))&amp;"/"&amp;YEAR(INDEX(evol_conc!$G:$G,$Q306)))&amp;")","OK"))))))))</f>
        <v/>
      </c>
      <c r="Q306" t="str">
        <f ca="1">IF($N306="","",IFERROR(MATCH($N306,evol_conc!$P:$P,0),0))</f>
        <v/>
      </c>
    </row>
    <row r="307" spans="12:17" ht="18" customHeight="1" x14ac:dyDescent="0.25">
      <c r="L307" s="53" t="str">
        <f t="shared" si="8"/>
        <v/>
      </c>
      <c r="M307" s="19" t="str">
        <f t="shared" si="9"/>
        <v/>
      </c>
      <c r="N307" t="str">
        <f ca="1">IF(TRIM(SUBSTITUTE($B307,CHAR(160)," "))="","",IFERROR(IF(ISNUMBER(SEARCH("INC",$B307)),"INC",IF(ISNUMBER(SEARCH("OPI",$B307)),"OPI",IF(ISNUMBER(SEARCH("DP",$B307)),"DP","CONC")))&amp;" "&amp;TEXT(LOOKUP(9.99E+307,--MID(SUBSTITUTE($B307,CHAR(160)," "),SUMPRODUCT(MIN(FIND({0,1,2,3,4,5,6,7,8,9},SUBSTITUTE($B307,CHAR(160)," ")&amp;"0123456789"))),ROW(INDIRECT("1:6")))),"0"),"SIN NUMERO"))</f>
        <v/>
      </c>
      <c r="O307" t="str">
        <f ca="1">IF($N307="","",IF(LEFT(UPPER($P307),9)="VERIFICAR","VERIFICAR",IF(AND($H307&lt;&gt;"",COUNTIFS($N$2:$N$1000,$N307,$H$2:$H$1000,$H307)&gt;1),"DUPLICADA",IF(TRIM(IF($A307="","tipo ","")&amp;IF($F307="","fecha de firma ","")&amp;IF($G307="","decisión ","")&amp;IF($H307="","N° resolución ","")&amp;IF($I307="","N° dictamen",""))&lt;&gt;"","INCOMPLETA: "&amp;TRIM(IF($A307="","tipo ","")&amp;IF($F307="","fecha de firma ","")&amp;IF($G307="","decisión ","")&amp;IF($H307="","N° resolución ","")&amp;IF($I307="","N° dictamen","")),IF(LEFT($N307,4)&lt;&gt;"CONC","OK",IF(N($Q307)=0,IF(AND(ISNUMBER($E307),$E307&gt;=DATE(2024,1,1)),"FALTA EN evol_conc","OK"),IF(INDEX(evol_conc!$H:$H,$Q307)&lt;&gt;$F307,"FIRMA DISTINTA EN evol_conc ("&amp;IF(INDEX(evol_conc!$H:$H,$Q307)="","vacía",DAY(INDEX(evol_conc!$H:$H,$Q307))&amp;"/"&amp;MONTH(INDEX(evol_conc!$H:$H,$Q307))&amp;"/"&amp;YEAR(INDEX(evol_conc!$H:$H,$Q307)))&amp;")",IF(INDEX(evol_conc!$G:$G,$Q307)&lt;&gt;$E307,"INGRESO DISTINTO EN evol_conc ("&amp;IF(INDEX(evol_conc!$G:$G,$Q307)="","vacía",DAY(INDEX(evol_conc!$G:$G,$Q307))&amp;"/"&amp;MONTH(INDEX(evol_conc!$G:$G,$Q307))&amp;"/"&amp;YEAR(INDEX(evol_conc!$G:$G,$Q307)))&amp;")","OK"))))))))</f>
        <v/>
      </c>
      <c r="Q307" t="str">
        <f ca="1">IF($N307="","",IFERROR(MATCH($N307,evol_conc!$P:$P,0),0))</f>
        <v/>
      </c>
    </row>
    <row r="308" spans="12:17" ht="18" hidden="1" customHeight="1" x14ac:dyDescent="0.25">
      <c r="L308" s="53" t="str">
        <f t="shared" si="8"/>
        <v/>
      </c>
      <c r="M308" s="19" t="str">
        <f t="shared" si="9"/>
        <v/>
      </c>
      <c r="N308" t="str">
        <f ca="1">IF(TRIM(SUBSTITUTE($B308,CHAR(160)," "))="","",IFERROR(IF(ISNUMBER(SEARCH("INC",$B308)),"INC",IF(ISNUMBER(SEARCH("OPI",$B308)),"OPI",IF(ISNUMBER(SEARCH("DP",$B308)),"DP","CONC")))&amp;" "&amp;TEXT(LOOKUP(9.99E+307,--MID(SUBSTITUTE($B308,CHAR(160)," "),SUMPRODUCT(MIN(FIND({0,1,2,3,4,5,6,7,8,9},SUBSTITUTE($B308,CHAR(160)," ")&amp;"0123456789"))),ROW(INDIRECT("1:6")))),"0"),"SIN NUMERO"))</f>
        <v/>
      </c>
      <c r="O308" t="str">
        <f ca="1">IF($N308="","",IF(LEFT(UPPER($P308),9)="VERIFICAR","VERIFICAR",IF(AND($H308&lt;&gt;"",COUNTIFS($N$2:$N$1000,$N308,$H$2:$H$1000,$H308)&gt;1),"DUPLICADA",IF(TRIM(IF($A308="","tipo ","")&amp;IF($F308="","fecha de firma ","")&amp;IF($G308="","decisión ","")&amp;IF($H308="","N° resolución ","")&amp;IF($I308="","N° dictamen",""))&lt;&gt;"","INCOMPLETA: "&amp;TRIM(IF($A308="","tipo ","")&amp;IF($F308="","fecha de firma ","")&amp;IF($G308="","decisión ","")&amp;IF($H308="","N° resolución ","")&amp;IF($I308="","N° dictamen","")),IF(LEFT($N308,4)&lt;&gt;"CONC","OK",IF(N($Q308)=0,IF(AND(ISNUMBER($E308),$E308&gt;=DATE(2024,1,1)),"FALTA EN evol_conc","OK"),IF(INDEX(evol_conc!$H:$H,$Q308)&lt;&gt;$F308,"FIRMA DISTINTA EN evol_conc ("&amp;IF(INDEX(evol_conc!$H:$H,$Q308)="","vacía",DAY(INDEX(evol_conc!$H:$H,$Q308))&amp;"/"&amp;MONTH(INDEX(evol_conc!$H:$H,$Q308))&amp;"/"&amp;YEAR(INDEX(evol_conc!$H:$H,$Q308)))&amp;")",IF(INDEX(evol_conc!$G:$G,$Q308)&lt;&gt;$E308,"INGRESO DISTINTO EN evol_conc ("&amp;IF(INDEX(evol_conc!$G:$G,$Q308)="","vacía",DAY(INDEX(evol_conc!$G:$G,$Q308))&amp;"/"&amp;MONTH(INDEX(evol_conc!$G:$G,$Q308))&amp;"/"&amp;YEAR(INDEX(evol_conc!$G:$G,$Q308)))&amp;")","OK"))))))))</f>
        <v/>
      </c>
      <c r="Q308" t="str">
        <f ca="1">IF($N308="","",IFERROR(MATCH($N308,evol_conc!$P:$P,0),0))</f>
        <v/>
      </c>
    </row>
    <row r="309" spans="12:17" ht="18" hidden="1" customHeight="1" x14ac:dyDescent="0.25">
      <c r="L309" s="53" t="str">
        <f t="shared" si="8"/>
        <v/>
      </c>
      <c r="M309" s="19" t="str">
        <f t="shared" si="9"/>
        <v/>
      </c>
      <c r="N309" t="str">
        <f ca="1">IF(TRIM(SUBSTITUTE($B309,CHAR(160)," "))="","",IFERROR(IF(ISNUMBER(SEARCH("INC",$B309)),"INC",IF(ISNUMBER(SEARCH("OPI",$B309)),"OPI",IF(ISNUMBER(SEARCH("DP",$B309)),"DP","CONC")))&amp;" "&amp;TEXT(LOOKUP(9.99E+307,--MID(SUBSTITUTE($B309,CHAR(160)," "),SUMPRODUCT(MIN(FIND({0,1,2,3,4,5,6,7,8,9},SUBSTITUTE($B309,CHAR(160)," ")&amp;"0123456789"))),ROW(INDIRECT("1:6")))),"0"),"SIN NUMERO"))</f>
        <v/>
      </c>
      <c r="O309" t="str">
        <f ca="1">IF($N309="","",IF(LEFT(UPPER($P309),9)="VERIFICAR","VERIFICAR",IF(AND($H309&lt;&gt;"",COUNTIFS($N$2:$N$1000,$N309,$H$2:$H$1000,$H309)&gt;1),"DUPLICADA",IF(TRIM(IF($A309="","tipo ","")&amp;IF($F309="","fecha de firma ","")&amp;IF($G309="","decisión ","")&amp;IF($H309="","N° resolución ","")&amp;IF($I309="","N° dictamen",""))&lt;&gt;"","INCOMPLETA: "&amp;TRIM(IF($A309="","tipo ","")&amp;IF($F309="","fecha de firma ","")&amp;IF($G309="","decisión ","")&amp;IF($H309="","N° resolución ","")&amp;IF($I309="","N° dictamen","")),IF(LEFT($N309,4)&lt;&gt;"CONC","OK",IF(N($Q309)=0,IF(AND(ISNUMBER($E309),$E309&gt;=DATE(2024,1,1)),"FALTA EN evol_conc","OK"),IF(INDEX(evol_conc!$H:$H,$Q309)&lt;&gt;$F309,"FIRMA DISTINTA EN evol_conc ("&amp;IF(INDEX(evol_conc!$H:$H,$Q309)="","vacía",DAY(INDEX(evol_conc!$H:$H,$Q309))&amp;"/"&amp;MONTH(INDEX(evol_conc!$H:$H,$Q309))&amp;"/"&amp;YEAR(INDEX(evol_conc!$H:$H,$Q309)))&amp;")",IF(INDEX(evol_conc!$G:$G,$Q309)&lt;&gt;$E309,"INGRESO DISTINTO EN evol_conc ("&amp;IF(INDEX(evol_conc!$G:$G,$Q309)="","vacía",DAY(INDEX(evol_conc!$G:$G,$Q309))&amp;"/"&amp;MONTH(INDEX(evol_conc!$G:$G,$Q309))&amp;"/"&amp;YEAR(INDEX(evol_conc!$G:$G,$Q309)))&amp;")","OK"))))))))</f>
        <v/>
      </c>
      <c r="Q309" t="str">
        <f ca="1">IF($N309="","",IFERROR(MATCH($N309,evol_conc!$P:$P,0),0))</f>
        <v/>
      </c>
    </row>
    <row r="310" spans="12:17" ht="18" hidden="1" customHeight="1" x14ac:dyDescent="0.25">
      <c r="L310" s="53" t="str">
        <f t="shared" si="8"/>
        <v/>
      </c>
      <c r="M310" s="19" t="str">
        <f t="shared" si="9"/>
        <v/>
      </c>
      <c r="N310" t="str">
        <f ca="1">IF(TRIM(SUBSTITUTE($B310,CHAR(160)," "))="","",IFERROR(IF(ISNUMBER(SEARCH("INC",$B310)),"INC",IF(ISNUMBER(SEARCH("OPI",$B310)),"OPI",IF(ISNUMBER(SEARCH("DP",$B310)),"DP","CONC")))&amp;" "&amp;TEXT(LOOKUP(9.99E+307,--MID(SUBSTITUTE($B310,CHAR(160)," "),SUMPRODUCT(MIN(FIND({0,1,2,3,4,5,6,7,8,9},SUBSTITUTE($B310,CHAR(160)," ")&amp;"0123456789"))),ROW(INDIRECT("1:6")))),"0"),"SIN NUMERO"))</f>
        <v/>
      </c>
      <c r="O310" t="str">
        <f ca="1">IF($N310="","",IF(LEFT(UPPER($P310),9)="VERIFICAR","VERIFICAR",IF(AND($H310&lt;&gt;"",COUNTIFS($N$2:$N$1000,$N310,$H$2:$H$1000,$H310)&gt;1),"DUPLICADA",IF(TRIM(IF($A310="","tipo ","")&amp;IF($F310="","fecha de firma ","")&amp;IF($G310="","decisión ","")&amp;IF($H310="","N° resolución ","")&amp;IF($I310="","N° dictamen",""))&lt;&gt;"","INCOMPLETA: "&amp;TRIM(IF($A310="","tipo ","")&amp;IF($F310="","fecha de firma ","")&amp;IF($G310="","decisión ","")&amp;IF($H310="","N° resolución ","")&amp;IF($I310="","N° dictamen","")),IF(LEFT($N310,4)&lt;&gt;"CONC","OK",IF(N($Q310)=0,IF(AND(ISNUMBER($E310),$E310&gt;=DATE(2024,1,1)),"FALTA EN evol_conc","OK"),IF(INDEX(evol_conc!$H:$H,$Q310)&lt;&gt;$F310,"FIRMA DISTINTA EN evol_conc ("&amp;IF(INDEX(evol_conc!$H:$H,$Q310)="","vacía",DAY(INDEX(evol_conc!$H:$H,$Q310))&amp;"/"&amp;MONTH(INDEX(evol_conc!$H:$H,$Q310))&amp;"/"&amp;YEAR(INDEX(evol_conc!$H:$H,$Q310)))&amp;")",IF(INDEX(evol_conc!$G:$G,$Q310)&lt;&gt;$E310,"INGRESO DISTINTO EN evol_conc ("&amp;IF(INDEX(evol_conc!$G:$G,$Q310)="","vacía",DAY(INDEX(evol_conc!$G:$G,$Q310))&amp;"/"&amp;MONTH(INDEX(evol_conc!$G:$G,$Q310))&amp;"/"&amp;YEAR(INDEX(evol_conc!$G:$G,$Q310)))&amp;")","OK"))))))))</f>
        <v/>
      </c>
      <c r="Q310" t="str">
        <f ca="1">IF($N310="","",IFERROR(MATCH($N310,evol_conc!$P:$P,0),0))</f>
        <v/>
      </c>
    </row>
    <row r="311" spans="12:17" ht="18" hidden="1" customHeight="1" x14ac:dyDescent="0.25">
      <c r="L311" s="53" t="str">
        <f t="shared" si="8"/>
        <v/>
      </c>
      <c r="M311" s="19" t="str">
        <f t="shared" si="9"/>
        <v/>
      </c>
      <c r="N311" t="str">
        <f ca="1">IF(TRIM(SUBSTITUTE($B311,CHAR(160)," "))="","",IFERROR(IF(ISNUMBER(SEARCH("INC",$B311)),"INC",IF(ISNUMBER(SEARCH("OPI",$B311)),"OPI",IF(ISNUMBER(SEARCH("DP",$B311)),"DP","CONC")))&amp;" "&amp;TEXT(LOOKUP(9.99E+307,--MID(SUBSTITUTE($B311,CHAR(160)," "),SUMPRODUCT(MIN(FIND({0,1,2,3,4,5,6,7,8,9},SUBSTITUTE($B311,CHAR(160)," ")&amp;"0123456789"))),ROW(INDIRECT("1:6")))),"0"),"SIN NUMERO"))</f>
        <v/>
      </c>
      <c r="O311" t="str">
        <f ca="1">IF($N311="","",IF(LEFT(UPPER($P311),9)="VERIFICAR","VERIFICAR",IF(AND($H311&lt;&gt;"",COUNTIFS($N$2:$N$1000,$N311,$H$2:$H$1000,$H311)&gt;1),"DUPLICADA",IF(TRIM(IF($A311="","tipo ","")&amp;IF($F311="","fecha de firma ","")&amp;IF($G311="","decisión ","")&amp;IF($H311="","N° resolución ","")&amp;IF($I311="","N° dictamen",""))&lt;&gt;"","INCOMPLETA: "&amp;TRIM(IF($A311="","tipo ","")&amp;IF($F311="","fecha de firma ","")&amp;IF($G311="","decisión ","")&amp;IF($H311="","N° resolución ","")&amp;IF($I311="","N° dictamen","")),IF(LEFT($N311,4)&lt;&gt;"CONC","OK",IF(N($Q311)=0,IF(AND(ISNUMBER($E311),$E311&gt;=DATE(2024,1,1)),"FALTA EN evol_conc","OK"),IF(INDEX(evol_conc!$H:$H,$Q311)&lt;&gt;$F311,"FIRMA DISTINTA EN evol_conc ("&amp;IF(INDEX(evol_conc!$H:$H,$Q311)="","vacía",DAY(INDEX(evol_conc!$H:$H,$Q311))&amp;"/"&amp;MONTH(INDEX(evol_conc!$H:$H,$Q311))&amp;"/"&amp;YEAR(INDEX(evol_conc!$H:$H,$Q311)))&amp;")",IF(INDEX(evol_conc!$G:$G,$Q311)&lt;&gt;$E311,"INGRESO DISTINTO EN evol_conc ("&amp;IF(INDEX(evol_conc!$G:$G,$Q311)="","vacía",DAY(INDEX(evol_conc!$G:$G,$Q311))&amp;"/"&amp;MONTH(INDEX(evol_conc!$G:$G,$Q311))&amp;"/"&amp;YEAR(INDEX(evol_conc!$G:$G,$Q311)))&amp;")","OK"))))))))</f>
        <v/>
      </c>
      <c r="Q311" t="str">
        <f ca="1">IF($N311="","",IFERROR(MATCH($N311,evol_conc!$P:$P,0),0))</f>
        <v/>
      </c>
    </row>
    <row r="312" spans="12:17" ht="18" hidden="1" customHeight="1" x14ac:dyDescent="0.25">
      <c r="L312" s="53" t="str">
        <f t="shared" si="8"/>
        <v/>
      </c>
      <c r="M312" s="19" t="str">
        <f t="shared" si="9"/>
        <v/>
      </c>
      <c r="N312" t="str">
        <f ca="1">IF(TRIM(SUBSTITUTE($B312,CHAR(160)," "))="","",IFERROR(IF(ISNUMBER(SEARCH("INC",$B312)),"INC",IF(ISNUMBER(SEARCH("OPI",$B312)),"OPI",IF(ISNUMBER(SEARCH("DP",$B312)),"DP","CONC")))&amp;" "&amp;TEXT(LOOKUP(9.99E+307,--MID(SUBSTITUTE($B312,CHAR(160)," "),SUMPRODUCT(MIN(FIND({0,1,2,3,4,5,6,7,8,9},SUBSTITUTE($B312,CHAR(160)," ")&amp;"0123456789"))),ROW(INDIRECT("1:6")))),"0"),"SIN NUMERO"))</f>
        <v/>
      </c>
      <c r="O312" t="str">
        <f ca="1">IF($N312="","",IF(LEFT(UPPER($P312),9)="VERIFICAR","VERIFICAR",IF(AND($H312&lt;&gt;"",COUNTIFS($N$2:$N$1000,$N312,$H$2:$H$1000,$H312)&gt;1),"DUPLICADA",IF(TRIM(IF($A312="","tipo ","")&amp;IF($F312="","fecha de firma ","")&amp;IF($G312="","decisión ","")&amp;IF($H312="","N° resolución ","")&amp;IF($I312="","N° dictamen",""))&lt;&gt;"","INCOMPLETA: "&amp;TRIM(IF($A312="","tipo ","")&amp;IF($F312="","fecha de firma ","")&amp;IF($G312="","decisión ","")&amp;IF($H312="","N° resolución ","")&amp;IF($I312="","N° dictamen","")),IF(LEFT($N312,4)&lt;&gt;"CONC","OK",IF(N($Q312)=0,IF(AND(ISNUMBER($E312),$E312&gt;=DATE(2024,1,1)),"FALTA EN evol_conc","OK"),IF(INDEX(evol_conc!$H:$H,$Q312)&lt;&gt;$F312,"FIRMA DISTINTA EN evol_conc ("&amp;IF(INDEX(evol_conc!$H:$H,$Q312)="","vacía",DAY(INDEX(evol_conc!$H:$H,$Q312))&amp;"/"&amp;MONTH(INDEX(evol_conc!$H:$H,$Q312))&amp;"/"&amp;YEAR(INDEX(evol_conc!$H:$H,$Q312)))&amp;")",IF(INDEX(evol_conc!$G:$G,$Q312)&lt;&gt;$E312,"INGRESO DISTINTO EN evol_conc ("&amp;IF(INDEX(evol_conc!$G:$G,$Q312)="","vacía",DAY(INDEX(evol_conc!$G:$G,$Q312))&amp;"/"&amp;MONTH(INDEX(evol_conc!$G:$G,$Q312))&amp;"/"&amp;YEAR(INDEX(evol_conc!$G:$G,$Q312)))&amp;")","OK"))))))))</f>
        <v/>
      </c>
      <c r="Q312" t="str">
        <f ca="1">IF($N312="","",IFERROR(MATCH($N312,evol_conc!$P:$P,0),0))</f>
        <v/>
      </c>
    </row>
    <row r="313" spans="12:17" ht="18" hidden="1" customHeight="1" x14ac:dyDescent="0.25">
      <c r="L313" s="53" t="str">
        <f t="shared" si="8"/>
        <v/>
      </c>
      <c r="M313" s="19" t="str">
        <f t="shared" si="9"/>
        <v/>
      </c>
      <c r="N313" t="str">
        <f ca="1">IF(TRIM(SUBSTITUTE($B313,CHAR(160)," "))="","",IFERROR(IF(ISNUMBER(SEARCH("INC",$B313)),"INC",IF(ISNUMBER(SEARCH("OPI",$B313)),"OPI",IF(ISNUMBER(SEARCH("DP",$B313)),"DP","CONC")))&amp;" "&amp;TEXT(LOOKUP(9.99E+307,--MID(SUBSTITUTE($B313,CHAR(160)," "),SUMPRODUCT(MIN(FIND({0,1,2,3,4,5,6,7,8,9},SUBSTITUTE($B313,CHAR(160)," ")&amp;"0123456789"))),ROW(INDIRECT("1:6")))),"0"),"SIN NUMERO"))</f>
        <v/>
      </c>
      <c r="O313" t="str">
        <f ca="1">IF($N313="","",IF(LEFT(UPPER($P313),9)="VERIFICAR","VERIFICAR",IF(AND($H313&lt;&gt;"",COUNTIFS($N$2:$N$1000,$N313,$H$2:$H$1000,$H313)&gt;1),"DUPLICADA",IF(TRIM(IF($A313="","tipo ","")&amp;IF($F313="","fecha de firma ","")&amp;IF($G313="","decisión ","")&amp;IF($H313="","N° resolución ","")&amp;IF($I313="","N° dictamen",""))&lt;&gt;"","INCOMPLETA: "&amp;TRIM(IF($A313="","tipo ","")&amp;IF($F313="","fecha de firma ","")&amp;IF($G313="","decisión ","")&amp;IF($H313="","N° resolución ","")&amp;IF($I313="","N° dictamen","")),IF(LEFT($N313,4)&lt;&gt;"CONC","OK",IF(N($Q313)=0,IF(AND(ISNUMBER($E313),$E313&gt;=DATE(2024,1,1)),"FALTA EN evol_conc","OK"),IF(INDEX(evol_conc!$H:$H,$Q313)&lt;&gt;$F313,"FIRMA DISTINTA EN evol_conc ("&amp;IF(INDEX(evol_conc!$H:$H,$Q313)="","vacía",DAY(INDEX(evol_conc!$H:$H,$Q313))&amp;"/"&amp;MONTH(INDEX(evol_conc!$H:$H,$Q313))&amp;"/"&amp;YEAR(INDEX(evol_conc!$H:$H,$Q313)))&amp;")",IF(INDEX(evol_conc!$G:$G,$Q313)&lt;&gt;$E313,"INGRESO DISTINTO EN evol_conc ("&amp;IF(INDEX(evol_conc!$G:$G,$Q313)="","vacía",DAY(INDEX(evol_conc!$G:$G,$Q313))&amp;"/"&amp;MONTH(INDEX(evol_conc!$G:$G,$Q313))&amp;"/"&amp;YEAR(INDEX(evol_conc!$G:$G,$Q313)))&amp;")","OK"))))))))</f>
        <v/>
      </c>
      <c r="Q313" t="str">
        <f ca="1">IF($N313="","",IFERROR(MATCH($N313,evol_conc!$P:$P,0),0))</f>
        <v/>
      </c>
    </row>
    <row r="314" spans="12:17" ht="18" hidden="1" customHeight="1" x14ac:dyDescent="0.25">
      <c r="L314" s="53" t="str">
        <f t="shared" si="8"/>
        <v/>
      </c>
      <c r="M314" s="19" t="str">
        <f t="shared" si="9"/>
        <v/>
      </c>
      <c r="N314" t="str">
        <f ca="1">IF(TRIM(SUBSTITUTE($B314,CHAR(160)," "))="","",IFERROR(IF(ISNUMBER(SEARCH("INC",$B314)),"INC",IF(ISNUMBER(SEARCH("OPI",$B314)),"OPI",IF(ISNUMBER(SEARCH("DP",$B314)),"DP","CONC")))&amp;" "&amp;TEXT(LOOKUP(9.99E+307,--MID(SUBSTITUTE($B314,CHAR(160)," "),SUMPRODUCT(MIN(FIND({0,1,2,3,4,5,6,7,8,9},SUBSTITUTE($B314,CHAR(160)," ")&amp;"0123456789"))),ROW(INDIRECT("1:6")))),"0"),"SIN NUMERO"))</f>
        <v/>
      </c>
      <c r="O314" t="str">
        <f ca="1">IF($N314="","",IF(LEFT(UPPER($P314),9)="VERIFICAR","VERIFICAR",IF(AND($H314&lt;&gt;"",COUNTIFS($N$2:$N$1000,$N314,$H$2:$H$1000,$H314)&gt;1),"DUPLICADA",IF(TRIM(IF($A314="","tipo ","")&amp;IF($F314="","fecha de firma ","")&amp;IF($G314="","decisión ","")&amp;IF($H314="","N° resolución ","")&amp;IF($I314="","N° dictamen",""))&lt;&gt;"","INCOMPLETA: "&amp;TRIM(IF($A314="","tipo ","")&amp;IF($F314="","fecha de firma ","")&amp;IF($G314="","decisión ","")&amp;IF($H314="","N° resolución ","")&amp;IF($I314="","N° dictamen","")),IF(LEFT($N314,4)&lt;&gt;"CONC","OK",IF(N($Q314)=0,IF(AND(ISNUMBER($E314),$E314&gt;=DATE(2024,1,1)),"FALTA EN evol_conc","OK"),IF(INDEX(evol_conc!$H:$H,$Q314)&lt;&gt;$F314,"FIRMA DISTINTA EN evol_conc ("&amp;IF(INDEX(evol_conc!$H:$H,$Q314)="","vacía",DAY(INDEX(evol_conc!$H:$H,$Q314))&amp;"/"&amp;MONTH(INDEX(evol_conc!$H:$H,$Q314))&amp;"/"&amp;YEAR(INDEX(evol_conc!$H:$H,$Q314)))&amp;")",IF(INDEX(evol_conc!$G:$G,$Q314)&lt;&gt;$E314,"INGRESO DISTINTO EN evol_conc ("&amp;IF(INDEX(evol_conc!$G:$G,$Q314)="","vacía",DAY(INDEX(evol_conc!$G:$G,$Q314))&amp;"/"&amp;MONTH(INDEX(evol_conc!$G:$G,$Q314))&amp;"/"&amp;YEAR(INDEX(evol_conc!$G:$G,$Q314)))&amp;")","OK"))))))))</f>
        <v/>
      </c>
      <c r="Q314" t="str">
        <f ca="1">IF($N314="","",IFERROR(MATCH($N314,evol_conc!$P:$P,0),0))</f>
        <v/>
      </c>
    </row>
    <row r="315" spans="12:17" ht="18" hidden="1" customHeight="1" x14ac:dyDescent="0.25">
      <c r="L315" s="53" t="str">
        <f t="shared" si="8"/>
        <v/>
      </c>
      <c r="M315" s="19" t="str">
        <f t="shared" si="9"/>
        <v/>
      </c>
      <c r="N315" t="str">
        <f ca="1">IF(TRIM(SUBSTITUTE($B315,CHAR(160)," "))="","",IFERROR(IF(ISNUMBER(SEARCH("INC",$B315)),"INC",IF(ISNUMBER(SEARCH("OPI",$B315)),"OPI",IF(ISNUMBER(SEARCH("DP",$B315)),"DP","CONC")))&amp;" "&amp;TEXT(LOOKUP(9.99E+307,--MID(SUBSTITUTE($B315,CHAR(160)," "),SUMPRODUCT(MIN(FIND({0,1,2,3,4,5,6,7,8,9},SUBSTITUTE($B315,CHAR(160)," ")&amp;"0123456789"))),ROW(INDIRECT("1:6")))),"0"),"SIN NUMERO"))</f>
        <v/>
      </c>
      <c r="O315" t="str">
        <f ca="1">IF($N315="","",IF(LEFT(UPPER($P315),9)="VERIFICAR","VERIFICAR",IF(AND($H315&lt;&gt;"",COUNTIFS($N$2:$N$1000,$N315,$H$2:$H$1000,$H315)&gt;1),"DUPLICADA",IF(TRIM(IF($A315="","tipo ","")&amp;IF($F315="","fecha de firma ","")&amp;IF($G315="","decisión ","")&amp;IF($H315="","N° resolución ","")&amp;IF($I315="","N° dictamen",""))&lt;&gt;"","INCOMPLETA: "&amp;TRIM(IF($A315="","tipo ","")&amp;IF($F315="","fecha de firma ","")&amp;IF($G315="","decisión ","")&amp;IF($H315="","N° resolución ","")&amp;IF($I315="","N° dictamen","")),IF(LEFT($N315,4)&lt;&gt;"CONC","OK",IF(N($Q315)=0,IF(AND(ISNUMBER($E315),$E315&gt;=DATE(2024,1,1)),"FALTA EN evol_conc","OK"),IF(INDEX(evol_conc!$H:$H,$Q315)&lt;&gt;$F315,"FIRMA DISTINTA EN evol_conc ("&amp;IF(INDEX(evol_conc!$H:$H,$Q315)="","vacía",DAY(INDEX(evol_conc!$H:$H,$Q315))&amp;"/"&amp;MONTH(INDEX(evol_conc!$H:$H,$Q315))&amp;"/"&amp;YEAR(INDEX(evol_conc!$H:$H,$Q315)))&amp;")",IF(INDEX(evol_conc!$G:$G,$Q315)&lt;&gt;$E315,"INGRESO DISTINTO EN evol_conc ("&amp;IF(INDEX(evol_conc!$G:$G,$Q315)="","vacía",DAY(INDEX(evol_conc!$G:$G,$Q315))&amp;"/"&amp;MONTH(INDEX(evol_conc!$G:$G,$Q315))&amp;"/"&amp;YEAR(INDEX(evol_conc!$G:$G,$Q315)))&amp;")","OK"))))))))</f>
        <v/>
      </c>
      <c r="Q315" t="str">
        <f ca="1">IF($N315="","",IFERROR(MATCH($N315,evol_conc!$P:$P,0),0))</f>
        <v/>
      </c>
    </row>
    <row r="316" spans="12:17" ht="18" hidden="1" customHeight="1" x14ac:dyDescent="0.25">
      <c r="L316" s="53" t="str">
        <f t="shared" si="8"/>
        <v/>
      </c>
      <c r="M316" s="19" t="str">
        <f t="shared" si="9"/>
        <v/>
      </c>
      <c r="N316" t="str">
        <f ca="1">IF(TRIM(SUBSTITUTE($B316,CHAR(160)," "))="","",IFERROR(IF(ISNUMBER(SEARCH("INC",$B316)),"INC",IF(ISNUMBER(SEARCH("OPI",$B316)),"OPI",IF(ISNUMBER(SEARCH("DP",$B316)),"DP","CONC")))&amp;" "&amp;TEXT(LOOKUP(9.99E+307,--MID(SUBSTITUTE($B316,CHAR(160)," "),SUMPRODUCT(MIN(FIND({0,1,2,3,4,5,6,7,8,9},SUBSTITUTE($B316,CHAR(160)," ")&amp;"0123456789"))),ROW(INDIRECT("1:6")))),"0"),"SIN NUMERO"))</f>
        <v/>
      </c>
      <c r="O316" t="str">
        <f ca="1">IF($N316="","",IF(LEFT(UPPER($P316),9)="VERIFICAR","VERIFICAR",IF(AND($H316&lt;&gt;"",COUNTIFS($N$2:$N$1000,$N316,$H$2:$H$1000,$H316)&gt;1),"DUPLICADA",IF(TRIM(IF($A316="","tipo ","")&amp;IF($F316="","fecha de firma ","")&amp;IF($G316="","decisión ","")&amp;IF($H316="","N° resolución ","")&amp;IF($I316="","N° dictamen",""))&lt;&gt;"","INCOMPLETA: "&amp;TRIM(IF($A316="","tipo ","")&amp;IF($F316="","fecha de firma ","")&amp;IF($G316="","decisión ","")&amp;IF($H316="","N° resolución ","")&amp;IF($I316="","N° dictamen","")),IF(LEFT($N316,4)&lt;&gt;"CONC","OK",IF(N($Q316)=0,IF(AND(ISNUMBER($E316),$E316&gt;=DATE(2024,1,1)),"FALTA EN evol_conc","OK"),IF(INDEX(evol_conc!$H:$H,$Q316)&lt;&gt;$F316,"FIRMA DISTINTA EN evol_conc ("&amp;IF(INDEX(evol_conc!$H:$H,$Q316)="","vacía",DAY(INDEX(evol_conc!$H:$H,$Q316))&amp;"/"&amp;MONTH(INDEX(evol_conc!$H:$H,$Q316))&amp;"/"&amp;YEAR(INDEX(evol_conc!$H:$H,$Q316)))&amp;")",IF(INDEX(evol_conc!$G:$G,$Q316)&lt;&gt;$E316,"INGRESO DISTINTO EN evol_conc ("&amp;IF(INDEX(evol_conc!$G:$G,$Q316)="","vacía",DAY(INDEX(evol_conc!$G:$G,$Q316))&amp;"/"&amp;MONTH(INDEX(evol_conc!$G:$G,$Q316))&amp;"/"&amp;YEAR(INDEX(evol_conc!$G:$G,$Q316)))&amp;")","OK"))))))))</f>
        <v/>
      </c>
      <c r="Q316" t="str">
        <f ca="1">IF($N316="","",IFERROR(MATCH($N316,evol_conc!$P:$P,0),0))</f>
        <v/>
      </c>
    </row>
    <row r="317" spans="12:17" ht="18" hidden="1" customHeight="1" x14ac:dyDescent="0.25">
      <c r="L317" s="53" t="str">
        <f t="shared" si="8"/>
        <v/>
      </c>
      <c r="M317" s="19" t="str">
        <f t="shared" si="9"/>
        <v/>
      </c>
      <c r="N317" t="str">
        <f ca="1">IF(TRIM(SUBSTITUTE($B317,CHAR(160)," "))="","",IFERROR(IF(ISNUMBER(SEARCH("INC",$B317)),"INC",IF(ISNUMBER(SEARCH("OPI",$B317)),"OPI",IF(ISNUMBER(SEARCH("DP",$B317)),"DP","CONC")))&amp;" "&amp;TEXT(LOOKUP(9.99E+307,--MID(SUBSTITUTE($B317,CHAR(160)," "),SUMPRODUCT(MIN(FIND({0,1,2,3,4,5,6,7,8,9},SUBSTITUTE($B317,CHAR(160)," ")&amp;"0123456789"))),ROW(INDIRECT("1:6")))),"0"),"SIN NUMERO"))</f>
        <v/>
      </c>
      <c r="O317" t="str">
        <f ca="1">IF($N317="","",IF(LEFT(UPPER($P317),9)="VERIFICAR","VERIFICAR",IF(AND($H317&lt;&gt;"",COUNTIFS($N$2:$N$1000,$N317,$H$2:$H$1000,$H317)&gt;1),"DUPLICADA",IF(TRIM(IF($A317="","tipo ","")&amp;IF($F317="","fecha de firma ","")&amp;IF($G317="","decisión ","")&amp;IF($H317="","N° resolución ","")&amp;IF($I317="","N° dictamen",""))&lt;&gt;"","INCOMPLETA: "&amp;TRIM(IF($A317="","tipo ","")&amp;IF($F317="","fecha de firma ","")&amp;IF($G317="","decisión ","")&amp;IF($H317="","N° resolución ","")&amp;IF($I317="","N° dictamen","")),IF(LEFT($N317,4)&lt;&gt;"CONC","OK",IF(N($Q317)=0,IF(AND(ISNUMBER($E317),$E317&gt;=DATE(2024,1,1)),"FALTA EN evol_conc","OK"),IF(INDEX(evol_conc!$H:$H,$Q317)&lt;&gt;$F317,"FIRMA DISTINTA EN evol_conc ("&amp;IF(INDEX(evol_conc!$H:$H,$Q317)="","vacía",DAY(INDEX(evol_conc!$H:$H,$Q317))&amp;"/"&amp;MONTH(INDEX(evol_conc!$H:$H,$Q317))&amp;"/"&amp;YEAR(INDEX(evol_conc!$H:$H,$Q317)))&amp;")",IF(INDEX(evol_conc!$G:$G,$Q317)&lt;&gt;$E317,"INGRESO DISTINTO EN evol_conc ("&amp;IF(INDEX(evol_conc!$G:$G,$Q317)="","vacía",DAY(INDEX(evol_conc!$G:$G,$Q317))&amp;"/"&amp;MONTH(INDEX(evol_conc!$G:$G,$Q317))&amp;"/"&amp;YEAR(INDEX(evol_conc!$G:$G,$Q317)))&amp;")","OK"))))))))</f>
        <v/>
      </c>
      <c r="Q317" t="str">
        <f ca="1">IF($N317="","",IFERROR(MATCH($N317,evol_conc!$P:$P,0),0))</f>
        <v/>
      </c>
    </row>
    <row r="318" spans="12:17" ht="18" hidden="1" customHeight="1" x14ac:dyDescent="0.25">
      <c r="L318" s="53" t="str">
        <f t="shared" si="8"/>
        <v/>
      </c>
      <c r="M318" s="19" t="str">
        <f t="shared" si="9"/>
        <v/>
      </c>
      <c r="N318" t="str">
        <f ca="1">IF(TRIM(SUBSTITUTE($B318,CHAR(160)," "))="","",IFERROR(IF(ISNUMBER(SEARCH("INC",$B318)),"INC",IF(ISNUMBER(SEARCH("OPI",$B318)),"OPI",IF(ISNUMBER(SEARCH("DP",$B318)),"DP","CONC")))&amp;" "&amp;TEXT(LOOKUP(9.99E+307,--MID(SUBSTITUTE($B318,CHAR(160)," "),SUMPRODUCT(MIN(FIND({0,1,2,3,4,5,6,7,8,9},SUBSTITUTE($B318,CHAR(160)," ")&amp;"0123456789"))),ROW(INDIRECT("1:6")))),"0"),"SIN NUMERO"))</f>
        <v/>
      </c>
      <c r="O318" t="str">
        <f ca="1">IF($N318="","",IF(LEFT(UPPER($P318),9)="VERIFICAR","VERIFICAR",IF(AND($H318&lt;&gt;"",COUNTIFS($N$2:$N$1000,$N318,$H$2:$H$1000,$H318)&gt;1),"DUPLICADA",IF(TRIM(IF($A318="","tipo ","")&amp;IF($F318="","fecha de firma ","")&amp;IF($G318="","decisión ","")&amp;IF($H318="","N° resolución ","")&amp;IF($I318="","N° dictamen",""))&lt;&gt;"","INCOMPLETA: "&amp;TRIM(IF($A318="","tipo ","")&amp;IF($F318="","fecha de firma ","")&amp;IF($G318="","decisión ","")&amp;IF($H318="","N° resolución ","")&amp;IF($I318="","N° dictamen","")),IF(LEFT($N318,4)&lt;&gt;"CONC","OK",IF(N($Q318)=0,IF(AND(ISNUMBER($E318),$E318&gt;=DATE(2024,1,1)),"FALTA EN evol_conc","OK"),IF(INDEX(evol_conc!$H:$H,$Q318)&lt;&gt;$F318,"FIRMA DISTINTA EN evol_conc ("&amp;IF(INDEX(evol_conc!$H:$H,$Q318)="","vacía",DAY(INDEX(evol_conc!$H:$H,$Q318))&amp;"/"&amp;MONTH(INDEX(evol_conc!$H:$H,$Q318))&amp;"/"&amp;YEAR(INDEX(evol_conc!$H:$H,$Q318)))&amp;")",IF(INDEX(evol_conc!$G:$G,$Q318)&lt;&gt;$E318,"INGRESO DISTINTO EN evol_conc ("&amp;IF(INDEX(evol_conc!$G:$G,$Q318)="","vacía",DAY(INDEX(evol_conc!$G:$G,$Q318))&amp;"/"&amp;MONTH(INDEX(evol_conc!$G:$G,$Q318))&amp;"/"&amp;YEAR(INDEX(evol_conc!$G:$G,$Q318)))&amp;")","OK"))))))))</f>
        <v/>
      </c>
      <c r="Q318" t="str">
        <f ca="1">IF($N318="","",IFERROR(MATCH($N318,evol_conc!$P:$P,0),0))</f>
        <v/>
      </c>
    </row>
    <row r="319" spans="12:17" ht="18" hidden="1" customHeight="1" x14ac:dyDescent="0.25">
      <c r="L319" s="53" t="str">
        <f t="shared" si="8"/>
        <v/>
      </c>
      <c r="M319" s="19" t="str">
        <f t="shared" si="9"/>
        <v/>
      </c>
      <c r="N319" t="str">
        <f ca="1">IF(TRIM(SUBSTITUTE($B319,CHAR(160)," "))="","",IFERROR(IF(ISNUMBER(SEARCH("INC",$B319)),"INC",IF(ISNUMBER(SEARCH("OPI",$B319)),"OPI",IF(ISNUMBER(SEARCH("DP",$B319)),"DP","CONC")))&amp;" "&amp;TEXT(LOOKUP(9.99E+307,--MID(SUBSTITUTE($B319,CHAR(160)," "),SUMPRODUCT(MIN(FIND({0,1,2,3,4,5,6,7,8,9},SUBSTITUTE($B319,CHAR(160)," ")&amp;"0123456789"))),ROW(INDIRECT("1:6")))),"0"),"SIN NUMERO"))</f>
        <v/>
      </c>
      <c r="O319" t="str">
        <f ca="1">IF($N319="","",IF(LEFT(UPPER($P319),9)="VERIFICAR","VERIFICAR",IF(AND($H319&lt;&gt;"",COUNTIFS($N$2:$N$1000,$N319,$H$2:$H$1000,$H319)&gt;1),"DUPLICADA",IF(TRIM(IF($A319="","tipo ","")&amp;IF($F319="","fecha de firma ","")&amp;IF($G319="","decisión ","")&amp;IF($H319="","N° resolución ","")&amp;IF($I319="","N° dictamen",""))&lt;&gt;"","INCOMPLETA: "&amp;TRIM(IF($A319="","tipo ","")&amp;IF($F319="","fecha de firma ","")&amp;IF($G319="","decisión ","")&amp;IF($H319="","N° resolución ","")&amp;IF($I319="","N° dictamen","")),IF(LEFT($N319,4)&lt;&gt;"CONC","OK",IF(N($Q319)=0,IF(AND(ISNUMBER($E319),$E319&gt;=DATE(2024,1,1)),"FALTA EN evol_conc","OK"),IF(INDEX(evol_conc!$H:$H,$Q319)&lt;&gt;$F319,"FIRMA DISTINTA EN evol_conc ("&amp;IF(INDEX(evol_conc!$H:$H,$Q319)="","vacía",DAY(INDEX(evol_conc!$H:$H,$Q319))&amp;"/"&amp;MONTH(INDEX(evol_conc!$H:$H,$Q319))&amp;"/"&amp;YEAR(INDEX(evol_conc!$H:$H,$Q319)))&amp;")",IF(INDEX(evol_conc!$G:$G,$Q319)&lt;&gt;$E319,"INGRESO DISTINTO EN evol_conc ("&amp;IF(INDEX(evol_conc!$G:$G,$Q319)="","vacía",DAY(INDEX(evol_conc!$G:$G,$Q319))&amp;"/"&amp;MONTH(INDEX(evol_conc!$G:$G,$Q319))&amp;"/"&amp;YEAR(INDEX(evol_conc!$G:$G,$Q319)))&amp;")","OK"))))))))</f>
        <v/>
      </c>
      <c r="Q319" t="str">
        <f ca="1">IF($N319="","",IFERROR(MATCH($N319,evol_conc!$P:$P,0),0))</f>
        <v/>
      </c>
    </row>
    <row r="320" spans="12:17" ht="18" hidden="1" customHeight="1" x14ac:dyDescent="0.25">
      <c r="L320" s="53" t="str">
        <f t="shared" si="8"/>
        <v/>
      </c>
      <c r="M320" s="19" t="str">
        <f t="shared" si="9"/>
        <v/>
      </c>
      <c r="N320" t="str">
        <f ca="1">IF(TRIM(SUBSTITUTE($B320,CHAR(160)," "))="","",IFERROR(IF(ISNUMBER(SEARCH("INC",$B320)),"INC",IF(ISNUMBER(SEARCH("OPI",$B320)),"OPI",IF(ISNUMBER(SEARCH("DP",$B320)),"DP","CONC")))&amp;" "&amp;TEXT(LOOKUP(9.99E+307,--MID(SUBSTITUTE($B320,CHAR(160)," "),SUMPRODUCT(MIN(FIND({0,1,2,3,4,5,6,7,8,9},SUBSTITUTE($B320,CHAR(160)," ")&amp;"0123456789"))),ROW(INDIRECT("1:6")))),"0"),"SIN NUMERO"))</f>
        <v/>
      </c>
      <c r="O320" t="str">
        <f ca="1">IF($N320="","",IF(LEFT(UPPER($P320),9)="VERIFICAR","VERIFICAR",IF(AND($H320&lt;&gt;"",COUNTIFS($N$2:$N$1000,$N320,$H$2:$H$1000,$H320)&gt;1),"DUPLICADA",IF(TRIM(IF($A320="","tipo ","")&amp;IF($F320="","fecha de firma ","")&amp;IF($G320="","decisión ","")&amp;IF($H320="","N° resolución ","")&amp;IF($I320="","N° dictamen",""))&lt;&gt;"","INCOMPLETA: "&amp;TRIM(IF($A320="","tipo ","")&amp;IF($F320="","fecha de firma ","")&amp;IF($G320="","decisión ","")&amp;IF($H320="","N° resolución ","")&amp;IF($I320="","N° dictamen","")),IF(LEFT($N320,4)&lt;&gt;"CONC","OK",IF(N($Q320)=0,IF(AND(ISNUMBER($E320),$E320&gt;=DATE(2024,1,1)),"FALTA EN evol_conc","OK"),IF(INDEX(evol_conc!$H:$H,$Q320)&lt;&gt;$F320,"FIRMA DISTINTA EN evol_conc ("&amp;IF(INDEX(evol_conc!$H:$H,$Q320)="","vacía",DAY(INDEX(evol_conc!$H:$H,$Q320))&amp;"/"&amp;MONTH(INDEX(evol_conc!$H:$H,$Q320))&amp;"/"&amp;YEAR(INDEX(evol_conc!$H:$H,$Q320)))&amp;")",IF(INDEX(evol_conc!$G:$G,$Q320)&lt;&gt;$E320,"INGRESO DISTINTO EN evol_conc ("&amp;IF(INDEX(evol_conc!$G:$G,$Q320)="","vacía",DAY(INDEX(evol_conc!$G:$G,$Q320))&amp;"/"&amp;MONTH(INDEX(evol_conc!$G:$G,$Q320))&amp;"/"&amp;YEAR(INDEX(evol_conc!$G:$G,$Q320)))&amp;")","OK"))))))))</f>
        <v/>
      </c>
      <c r="Q320" t="str">
        <f ca="1">IF($N320="","",IFERROR(MATCH($N320,evol_conc!$P:$P,0),0))</f>
        <v/>
      </c>
    </row>
    <row r="321" spans="12:17" ht="18" hidden="1" customHeight="1" x14ac:dyDescent="0.25">
      <c r="L321" s="53" t="str">
        <f t="shared" si="8"/>
        <v/>
      </c>
      <c r="M321" s="19" t="str">
        <f t="shared" si="9"/>
        <v/>
      </c>
      <c r="N321" t="str">
        <f ca="1">IF(TRIM(SUBSTITUTE($B321,CHAR(160)," "))="","",IFERROR(IF(ISNUMBER(SEARCH("INC",$B321)),"INC",IF(ISNUMBER(SEARCH("OPI",$B321)),"OPI",IF(ISNUMBER(SEARCH("DP",$B321)),"DP","CONC")))&amp;" "&amp;TEXT(LOOKUP(9.99E+307,--MID(SUBSTITUTE($B321,CHAR(160)," "),SUMPRODUCT(MIN(FIND({0,1,2,3,4,5,6,7,8,9},SUBSTITUTE($B321,CHAR(160)," ")&amp;"0123456789"))),ROW(INDIRECT("1:6")))),"0"),"SIN NUMERO"))</f>
        <v/>
      </c>
      <c r="O321" t="str">
        <f ca="1">IF($N321="","",IF(LEFT(UPPER($P321),9)="VERIFICAR","VERIFICAR",IF(AND($H321&lt;&gt;"",COUNTIFS($N$2:$N$1000,$N321,$H$2:$H$1000,$H321)&gt;1),"DUPLICADA",IF(TRIM(IF($A321="","tipo ","")&amp;IF($F321="","fecha de firma ","")&amp;IF($G321="","decisión ","")&amp;IF($H321="","N° resolución ","")&amp;IF($I321="","N° dictamen",""))&lt;&gt;"","INCOMPLETA: "&amp;TRIM(IF($A321="","tipo ","")&amp;IF($F321="","fecha de firma ","")&amp;IF($G321="","decisión ","")&amp;IF($H321="","N° resolución ","")&amp;IF($I321="","N° dictamen","")),IF(LEFT($N321,4)&lt;&gt;"CONC","OK",IF(N($Q321)=0,IF(AND(ISNUMBER($E321),$E321&gt;=DATE(2024,1,1)),"FALTA EN evol_conc","OK"),IF(INDEX(evol_conc!$H:$H,$Q321)&lt;&gt;$F321,"FIRMA DISTINTA EN evol_conc ("&amp;IF(INDEX(evol_conc!$H:$H,$Q321)="","vacía",DAY(INDEX(evol_conc!$H:$H,$Q321))&amp;"/"&amp;MONTH(INDEX(evol_conc!$H:$H,$Q321))&amp;"/"&amp;YEAR(INDEX(evol_conc!$H:$H,$Q321)))&amp;")",IF(INDEX(evol_conc!$G:$G,$Q321)&lt;&gt;$E321,"INGRESO DISTINTO EN evol_conc ("&amp;IF(INDEX(evol_conc!$G:$G,$Q321)="","vacía",DAY(INDEX(evol_conc!$G:$G,$Q321))&amp;"/"&amp;MONTH(INDEX(evol_conc!$G:$G,$Q321))&amp;"/"&amp;YEAR(INDEX(evol_conc!$G:$G,$Q321)))&amp;")","OK"))))))))</f>
        <v/>
      </c>
      <c r="Q321" t="str">
        <f ca="1">IF($N321="","",IFERROR(MATCH($N321,evol_conc!$P:$P,0),0))</f>
        <v/>
      </c>
    </row>
    <row r="322" spans="12:17" ht="18" hidden="1" customHeight="1" x14ac:dyDescent="0.25">
      <c r="L322" s="53" t="str">
        <f t="shared" ref="L322:L385" si="10">IF(OR($E322="",$F322=""),"",($F322-$E322)/30)</f>
        <v/>
      </c>
      <c r="M322" s="19" t="str">
        <f t="shared" ref="M322:M385" si="11">IF(OR($E322="",$F322=""),"",$F322-$E322)</f>
        <v/>
      </c>
      <c r="N322" t="str">
        <f ca="1">IF(TRIM(SUBSTITUTE($B322,CHAR(160)," "))="","",IFERROR(IF(ISNUMBER(SEARCH("INC",$B322)),"INC",IF(ISNUMBER(SEARCH("OPI",$B322)),"OPI",IF(ISNUMBER(SEARCH("DP",$B322)),"DP","CONC")))&amp;" "&amp;TEXT(LOOKUP(9.99E+307,--MID(SUBSTITUTE($B322,CHAR(160)," "),SUMPRODUCT(MIN(FIND({0,1,2,3,4,5,6,7,8,9},SUBSTITUTE($B322,CHAR(160)," ")&amp;"0123456789"))),ROW(INDIRECT("1:6")))),"0"),"SIN NUMERO"))</f>
        <v/>
      </c>
      <c r="O322" t="str">
        <f ca="1">IF($N322="","",IF(LEFT(UPPER($P322),9)="VERIFICAR","VERIFICAR",IF(AND($H322&lt;&gt;"",COUNTIFS($N$2:$N$1000,$N322,$H$2:$H$1000,$H322)&gt;1),"DUPLICADA",IF(TRIM(IF($A322="","tipo ","")&amp;IF($F322="","fecha de firma ","")&amp;IF($G322="","decisión ","")&amp;IF($H322="","N° resolución ","")&amp;IF($I322="","N° dictamen",""))&lt;&gt;"","INCOMPLETA: "&amp;TRIM(IF($A322="","tipo ","")&amp;IF($F322="","fecha de firma ","")&amp;IF($G322="","decisión ","")&amp;IF($H322="","N° resolución ","")&amp;IF($I322="","N° dictamen","")),IF(LEFT($N322,4)&lt;&gt;"CONC","OK",IF(N($Q322)=0,IF(AND(ISNUMBER($E322),$E322&gt;=DATE(2024,1,1)),"FALTA EN evol_conc","OK"),IF(INDEX(evol_conc!$H:$H,$Q322)&lt;&gt;$F322,"FIRMA DISTINTA EN evol_conc ("&amp;IF(INDEX(evol_conc!$H:$H,$Q322)="","vacía",DAY(INDEX(evol_conc!$H:$H,$Q322))&amp;"/"&amp;MONTH(INDEX(evol_conc!$H:$H,$Q322))&amp;"/"&amp;YEAR(INDEX(evol_conc!$H:$H,$Q322)))&amp;")",IF(INDEX(evol_conc!$G:$G,$Q322)&lt;&gt;$E322,"INGRESO DISTINTO EN evol_conc ("&amp;IF(INDEX(evol_conc!$G:$G,$Q322)="","vacía",DAY(INDEX(evol_conc!$G:$G,$Q322))&amp;"/"&amp;MONTH(INDEX(evol_conc!$G:$G,$Q322))&amp;"/"&amp;YEAR(INDEX(evol_conc!$G:$G,$Q322)))&amp;")","OK"))))))))</f>
        <v/>
      </c>
      <c r="Q322" t="str">
        <f ca="1">IF($N322="","",IFERROR(MATCH($N322,evol_conc!$P:$P,0),0))</f>
        <v/>
      </c>
    </row>
    <row r="323" spans="12:17" ht="18" hidden="1" customHeight="1" x14ac:dyDescent="0.25">
      <c r="L323" s="53" t="str">
        <f t="shared" si="10"/>
        <v/>
      </c>
      <c r="M323" s="19" t="str">
        <f t="shared" si="11"/>
        <v/>
      </c>
      <c r="N323" t="str">
        <f ca="1">IF(TRIM(SUBSTITUTE($B323,CHAR(160)," "))="","",IFERROR(IF(ISNUMBER(SEARCH("INC",$B323)),"INC",IF(ISNUMBER(SEARCH("OPI",$B323)),"OPI",IF(ISNUMBER(SEARCH("DP",$B323)),"DP","CONC")))&amp;" "&amp;TEXT(LOOKUP(9.99E+307,--MID(SUBSTITUTE($B323,CHAR(160)," "),SUMPRODUCT(MIN(FIND({0,1,2,3,4,5,6,7,8,9},SUBSTITUTE($B323,CHAR(160)," ")&amp;"0123456789"))),ROW(INDIRECT("1:6")))),"0"),"SIN NUMERO"))</f>
        <v/>
      </c>
      <c r="O323" t="str">
        <f ca="1">IF($N323="","",IF(LEFT(UPPER($P323),9)="VERIFICAR","VERIFICAR",IF(AND($H323&lt;&gt;"",COUNTIFS($N$2:$N$1000,$N323,$H$2:$H$1000,$H323)&gt;1),"DUPLICADA",IF(TRIM(IF($A323="","tipo ","")&amp;IF($F323="","fecha de firma ","")&amp;IF($G323="","decisión ","")&amp;IF($H323="","N° resolución ","")&amp;IF($I323="","N° dictamen",""))&lt;&gt;"","INCOMPLETA: "&amp;TRIM(IF($A323="","tipo ","")&amp;IF($F323="","fecha de firma ","")&amp;IF($G323="","decisión ","")&amp;IF($H323="","N° resolución ","")&amp;IF($I323="","N° dictamen","")),IF(LEFT($N323,4)&lt;&gt;"CONC","OK",IF(N($Q323)=0,IF(AND(ISNUMBER($E323),$E323&gt;=DATE(2024,1,1)),"FALTA EN evol_conc","OK"),IF(INDEX(evol_conc!$H:$H,$Q323)&lt;&gt;$F323,"FIRMA DISTINTA EN evol_conc ("&amp;IF(INDEX(evol_conc!$H:$H,$Q323)="","vacía",DAY(INDEX(evol_conc!$H:$H,$Q323))&amp;"/"&amp;MONTH(INDEX(evol_conc!$H:$H,$Q323))&amp;"/"&amp;YEAR(INDEX(evol_conc!$H:$H,$Q323)))&amp;")",IF(INDEX(evol_conc!$G:$G,$Q323)&lt;&gt;$E323,"INGRESO DISTINTO EN evol_conc ("&amp;IF(INDEX(evol_conc!$G:$G,$Q323)="","vacía",DAY(INDEX(evol_conc!$G:$G,$Q323))&amp;"/"&amp;MONTH(INDEX(evol_conc!$G:$G,$Q323))&amp;"/"&amp;YEAR(INDEX(evol_conc!$G:$G,$Q323)))&amp;")","OK"))))))))</f>
        <v/>
      </c>
      <c r="Q323" t="str">
        <f ca="1">IF($N323="","",IFERROR(MATCH($N323,evol_conc!$P:$P,0),0))</f>
        <v/>
      </c>
    </row>
    <row r="324" spans="12:17" ht="18" hidden="1" customHeight="1" x14ac:dyDescent="0.25">
      <c r="L324" s="53" t="str">
        <f t="shared" si="10"/>
        <v/>
      </c>
      <c r="M324" s="19" t="str">
        <f t="shared" si="11"/>
        <v/>
      </c>
      <c r="N324" t="str">
        <f ca="1">IF(TRIM(SUBSTITUTE($B324,CHAR(160)," "))="","",IFERROR(IF(ISNUMBER(SEARCH("INC",$B324)),"INC",IF(ISNUMBER(SEARCH("OPI",$B324)),"OPI",IF(ISNUMBER(SEARCH("DP",$B324)),"DP","CONC")))&amp;" "&amp;TEXT(LOOKUP(9.99E+307,--MID(SUBSTITUTE($B324,CHAR(160)," "),SUMPRODUCT(MIN(FIND({0,1,2,3,4,5,6,7,8,9},SUBSTITUTE($B324,CHAR(160)," ")&amp;"0123456789"))),ROW(INDIRECT("1:6")))),"0"),"SIN NUMERO"))</f>
        <v/>
      </c>
      <c r="O324" t="str">
        <f ca="1">IF($N324="","",IF(LEFT(UPPER($P324),9)="VERIFICAR","VERIFICAR",IF(AND($H324&lt;&gt;"",COUNTIFS($N$2:$N$1000,$N324,$H$2:$H$1000,$H324)&gt;1),"DUPLICADA",IF(TRIM(IF($A324="","tipo ","")&amp;IF($F324="","fecha de firma ","")&amp;IF($G324="","decisión ","")&amp;IF($H324="","N° resolución ","")&amp;IF($I324="","N° dictamen",""))&lt;&gt;"","INCOMPLETA: "&amp;TRIM(IF($A324="","tipo ","")&amp;IF($F324="","fecha de firma ","")&amp;IF($G324="","decisión ","")&amp;IF($H324="","N° resolución ","")&amp;IF($I324="","N° dictamen","")),IF(LEFT($N324,4)&lt;&gt;"CONC","OK",IF(N($Q324)=0,IF(AND(ISNUMBER($E324),$E324&gt;=DATE(2024,1,1)),"FALTA EN evol_conc","OK"),IF(INDEX(evol_conc!$H:$H,$Q324)&lt;&gt;$F324,"FIRMA DISTINTA EN evol_conc ("&amp;IF(INDEX(evol_conc!$H:$H,$Q324)="","vacía",DAY(INDEX(evol_conc!$H:$H,$Q324))&amp;"/"&amp;MONTH(INDEX(evol_conc!$H:$H,$Q324))&amp;"/"&amp;YEAR(INDEX(evol_conc!$H:$H,$Q324)))&amp;")",IF(INDEX(evol_conc!$G:$G,$Q324)&lt;&gt;$E324,"INGRESO DISTINTO EN evol_conc ("&amp;IF(INDEX(evol_conc!$G:$G,$Q324)="","vacía",DAY(INDEX(evol_conc!$G:$G,$Q324))&amp;"/"&amp;MONTH(INDEX(evol_conc!$G:$G,$Q324))&amp;"/"&amp;YEAR(INDEX(evol_conc!$G:$G,$Q324)))&amp;")","OK"))))))))</f>
        <v/>
      </c>
      <c r="Q324" t="str">
        <f ca="1">IF($N324="","",IFERROR(MATCH($N324,evol_conc!$P:$P,0),0))</f>
        <v/>
      </c>
    </row>
    <row r="325" spans="12:17" ht="18" hidden="1" customHeight="1" x14ac:dyDescent="0.25">
      <c r="L325" s="53" t="str">
        <f t="shared" si="10"/>
        <v/>
      </c>
      <c r="M325" s="19" t="str">
        <f t="shared" si="11"/>
        <v/>
      </c>
      <c r="N325" t="str">
        <f ca="1">IF(TRIM(SUBSTITUTE($B325,CHAR(160)," "))="","",IFERROR(IF(ISNUMBER(SEARCH("INC",$B325)),"INC",IF(ISNUMBER(SEARCH("OPI",$B325)),"OPI",IF(ISNUMBER(SEARCH("DP",$B325)),"DP","CONC")))&amp;" "&amp;TEXT(LOOKUP(9.99E+307,--MID(SUBSTITUTE($B325,CHAR(160)," "),SUMPRODUCT(MIN(FIND({0,1,2,3,4,5,6,7,8,9},SUBSTITUTE($B325,CHAR(160)," ")&amp;"0123456789"))),ROW(INDIRECT("1:6")))),"0"),"SIN NUMERO"))</f>
        <v/>
      </c>
      <c r="O325" t="str">
        <f ca="1">IF($N325="","",IF(LEFT(UPPER($P325),9)="VERIFICAR","VERIFICAR",IF(AND($H325&lt;&gt;"",COUNTIFS($N$2:$N$1000,$N325,$H$2:$H$1000,$H325)&gt;1),"DUPLICADA",IF(TRIM(IF($A325="","tipo ","")&amp;IF($F325="","fecha de firma ","")&amp;IF($G325="","decisión ","")&amp;IF($H325="","N° resolución ","")&amp;IF($I325="","N° dictamen",""))&lt;&gt;"","INCOMPLETA: "&amp;TRIM(IF($A325="","tipo ","")&amp;IF($F325="","fecha de firma ","")&amp;IF($G325="","decisión ","")&amp;IF($H325="","N° resolución ","")&amp;IF($I325="","N° dictamen","")),IF(LEFT($N325,4)&lt;&gt;"CONC","OK",IF(N($Q325)=0,IF(AND(ISNUMBER($E325),$E325&gt;=DATE(2024,1,1)),"FALTA EN evol_conc","OK"),IF(INDEX(evol_conc!$H:$H,$Q325)&lt;&gt;$F325,"FIRMA DISTINTA EN evol_conc ("&amp;IF(INDEX(evol_conc!$H:$H,$Q325)="","vacía",DAY(INDEX(evol_conc!$H:$H,$Q325))&amp;"/"&amp;MONTH(INDEX(evol_conc!$H:$H,$Q325))&amp;"/"&amp;YEAR(INDEX(evol_conc!$H:$H,$Q325)))&amp;")",IF(INDEX(evol_conc!$G:$G,$Q325)&lt;&gt;$E325,"INGRESO DISTINTO EN evol_conc ("&amp;IF(INDEX(evol_conc!$G:$G,$Q325)="","vacía",DAY(INDEX(evol_conc!$G:$G,$Q325))&amp;"/"&amp;MONTH(INDEX(evol_conc!$G:$G,$Q325))&amp;"/"&amp;YEAR(INDEX(evol_conc!$G:$G,$Q325)))&amp;")","OK"))))))))</f>
        <v/>
      </c>
      <c r="Q325" t="str">
        <f ca="1">IF($N325="","",IFERROR(MATCH($N325,evol_conc!$P:$P,0),0))</f>
        <v/>
      </c>
    </row>
    <row r="326" spans="12:17" ht="18" hidden="1" customHeight="1" x14ac:dyDescent="0.25">
      <c r="L326" s="53" t="str">
        <f t="shared" si="10"/>
        <v/>
      </c>
      <c r="M326" s="19" t="str">
        <f t="shared" si="11"/>
        <v/>
      </c>
      <c r="N326" t="str">
        <f ca="1">IF(TRIM(SUBSTITUTE($B326,CHAR(160)," "))="","",IFERROR(IF(ISNUMBER(SEARCH("INC",$B326)),"INC",IF(ISNUMBER(SEARCH("OPI",$B326)),"OPI",IF(ISNUMBER(SEARCH("DP",$B326)),"DP","CONC")))&amp;" "&amp;TEXT(LOOKUP(9.99E+307,--MID(SUBSTITUTE($B326,CHAR(160)," "),SUMPRODUCT(MIN(FIND({0,1,2,3,4,5,6,7,8,9},SUBSTITUTE($B326,CHAR(160)," ")&amp;"0123456789"))),ROW(INDIRECT("1:6")))),"0"),"SIN NUMERO"))</f>
        <v/>
      </c>
      <c r="O326" t="str">
        <f ca="1">IF($N326="","",IF(LEFT(UPPER($P326),9)="VERIFICAR","VERIFICAR",IF(AND($H326&lt;&gt;"",COUNTIFS($N$2:$N$1000,$N326,$H$2:$H$1000,$H326)&gt;1),"DUPLICADA",IF(TRIM(IF($A326="","tipo ","")&amp;IF($F326="","fecha de firma ","")&amp;IF($G326="","decisión ","")&amp;IF($H326="","N° resolución ","")&amp;IF($I326="","N° dictamen",""))&lt;&gt;"","INCOMPLETA: "&amp;TRIM(IF($A326="","tipo ","")&amp;IF($F326="","fecha de firma ","")&amp;IF($G326="","decisión ","")&amp;IF($H326="","N° resolución ","")&amp;IF($I326="","N° dictamen","")),IF(LEFT($N326,4)&lt;&gt;"CONC","OK",IF(N($Q326)=0,IF(AND(ISNUMBER($E326),$E326&gt;=DATE(2024,1,1)),"FALTA EN evol_conc","OK"),IF(INDEX(evol_conc!$H:$H,$Q326)&lt;&gt;$F326,"FIRMA DISTINTA EN evol_conc ("&amp;IF(INDEX(evol_conc!$H:$H,$Q326)="","vacía",DAY(INDEX(evol_conc!$H:$H,$Q326))&amp;"/"&amp;MONTH(INDEX(evol_conc!$H:$H,$Q326))&amp;"/"&amp;YEAR(INDEX(evol_conc!$H:$H,$Q326)))&amp;")",IF(INDEX(evol_conc!$G:$G,$Q326)&lt;&gt;$E326,"INGRESO DISTINTO EN evol_conc ("&amp;IF(INDEX(evol_conc!$G:$G,$Q326)="","vacía",DAY(INDEX(evol_conc!$G:$G,$Q326))&amp;"/"&amp;MONTH(INDEX(evol_conc!$G:$G,$Q326))&amp;"/"&amp;YEAR(INDEX(evol_conc!$G:$G,$Q326)))&amp;")","OK"))))))))</f>
        <v/>
      </c>
      <c r="Q326" t="str">
        <f ca="1">IF($N326="","",IFERROR(MATCH($N326,evol_conc!$P:$P,0),0))</f>
        <v/>
      </c>
    </row>
    <row r="327" spans="12:17" ht="18" hidden="1" customHeight="1" x14ac:dyDescent="0.25">
      <c r="L327" s="53" t="str">
        <f t="shared" si="10"/>
        <v/>
      </c>
      <c r="M327" s="19" t="str">
        <f t="shared" si="11"/>
        <v/>
      </c>
      <c r="N327" t="str">
        <f ca="1">IF(TRIM(SUBSTITUTE($B327,CHAR(160)," "))="","",IFERROR(IF(ISNUMBER(SEARCH("INC",$B327)),"INC",IF(ISNUMBER(SEARCH("OPI",$B327)),"OPI",IF(ISNUMBER(SEARCH("DP",$B327)),"DP","CONC")))&amp;" "&amp;TEXT(LOOKUP(9.99E+307,--MID(SUBSTITUTE($B327,CHAR(160)," "),SUMPRODUCT(MIN(FIND({0,1,2,3,4,5,6,7,8,9},SUBSTITUTE($B327,CHAR(160)," ")&amp;"0123456789"))),ROW(INDIRECT("1:6")))),"0"),"SIN NUMERO"))</f>
        <v/>
      </c>
      <c r="O327" t="str">
        <f ca="1">IF($N327="","",IF(LEFT(UPPER($P327),9)="VERIFICAR","VERIFICAR",IF(AND($H327&lt;&gt;"",COUNTIFS($N$2:$N$1000,$N327,$H$2:$H$1000,$H327)&gt;1),"DUPLICADA",IF(TRIM(IF($A327="","tipo ","")&amp;IF($F327="","fecha de firma ","")&amp;IF($G327="","decisión ","")&amp;IF($H327="","N° resolución ","")&amp;IF($I327="","N° dictamen",""))&lt;&gt;"","INCOMPLETA: "&amp;TRIM(IF($A327="","tipo ","")&amp;IF($F327="","fecha de firma ","")&amp;IF($G327="","decisión ","")&amp;IF($H327="","N° resolución ","")&amp;IF($I327="","N° dictamen","")),IF(LEFT($N327,4)&lt;&gt;"CONC","OK",IF(N($Q327)=0,IF(AND(ISNUMBER($E327),$E327&gt;=DATE(2024,1,1)),"FALTA EN evol_conc","OK"),IF(INDEX(evol_conc!$H:$H,$Q327)&lt;&gt;$F327,"FIRMA DISTINTA EN evol_conc ("&amp;IF(INDEX(evol_conc!$H:$H,$Q327)="","vacía",DAY(INDEX(evol_conc!$H:$H,$Q327))&amp;"/"&amp;MONTH(INDEX(evol_conc!$H:$H,$Q327))&amp;"/"&amp;YEAR(INDEX(evol_conc!$H:$H,$Q327)))&amp;")",IF(INDEX(evol_conc!$G:$G,$Q327)&lt;&gt;$E327,"INGRESO DISTINTO EN evol_conc ("&amp;IF(INDEX(evol_conc!$G:$G,$Q327)="","vacía",DAY(INDEX(evol_conc!$G:$G,$Q327))&amp;"/"&amp;MONTH(INDEX(evol_conc!$G:$G,$Q327))&amp;"/"&amp;YEAR(INDEX(evol_conc!$G:$G,$Q327)))&amp;")","OK"))))))))</f>
        <v/>
      </c>
      <c r="Q327" t="str">
        <f ca="1">IF($N327="","",IFERROR(MATCH($N327,evol_conc!$P:$P,0),0))</f>
        <v/>
      </c>
    </row>
    <row r="328" spans="12:17" ht="18" hidden="1" customHeight="1" x14ac:dyDescent="0.25">
      <c r="L328" s="53" t="str">
        <f t="shared" si="10"/>
        <v/>
      </c>
      <c r="M328" s="19" t="str">
        <f t="shared" si="11"/>
        <v/>
      </c>
      <c r="N328" t="str">
        <f ca="1">IF(TRIM(SUBSTITUTE($B328,CHAR(160)," "))="","",IFERROR(IF(ISNUMBER(SEARCH("INC",$B328)),"INC",IF(ISNUMBER(SEARCH("OPI",$B328)),"OPI",IF(ISNUMBER(SEARCH("DP",$B328)),"DP","CONC")))&amp;" "&amp;TEXT(LOOKUP(9.99E+307,--MID(SUBSTITUTE($B328,CHAR(160)," "),SUMPRODUCT(MIN(FIND({0,1,2,3,4,5,6,7,8,9},SUBSTITUTE($B328,CHAR(160)," ")&amp;"0123456789"))),ROW(INDIRECT("1:6")))),"0"),"SIN NUMERO"))</f>
        <v/>
      </c>
      <c r="O328" t="str">
        <f ca="1">IF($N328="","",IF(LEFT(UPPER($P328),9)="VERIFICAR","VERIFICAR",IF(AND($H328&lt;&gt;"",COUNTIFS($N$2:$N$1000,$N328,$H$2:$H$1000,$H328)&gt;1),"DUPLICADA",IF(TRIM(IF($A328="","tipo ","")&amp;IF($F328="","fecha de firma ","")&amp;IF($G328="","decisión ","")&amp;IF($H328="","N° resolución ","")&amp;IF($I328="","N° dictamen",""))&lt;&gt;"","INCOMPLETA: "&amp;TRIM(IF($A328="","tipo ","")&amp;IF($F328="","fecha de firma ","")&amp;IF($G328="","decisión ","")&amp;IF($H328="","N° resolución ","")&amp;IF($I328="","N° dictamen","")),IF(LEFT($N328,4)&lt;&gt;"CONC","OK",IF(N($Q328)=0,IF(AND(ISNUMBER($E328),$E328&gt;=DATE(2024,1,1)),"FALTA EN evol_conc","OK"),IF(INDEX(evol_conc!$H:$H,$Q328)&lt;&gt;$F328,"FIRMA DISTINTA EN evol_conc ("&amp;IF(INDEX(evol_conc!$H:$H,$Q328)="","vacía",DAY(INDEX(evol_conc!$H:$H,$Q328))&amp;"/"&amp;MONTH(INDEX(evol_conc!$H:$H,$Q328))&amp;"/"&amp;YEAR(INDEX(evol_conc!$H:$H,$Q328)))&amp;")",IF(INDEX(evol_conc!$G:$G,$Q328)&lt;&gt;$E328,"INGRESO DISTINTO EN evol_conc ("&amp;IF(INDEX(evol_conc!$G:$G,$Q328)="","vacía",DAY(INDEX(evol_conc!$G:$G,$Q328))&amp;"/"&amp;MONTH(INDEX(evol_conc!$G:$G,$Q328))&amp;"/"&amp;YEAR(INDEX(evol_conc!$G:$G,$Q328)))&amp;")","OK"))))))))</f>
        <v/>
      </c>
      <c r="Q328" t="str">
        <f ca="1">IF($N328="","",IFERROR(MATCH($N328,evol_conc!$P:$P,0),0))</f>
        <v/>
      </c>
    </row>
    <row r="329" spans="12:17" ht="18" hidden="1" customHeight="1" x14ac:dyDescent="0.25">
      <c r="L329" s="53" t="str">
        <f t="shared" si="10"/>
        <v/>
      </c>
      <c r="M329" s="19" t="str">
        <f t="shared" si="11"/>
        <v/>
      </c>
      <c r="N329" t="str">
        <f ca="1">IF(TRIM(SUBSTITUTE($B329,CHAR(160)," "))="","",IFERROR(IF(ISNUMBER(SEARCH("INC",$B329)),"INC",IF(ISNUMBER(SEARCH("OPI",$B329)),"OPI",IF(ISNUMBER(SEARCH("DP",$B329)),"DP","CONC")))&amp;" "&amp;TEXT(LOOKUP(9.99E+307,--MID(SUBSTITUTE($B329,CHAR(160)," "),SUMPRODUCT(MIN(FIND({0,1,2,3,4,5,6,7,8,9},SUBSTITUTE($B329,CHAR(160)," ")&amp;"0123456789"))),ROW(INDIRECT("1:6")))),"0"),"SIN NUMERO"))</f>
        <v/>
      </c>
      <c r="O329" t="str">
        <f ca="1">IF($N329="","",IF(LEFT(UPPER($P329),9)="VERIFICAR","VERIFICAR",IF(AND($H329&lt;&gt;"",COUNTIFS($N$2:$N$1000,$N329,$H$2:$H$1000,$H329)&gt;1),"DUPLICADA",IF(TRIM(IF($A329="","tipo ","")&amp;IF($F329="","fecha de firma ","")&amp;IF($G329="","decisión ","")&amp;IF($H329="","N° resolución ","")&amp;IF($I329="","N° dictamen",""))&lt;&gt;"","INCOMPLETA: "&amp;TRIM(IF($A329="","tipo ","")&amp;IF($F329="","fecha de firma ","")&amp;IF($G329="","decisión ","")&amp;IF($H329="","N° resolución ","")&amp;IF($I329="","N° dictamen","")),IF(LEFT($N329,4)&lt;&gt;"CONC","OK",IF(N($Q329)=0,IF(AND(ISNUMBER($E329),$E329&gt;=DATE(2024,1,1)),"FALTA EN evol_conc","OK"),IF(INDEX(evol_conc!$H:$H,$Q329)&lt;&gt;$F329,"FIRMA DISTINTA EN evol_conc ("&amp;IF(INDEX(evol_conc!$H:$H,$Q329)="","vacía",DAY(INDEX(evol_conc!$H:$H,$Q329))&amp;"/"&amp;MONTH(INDEX(evol_conc!$H:$H,$Q329))&amp;"/"&amp;YEAR(INDEX(evol_conc!$H:$H,$Q329)))&amp;")",IF(INDEX(evol_conc!$G:$G,$Q329)&lt;&gt;$E329,"INGRESO DISTINTO EN evol_conc ("&amp;IF(INDEX(evol_conc!$G:$G,$Q329)="","vacía",DAY(INDEX(evol_conc!$G:$G,$Q329))&amp;"/"&amp;MONTH(INDEX(evol_conc!$G:$G,$Q329))&amp;"/"&amp;YEAR(INDEX(evol_conc!$G:$G,$Q329)))&amp;")","OK"))))))))</f>
        <v/>
      </c>
      <c r="Q329" t="str">
        <f ca="1">IF($N329="","",IFERROR(MATCH($N329,evol_conc!$P:$P,0),0))</f>
        <v/>
      </c>
    </row>
    <row r="330" spans="12:17" ht="18" hidden="1" customHeight="1" x14ac:dyDescent="0.25">
      <c r="L330" s="53" t="str">
        <f t="shared" si="10"/>
        <v/>
      </c>
      <c r="M330" s="19" t="str">
        <f t="shared" si="11"/>
        <v/>
      </c>
      <c r="N330" t="str">
        <f ca="1">IF(TRIM(SUBSTITUTE($B330,CHAR(160)," "))="","",IFERROR(IF(ISNUMBER(SEARCH("INC",$B330)),"INC",IF(ISNUMBER(SEARCH("OPI",$B330)),"OPI",IF(ISNUMBER(SEARCH("DP",$B330)),"DP","CONC")))&amp;" "&amp;TEXT(LOOKUP(9.99E+307,--MID(SUBSTITUTE($B330,CHAR(160)," "),SUMPRODUCT(MIN(FIND({0,1,2,3,4,5,6,7,8,9},SUBSTITUTE($B330,CHAR(160)," ")&amp;"0123456789"))),ROW(INDIRECT("1:6")))),"0"),"SIN NUMERO"))</f>
        <v/>
      </c>
      <c r="O330" t="str">
        <f ca="1">IF($N330="","",IF(LEFT(UPPER($P330),9)="VERIFICAR","VERIFICAR",IF(AND($H330&lt;&gt;"",COUNTIFS($N$2:$N$1000,$N330,$H$2:$H$1000,$H330)&gt;1),"DUPLICADA",IF(TRIM(IF($A330="","tipo ","")&amp;IF($F330="","fecha de firma ","")&amp;IF($G330="","decisión ","")&amp;IF($H330="","N° resolución ","")&amp;IF($I330="","N° dictamen",""))&lt;&gt;"","INCOMPLETA: "&amp;TRIM(IF($A330="","tipo ","")&amp;IF($F330="","fecha de firma ","")&amp;IF($G330="","decisión ","")&amp;IF($H330="","N° resolución ","")&amp;IF($I330="","N° dictamen","")),IF(LEFT($N330,4)&lt;&gt;"CONC","OK",IF(N($Q330)=0,IF(AND(ISNUMBER($E330),$E330&gt;=DATE(2024,1,1)),"FALTA EN evol_conc","OK"),IF(INDEX(evol_conc!$H:$H,$Q330)&lt;&gt;$F330,"FIRMA DISTINTA EN evol_conc ("&amp;IF(INDEX(evol_conc!$H:$H,$Q330)="","vacía",DAY(INDEX(evol_conc!$H:$H,$Q330))&amp;"/"&amp;MONTH(INDEX(evol_conc!$H:$H,$Q330))&amp;"/"&amp;YEAR(INDEX(evol_conc!$H:$H,$Q330)))&amp;")",IF(INDEX(evol_conc!$G:$G,$Q330)&lt;&gt;$E330,"INGRESO DISTINTO EN evol_conc ("&amp;IF(INDEX(evol_conc!$G:$G,$Q330)="","vacía",DAY(INDEX(evol_conc!$G:$G,$Q330))&amp;"/"&amp;MONTH(INDEX(evol_conc!$G:$G,$Q330))&amp;"/"&amp;YEAR(INDEX(evol_conc!$G:$G,$Q330)))&amp;")","OK"))))))))</f>
        <v/>
      </c>
      <c r="Q330" t="str">
        <f ca="1">IF($N330="","",IFERROR(MATCH($N330,evol_conc!$P:$P,0),0))</f>
        <v/>
      </c>
    </row>
    <row r="331" spans="12:17" ht="18" hidden="1" customHeight="1" x14ac:dyDescent="0.25">
      <c r="L331" s="53" t="str">
        <f t="shared" si="10"/>
        <v/>
      </c>
      <c r="M331" s="19" t="str">
        <f t="shared" si="11"/>
        <v/>
      </c>
      <c r="N331" t="str">
        <f ca="1">IF(TRIM(SUBSTITUTE($B331,CHAR(160)," "))="","",IFERROR(IF(ISNUMBER(SEARCH("INC",$B331)),"INC",IF(ISNUMBER(SEARCH("OPI",$B331)),"OPI",IF(ISNUMBER(SEARCH("DP",$B331)),"DP","CONC")))&amp;" "&amp;TEXT(LOOKUP(9.99E+307,--MID(SUBSTITUTE($B331,CHAR(160)," "),SUMPRODUCT(MIN(FIND({0,1,2,3,4,5,6,7,8,9},SUBSTITUTE($B331,CHAR(160)," ")&amp;"0123456789"))),ROW(INDIRECT("1:6")))),"0"),"SIN NUMERO"))</f>
        <v/>
      </c>
      <c r="O331" t="str">
        <f ca="1">IF($N331="","",IF(LEFT(UPPER($P331),9)="VERIFICAR","VERIFICAR",IF(AND($H331&lt;&gt;"",COUNTIFS($N$2:$N$1000,$N331,$H$2:$H$1000,$H331)&gt;1),"DUPLICADA",IF(TRIM(IF($A331="","tipo ","")&amp;IF($F331="","fecha de firma ","")&amp;IF($G331="","decisión ","")&amp;IF($H331="","N° resolución ","")&amp;IF($I331="","N° dictamen",""))&lt;&gt;"","INCOMPLETA: "&amp;TRIM(IF($A331="","tipo ","")&amp;IF($F331="","fecha de firma ","")&amp;IF($G331="","decisión ","")&amp;IF($H331="","N° resolución ","")&amp;IF($I331="","N° dictamen","")),IF(LEFT($N331,4)&lt;&gt;"CONC","OK",IF(N($Q331)=0,IF(AND(ISNUMBER($E331),$E331&gt;=DATE(2024,1,1)),"FALTA EN evol_conc","OK"),IF(INDEX(evol_conc!$H:$H,$Q331)&lt;&gt;$F331,"FIRMA DISTINTA EN evol_conc ("&amp;IF(INDEX(evol_conc!$H:$H,$Q331)="","vacía",DAY(INDEX(evol_conc!$H:$H,$Q331))&amp;"/"&amp;MONTH(INDEX(evol_conc!$H:$H,$Q331))&amp;"/"&amp;YEAR(INDEX(evol_conc!$H:$H,$Q331)))&amp;")",IF(INDEX(evol_conc!$G:$G,$Q331)&lt;&gt;$E331,"INGRESO DISTINTO EN evol_conc ("&amp;IF(INDEX(evol_conc!$G:$G,$Q331)="","vacía",DAY(INDEX(evol_conc!$G:$G,$Q331))&amp;"/"&amp;MONTH(INDEX(evol_conc!$G:$G,$Q331))&amp;"/"&amp;YEAR(INDEX(evol_conc!$G:$G,$Q331)))&amp;")","OK"))))))))</f>
        <v/>
      </c>
      <c r="Q331" t="str">
        <f ca="1">IF($N331="","",IFERROR(MATCH($N331,evol_conc!$P:$P,0),0))</f>
        <v/>
      </c>
    </row>
    <row r="332" spans="12:17" ht="18" hidden="1" customHeight="1" x14ac:dyDescent="0.25">
      <c r="L332" s="53" t="str">
        <f t="shared" si="10"/>
        <v/>
      </c>
      <c r="M332" s="19" t="str">
        <f t="shared" si="11"/>
        <v/>
      </c>
      <c r="N332" t="str">
        <f ca="1">IF(TRIM(SUBSTITUTE($B332,CHAR(160)," "))="","",IFERROR(IF(ISNUMBER(SEARCH("INC",$B332)),"INC",IF(ISNUMBER(SEARCH("OPI",$B332)),"OPI",IF(ISNUMBER(SEARCH("DP",$B332)),"DP","CONC")))&amp;" "&amp;TEXT(LOOKUP(9.99E+307,--MID(SUBSTITUTE($B332,CHAR(160)," "),SUMPRODUCT(MIN(FIND({0,1,2,3,4,5,6,7,8,9},SUBSTITUTE($B332,CHAR(160)," ")&amp;"0123456789"))),ROW(INDIRECT("1:6")))),"0"),"SIN NUMERO"))</f>
        <v/>
      </c>
      <c r="O332" t="str">
        <f ca="1">IF($N332="","",IF(LEFT(UPPER($P332),9)="VERIFICAR","VERIFICAR",IF(AND($H332&lt;&gt;"",COUNTIFS($N$2:$N$1000,$N332,$H$2:$H$1000,$H332)&gt;1),"DUPLICADA",IF(TRIM(IF($A332="","tipo ","")&amp;IF($F332="","fecha de firma ","")&amp;IF($G332="","decisión ","")&amp;IF($H332="","N° resolución ","")&amp;IF($I332="","N° dictamen",""))&lt;&gt;"","INCOMPLETA: "&amp;TRIM(IF($A332="","tipo ","")&amp;IF($F332="","fecha de firma ","")&amp;IF($G332="","decisión ","")&amp;IF($H332="","N° resolución ","")&amp;IF($I332="","N° dictamen","")),IF(LEFT($N332,4)&lt;&gt;"CONC","OK",IF(N($Q332)=0,IF(AND(ISNUMBER($E332),$E332&gt;=DATE(2024,1,1)),"FALTA EN evol_conc","OK"),IF(INDEX(evol_conc!$H:$H,$Q332)&lt;&gt;$F332,"FIRMA DISTINTA EN evol_conc ("&amp;IF(INDEX(evol_conc!$H:$H,$Q332)="","vacía",DAY(INDEX(evol_conc!$H:$H,$Q332))&amp;"/"&amp;MONTH(INDEX(evol_conc!$H:$H,$Q332))&amp;"/"&amp;YEAR(INDEX(evol_conc!$H:$H,$Q332)))&amp;")",IF(INDEX(evol_conc!$G:$G,$Q332)&lt;&gt;$E332,"INGRESO DISTINTO EN evol_conc ("&amp;IF(INDEX(evol_conc!$G:$G,$Q332)="","vacía",DAY(INDEX(evol_conc!$G:$G,$Q332))&amp;"/"&amp;MONTH(INDEX(evol_conc!$G:$G,$Q332))&amp;"/"&amp;YEAR(INDEX(evol_conc!$G:$G,$Q332)))&amp;")","OK"))))))))</f>
        <v/>
      </c>
      <c r="Q332" t="str">
        <f ca="1">IF($N332="","",IFERROR(MATCH($N332,evol_conc!$P:$P,0),0))</f>
        <v/>
      </c>
    </row>
    <row r="333" spans="12:17" ht="18" hidden="1" customHeight="1" x14ac:dyDescent="0.25">
      <c r="L333" s="53" t="str">
        <f t="shared" si="10"/>
        <v/>
      </c>
      <c r="M333" s="19" t="str">
        <f t="shared" si="11"/>
        <v/>
      </c>
      <c r="N333" t="str">
        <f ca="1">IF(TRIM(SUBSTITUTE($B333,CHAR(160)," "))="","",IFERROR(IF(ISNUMBER(SEARCH("INC",$B333)),"INC",IF(ISNUMBER(SEARCH("OPI",$B333)),"OPI",IF(ISNUMBER(SEARCH("DP",$B333)),"DP","CONC")))&amp;" "&amp;TEXT(LOOKUP(9.99E+307,--MID(SUBSTITUTE($B333,CHAR(160)," "),SUMPRODUCT(MIN(FIND({0,1,2,3,4,5,6,7,8,9},SUBSTITUTE($B333,CHAR(160)," ")&amp;"0123456789"))),ROW(INDIRECT("1:6")))),"0"),"SIN NUMERO"))</f>
        <v/>
      </c>
      <c r="O333" t="str">
        <f ca="1">IF($N333="","",IF(LEFT(UPPER($P333),9)="VERIFICAR","VERIFICAR",IF(AND($H333&lt;&gt;"",COUNTIFS($N$2:$N$1000,$N333,$H$2:$H$1000,$H333)&gt;1),"DUPLICADA",IF(TRIM(IF($A333="","tipo ","")&amp;IF($F333="","fecha de firma ","")&amp;IF($G333="","decisión ","")&amp;IF($H333="","N° resolución ","")&amp;IF($I333="","N° dictamen",""))&lt;&gt;"","INCOMPLETA: "&amp;TRIM(IF($A333="","tipo ","")&amp;IF($F333="","fecha de firma ","")&amp;IF($G333="","decisión ","")&amp;IF($H333="","N° resolución ","")&amp;IF($I333="","N° dictamen","")),IF(LEFT($N333,4)&lt;&gt;"CONC","OK",IF(N($Q333)=0,IF(AND(ISNUMBER($E333),$E333&gt;=DATE(2024,1,1)),"FALTA EN evol_conc","OK"),IF(INDEX(evol_conc!$H:$H,$Q333)&lt;&gt;$F333,"FIRMA DISTINTA EN evol_conc ("&amp;IF(INDEX(evol_conc!$H:$H,$Q333)="","vacía",DAY(INDEX(evol_conc!$H:$H,$Q333))&amp;"/"&amp;MONTH(INDEX(evol_conc!$H:$H,$Q333))&amp;"/"&amp;YEAR(INDEX(evol_conc!$H:$H,$Q333)))&amp;")",IF(INDEX(evol_conc!$G:$G,$Q333)&lt;&gt;$E333,"INGRESO DISTINTO EN evol_conc ("&amp;IF(INDEX(evol_conc!$G:$G,$Q333)="","vacía",DAY(INDEX(evol_conc!$G:$G,$Q333))&amp;"/"&amp;MONTH(INDEX(evol_conc!$G:$G,$Q333))&amp;"/"&amp;YEAR(INDEX(evol_conc!$G:$G,$Q333)))&amp;")","OK"))))))))</f>
        <v/>
      </c>
      <c r="Q333" t="str">
        <f ca="1">IF($N333="","",IFERROR(MATCH($N333,evol_conc!$P:$P,0),0))</f>
        <v/>
      </c>
    </row>
    <row r="334" spans="12:17" ht="18" hidden="1" customHeight="1" x14ac:dyDescent="0.25">
      <c r="L334" s="53" t="str">
        <f t="shared" si="10"/>
        <v/>
      </c>
      <c r="M334" s="19" t="str">
        <f t="shared" si="11"/>
        <v/>
      </c>
      <c r="N334" t="str">
        <f ca="1">IF(TRIM(SUBSTITUTE($B334,CHAR(160)," "))="","",IFERROR(IF(ISNUMBER(SEARCH("INC",$B334)),"INC",IF(ISNUMBER(SEARCH("OPI",$B334)),"OPI",IF(ISNUMBER(SEARCH("DP",$B334)),"DP","CONC")))&amp;" "&amp;TEXT(LOOKUP(9.99E+307,--MID(SUBSTITUTE($B334,CHAR(160)," "),SUMPRODUCT(MIN(FIND({0,1,2,3,4,5,6,7,8,9},SUBSTITUTE($B334,CHAR(160)," ")&amp;"0123456789"))),ROW(INDIRECT("1:6")))),"0"),"SIN NUMERO"))</f>
        <v/>
      </c>
      <c r="O334" t="str">
        <f ca="1">IF($N334="","",IF(LEFT(UPPER($P334),9)="VERIFICAR","VERIFICAR",IF(AND($H334&lt;&gt;"",COUNTIFS($N$2:$N$1000,$N334,$H$2:$H$1000,$H334)&gt;1),"DUPLICADA",IF(TRIM(IF($A334="","tipo ","")&amp;IF($F334="","fecha de firma ","")&amp;IF($G334="","decisión ","")&amp;IF($H334="","N° resolución ","")&amp;IF($I334="","N° dictamen",""))&lt;&gt;"","INCOMPLETA: "&amp;TRIM(IF($A334="","tipo ","")&amp;IF($F334="","fecha de firma ","")&amp;IF($G334="","decisión ","")&amp;IF($H334="","N° resolución ","")&amp;IF($I334="","N° dictamen","")),IF(LEFT($N334,4)&lt;&gt;"CONC","OK",IF(N($Q334)=0,IF(AND(ISNUMBER($E334),$E334&gt;=DATE(2024,1,1)),"FALTA EN evol_conc","OK"),IF(INDEX(evol_conc!$H:$H,$Q334)&lt;&gt;$F334,"FIRMA DISTINTA EN evol_conc ("&amp;IF(INDEX(evol_conc!$H:$H,$Q334)="","vacía",DAY(INDEX(evol_conc!$H:$H,$Q334))&amp;"/"&amp;MONTH(INDEX(evol_conc!$H:$H,$Q334))&amp;"/"&amp;YEAR(INDEX(evol_conc!$H:$H,$Q334)))&amp;")",IF(INDEX(evol_conc!$G:$G,$Q334)&lt;&gt;$E334,"INGRESO DISTINTO EN evol_conc ("&amp;IF(INDEX(evol_conc!$G:$G,$Q334)="","vacía",DAY(INDEX(evol_conc!$G:$G,$Q334))&amp;"/"&amp;MONTH(INDEX(evol_conc!$G:$G,$Q334))&amp;"/"&amp;YEAR(INDEX(evol_conc!$G:$G,$Q334)))&amp;")","OK"))))))))</f>
        <v/>
      </c>
      <c r="Q334" t="str">
        <f ca="1">IF($N334="","",IFERROR(MATCH($N334,evol_conc!$P:$P,0),0))</f>
        <v/>
      </c>
    </row>
    <row r="335" spans="12:17" ht="18" hidden="1" customHeight="1" x14ac:dyDescent="0.25">
      <c r="L335" s="53" t="str">
        <f t="shared" si="10"/>
        <v/>
      </c>
      <c r="M335" s="19" t="str">
        <f t="shared" si="11"/>
        <v/>
      </c>
      <c r="N335" t="str">
        <f ca="1">IF(TRIM(SUBSTITUTE($B335,CHAR(160)," "))="","",IFERROR(IF(ISNUMBER(SEARCH("INC",$B335)),"INC",IF(ISNUMBER(SEARCH("OPI",$B335)),"OPI",IF(ISNUMBER(SEARCH("DP",$B335)),"DP","CONC")))&amp;" "&amp;TEXT(LOOKUP(9.99E+307,--MID(SUBSTITUTE($B335,CHAR(160)," "),SUMPRODUCT(MIN(FIND({0,1,2,3,4,5,6,7,8,9},SUBSTITUTE($B335,CHAR(160)," ")&amp;"0123456789"))),ROW(INDIRECT("1:6")))),"0"),"SIN NUMERO"))</f>
        <v/>
      </c>
      <c r="O335" t="str">
        <f ca="1">IF($N335="","",IF(LEFT(UPPER($P335),9)="VERIFICAR","VERIFICAR",IF(AND($H335&lt;&gt;"",COUNTIFS($N$2:$N$1000,$N335,$H$2:$H$1000,$H335)&gt;1),"DUPLICADA",IF(TRIM(IF($A335="","tipo ","")&amp;IF($F335="","fecha de firma ","")&amp;IF($G335="","decisión ","")&amp;IF($H335="","N° resolución ","")&amp;IF($I335="","N° dictamen",""))&lt;&gt;"","INCOMPLETA: "&amp;TRIM(IF($A335="","tipo ","")&amp;IF($F335="","fecha de firma ","")&amp;IF($G335="","decisión ","")&amp;IF($H335="","N° resolución ","")&amp;IF($I335="","N° dictamen","")),IF(LEFT($N335,4)&lt;&gt;"CONC","OK",IF(N($Q335)=0,IF(AND(ISNUMBER($E335),$E335&gt;=DATE(2024,1,1)),"FALTA EN evol_conc","OK"),IF(INDEX(evol_conc!$H:$H,$Q335)&lt;&gt;$F335,"FIRMA DISTINTA EN evol_conc ("&amp;IF(INDEX(evol_conc!$H:$H,$Q335)="","vacía",DAY(INDEX(evol_conc!$H:$H,$Q335))&amp;"/"&amp;MONTH(INDEX(evol_conc!$H:$H,$Q335))&amp;"/"&amp;YEAR(INDEX(evol_conc!$H:$H,$Q335)))&amp;")",IF(INDEX(evol_conc!$G:$G,$Q335)&lt;&gt;$E335,"INGRESO DISTINTO EN evol_conc ("&amp;IF(INDEX(evol_conc!$G:$G,$Q335)="","vacía",DAY(INDEX(evol_conc!$G:$G,$Q335))&amp;"/"&amp;MONTH(INDEX(evol_conc!$G:$G,$Q335))&amp;"/"&amp;YEAR(INDEX(evol_conc!$G:$G,$Q335)))&amp;")","OK"))))))))</f>
        <v/>
      </c>
      <c r="Q335" t="str">
        <f ca="1">IF($N335="","",IFERROR(MATCH($N335,evol_conc!$P:$P,0),0))</f>
        <v/>
      </c>
    </row>
    <row r="336" spans="12:17" ht="18" hidden="1" customHeight="1" x14ac:dyDescent="0.25">
      <c r="L336" s="53" t="str">
        <f t="shared" si="10"/>
        <v/>
      </c>
      <c r="M336" s="19" t="str">
        <f t="shared" si="11"/>
        <v/>
      </c>
      <c r="N336" t="str">
        <f ca="1">IF(TRIM(SUBSTITUTE($B336,CHAR(160)," "))="","",IFERROR(IF(ISNUMBER(SEARCH("INC",$B336)),"INC",IF(ISNUMBER(SEARCH("OPI",$B336)),"OPI",IF(ISNUMBER(SEARCH("DP",$B336)),"DP","CONC")))&amp;" "&amp;TEXT(LOOKUP(9.99E+307,--MID(SUBSTITUTE($B336,CHAR(160)," "),SUMPRODUCT(MIN(FIND({0,1,2,3,4,5,6,7,8,9},SUBSTITUTE($B336,CHAR(160)," ")&amp;"0123456789"))),ROW(INDIRECT("1:6")))),"0"),"SIN NUMERO"))</f>
        <v/>
      </c>
      <c r="O336" t="str">
        <f ca="1">IF($N336="","",IF(LEFT(UPPER($P336),9)="VERIFICAR","VERIFICAR",IF(AND($H336&lt;&gt;"",COUNTIFS($N$2:$N$1000,$N336,$H$2:$H$1000,$H336)&gt;1),"DUPLICADA",IF(TRIM(IF($A336="","tipo ","")&amp;IF($F336="","fecha de firma ","")&amp;IF($G336="","decisión ","")&amp;IF($H336="","N° resolución ","")&amp;IF($I336="","N° dictamen",""))&lt;&gt;"","INCOMPLETA: "&amp;TRIM(IF($A336="","tipo ","")&amp;IF($F336="","fecha de firma ","")&amp;IF($G336="","decisión ","")&amp;IF($H336="","N° resolución ","")&amp;IF($I336="","N° dictamen","")),IF(LEFT($N336,4)&lt;&gt;"CONC","OK",IF(N($Q336)=0,IF(AND(ISNUMBER($E336),$E336&gt;=DATE(2024,1,1)),"FALTA EN evol_conc","OK"),IF(INDEX(evol_conc!$H:$H,$Q336)&lt;&gt;$F336,"FIRMA DISTINTA EN evol_conc ("&amp;IF(INDEX(evol_conc!$H:$H,$Q336)="","vacía",DAY(INDEX(evol_conc!$H:$H,$Q336))&amp;"/"&amp;MONTH(INDEX(evol_conc!$H:$H,$Q336))&amp;"/"&amp;YEAR(INDEX(evol_conc!$H:$H,$Q336)))&amp;")",IF(INDEX(evol_conc!$G:$G,$Q336)&lt;&gt;$E336,"INGRESO DISTINTO EN evol_conc ("&amp;IF(INDEX(evol_conc!$G:$G,$Q336)="","vacía",DAY(INDEX(evol_conc!$G:$G,$Q336))&amp;"/"&amp;MONTH(INDEX(evol_conc!$G:$G,$Q336))&amp;"/"&amp;YEAR(INDEX(evol_conc!$G:$G,$Q336)))&amp;")","OK"))))))))</f>
        <v/>
      </c>
      <c r="Q336" t="str">
        <f ca="1">IF($N336="","",IFERROR(MATCH($N336,evol_conc!$P:$P,0),0))</f>
        <v/>
      </c>
    </row>
    <row r="337" spans="12:17" ht="18" hidden="1" customHeight="1" x14ac:dyDescent="0.25">
      <c r="L337" s="53" t="str">
        <f t="shared" si="10"/>
        <v/>
      </c>
      <c r="M337" s="19" t="str">
        <f t="shared" si="11"/>
        <v/>
      </c>
      <c r="N337" t="str">
        <f ca="1">IF(TRIM(SUBSTITUTE($B337,CHAR(160)," "))="","",IFERROR(IF(ISNUMBER(SEARCH("INC",$B337)),"INC",IF(ISNUMBER(SEARCH("OPI",$B337)),"OPI",IF(ISNUMBER(SEARCH("DP",$B337)),"DP","CONC")))&amp;" "&amp;TEXT(LOOKUP(9.99E+307,--MID(SUBSTITUTE($B337,CHAR(160)," "),SUMPRODUCT(MIN(FIND({0,1,2,3,4,5,6,7,8,9},SUBSTITUTE($B337,CHAR(160)," ")&amp;"0123456789"))),ROW(INDIRECT("1:6")))),"0"),"SIN NUMERO"))</f>
        <v/>
      </c>
      <c r="O337" t="str">
        <f ca="1">IF($N337="","",IF(LEFT(UPPER($P337),9)="VERIFICAR","VERIFICAR",IF(AND($H337&lt;&gt;"",COUNTIFS($N$2:$N$1000,$N337,$H$2:$H$1000,$H337)&gt;1),"DUPLICADA",IF(TRIM(IF($A337="","tipo ","")&amp;IF($F337="","fecha de firma ","")&amp;IF($G337="","decisión ","")&amp;IF($H337="","N° resolución ","")&amp;IF($I337="","N° dictamen",""))&lt;&gt;"","INCOMPLETA: "&amp;TRIM(IF($A337="","tipo ","")&amp;IF($F337="","fecha de firma ","")&amp;IF($G337="","decisión ","")&amp;IF($H337="","N° resolución ","")&amp;IF($I337="","N° dictamen","")),IF(LEFT($N337,4)&lt;&gt;"CONC","OK",IF(N($Q337)=0,IF(AND(ISNUMBER($E337),$E337&gt;=DATE(2024,1,1)),"FALTA EN evol_conc","OK"),IF(INDEX(evol_conc!$H:$H,$Q337)&lt;&gt;$F337,"FIRMA DISTINTA EN evol_conc ("&amp;IF(INDEX(evol_conc!$H:$H,$Q337)="","vacía",DAY(INDEX(evol_conc!$H:$H,$Q337))&amp;"/"&amp;MONTH(INDEX(evol_conc!$H:$H,$Q337))&amp;"/"&amp;YEAR(INDEX(evol_conc!$H:$H,$Q337)))&amp;")",IF(INDEX(evol_conc!$G:$G,$Q337)&lt;&gt;$E337,"INGRESO DISTINTO EN evol_conc ("&amp;IF(INDEX(evol_conc!$G:$G,$Q337)="","vacía",DAY(INDEX(evol_conc!$G:$G,$Q337))&amp;"/"&amp;MONTH(INDEX(evol_conc!$G:$G,$Q337))&amp;"/"&amp;YEAR(INDEX(evol_conc!$G:$G,$Q337)))&amp;")","OK"))))))))</f>
        <v/>
      </c>
      <c r="Q337" t="str">
        <f ca="1">IF($N337="","",IFERROR(MATCH($N337,evol_conc!$P:$P,0),0))</f>
        <v/>
      </c>
    </row>
    <row r="338" spans="12:17" ht="18" hidden="1" customHeight="1" x14ac:dyDescent="0.25">
      <c r="L338" s="53" t="str">
        <f t="shared" si="10"/>
        <v/>
      </c>
      <c r="M338" s="19" t="str">
        <f t="shared" si="11"/>
        <v/>
      </c>
      <c r="N338" t="str">
        <f ca="1">IF(TRIM(SUBSTITUTE($B338,CHAR(160)," "))="","",IFERROR(IF(ISNUMBER(SEARCH("INC",$B338)),"INC",IF(ISNUMBER(SEARCH("OPI",$B338)),"OPI",IF(ISNUMBER(SEARCH("DP",$B338)),"DP","CONC")))&amp;" "&amp;TEXT(LOOKUP(9.99E+307,--MID(SUBSTITUTE($B338,CHAR(160)," "),SUMPRODUCT(MIN(FIND({0,1,2,3,4,5,6,7,8,9},SUBSTITUTE($B338,CHAR(160)," ")&amp;"0123456789"))),ROW(INDIRECT("1:6")))),"0"),"SIN NUMERO"))</f>
        <v/>
      </c>
      <c r="O338" t="str">
        <f ca="1">IF($N338="","",IF(LEFT(UPPER($P338),9)="VERIFICAR","VERIFICAR",IF(AND($H338&lt;&gt;"",COUNTIFS($N$2:$N$1000,$N338,$H$2:$H$1000,$H338)&gt;1),"DUPLICADA",IF(TRIM(IF($A338="","tipo ","")&amp;IF($F338="","fecha de firma ","")&amp;IF($G338="","decisión ","")&amp;IF($H338="","N° resolución ","")&amp;IF($I338="","N° dictamen",""))&lt;&gt;"","INCOMPLETA: "&amp;TRIM(IF($A338="","tipo ","")&amp;IF($F338="","fecha de firma ","")&amp;IF($G338="","decisión ","")&amp;IF($H338="","N° resolución ","")&amp;IF($I338="","N° dictamen","")),IF(LEFT($N338,4)&lt;&gt;"CONC","OK",IF(N($Q338)=0,IF(AND(ISNUMBER($E338),$E338&gt;=DATE(2024,1,1)),"FALTA EN evol_conc","OK"),IF(INDEX(evol_conc!$H:$H,$Q338)&lt;&gt;$F338,"FIRMA DISTINTA EN evol_conc ("&amp;IF(INDEX(evol_conc!$H:$H,$Q338)="","vacía",DAY(INDEX(evol_conc!$H:$H,$Q338))&amp;"/"&amp;MONTH(INDEX(evol_conc!$H:$H,$Q338))&amp;"/"&amp;YEAR(INDEX(evol_conc!$H:$H,$Q338)))&amp;")",IF(INDEX(evol_conc!$G:$G,$Q338)&lt;&gt;$E338,"INGRESO DISTINTO EN evol_conc ("&amp;IF(INDEX(evol_conc!$G:$G,$Q338)="","vacía",DAY(INDEX(evol_conc!$G:$G,$Q338))&amp;"/"&amp;MONTH(INDEX(evol_conc!$G:$G,$Q338))&amp;"/"&amp;YEAR(INDEX(evol_conc!$G:$G,$Q338)))&amp;")","OK"))))))))</f>
        <v/>
      </c>
      <c r="Q338" t="str">
        <f ca="1">IF($N338="","",IFERROR(MATCH($N338,evol_conc!$P:$P,0),0))</f>
        <v/>
      </c>
    </row>
    <row r="339" spans="12:17" ht="18" hidden="1" customHeight="1" x14ac:dyDescent="0.25">
      <c r="L339" s="53" t="str">
        <f t="shared" si="10"/>
        <v/>
      </c>
      <c r="M339" s="19" t="str">
        <f t="shared" si="11"/>
        <v/>
      </c>
      <c r="N339" t="str">
        <f ca="1">IF(TRIM(SUBSTITUTE($B339,CHAR(160)," "))="","",IFERROR(IF(ISNUMBER(SEARCH("INC",$B339)),"INC",IF(ISNUMBER(SEARCH("OPI",$B339)),"OPI",IF(ISNUMBER(SEARCH("DP",$B339)),"DP","CONC")))&amp;" "&amp;TEXT(LOOKUP(9.99E+307,--MID(SUBSTITUTE($B339,CHAR(160)," "),SUMPRODUCT(MIN(FIND({0,1,2,3,4,5,6,7,8,9},SUBSTITUTE($B339,CHAR(160)," ")&amp;"0123456789"))),ROW(INDIRECT("1:6")))),"0"),"SIN NUMERO"))</f>
        <v/>
      </c>
      <c r="O339" t="str">
        <f ca="1">IF($N339="","",IF(LEFT(UPPER($P339),9)="VERIFICAR","VERIFICAR",IF(AND($H339&lt;&gt;"",COUNTIFS($N$2:$N$1000,$N339,$H$2:$H$1000,$H339)&gt;1),"DUPLICADA",IF(TRIM(IF($A339="","tipo ","")&amp;IF($F339="","fecha de firma ","")&amp;IF($G339="","decisión ","")&amp;IF($H339="","N° resolución ","")&amp;IF($I339="","N° dictamen",""))&lt;&gt;"","INCOMPLETA: "&amp;TRIM(IF($A339="","tipo ","")&amp;IF($F339="","fecha de firma ","")&amp;IF($G339="","decisión ","")&amp;IF($H339="","N° resolución ","")&amp;IF($I339="","N° dictamen","")),IF(LEFT($N339,4)&lt;&gt;"CONC","OK",IF(N($Q339)=0,IF(AND(ISNUMBER($E339),$E339&gt;=DATE(2024,1,1)),"FALTA EN evol_conc","OK"),IF(INDEX(evol_conc!$H:$H,$Q339)&lt;&gt;$F339,"FIRMA DISTINTA EN evol_conc ("&amp;IF(INDEX(evol_conc!$H:$H,$Q339)="","vacía",DAY(INDEX(evol_conc!$H:$H,$Q339))&amp;"/"&amp;MONTH(INDEX(evol_conc!$H:$H,$Q339))&amp;"/"&amp;YEAR(INDEX(evol_conc!$H:$H,$Q339)))&amp;")",IF(INDEX(evol_conc!$G:$G,$Q339)&lt;&gt;$E339,"INGRESO DISTINTO EN evol_conc ("&amp;IF(INDEX(evol_conc!$G:$G,$Q339)="","vacía",DAY(INDEX(evol_conc!$G:$G,$Q339))&amp;"/"&amp;MONTH(INDEX(evol_conc!$G:$G,$Q339))&amp;"/"&amp;YEAR(INDEX(evol_conc!$G:$G,$Q339)))&amp;")","OK"))))))))</f>
        <v/>
      </c>
      <c r="Q339" t="str">
        <f ca="1">IF($N339="","",IFERROR(MATCH($N339,evol_conc!$P:$P,0),0))</f>
        <v/>
      </c>
    </row>
    <row r="340" spans="12:17" ht="18" hidden="1" customHeight="1" x14ac:dyDescent="0.25">
      <c r="L340" s="53" t="str">
        <f t="shared" si="10"/>
        <v/>
      </c>
      <c r="M340" s="19" t="str">
        <f t="shared" si="11"/>
        <v/>
      </c>
      <c r="N340" t="str">
        <f ca="1">IF(TRIM(SUBSTITUTE($B340,CHAR(160)," "))="","",IFERROR(IF(ISNUMBER(SEARCH("INC",$B340)),"INC",IF(ISNUMBER(SEARCH("OPI",$B340)),"OPI",IF(ISNUMBER(SEARCH("DP",$B340)),"DP","CONC")))&amp;" "&amp;TEXT(LOOKUP(9.99E+307,--MID(SUBSTITUTE($B340,CHAR(160)," "),SUMPRODUCT(MIN(FIND({0,1,2,3,4,5,6,7,8,9},SUBSTITUTE($B340,CHAR(160)," ")&amp;"0123456789"))),ROW(INDIRECT("1:6")))),"0"),"SIN NUMERO"))</f>
        <v/>
      </c>
      <c r="O340" t="str">
        <f ca="1">IF($N340="","",IF(LEFT(UPPER($P340),9)="VERIFICAR","VERIFICAR",IF(AND($H340&lt;&gt;"",COUNTIFS($N$2:$N$1000,$N340,$H$2:$H$1000,$H340)&gt;1),"DUPLICADA",IF(TRIM(IF($A340="","tipo ","")&amp;IF($F340="","fecha de firma ","")&amp;IF($G340="","decisión ","")&amp;IF($H340="","N° resolución ","")&amp;IF($I340="","N° dictamen",""))&lt;&gt;"","INCOMPLETA: "&amp;TRIM(IF($A340="","tipo ","")&amp;IF($F340="","fecha de firma ","")&amp;IF($G340="","decisión ","")&amp;IF($H340="","N° resolución ","")&amp;IF($I340="","N° dictamen","")),IF(LEFT($N340,4)&lt;&gt;"CONC","OK",IF(N($Q340)=0,IF(AND(ISNUMBER($E340),$E340&gt;=DATE(2024,1,1)),"FALTA EN evol_conc","OK"),IF(INDEX(evol_conc!$H:$H,$Q340)&lt;&gt;$F340,"FIRMA DISTINTA EN evol_conc ("&amp;IF(INDEX(evol_conc!$H:$H,$Q340)="","vacía",DAY(INDEX(evol_conc!$H:$H,$Q340))&amp;"/"&amp;MONTH(INDEX(evol_conc!$H:$H,$Q340))&amp;"/"&amp;YEAR(INDEX(evol_conc!$H:$H,$Q340)))&amp;")",IF(INDEX(evol_conc!$G:$G,$Q340)&lt;&gt;$E340,"INGRESO DISTINTO EN evol_conc ("&amp;IF(INDEX(evol_conc!$G:$G,$Q340)="","vacía",DAY(INDEX(evol_conc!$G:$G,$Q340))&amp;"/"&amp;MONTH(INDEX(evol_conc!$G:$G,$Q340))&amp;"/"&amp;YEAR(INDEX(evol_conc!$G:$G,$Q340)))&amp;")","OK"))))))))</f>
        <v/>
      </c>
      <c r="Q340" t="str">
        <f ca="1">IF($N340="","",IFERROR(MATCH($N340,evol_conc!$P:$P,0),0))</f>
        <v/>
      </c>
    </row>
    <row r="341" spans="12:17" ht="18" hidden="1" customHeight="1" x14ac:dyDescent="0.25">
      <c r="L341" s="53" t="str">
        <f t="shared" si="10"/>
        <v/>
      </c>
      <c r="M341" s="19" t="str">
        <f t="shared" si="11"/>
        <v/>
      </c>
      <c r="N341" t="str">
        <f ca="1">IF(TRIM(SUBSTITUTE($B341,CHAR(160)," "))="","",IFERROR(IF(ISNUMBER(SEARCH("INC",$B341)),"INC",IF(ISNUMBER(SEARCH("OPI",$B341)),"OPI",IF(ISNUMBER(SEARCH("DP",$B341)),"DP","CONC")))&amp;" "&amp;TEXT(LOOKUP(9.99E+307,--MID(SUBSTITUTE($B341,CHAR(160)," "),SUMPRODUCT(MIN(FIND({0,1,2,3,4,5,6,7,8,9},SUBSTITUTE($B341,CHAR(160)," ")&amp;"0123456789"))),ROW(INDIRECT("1:6")))),"0"),"SIN NUMERO"))</f>
        <v/>
      </c>
      <c r="O341" t="str">
        <f ca="1">IF($N341="","",IF(LEFT(UPPER($P341),9)="VERIFICAR","VERIFICAR",IF(AND($H341&lt;&gt;"",COUNTIFS($N$2:$N$1000,$N341,$H$2:$H$1000,$H341)&gt;1),"DUPLICADA",IF(TRIM(IF($A341="","tipo ","")&amp;IF($F341="","fecha de firma ","")&amp;IF($G341="","decisión ","")&amp;IF($H341="","N° resolución ","")&amp;IF($I341="","N° dictamen",""))&lt;&gt;"","INCOMPLETA: "&amp;TRIM(IF($A341="","tipo ","")&amp;IF($F341="","fecha de firma ","")&amp;IF($G341="","decisión ","")&amp;IF($H341="","N° resolución ","")&amp;IF($I341="","N° dictamen","")),IF(LEFT($N341,4)&lt;&gt;"CONC","OK",IF(N($Q341)=0,IF(AND(ISNUMBER($E341),$E341&gt;=DATE(2024,1,1)),"FALTA EN evol_conc","OK"),IF(INDEX(evol_conc!$H:$H,$Q341)&lt;&gt;$F341,"FIRMA DISTINTA EN evol_conc ("&amp;IF(INDEX(evol_conc!$H:$H,$Q341)="","vacía",DAY(INDEX(evol_conc!$H:$H,$Q341))&amp;"/"&amp;MONTH(INDEX(evol_conc!$H:$H,$Q341))&amp;"/"&amp;YEAR(INDEX(evol_conc!$H:$H,$Q341)))&amp;")",IF(INDEX(evol_conc!$G:$G,$Q341)&lt;&gt;$E341,"INGRESO DISTINTO EN evol_conc ("&amp;IF(INDEX(evol_conc!$G:$G,$Q341)="","vacía",DAY(INDEX(evol_conc!$G:$G,$Q341))&amp;"/"&amp;MONTH(INDEX(evol_conc!$G:$G,$Q341))&amp;"/"&amp;YEAR(INDEX(evol_conc!$G:$G,$Q341)))&amp;")","OK"))))))))</f>
        <v/>
      </c>
      <c r="Q341" t="str">
        <f ca="1">IF($N341="","",IFERROR(MATCH($N341,evol_conc!$P:$P,0),0))</f>
        <v/>
      </c>
    </row>
    <row r="342" spans="12:17" ht="18" hidden="1" customHeight="1" x14ac:dyDescent="0.25">
      <c r="L342" s="53" t="str">
        <f t="shared" si="10"/>
        <v/>
      </c>
      <c r="M342" s="19" t="str">
        <f t="shared" si="11"/>
        <v/>
      </c>
      <c r="N342" t="str">
        <f ca="1">IF(TRIM(SUBSTITUTE($B342,CHAR(160)," "))="","",IFERROR(IF(ISNUMBER(SEARCH("INC",$B342)),"INC",IF(ISNUMBER(SEARCH("OPI",$B342)),"OPI",IF(ISNUMBER(SEARCH("DP",$B342)),"DP","CONC")))&amp;" "&amp;TEXT(LOOKUP(9.99E+307,--MID(SUBSTITUTE($B342,CHAR(160)," "),SUMPRODUCT(MIN(FIND({0,1,2,3,4,5,6,7,8,9},SUBSTITUTE($B342,CHAR(160)," ")&amp;"0123456789"))),ROW(INDIRECT("1:6")))),"0"),"SIN NUMERO"))</f>
        <v/>
      </c>
      <c r="O342" t="str">
        <f ca="1">IF($N342="","",IF(LEFT(UPPER($P342),9)="VERIFICAR","VERIFICAR",IF(AND($H342&lt;&gt;"",COUNTIFS($N$2:$N$1000,$N342,$H$2:$H$1000,$H342)&gt;1),"DUPLICADA",IF(TRIM(IF($A342="","tipo ","")&amp;IF($F342="","fecha de firma ","")&amp;IF($G342="","decisión ","")&amp;IF($H342="","N° resolución ","")&amp;IF($I342="","N° dictamen",""))&lt;&gt;"","INCOMPLETA: "&amp;TRIM(IF($A342="","tipo ","")&amp;IF($F342="","fecha de firma ","")&amp;IF($G342="","decisión ","")&amp;IF($H342="","N° resolución ","")&amp;IF($I342="","N° dictamen","")),IF(LEFT($N342,4)&lt;&gt;"CONC","OK",IF(N($Q342)=0,IF(AND(ISNUMBER($E342),$E342&gt;=DATE(2024,1,1)),"FALTA EN evol_conc","OK"),IF(INDEX(evol_conc!$H:$H,$Q342)&lt;&gt;$F342,"FIRMA DISTINTA EN evol_conc ("&amp;IF(INDEX(evol_conc!$H:$H,$Q342)="","vacía",DAY(INDEX(evol_conc!$H:$H,$Q342))&amp;"/"&amp;MONTH(INDEX(evol_conc!$H:$H,$Q342))&amp;"/"&amp;YEAR(INDEX(evol_conc!$H:$H,$Q342)))&amp;")",IF(INDEX(evol_conc!$G:$G,$Q342)&lt;&gt;$E342,"INGRESO DISTINTO EN evol_conc ("&amp;IF(INDEX(evol_conc!$G:$G,$Q342)="","vacía",DAY(INDEX(evol_conc!$G:$G,$Q342))&amp;"/"&amp;MONTH(INDEX(evol_conc!$G:$G,$Q342))&amp;"/"&amp;YEAR(INDEX(evol_conc!$G:$G,$Q342)))&amp;")","OK"))))))))</f>
        <v/>
      </c>
      <c r="Q342" t="str">
        <f ca="1">IF($N342="","",IFERROR(MATCH($N342,evol_conc!$P:$P,0),0))</f>
        <v/>
      </c>
    </row>
    <row r="343" spans="12:17" ht="18" hidden="1" customHeight="1" x14ac:dyDescent="0.25">
      <c r="L343" s="53" t="str">
        <f t="shared" si="10"/>
        <v/>
      </c>
      <c r="M343" s="19" t="str">
        <f t="shared" si="11"/>
        <v/>
      </c>
      <c r="N343" t="str">
        <f ca="1">IF(TRIM(SUBSTITUTE($B343,CHAR(160)," "))="","",IFERROR(IF(ISNUMBER(SEARCH("INC",$B343)),"INC",IF(ISNUMBER(SEARCH("OPI",$B343)),"OPI",IF(ISNUMBER(SEARCH("DP",$B343)),"DP","CONC")))&amp;" "&amp;TEXT(LOOKUP(9.99E+307,--MID(SUBSTITUTE($B343,CHAR(160)," "),SUMPRODUCT(MIN(FIND({0,1,2,3,4,5,6,7,8,9},SUBSTITUTE($B343,CHAR(160)," ")&amp;"0123456789"))),ROW(INDIRECT("1:6")))),"0"),"SIN NUMERO"))</f>
        <v/>
      </c>
      <c r="O343" t="str">
        <f ca="1">IF($N343="","",IF(LEFT(UPPER($P343),9)="VERIFICAR","VERIFICAR",IF(AND($H343&lt;&gt;"",COUNTIFS($N$2:$N$1000,$N343,$H$2:$H$1000,$H343)&gt;1),"DUPLICADA",IF(TRIM(IF($A343="","tipo ","")&amp;IF($F343="","fecha de firma ","")&amp;IF($G343="","decisión ","")&amp;IF($H343="","N° resolución ","")&amp;IF($I343="","N° dictamen",""))&lt;&gt;"","INCOMPLETA: "&amp;TRIM(IF($A343="","tipo ","")&amp;IF($F343="","fecha de firma ","")&amp;IF($G343="","decisión ","")&amp;IF($H343="","N° resolución ","")&amp;IF($I343="","N° dictamen","")),IF(LEFT($N343,4)&lt;&gt;"CONC","OK",IF(N($Q343)=0,IF(AND(ISNUMBER($E343),$E343&gt;=DATE(2024,1,1)),"FALTA EN evol_conc","OK"),IF(INDEX(evol_conc!$H:$H,$Q343)&lt;&gt;$F343,"FIRMA DISTINTA EN evol_conc ("&amp;IF(INDEX(evol_conc!$H:$H,$Q343)="","vacía",DAY(INDEX(evol_conc!$H:$H,$Q343))&amp;"/"&amp;MONTH(INDEX(evol_conc!$H:$H,$Q343))&amp;"/"&amp;YEAR(INDEX(evol_conc!$H:$H,$Q343)))&amp;")",IF(INDEX(evol_conc!$G:$G,$Q343)&lt;&gt;$E343,"INGRESO DISTINTO EN evol_conc ("&amp;IF(INDEX(evol_conc!$G:$G,$Q343)="","vacía",DAY(INDEX(evol_conc!$G:$G,$Q343))&amp;"/"&amp;MONTH(INDEX(evol_conc!$G:$G,$Q343))&amp;"/"&amp;YEAR(INDEX(evol_conc!$G:$G,$Q343)))&amp;")","OK"))))))))</f>
        <v/>
      </c>
      <c r="Q343" t="str">
        <f ca="1">IF($N343="","",IFERROR(MATCH($N343,evol_conc!$P:$P,0),0))</f>
        <v/>
      </c>
    </row>
    <row r="344" spans="12:17" ht="18" hidden="1" customHeight="1" x14ac:dyDescent="0.25">
      <c r="L344" s="53" t="str">
        <f t="shared" si="10"/>
        <v/>
      </c>
      <c r="M344" s="19" t="str">
        <f t="shared" si="11"/>
        <v/>
      </c>
      <c r="N344" t="str">
        <f ca="1">IF(TRIM(SUBSTITUTE($B344,CHAR(160)," "))="","",IFERROR(IF(ISNUMBER(SEARCH("INC",$B344)),"INC",IF(ISNUMBER(SEARCH("OPI",$B344)),"OPI",IF(ISNUMBER(SEARCH("DP",$B344)),"DP","CONC")))&amp;" "&amp;TEXT(LOOKUP(9.99E+307,--MID(SUBSTITUTE($B344,CHAR(160)," "),SUMPRODUCT(MIN(FIND({0,1,2,3,4,5,6,7,8,9},SUBSTITUTE($B344,CHAR(160)," ")&amp;"0123456789"))),ROW(INDIRECT("1:6")))),"0"),"SIN NUMERO"))</f>
        <v/>
      </c>
      <c r="O344" t="str">
        <f ca="1">IF($N344="","",IF(LEFT(UPPER($P344),9)="VERIFICAR","VERIFICAR",IF(AND($H344&lt;&gt;"",COUNTIFS($N$2:$N$1000,$N344,$H$2:$H$1000,$H344)&gt;1),"DUPLICADA",IF(TRIM(IF($A344="","tipo ","")&amp;IF($F344="","fecha de firma ","")&amp;IF($G344="","decisión ","")&amp;IF($H344="","N° resolución ","")&amp;IF($I344="","N° dictamen",""))&lt;&gt;"","INCOMPLETA: "&amp;TRIM(IF($A344="","tipo ","")&amp;IF($F344="","fecha de firma ","")&amp;IF($G344="","decisión ","")&amp;IF($H344="","N° resolución ","")&amp;IF($I344="","N° dictamen","")),IF(LEFT($N344,4)&lt;&gt;"CONC","OK",IF(N($Q344)=0,IF(AND(ISNUMBER($E344),$E344&gt;=DATE(2024,1,1)),"FALTA EN evol_conc","OK"),IF(INDEX(evol_conc!$H:$H,$Q344)&lt;&gt;$F344,"FIRMA DISTINTA EN evol_conc ("&amp;IF(INDEX(evol_conc!$H:$H,$Q344)="","vacía",DAY(INDEX(evol_conc!$H:$H,$Q344))&amp;"/"&amp;MONTH(INDEX(evol_conc!$H:$H,$Q344))&amp;"/"&amp;YEAR(INDEX(evol_conc!$H:$H,$Q344)))&amp;")",IF(INDEX(evol_conc!$G:$G,$Q344)&lt;&gt;$E344,"INGRESO DISTINTO EN evol_conc ("&amp;IF(INDEX(evol_conc!$G:$G,$Q344)="","vacía",DAY(INDEX(evol_conc!$G:$G,$Q344))&amp;"/"&amp;MONTH(INDEX(evol_conc!$G:$G,$Q344))&amp;"/"&amp;YEAR(INDEX(evol_conc!$G:$G,$Q344)))&amp;")","OK"))))))))</f>
        <v/>
      </c>
      <c r="Q344" t="str">
        <f ca="1">IF($N344="","",IFERROR(MATCH($N344,evol_conc!$P:$P,0),0))</f>
        <v/>
      </c>
    </row>
    <row r="345" spans="12:17" ht="18" hidden="1" customHeight="1" x14ac:dyDescent="0.25">
      <c r="L345" s="53" t="str">
        <f t="shared" si="10"/>
        <v/>
      </c>
      <c r="M345" s="19" t="str">
        <f t="shared" si="11"/>
        <v/>
      </c>
      <c r="N345" t="str">
        <f ca="1">IF(TRIM(SUBSTITUTE($B345,CHAR(160)," "))="","",IFERROR(IF(ISNUMBER(SEARCH("INC",$B345)),"INC",IF(ISNUMBER(SEARCH("OPI",$B345)),"OPI",IF(ISNUMBER(SEARCH("DP",$B345)),"DP","CONC")))&amp;" "&amp;TEXT(LOOKUP(9.99E+307,--MID(SUBSTITUTE($B345,CHAR(160)," "),SUMPRODUCT(MIN(FIND({0,1,2,3,4,5,6,7,8,9},SUBSTITUTE($B345,CHAR(160)," ")&amp;"0123456789"))),ROW(INDIRECT("1:6")))),"0"),"SIN NUMERO"))</f>
        <v/>
      </c>
      <c r="O345" t="str">
        <f ca="1">IF($N345="","",IF(LEFT(UPPER($P345),9)="VERIFICAR","VERIFICAR",IF(AND($H345&lt;&gt;"",COUNTIFS($N$2:$N$1000,$N345,$H$2:$H$1000,$H345)&gt;1),"DUPLICADA",IF(TRIM(IF($A345="","tipo ","")&amp;IF($F345="","fecha de firma ","")&amp;IF($G345="","decisión ","")&amp;IF($H345="","N° resolución ","")&amp;IF($I345="","N° dictamen",""))&lt;&gt;"","INCOMPLETA: "&amp;TRIM(IF($A345="","tipo ","")&amp;IF($F345="","fecha de firma ","")&amp;IF($G345="","decisión ","")&amp;IF($H345="","N° resolución ","")&amp;IF($I345="","N° dictamen","")),IF(LEFT($N345,4)&lt;&gt;"CONC","OK",IF(N($Q345)=0,IF(AND(ISNUMBER($E345),$E345&gt;=DATE(2024,1,1)),"FALTA EN evol_conc","OK"),IF(INDEX(evol_conc!$H:$H,$Q345)&lt;&gt;$F345,"FIRMA DISTINTA EN evol_conc ("&amp;IF(INDEX(evol_conc!$H:$H,$Q345)="","vacía",DAY(INDEX(evol_conc!$H:$H,$Q345))&amp;"/"&amp;MONTH(INDEX(evol_conc!$H:$H,$Q345))&amp;"/"&amp;YEAR(INDEX(evol_conc!$H:$H,$Q345)))&amp;")",IF(INDEX(evol_conc!$G:$G,$Q345)&lt;&gt;$E345,"INGRESO DISTINTO EN evol_conc ("&amp;IF(INDEX(evol_conc!$G:$G,$Q345)="","vacía",DAY(INDEX(evol_conc!$G:$G,$Q345))&amp;"/"&amp;MONTH(INDEX(evol_conc!$G:$G,$Q345))&amp;"/"&amp;YEAR(INDEX(evol_conc!$G:$G,$Q345)))&amp;")","OK"))))))))</f>
        <v/>
      </c>
      <c r="Q345" t="str">
        <f ca="1">IF($N345="","",IFERROR(MATCH($N345,evol_conc!$P:$P,0),0))</f>
        <v/>
      </c>
    </row>
    <row r="346" spans="12:17" ht="18" hidden="1" customHeight="1" x14ac:dyDescent="0.25">
      <c r="L346" s="53" t="str">
        <f t="shared" si="10"/>
        <v/>
      </c>
      <c r="M346" s="19" t="str">
        <f t="shared" si="11"/>
        <v/>
      </c>
      <c r="N346" t="str">
        <f ca="1">IF(TRIM(SUBSTITUTE($B346,CHAR(160)," "))="","",IFERROR(IF(ISNUMBER(SEARCH("INC",$B346)),"INC",IF(ISNUMBER(SEARCH("OPI",$B346)),"OPI",IF(ISNUMBER(SEARCH("DP",$B346)),"DP","CONC")))&amp;" "&amp;TEXT(LOOKUP(9.99E+307,--MID(SUBSTITUTE($B346,CHAR(160)," "),SUMPRODUCT(MIN(FIND({0,1,2,3,4,5,6,7,8,9},SUBSTITUTE($B346,CHAR(160)," ")&amp;"0123456789"))),ROW(INDIRECT("1:6")))),"0"),"SIN NUMERO"))</f>
        <v/>
      </c>
      <c r="O346" t="str">
        <f ca="1">IF($N346="","",IF(LEFT(UPPER($P346),9)="VERIFICAR","VERIFICAR",IF(AND($H346&lt;&gt;"",COUNTIFS($N$2:$N$1000,$N346,$H$2:$H$1000,$H346)&gt;1),"DUPLICADA",IF(TRIM(IF($A346="","tipo ","")&amp;IF($F346="","fecha de firma ","")&amp;IF($G346="","decisión ","")&amp;IF($H346="","N° resolución ","")&amp;IF($I346="","N° dictamen",""))&lt;&gt;"","INCOMPLETA: "&amp;TRIM(IF($A346="","tipo ","")&amp;IF($F346="","fecha de firma ","")&amp;IF($G346="","decisión ","")&amp;IF($H346="","N° resolución ","")&amp;IF($I346="","N° dictamen","")),IF(LEFT($N346,4)&lt;&gt;"CONC","OK",IF(N($Q346)=0,IF(AND(ISNUMBER($E346),$E346&gt;=DATE(2024,1,1)),"FALTA EN evol_conc","OK"),IF(INDEX(evol_conc!$H:$H,$Q346)&lt;&gt;$F346,"FIRMA DISTINTA EN evol_conc ("&amp;IF(INDEX(evol_conc!$H:$H,$Q346)="","vacía",DAY(INDEX(evol_conc!$H:$H,$Q346))&amp;"/"&amp;MONTH(INDEX(evol_conc!$H:$H,$Q346))&amp;"/"&amp;YEAR(INDEX(evol_conc!$H:$H,$Q346)))&amp;")",IF(INDEX(evol_conc!$G:$G,$Q346)&lt;&gt;$E346,"INGRESO DISTINTO EN evol_conc ("&amp;IF(INDEX(evol_conc!$G:$G,$Q346)="","vacía",DAY(INDEX(evol_conc!$G:$G,$Q346))&amp;"/"&amp;MONTH(INDEX(evol_conc!$G:$G,$Q346))&amp;"/"&amp;YEAR(INDEX(evol_conc!$G:$G,$Q346)))&amp;")","OK"))))))))</f>
        <v/>
      </c>
      <c r="Q346" t="str">
        <f ca="1">IF($N346="","",IFERROR(MATCH($N346,evol_conc!$P:$P,0),0))</f>
        <v/>
      </c>
    </row>
    <row r="347" spans="12:17" ht="18" hidden="1" customHeight="1" x14ac:dyDescent="0.25">
      <c r="L347" s="53" t="str">
        <f t="shared" si="10"/>
        <v/>
      </c>
      <c r="M347" s="19" t="str">
        <f t="shared" si="11"/>
        <v/>
      </c>
      <c r="N347" t="str">
        <f ca="1">IF(TRIM(SUBSTITUTE($B347,CHAR(160)," "))="","",IFERROR(IF(ISNUMBER(SEARCH("INC",$B347)),"INC",IF(ISNUMBER(SEARCH("OPI",$B347)),"OPI",IF(ISNUMBER(SEARCH("DP",$B347)),"DP","CONC")))&amp;" "&amp;TEXT(LOOKUP(9.99E+307,--MID(SUBSTITUTE($B347,CHAR(160)," "),SUMPRODUCT(MIN(FIND({0,1,2,3,4,5,6,7,8,9},SUBSTITUTE($B347,CHAR(160)," ")&amp;"0123456789"))),ROW(INDIRECT("1:6")))),"0"),"SIN NUMERO"))</f>
        <v/>
      </c>
      <c r="O347" t="str">
        <f ca="1">IF($N347="","",IF(LEFT(UPPER($P347),9)="VERIFICAR","VERIFICAR",IF(AND($H347&lt;&gt;"",COUNTIFS($N$2:$N$1000,$N347,$H$2:$H$1000,$H347)&gt;1),"DUPLICADA",IF(TRIM(IF($A347="","tipo ","")&amp;IF($F347="","fecha de firma ","")&amp;IF($G347="","decisión ","")&amp;IF($H347="","N° resolución ","")&amp;IF($I347="","N° dictamen",""))&lt;&gt;"","INCOMPLETA: "&amp;TRIM(IF($A347="","tipo ","")&amp;IF($F347="","fecha de firma ","")&amp;IF($G347="","decisión ","")&amp;IF($H347="","N° resolución ","")&amp;IF($I347="","N° dictamen","")),IF(LEFT($N347,4)&lt;&gt;"CONC","OK",IF(N($Q347)=0,IF(AND(ISNUMBER($E347),$E347&gt;=DATE(2024,1,1)),"FALTA EN evol_conc","OK"),IF(INDEX(evol_conc!$H:$H,$Q347)&lt;&gt;$F347,"FIRMA DISTINTA EN evol_conc ("&amp;IF(INDEX(evol_conc!$H:$H,$Q347)="","vacía",DAY(INDEX(evol_conc!$H:$H,$Q347))&amp;"/"&amp;MONTH(INDEX(evol_conc!$H:$H,$Q347))&amp;"/"&amp;YEAR(INDEX(evol_conc!$H:$H,$Q347)))&amp;")",IF(INDEX(evol_conc!$G:$G,$Q347)&lt;&gt;$E347,"INGRESO DISTINTO EN evol_conc ("&amp;IF(INDEX(evol_conc!$G:$G,$Q347)="","vacía",DAY(INDEX(evol_conc!$G:$G,$Q347))&amp;"/"&amp;MONTH(INDEX(evol_conc!$G:$G,$Q347))&amp;"/"&amp;YEAR(INDEX(evol_conc!$G:$G,$Q347)))&amp;")","OK"))))))))</f>
        <v/>
      </c>
      <c r="Q347" t="str">
        <f ca="1">IF($N347="","",IFERROR(MATCH($N347,evol_conc!$P:$P,0),0))</f>
        <v/>
      </c>
    </row>
    <row r="348" spans="12:17" ht="18" hidden="1" customHeight="1" x14ac:dyDescent="0.25">
      <c r="L348" s="53" t="str">
        <f t="shared" si="10"/>
        <v/>
      </c>
      <c r="M348" s="19" t="str">
        <f t="shared" si="11"/>
        <v/>
      </c>
      <c r="N348" t="str">
        <f ca="1">IF(TRIM(SUBSTITUTE($B348,CHAR(160)," "))="","",IFERROR(IF(ISNUMBER(SEARCH("INC",$B348)),"INC",IF(ISNUMBER(SEARCH("OPI",$B348)),"OPI",IF(ISNUMBER(SEARCH("DP",$B348)),"DP","CONC")))&amp;" "&amp;TEXT(LOOKUP(9.99E+307,--MID(SUBSTITUTE($B348,CHAR(160)," "),SUMPRODUCT(MIN(FIND({0,1,2,3,4,5,6,7,8,9},SUBSTITUTE($B348,CHAR(160)," ")&amp;"0123456789"))),ROW(INDIRECT("1:6")))),"0"),"SIN NUMERO"))</f>
        <v/>
      </c>
      <c r="O348" t="str">
        <f ca="1">IF($N348="","",IF(LEFT(UPPER($P348),9)="VERIFICAR","VERIFICAR",IF(AND($H348&lt;&gt;"",COUNTIFS($N$2:$N$1000,$N348,$H$2:$H$1000,$H348)&gt;1),"DUPLICADA",IF(TRIM(IF($A348="","tipo ","")&amp;IF($F348="","fecha de firma ","")&amp;IF($G348="","decisión ","")&amp;IF($H348="","N° resolución ","")&amp;IF($I348="","N° dictamen",""))&lt;&gt;"","INCOMPLETA: "&amp;TRIM(IF($A348="","tipo ","")&amp;IF($F348="","fecha de firma ","")&amp;IF($G348="","decisión ","")&amp;IF($H348="","N° resolución ","")&amp;IF($I348="","N° dictamen","")),IF(LEFT($N348,4)&lt;&gt;"CONC","OK",IF(N($Q348)=0,IF(AND(ISNUMBER($E348),$E348&gt;=DATE(2024,1,1)),"FALTA EN evol_conc","OK"),IF(INDEX(evol_conc!$H:$H,$Q348)&lt;&gt;$F348,"FIRMA DISTINTA EN evol_conc ("&amp;IF(INDEX(evol_conc!$H:$H,$Q348)="","vacía",DAY(INDEX(evol_conc!$H:$H,$Q348))&amp;"/"&amp;MONTH(INDEX(evol_conc!$H:$H,$Q348))&amp;"/"&amp;YEAR(INDEX(evol_conc!$H:$H,$Q348)))&amp;")",IF(INDEX(evol_conc!$G:$G,$Q348)&lt;&gt;$E348,"INGRESO DISTINTO EN evol_conc ("&amp;IF(INDEX(evol_conc!$G:$G,$Q348)="","vacía",DAY(INDEX(evol_conc!$G:$G,$Q348))&amp;"/"&amp;MONTH(INDEX(evol_conc!$G:$G,$Q348))&amp;"/"&amp;YEAR(INDEX(evol_conc!$G:$G,$Q348)))&amp;")","OK"))))))))</f>
        <v/>
      </c>
      <c r="Q348" t="str">
        <f ca="1">IF($N348="","",IFERROR(MATCH($N348,evol_conc!$P:$P,0),0))</f>
        <v/>
      </c>
    </row>
    <row r="349" spans="12:17" ht="18" hidden="1" customHeight="1" x14ac:dyDescent="0.25">
      <c r="L349" s="53" t="str">
        <f t="shared" si="10"/>
        <v/>
      </c>
      <c r="M349" s="19" t="str">
        <f t="shared" si="11"/>
        <v/>
      </c>
      <c r="N349" t="str">
        <f ca="1">IF(TRIM(SUBSTITUTE($B349,CHAR(160)," "))="","",IFERROR(IF(ISNUMBER(SEARCH("INC",$B349)),"INC",IF(ISNUMBER(SEARCH("OPI",$B349)),"OPI",IF(ISNUMBER(SEARCH("DP",$B349)),"DP","CONC")))&amp;" "&amp;TEXT(LOOKUP(9.99E+307,--MID(SUBSTITUTE($B349,CHAR(160)," "),SUMPRODUCT(MIN(FIND({0,1,2,3,4,5,6,7,8,9},SUBSTITUTE($B349,CHAR(160)," ")&amp;"0123456789"))),ROW(INDIRECT("1:6")))),"0"),"SIN NUMERO"))</f>
        <v/>
      </c>
      <c r="O349" t="str">
        <f ca="1">IF($N349="","",IF(LEFT(UPPER($P349),9)="VERIFICAR","VERIFICAR",IF(AND($H349&lt;&gt;"",COUNTIFS($N$2:$N$1000,$N349,$H$2:$H$1000,$H349)&gt;1),"DUPLICADA",IF(TRIM(IF($A349="","tipo ","")&amp;IF($F349="","fecha de firma ","")&amp;IF($G349="","decisión ","")&amp;IF($H349="","N° resolución ","")&amp;IF($I349="","N° dictamen",""))&lt;&gt;"","INCOMPLETA: "&amp;TRIM(IF($A349="","tipo ","")&amp;IF($F349="","fecha de firma ","")&amp;IF($G349="","decisión ","")&amp;IF($H349="","N° resolución ","")&amp;IF($I349="","N° dictamen","")),IF(LEFT($N349,4)&lt;&gt;"CONC","OK",IF(N($Q349)=0,IF(AND(ISNUMBER($E349),$E349&gt;=DATE(2024,1,1)),"FALTA EN evol_conc","OK"),IF(INDEX(evol_conc!$H:$H,$Q349)&lt;&gt;$F349,"FIRMA DISTINTA EN evol_conc ("&amp;IF(INDEX(evol_conc!$H:$H,$Q349)="","vacía",DAY(INDEX(evol_conc!$H:$H,$Q349))&amp;"/"&amp;MONTH(INDEX(evol_conc!$H:$H,$Q349))&amp;"/"&amp;YEAR(INDEX(evol_conc!$H:$H,$Q349)))&amp;")",IF(INDEX(evol_conc!$G:$G,$Q349)&lt;&gt;$E349,"INGRESO DISTINTO EN evol_conc ("&amp;IF(INDEX(evol_conc!$G:$G,$Q349)="","vacía",DAY(INDEX(evol_conc!$G:$G,$Q349))&amp;"/"&amp;MONTH(INDEX(evol_conc!$G:$G,$Q349))&amp;"/"&amp;YEAR(INDEX(evol_conc!$G:$G,$Q349)))&amp;")","OK"))))))))</f>
        <v/>
      </c>
      <c r="Q349" t="str">
        <f ca="1">IF($N349="","",IFERROR(MATCH($N349,evol_conc!$P:$P,0),0))</f>
        <v/>
      </c>
    </row>
    <row r="350" spans="12:17" ht="18" hidden="1" customHeight="1" x14ac:dyDescent="0.25">
      <c r="L350" s="53" t="str">
        <f t="shared" si="10"/>
        <v/>
      </c>
      <c r="M350" s="19" t="str">
        <f t="shared" si="11"/>
        <v/>
      </c>
      <c r="N350" t="str">
        <f ca="1">IF(TRIM(SUBSTITUTE($B350,CHAR(160)," "))="","",IFERROR(IF(ISNUMBER(SEARCH("INC",$B350)),"INC",IF(ISNUMBER(SEARCH("OPI",$B350)),"OPI",IF(ISNUMBER(SEARCH("DP",$B350)),"DP","CONC")))&amp;" "&amp;TEXT(LOOKUP(9.99E+307,--MID(SUBSTITUTE($B350,CHAR(160)," "),SUMPRODUCT(MIN(FIND({0,1,2,3,4,5,6,7,8,9},SUBSTITUTE($B350,CHAR(160)," ")&amp;"0123456789"))),ROW(INDIRECT("1:6")))),"0"),"SIN NUMERO"))</f>
        <v/>
      </c>
      <c r="O350" t="str">
        <f ca="1">IF($N350="","",IF(LEFT(UPPER($P350),9)="VERIFICAR","VERIFICAR",IF(AND($H350&lt;&gt;"",COUNTIFS($N$2:$N$1000,$N350,$H$2:$H$1000,$H350)&gt;1),"DUPLICADA",IF(TRIM(IF($A350="","tipo ","")&amp;IF($F350="","fecha de firma ","")&amp;IF($G350="","decisión ","")&amp;IF($H350="","N° resolución ","")&amp;IF($I350="","N° dictamen",""))&lt;&gt;"","INCOMPLETA: "&amp;TRIM(IF($A350="","tipo ","")&amp;IF($F350="","fecha de firma ","")&amp;IF($G350="","decisión ","")&amp;IF($H350="","N° resolución ","")&amp;IF($I350="","N° dictamen","")),IF(LEFT($N350,4)&lt;&gt;"CONC","OK",IF(N($Q350)=0,IF(AND(ISNUMBER($E350),$E350&gt;=DATE(2024,1,1)),"FALTA EN evol_conc","OK"),IF(INDEX(evol_conc!$H:$H,$Q350)&lt;&gt;$F350,"FIRMA DISTINTA EN evol_conc ("&amp;IF(INDEX(evol_conc!$H:$H,$Q350)="","vacía",DAY(INDEX(evol_conc!$H:$H,$Q350))&amp;"/"&amp;MONTH(INDEX(evol_conc!$H:$H,$Q350))&amp;"/"&amp;YEAR(INDEX(evol_conc!$H:$H,$Q350)))&amp;")",IF(INDEX(evol_conc!$G:$G,$Q350)&lt;&gt;$E350,"INGRESO DISTINTO EN evol_conc ("&amp;IF(INDEX(evol_conc!$G:$G,$Q350)="","vacía",DAY(INDEX(evol_conc!$G:$G,$Q350))&amp;"/"&amp;MONTH(INDEX(evol_conc!$G:$G,$Q350))&amp;"/"&amp;YEAR(INDEX(evol_conc!$G:$G,$Q350)))&amp;")","OK"))))))))</f>
        <v/>
      </c>
      <c r="Q350" t="str">
        <f ca="1">IF($N350="","",IFERROR(MATCH($N350,evol_conc!$P:$P,0),0))</f>
        <v/>
      </c>
    </row>
    <row r="351" spans="12:17" ht="18" hidden="1" customHeight="1" x14ac:dyDescent="0.25">
      <c r="L351" s="53" t="str">
        <f t="shared" si="10"/>
        <v/>
      </c>
      <c r="M351" s="19" t="str">
        <f t="shared" si="11"/>
        <v/>
      </c>
      <c r="N351" t="str">
        <f ca="1">IF(TRIM(SUBSTITUTE($B351,CHAR(160)," "))="","",IFERROR(IF(ISNUMBER(SEARCH("INC",$B351)),"INC",IF(ISNUMBER(SEARCH("OPI",$B351)),"OPI",IF(ISNUMBER(SEARCH("DP",$B351)),"DP","CONC")))&amp;" "&amp;TEXT(LOOKUP(9.99E+307,--MID(SUBSTITUTE($B351,CHAR(160)," "),SUMPRODUCT(MIN(FIND({0,1,2,3,4,5,6,7,8,9},SUBSTITUTE($B351,CHAR(160)," ")&amp;"0123456789"))),ROW(INDIRECT("1:6")))),"0"),"SIN NUMERO"))</f>
        <v/>
      </c>
      <c r="O351" t="str">
        <f ca="1">IF($N351="","",IF(LEFT(UPPER($P351),9)="VERIFICAR","VERIFICAR",IF(AND($H351&lt;&gt;"",COUNTIFS($N$2:$N$1000,$N351,$H$2:$H$1000,$H351)&gt;1),"DUPLICADA",IF(TRIM(IF($A351="","tipo ","")&amp;IF($F351="","fecha de firma ","")&amp;IF($G351="","decisión ","")&amp;IF($H351="","N° resolución ","")&amp;IF($I351="","N° dictamen",""))&lt;&gt;"","INCOMPLETA: "&amp;TRIM(IF($A351="","tipo ","")&amp;IF($F351="","fecha de firma ","")&amp;IF($G351="","decisión ","")&amp;IF($H351="","N° resolución ","")&amp;IF($I351="","N° dictamen","")),IF(LEFT($N351,4)&lt;&gt;"CONC","OK",IF(N($Q351)=0,IF(AND(ISNUMBER($E351),$E351&gt;=DATE(2024,1,1)),"FALTA EN evol_conc","OK"),IF(INDEX(evol_conc!$H:$H,$Q351)&lt;&gt;$F351,"FIRMA DISTINTA EN evol_conc ("&amp;IF(INDEX(evol_conc!$H:$H,$Q351)="","vacía",DAY(INDEX(evol_conc!$H:$H,$Q351))&amp;"/"&amp;MONTH(INDEX(evol_conc!$H:$H,$Q351))&amp;"/"&amp;YEAR(INDEX(evol_conc!$H:$H,$Q351)))&amp;")",IF(INDEX(evol_conc!$G:$G,$Q351)&lt;&gt;$E351,"INGRESO DISTINTO EN evol_conc ("&amp;IF(INDEX(evol_conc!$G:$G,$Q351)="","vacía",DAY(INDEX(evol_conc!$G:$G,$Q351))&amp;"/"&amp;MONTH(INDEX(evol_conc!$G:$G,$Q351))&amp;"/"&amp;YEAR(INDEX(evol_conc!$G:$G,$Q351)))&amp;")","OK"))))))))</f>
        <v/>
      </c>
      <c r="Q351" t="str">
        <f ca="1">IF($N351="","",IFERROR(MATCH($N351,evol_conc!$P:$P,0),0))</f>
        <v/>
      </c>
    </row>
    <row r="352" spans="12:17" ht="18" hidden="1" customHeight="1" x14ac:dyDescent="0.25">
      <c r="L352" s="53" t="str">
        <f t="shared" si="10"/>
        <v/>
      </c>
      <c r="M352" s="19" t="str">
        <f t="shared" si="11"/>
        <v/>
      </c>
      <c r="N352" t="str">
        <f ca="1">IF(TRIM(SUBSTITUTE($B352,CHAR(160)," "))="","",IFERROR(IF(ISNUMBER(SEARCH("INC",$B352)),"INC",IF(ISNUMBER(SEARCH("OPI",$B352)),"OPI",IF(ISNUMBER(SEARCH("DP",$B352)),"DP","CONC")))&amp;" "&amp;TEXT(LOOKUP(9.99E+307,--MID(SUBSTITUTE($B352,CHAR(160)," "),SUMPRODUCT(MIN(FIND({0,1,2,3,4,5,6,7,8,9},SUBSTITUTE($B352,CHAR(160)," ")&amp;"0123456789"))),ROW(INDIRECT("1:6")))),"0"),"SIN NUMERO"))</f>
        <v/>
      </c>
      <c r="O352" t="str">
        <f ca="1">IF($N352="","",IF(LEFT(UPPER($P352),9)="VERIFICAR","VERIFICAR",IF(AND($H352&lt;&gt;"",COUNTIFS($N$2:$N$1000,$N352,$H$2:$H$1000,$H352)&gt;1),"DUPLICADA",IF(TRIM(IF($A352="","tipo ","")&amp;IF($F352="","fecha de firma ","")&amp;IF($G352="","decisión ","")&amp;IF($H352="","N° resolución ","")&amp;IF($I352="","N° dictamen",""))&lt;&gt;"","INCOMPLETA: "&amp;TRIM(IF($A352="","tipo ","")&amp;IF($F352="","fecha de firma ","")&amp;IF($G352="","decisión ","")&amp;IF($H352="","N° resolución ","")&amp;IF($I352="","N° dictamen","")),IF(LEFT($N352,4)&lt;&gt;"CONC","OK",IF(N($Q352)=0,IF(AND(ISNUMBER($E352),$E352&gt;=DATE(2024,1,1)),"FALTA EN evol_conc","OK"),IF(INDEX(evol_conc!$H:$H,$Q352)&lt;&gt;$F352,"FIRMA DISTINTA EN evol_conc ("&amp;IF(INDEX(evol_conc!$H:$H,$Q352)="","vacía",DAY(INDEX(evol_conc!$H:$H,$Q352))&amp;"/"&amp;MONTH(INDEX(evol_conc!$H:$H,$Q352))&amp;"/"&amp;YEAR(INDEX(evol_conc!$H:$H,$Q352)))&amp;")",IF(INDEX(evol_conc!$G:$G,$Q352)&lt;&gt;$E352,"INGRESO DISTINTO EN evol_conc ("&amp;IF(INDEX(evol_conc!$G:$G,$Q352)="","vacía",DAY(INDEX(evol_conc!$G:$G,$Q352))&amp;"/"&amp;MONTH(INDEX(evol_conc!$G:$G,$Q352))&amp;"/"&amp;YEAR(INDEX(evol_conc!$G:$G,$Q352)))&amp;")","OK"))))))))</f>
        <v/>
      </c>
      <c r="Q352" t="str">
        <f ca="1">IF($N352="","",IFERROR(MATCH($N352,evol_conc!$P:$P,0),0))</f>
        <v/>
      </c>
    </row>
    <row r="353" spans="12:17" ht="18" hidden="1" customHeight="1" x14ac:dyDescent="0.25">
      <c r="L353" s="53" t="str">
        <f t="shared" si="10"/>
        <v/>
      </c>
      <c r="M353" s="19" t="str">
        <f t="shared" si="11"/>
        <v/>
      </c>
      <c r="N353" t="str">
        <f ca="1">IF(TRIM(SUBSTITUTE($B353,CHAR(160)," "))="","",IFERROR(IF(ISNUMBER(SEARCH("INC",$B353)),"INC",IF(ISNUMBER(SEARCH("OPI",$B353)),"OPI",IF(ISNUMBER(SEARCH("DP",$B353)),"DP","CONC")))&amp;" "&amp;TEXT(LOOKUP(9.99E+307,--MID(SUBSTITUTE($B353,CHAR(160)," "),SUMPRODUCT(MIN(FIND({0,1,2,3,4,5,6,7,8,9},SUBSTITUTE($B353,CHAR(160)," ")&amp;"0123456789"))),ROW(INDIRECT("1:6")))),"0"),"SIN NUMERO"))</f>
        <v/>
      </c>
      <c r="O353" t="str">
        <f ca="1">IF($N353="","",IF(LEFT(UPPER($P353),9)="VERIFICAR","VERIFICAR",IF(AND($H353&lt;&gt;"",COUNTIFS($N$2:$N$1000,$N353,$H$2:$H$1000,$H353)&gt;1),"DUPLICADA",IF(TRIM(IF($A353="","tipo ","")&amp;IF($F353="","fecha de firma ","")&amp;IF($G353="","decisión ","")&amp;IF($H353="","N° resolución ","")&amp;IF($I353="","N° dictamen",""))&lt;&gt;"","INCOMPLETA: "&amp;TRIM(IF($A353="","tipo ","")&amp;IF($F353="","fecha de firma ","")&amp;IF($G353="","decisión ","")&amp;IF($H353="","N° resolución ","")&amp;IF($I353="","N° dictamen","")),IF(LEFT($N353,4)&lt;&gt;"CONC","OK",IF(N($Q353)=0,IF(AND(ISNUMBER($E353),$E353&gt;=DATE(2024,1,1)),"FALTA EN evol_conc","OK"),IF(INDEX(evol_conc!$H:$H,$Q353)&lt;&gt;$F353,"FIRMA DISTINTA EN evol_conc ("&amp;IF(INDEX(evol_conc!$H:$H,$Q353)="","vacía",DAY(INDEX(evol_conc!$H:$H,$Q353))&amp;"/"&amp;MONTH(INDEX(evol_conc!$H:$H,$Q353))&amp;"/"&amp;YEAR(INDEX(evol_conc!$H:$H,$Q353)))&amp;")",IF(INDEX(evol_conc!$G:$G,$Q353)&lt;&gt;$E353,"INGRESO DISTINTO EN evol_conc ("&amp;IF(INDEX(evol_conc!$G:$G,$Q353)="","vacía",DAY(INDEX(evol_conc!$G:$G,$Q353))&amp;"/"&amp;MONTH(INDEX(evol_conc!$G:$G,$Q353))&amp;"/"&amp;YEAR(INDEX(evol_conc!$G:$G,$Q353)))&amp;")","OK"))))))))</f>
        <v/>
      </c>
      <c r="Q353" t="str">
        <f ca="1">IF($N353="","",IFERROR(MATCH($N353,evol_conc!$P:$P,0),0))</f>
        <v/>
      </c>
    </row>
    <row r="354" spans="12:17" ht="18" hidden="1" customHeight="1" x14ac:dyDescent="0.25">
      <c r="L354" s="53" t="str">
        <f t="shared" si="10"/>
        <v/>
      </c>
      <c r="M354" s="19" t="str">
        <f t="shared" si="11"/>
        <v/>
      </c>
      <c r="N354" t="str">
        <f ca="1">IF(TRIM(SUBSTITUTE($B354,CHAR(160)," "))="","",IFERROR(IF(ISNUMBER(SEARCH("INC",$B354)),"INC",IF(ISNUMBER(SEARCH("OPI",$B354)),"OPI",IF(ISNUMBER(SEARCH("DP",$B354)),"DP","CONC")))&amp;" "&amp;TEXT(LOOKUP(9.99E+307,--MID(SUBSTITUTE($B354,CHAR(160)," "),SUMPRODUCT(MIN(FIND({0,1,2,3,4,5,6,7,8,9},SUBSTITUTE($B354,CHAR(160)," ")&amp;"0123456789"))),ROW(INDIRECT("1:6")))),"0"),"SIN NUMERO"))</f>
        <v/>
      </c>
      <c r="O354" t="str">
        <f ca="1">IF($N354="","",IF(LEFT(UPPER($P354),9)="VERIFICAR","VERIFICAR",IF(AND($H354&lt;&gt;"",COUNTIFS($N$2:$N$1000,$N354,$H$2:$H$1000,$H354)&gt;1),"DUPLICADA",IF(TRIM(IF($A354="","tipo ","")&amp;IF($F354="","fecha de firma ","")&amp;IF($G354="","decisión ","")&amp;IF($H354="","N° resolución ","")&amp;IF($I354="","N° dictamen",""))&lt;&gt;"","INCOMPLETA: "&amp;TRIM(IF($A354="","tipo ","")&amp;IF($F354="","fecha de firma ","")&amp;IF($G354="","decisión ","")&amp;IF($H354="","N° resolución ","")&amp;IF($I354="","N° dictamen","")),IF(LEFT($N354,4)&lt;&gt;"CONC","OK",IF(N($Q354)=0,IF(AND(ISNUMBER($E354),$E354&gt;=DATE(2024,1,1)),"FALTA EN evol_conc","OK"),IF(INDEX(evol_conc!$H:$H,$Q354)&lt;&gt;$F354,"FIRMA DISTINTA EN evol_conc ("&amp;IF(INDEX(evol_conc!$H:$H,$Q354)="","vacía",DAY(INDEX(evol_conc!$H:$H,$Q354))&amp;"/"&amp;MONTH(INDEX(evol_conc!$H:$H,$Q354))&amp;"/"&amp;YEAR(INDEX(evol_conc!$H:$H,$Q354)))&amp;")",IF(INDEX(evol_conc!$G:$G,$Q354)&lt;&gt;$E354,"INGRESO DISTINTO EN evol_conc ("&amp;IF(INDEX(evol_conc!$G:$G,$Q354)="","vacía",DAY(INDEX(evol_conc!$G:$G,$Q354))&amp;"/"&amp;MONTH(INDEX(evol_conc!$G:$G,$Q354))&amp;"/"&amp;YEAR(INDEX(evol_conc!$G:$G,$Q354)))&amp;")","OK"))))))))</f>
        <v/>
      </c>
      <c r="Q354" t="str">
        <f ca="1">IF($N354="","",IFERROR(MATCH($N354,evol_conc!$P:$P,0),0))</f>
        <v/>
      </c>
    </row>
    <row r="355" spans="12:17" ht="18" hidden="1" customHeight="1" x14ac:dyDescent="0.25">
      <c r="L355" s="53" t="str">
        <f t="shared" si="10"/>
        <v/>
      </c>
      <c r="M355" s="19" t="str">
        <f t="shared" si="11"/>
        <v/>
      </c>
      <c r="N355" t="str">
        <f ca="1">IF(TRIM(SUBSTITUTE($B355,CHAR(160)," "))="","",IFERROR(IF(ISNUMBER(SEARCH("INC",$B355)),"INC",IF(ISNUMBER(SEARCH("OPI",$B355)),"OPI",IF(ISNUMBER(SEARCH("DP",$B355)),"DP","CONC")))&amp;" "&amp;TEXT(LOOKUP(9.99E+307,--MID(SUBSTITUTE($B355,CHAR(160)," "),SUMPRODUCT(MIN(FIND({0,1,2,3,4,5,6,7,8,9},SUBSTITUTE($B355,CHAR(160)," ")&amp;"0123456789"))),ROW(INDIRECT("1:6")))),"0"),"SIN NUMERO"))</f>
        <v/>
      </c>
      <c r="O355" t="str">
        <f ca="1">IF($N355="","",IF(LEFT(UPPER($P355),9)="VERIFICAR","VERIFICAR",IF(AND($H355&lt;&gt;"",COUNTIFS($N$2:$N$1000,$N355,$H$2:$H$1000,$H355)&gt;1),"DUPLICADA",IF(TRIM(IF($A355="","tipo ","")&amp;IF($F355="","fecha de firma ","")&amp;IF($G355="","decisión ","")&amp;IF($H355="","N° resolución ","")&amp;IF($I355="","N° dictamen",""))&lt;&gt;"","INCOMPLETA: "&amp;TRIM(IF($A355="","tipo ","")&amp;IF($F355="","fecha de firma ","")&amp;IF($G355="","decisión ","")&amp;IF($H355="","N° resolución ","")&amp;IF($I355="","N° dictamen","")),IF(LEFT($N355,4)&lt;&gt;"CONC","OK",IF(N($Q355)=0,IF(AND(ISNUMBER($E355),$E355&gt;=DATE(2024,1,1)),"FALTA EN evol_conc","OK"),IF(INDEX(evol_conc!$H:$H,$Q355)&lt;&gt;$F355,"FIRMA DISTINTA EN evol_conc ("&amp;IF(INDEX(evol_conc!$H:$H,$Q355)="","vacía",DAY(INDEX(evol_conc!$H:$H,$Q355))&amp;"/"&amp;MONTH(INDEX(evol_conc!$H:$H,$Q355))&amp;"/"&amp;YEAR(INDEX(evol_conc!$H:$H,$Q355)))&amp;")",IF(INDEX(evol_conc!$G:$G,$Q355)&lt;&gt;$E355,"INGRESO DISTINTO EN evol_conc ("&amp;IF(INDEX(evol_conc!$G:$G,$Q355)="","vacía",DAY(INDEX(evol_conc!$G:$G,$Q355))&amp;"/"&amp;MONTH(INDEX(evol_conc!$G:$G,$Q355))&amp;"/"&amp;YEAR(INDEX(evol_conc!$G:$G,$Q355)))&amp;")","OK"))))))))</f>
        <v/>
      </c>
      <c r="Q355" t="str">
        <f ca="1">IF($N355="","",IFERROR(MATCH($N355,evol_conc!$P:$P,0),0))</f>
        <v/>
      </c>
    </row>
    <row r="356" spans="12:17" ht="18" hidden="1" customHeight="1" x14ac:dyDescent="0.25">
      <c r="L356" s="53" t="str">
        <f t="shared" si="10"/>
        <v/>
      </c>
      <c r="M356" s="19" t="str">
        <f t="shared" si="11"/>
        <v/>
      </c>
      <c r="N356" t="str">
        <f ca="1">IF(TRIM(SUBSTITUTE($B356,CHAR(160)," "))="","",IFERROR(IF(ISNUMBER(SEARCH("INC",$B356)),"INC",IF(ISNUMBER(SEARCH("OPI",$B356)),"OPI",IF(ISNUMBER(SEARCH("DP",$B356)),"DP","CONC")))&amp;" "&amp;TEXT(LOOKUP(9.99E+307,--MID(SUBSTITUTE($B356,CHAR(160)," "),SUMPRODUCT(MIN(FIND({0,1,2,3,4,5,6,7,8,9},SUBSTITUTE($B356,CHAR(160)," ")&amp;"0123456789"))),ROW(INDIRECT("1:6")))),"0"),"SIN NUMERO"))</f>
        <v/>
      </c>
      <c r="O356" t="str">
        <f ca="1">IF($N356="","",IF(LEFT(UPPER($P356),9)="VERIFICAR","VERIFICAR",IF(AND($H356&lt;&gt;"",COUNTIFS($N$2:$N$1000,$N356,$H$2:$H$1000,$H356)&gt;1),"DUPLICADA",IF(TRIM(IF($A356="","tipo ","")&amp;IF($F356="","fecha de firma ","")&amp;IF($G356="","decisión ","")&amp;IF($H356="","N° resolución ","")&amp;IF($I356="","N° dictamen",""))&lt;&gt;"","INCOMPLETA: "&amp;TRIM(IF($A356="","tipo ","")&amp;IF($F356="","fecha de firma ","")&amp;IF($G356="","decisión ","")&amp;IF($H356="","N° resolución ","")&amp;IF($I356="","N° dictamen","")),IF(LEFT($N356,4)&lt;&gt;"CONC","OK",IF(N($Q356)=0,IF(AND(ISNUMBER($E356),$E356&gt;=DATE(2024,1,1)),"FALTA EN evol_conc","OK"),IF(INDEX(evol_conc!$H:$H,$Q356)&lt;&gt;$F356,"FIRMA DISTINTA EN evol_conc ("&amp;IF(INDEX(evol_conc!$H:$H,$Q356)="","vacía",DAY(INDEX(evol_conc!$H:$H,$Q356))&amp;"/"&amp;MONTH(INDEX(evol_conc!$H:$H,$Q356))&amp;"/"&amp;YEAR(INDEX(evol_conc!$H:$H,$Q356)))&amp;")",IF(INDEX(evol_conc!$G:$G,$Q356)&lt;&gt;$E356,"INGRESO DISTINTO EN evol_conc ("&amp;IF(INDEX(evol_conc!$G:$G,$Q356)="","vacía",DAY(INDEX(evol_conc!$G:$G,$Q356))&amp;"/"&amp;MONTH(INDEX(evol_conc!$G:$G,$Q356))&amp;"/"&amp;YEAR(INDEX(evol_conc!$G:$G,$Q356)))&amp;")","OK"))))))))</f>
        <v/>
      </c>
      <c r="Q356" t="str">
        <f ca="1">IF($N356="","",IFERROR(MATCH($N356,evol_conc!$P:$P,0),0))</f>
        <v/>
      </c>
    </row>
    <row r="357" spans="12:17" ht="18" hidden="1" customHeight="1" x14ac:dyDescent="0.25">
      <c r="L357" s="53" t="str">
        <f t="shared" si="10"/>
        <v/>
      </c>
      <c r="M357" s="19" t="str">
        <f t="shared" si="11"/>
        <v/>
      </c>
      <c r="N357" t="str">
        <f ca="1">IF(TRIM(SUBSTITUTE($B357,CHAR(160)," "))="","",IFERROR(IF(ISNUMBER(SEARCH("INC",$B357)),"INC",IF(ISNUMBER(SEARCH("OPI",$B357)),"OPI",IF(ISNUMBER(SEARCH("DP",$B357)),"DP","CONC")))&amp;" "&amp;TEXT(LOOKUP(9.99E+307,--MID(SUBSTITUTE($B357,CHAR(160)," "),SUMPRODUCT(MIN(FIND({0,1,2,3,4,5,6,7,8,9},SUBSTITUTE($B357,CHAR(160)," ")&amp;"0123456789"))),ROW(INDIRECT("1:6")))),"0"),"SIN NUMERO"))</f>
        <v/>
      </c>
      <c r="O357" t="str">
        <f ca="1">IF($N357="","",IF(LEFT(UPPER($P357),9)="VERIFICAR","VERIFICAR",IF(AND($H357&lt;&gt;"",COUNTIFS($N$2:$N$1000,$N357,$H$2:$H$1000,$H357)&gt;1),"DUPLICADA",IF(TRIM(IF($A357="","tipo ","")&amp;IF($F357="","fecha de firma ","")&amp;IF($G357="","decisión ","")&amp;IF($H357="","N° resolución ","")&amp;IF($I357="","N° dictamen",""))&lt;&gt;"","INCOMPLETA: "&amp;TRIM(IF($A357="","tipo ","")&amp;IF($F357="","fecha de firma ","")&amp;IF($G357="","decisión ","")&amp;IF($H357="","N° resolución ","")&amp;IF($I357="","N° dictamen","")),IF(LEFT($N357,4)&lt;&gt;"CONC","OK",IF(N($Q357)=0,IF(AND(ISNUMBER($E357),$E357&gt;=DATE(2024,1,1)),"FALTA EN evol_conc","OK"),IF(INDEX(evol_conc!$H:$H,$Q357)&lt;&gt;$F357,"FIRMA DISTINTA EN evol_conc ("&amp;IF(INDEX(evol_conc!$H:$H,$Q357)="","vacía",DAY(INDEX(evol_conc!$H:$H,$Q357))&amp;"/"&amp;MONTH(INDEX(evol_conc!$H:$H,$Q357))&amp;"/"&amp;YEAR(INDEX(evol_conc!$H:$H,$Q357)))&amp;")",IF(INDEX(evol_conc!$G:$G,$Q357)&lt;&gt;$E357,"INGRESO DISTINTO EN evol_conc ("&amp;IF(INDEX(evol_conc!$G:$G,$Q357)="","vacía",DAY(INDEX(evol_conc!$G:$G,$Q357))&amp;"/"&amp;MONTH(INDEX(evol_conc!$G:$G,$Q357))&amp;"/"&amp;YEAR(INDEX(evol_conc!$G:$G,$Q357)))&amp;")","OK"))))))))</f>
        <v/>
      </c>
      <c r="Q357" t="str">
        <f ca="1">IF($N357="","",IFERROR(MATCH($N357,evol_conc!$P:$P,0),0))</f>
        <v/>
      </c>
    </row>
    <row r="358" spans="12:17" ht="18" hidden="1" customHeight="1" x14ac:dyDescent="0.25">
      <c r="L358" s="53" t="str">
        <f t="shared" si="10"/>
        <v/>
      </c>
      <c r="M358" s="19" t="str">
        <f t="shared" si="11"/>
        <v/>
      </c>
      <c r="N358" t="str">
        <f ca="1">IF(TRIM(SUBSTITUTE($B358,CHAR(160)," "))="","",IFERROR(IF(ISNUMBER(SEARCH("INC",$B358)),"INC",IF(ISNUMBER(SEARCH("OPI",$B358)),"OPI",IF(ISNUMBER(SEARCH("DP",$B358)),"DP","CONC")))&amp;" "&amp;TEXT(LOOKUP(9.99E+307,--MID(SUBSTITUTE($B358,CHAR(160)," "),SUMPRODUCT(MIN(FIND({0,1,2,3,4,5,6,7,8,9},SUBSTITUTE($B358,CHAR(160)," ")&amp;"0123456789"))),ROW(INDIRECT("1:6")))),"0"),"SIN NUMERO"))</f>
        <v/>
      </c>
      <c r="O358" t="str">
        <f ca="1">IF($N358="","",IF(LEFT(UPPER($P358),9)="VERIFICAR","VERIFICAR",IF(AND($H358&lt;&gt;"",COUNTIFS($N$2:$N$1000,$N358,$H$2:$H$1000,$H358)&gt;1),"DUPLICADA",IF(TRIM(IF($A358="","tipo ","")&amp;IF($F358="","fecha de firma ","")&amp;IF($G358="","decisión ","")&amp;IF($H358="","N° resolución ","")&amp;IF($I358="","N° dictamen",""))&lt;&gt;"","INCOMPLETA: "&amp;TRIM(IF($A358="","tipo ","")&amp;IF($F358="","fecha de firma ","")&amp;IF($G358="","decisión ","")&amp;IF($H358="","N° resolución ","")&amp;IF($I358="","N° dictamen","")),IF(LEFT($N358,4)&lt;&gt;"CONC","OK",IF(N($Q358)=0,IF(AND(ISNUMBER($E358),$E358&gt;=DATE(2024,1,1)),"FALTA EN evol_conc","OK"),IF(INDEX(evol_conc!$H:$H,$Q358)&lt;&gt;$F358,"FIRMA DISTINTA EN evol_conc ("&amp;IF(INDEX(evol_conc!$H:$H,$Q358)="","vacía",DAY(INDEX(evol_conc!$H:$H,$Q358))&amp;"/"&amp;MONTH(INDEX(evol_conc!$H:$H,$Q358))&amp;"/"&amp;YEAR(INDEX(evol_conc!$H:$H,$Q358)))&amp;")",IF(INDEX(evol_conc!$G:$G,$Q358)&lt;&gt;$E358,"INGRESO DISTINTO EN evol_conc ("&amp;IF(INDEX(evol_conc!$G:$G,$Q358)="","vacía",DAY(INDEX(evol_conc!$G:$G,$Q358))&amp;"/"&amp;MONTH(INDEX(evol_conc!$G:$G,$Q358))&amp;"/"&amp;YEAR(INDEX(evol_conc!$G:$G,$Q358)))&amp;")","OK"))))))))</f>
        <v/>
      </c>
      <c r="Q358" t="str">
        <f ca="1">IF($N358="","",IFERROR(MATCH($N358,evol_conc!$P:$P,0),0))</f>
        <v/>
      </c>
    </row>
    <row r="359" spans="12:17" ht="18" hidden="1" customHeight="1" x14ac:dyDescent="0.25">
      <c r="L359" s="53" t="str">
        <f t="shared" si="10"/>
        <v/>
      </c>
      <c r="M359" s="19" t="str">
        <f t="shared" si="11"/>
        <v/>
      </c>
      <c r="N359" t="str">
        <f ca="1">IF(TRIM(SUBSTITUTE($B359,CHAR(160)," "))="","",IFERROR(IF(ISNUMBER(SEARCH("INC",$B359)),"INC",IF(ISNUMBER(SEARCH("OPI",$B359)),"OPI",IF(ISNUMBER(SEARCH("DP",$B359)),"DP","CONC")))&amp;" "&amp;TEXT(LOOKUP(9.99E+307,--MID(SUBSTITUTE($B359,CHAR(160)," "),SUMPRODUCT(MIN(FIND({0,1,2,3,4,5,6,7,8,9},SUBSTITUTE($B359,CHAR(160)," ")&amp;"0123456789"))),ROW(INDIRECT("1:6")))),"0"),"SIN NUMERO"))</f>
        <v/>
      </c>
      <c r="O359" t="str">
        <f ca="1">IF($N359="","",IF(LEFT(UPPER($P359),9)="VERIFICAR","VERIFICAR",IF(AND($H359&lt;&gt;"",COUNTIFS($N$2:$N$1000,$N359,$H$2:$H$1000,$H359)&gt;1),"DUPLICADA",IF(TRIM(IF($A359="","tipo ","")&amp;IF($F359="","fecha de firma ","")&amp;IF($G359="","decisión ","")&amp;IF($H359="","N° resolución ","")&amp;IF($I359="","N° dictamen",""))&lt;&gt;"","INCOMPLETA: "&amp;TRIM(IF($A359="","tipo ","")&amp;IF($F359="","fecha de firma ","")&amp;IF($G359="","decisión ","")&amp;IF($H359="","N° resolución ","")&amp;IF($I359="","N° dictamen","")),IF(LEFT($N359,4)&lt;&gt;"CONC","OK",IF(N($Q359)=0,IF(AND(ISNUMBER($E359),$E359&gt;=DATE(2024,1,1)),"FALTA EN evol_conc","OK"),IF(INDEX(evol_conc!$H:$H,$Q359)&lt;&gt;$F359,"FIRMA DISTINTA EN evol_conc ("&amp;IF(INDEX(evol_conc!$H:$H,$Q359)="","vacía",DAY(INDEX(evol_conc!$H:$H,$Q359))&amp;"/"&amp;MONTH(INDEX(evol_conc!$H:$H,$Q359))&amp;"/"&amp;YEAR(INDEX(evol_conc!$H:$H,$Q359)))&amp;")",IF(INDEX(evol_conc!$G:$G,$Q359)&lt;&gt;$E359,"INGRESO DISTINTO EN evol_conc ("&amp;IF(INDEX(evol_conc!$G:$G,$Q359)="","vacía",DAY(INDEX(evol_conc!$G:$G,$Q359))&amp;"/"&amp;MONTH(INDEX(evol_conc!$G:$G,$Q359))&amp;"/"&amp;YEAR(INDEX(evol_conc!$G:$G,$Q359)))&amp;")","OK"))))))))</f>
        <v/>
      </c>
      <c r="Q359" t="str">
        <f ca="1">IF($N359="","",IFERROR(MATCH($N359,evol_conc!$P:$P,0),0))</f>
        <v/>
      </c>
    </row>
    <row r="360" spans="12:17" ht="18" hidden="1" customHeight="1" x14ac:dyDescent="0.25">
      <c r="L360" s="53" t="str">
        <f t="shared" si="10"/>
        <v/>
      </c>
      <c r="M360" s="19" t="str">
        <f t="shared" si="11"/>
        <v/>
      </c>
      <c r="N360" t="str">
        <f ca="1">IF(TRIM(SUBSTITUTE($B360,CHAR(160)," "))="","",IFERROR(IF(ISNUMBER(SEARCH("INC",$B360)),"INC",IF(ISNUMBER(SEARCH("OPI",$B360)),"OPI",IF(ISNUMBER(SEARCH("DP",$B360)),"DP","CONC")))&amp;" "&amp;TEXT(LOOKUP(9.99E+307,--MID(SUBSTITUTE($B360,CHAR(160)," "),SUMPRODUCT(MIN(FIND({0,1,2,3,4,5,6,7,8,9},SUBSTITUTE($B360,CHAR(160)," ")&amp;"0123456789"))),ROW(INDIRECT("1:6")))),"0"),"SIN NUMERO"))</f>
        <v/>
      </c>
      <c r="O360" t="str">
        <f ca="1">IF($N360="","",IF(LEFT(UPPER($P360),9)="VERIFICAR","VERIFICAR",IF(AND($H360&lt;&gt;"",COUNTIFS($N$2:$N$1000,$N360,$H$2:$H$1000,$H360)&gt;1),"DUPLICADA",IF(TRIM(IF($A360="","tipo ","")&amp;IF($F360="","fecha de firma ","")&amp;IF($G360="","decisión ","")&amp;IF($H360="","N° resolución ","")&amp;IF($I360="","N° dictamen",""))&lt;&gt;"","INCOMPLETA: "&amp;TRIM(IF($A360="","tipo ","")&amp;IF($F360="","fecha de firma ","")&amp;IF($G360="","decisión ","")&amp;IF($H360="","N° resolución ","")&amp;IF($I360="","N° dictamen","")),IF(LEFT($N360,4)&lt;&gt;"CONC","OK",IF(N($Q360)=0,IF(AND(ISNUMBER($E360),$E360&gt;=DATE(2024,1,1)),"FALTA EN evol_conc","OK"),IF(INDEX(evol_conc!$H:$H,$Q360)&lt;&gt;$F360,"FIRMA DISTINTA EN evol_conc ("&amp;IF(INDEX(evol_conc!$H:$H,$Q360)="","vacía",DAY(INDEX(evol_conc!$H:$H,$Q360))&amp;"/"&amp;MONTH(INDEX(evol_conc!$H:$H,$Q360))&amp;"/"&amp;YEAR(INDEX(evol_conc!$H:$H,$Q360)))&amp;")",IF(INDEX(evol_conc!$G:$G,$Q360)&lt;&gt;$E360,"INGRESO DISTINTO EN evol_conc ("&amp;IF(INDEX(evol_conc!$G:$G,$Q360)="","vacía",DAY(INDEX(evol_conc!$G:$G,$Q360))&amp;"/"&amp;MONTH(INDEX(evol_conc!$G:$G,$Q360))&amp;"/"&amp;YEAR(INDEX(evol_conc!$G:$G,$Q360)))&amp;")","OK"))))))))</f>
        <v/>
      </c>
      <c r="Q360" t="str">
        <f ca="1">IF($N360="","",IFERROR(MATCH($N360,evol_conc!$P:$P,0),0))</f>
        <v/>
      </c>
    </row>
    <row r="361" spans="12:17" ht="18" hidden="1" customHeight="1" x14ac:dyDescent="0.25">
      <c r="L361" s="53" t="str">
        <f t="shared" si="10"/>
        <v/>
      </c>
      <c r="M361" s="19" t="str">
        <f t="shared" si="11"/>
        <v/>
      </c>
      <c r="N361" t="str">
        <f ca="1">IF(TRIM(SUBSTITUTE($B361,CHAR(160)," "))="","",IFERROR(IF(ISNUMBER(SEARCH("INC",$B361)),"INC",IF(ISNUMBER(SEARCH("OPI",$B361)),"OPI",IF(ISNUMBER(SEARCH("DP",$B361)),"DP","CONC")))&amp;" "&amp;TEXT(LOOKUP(9.99E+307,--MID(SUBSTITUTE($B361,CHAR(160)," "),SUMPRODUCT(MIN(FIND({0,1,2,3,4,5,6,7,8,9},SUBSTITUTE($B361,CHAR(160)," ")&amp;"0123456789"))),ROW(INDIRECT("1:6")))),"0"),"SIN NUMERO"))</f>
        <v/>
      </c>
      <c r="O361" t="str">
        <f ca="1">IF($N361="","",IF(LEFT(UPPER($P361),9)="VERIFICAR","VERIFICAR",IF(AND($H361&lt;&gt;"",COUNTIFS($N$2:$N$1000,$N361,$H$2:$H$1000,$H361)&gt;1),"DUPLICADA",IF(TRIM(IF($A361="","tipo ","")&amp;IF($F361="","fecha de firma ","")&amp;IF($G361="","decisión ","")&amp;IF($H361="","N° resolución ","")&amp;IF($I361="","N° dictamen",""))&lt;&gt;"","INCOMPLETA: "&amp;TRIM(IF($A361="","tipo ","")&amp;IF($F361="","fecha de firma ","")&amp;IF($G361="","decisión ","")&amp;IF($H361="","N° resolución ","")&amp;IF($I361="","N° dictamen","")),IF(LEFT($N361,4)&lt;&gt;"CONC","OK",IF(N($Q361)=0,IF(AND(ISNUMBER($E361),$E361&gt;=DATE(2024,1,1)),"FALTA EN evol_conc","OK"),IF(INDEX(evol_conc!$H:$H,$Q361)&lt;&gt;$F361,"FIRMA DISTINTA EN evol_conc ("&amp;IF(INDEX(evol_conc!$H:$H,$Q361)="","vacía",DAY(INDEX(evol_conc!$H:$H,$Q361))&amp;"/"&amp;MONTH(INDEX(evol_conc!$H:$H,$Q361))&amp;"/"&amp;YEAR(INDEX(evol_conc!$H:$H,$Q361)))&amp;")",IF(INDEX(evol_conc!$G:$G,$Q361)&lt;&gt;$E361,"INGRESO DISTINTO EN evol_conc ("&amp;IF(INDEX(evol_conc!$G:$G,$Q361)="","vacía",DAY(INDEX(evol_conc!$G:$G,$Q361))&amp;"/"&amp;MONTH(INDEX(evol_conc!$G:$G,$Q361))&amp;"/"&amp;YEAR(INDEX(evol_conc!$G:$G,$Q361)))&amp;")","OK"))))))))</f>
        <v/>
      </c>
      <c r="Q361" t="str">
        <f ca="1">IF($N361="","",IFERROR(MATCH($N361,evol_conc!$P:$P,0),0))</f>
        <v/>
      </c>
    </row>
    <row r="362" spans="12:17" ht="18" hidden="1" customHeight="1" x14ac:dyDescent="0.25">
      <c r="L362" s="53" t="str">
        <f t="shared" si="10"/>
        <v/>
      </c>
      <c r="M362" s="19" t="str">
        <f t="shared" si="11"/>
        <v/>
      </c>
      <c r="N362" t="str">
        <f ca="1">IF(TRIM(SUBSTITUTE($B362,CHAR(160)," "))="","",IFERROR(IF(ISNUMBER(SEARCH("INC",$B362)),"INC",IF(ISNUMBER(SEARCH("OPI",$B362)),"OPI",IF(ISNUMBER(SEARCH("DP",$B362)),"DP","CONC")))&amp;" "&amp;TEXT(LOOKUP(9.99E+307,--MID(SUBSTITUTE($B362,CHAR(160)," "),SUMPRODUCT(MIN(FIND({0,1,2,3,4,5,6,7,8,9},SUBSTITUTE($B362,CHAR(160)," ")&amp;"0123456789"))),ROW(INDIRECT("1:6")))),"0"),"SIN NUMERO"))</f>
        <v/>
      </c>
      <c r="O362" t="str">
        <f ca="1">IF($N362="","",IF(LEFT(UPPER($P362),9)="VERIFICAR","VERIFICAR",IF(AND($H362&lt;&gt;"",COUNTIFS($N$2:$N$1000,$N362,$H$2:$H$1000,$H362)&gt;1),"DUPLICADA",IF(TRIM(IF($A362="","tipo ","")&amp;IF($F362="","fecha de firma ","")&amp;IF($G362="","decisión ","")&amp;IF($H362="","N° resolución ","")&amp;IF($I362="","N° dictamen",""))&lt;&gt;"","INCOMPLETA: "&amp;TRIM(IF($A362="","tipo ","")&amp;IF($F362="","fecha de firma ","")&amp;IF($G362="","decisión ","")&amp;IF($H362="","N° resolución ","")&amp;IF($I362="","N° dictamen","")),IF(LEFT($N362,4)&lt;&gt;"CONC","OK",IF(N($Q362)=0,IF(AND(ISNUMBER($E362),$E362&gt;=DATE(2024,1,1)),"FALTA EN evol_conc","OK"),IF(INDEX(evol_conc!$H:$H,$Q362)&lt;&gt;$F362,"FIRMA DISTINTA EN evol_conc ("&amp;IF(INDEX(evol_conc!$H:$H,$Q362)="","vacía",DAY(INDEX(evol_conc!$H:$H,$Q362))&amp;"/"&amp;MONTH(INDEX(evol_conc!$H:$H,$Q362))&amp;"/"&amp;YEAR(INDEX(evol_conc!$H:$H,$Q362)))&amp;")",IF(INDEX(evol_conc!$G:$G,$Q362)&lt;&gt;$E362,"INGRESO DISTINTO EN evol_conc ("&amp;IF(INDEX(evol_conc!$G:$G,$Q362)="","vacía",DAY(INDEX(evol_conc!$G:$G,$Q362))&amp;"/"&amp;MONTH(INDEX(evol_conc!$G:$G,$Q362))&amp;"/"&amp;YEAR(INDEX(evol_conc!$G:$G,$Q362)))&amp;")","OK"))))))))</f>
        <v/>
      </c>
      <c r="Q362" t="str">
        <f ca="1">IF($N362="","",IFERROR(MATCH($N362,evol_conc!$P:$P,0),0))</f>
        <v/>
      </c>
    </row>
    <row r="363" spans="12:17" ht="18" hidden="1" customHeight="1" x14ac:dyDescent="0.25">
      <c r="L363" s="53" t="str">
        <f t="shared" si="10"/>
        <v/>
      </c>
      <c r="M363" s="19" t="str">
        <f t="shared" si="11"/>
        <v/>
      </c>
      <c r="N363" t="str">
        <f ca="1">IF(TRIM(SUBSTITUTE($B363,CHAR(160)," "))="","",IFERROR(IF(ISNUMBER(SEARCH("INC",$B363)),"INC",IF(ISNUMBER(SEARCH("OPI",$B363)),"OPI",IF(ISNUMBER(SEARCH("DP",$B363)),"DP","CONC")))&amp;" "&amp;TEXT(LOOKUP(9.99E+307,--MID(SUBSTITUTE($B363,CHAR(160)," "),SUMPRODUCT(MIN(FIND({0,1,2,3,4,5,6,7,8,9},SUBSTITUTE($B363,CHAR(160)," ")&amp;"0123456789"))),ROW(INDIRECT("1:6")))),"0"),"SIN NUMERO"))</f>
        <v/>
      </c>
      <c r="O363" t="str">
        <f ca="1">IF($N363="","",IF(LEFT(UPPER($P363),9)="VERIFICAR","VERIFICAR",IF(AND($H363&lt;&gt;"",COUNTIFS($N$2:$N$1000,$N363,$H$2:$H$1000,$H363)&gt;1),"DUPLICADA",IF(TRIM(IF($A363="","tipo ","")&amp;IF($F363="","fecha de firma ","")&amp;IF($G363="","decisión ","")&amp;IF($H363="","N° resolución ","")&amp;IF($I363="","N° dictamen",""))&lt;&gt;"","INCOMPLETA: "&amp;TRIM(IF($A363="","tipo ","")&amp;IF($F363="","fecha de firma ","")&amp;IF($G363="","decisión ","")&amp;IF($H363="","N° resolución ","")&amp;IF($I363="","N° dictamen","")),IF(LEFT($N363,4)&lt;&gt;"CONC","OK",IF(N($Q363)=0,IF(AND(ISNUMBER($E363),$E363&gt;=DATE(2024,1,1)),"FALTA EN evol_conc","OK"),IF(INDEX(evol_conc!$H:$H,$Q363)&lt;&gt;$F363,"FIRMA DISTINTA EN evol_conc ("&amp;IF(INDEX(evol_conc!$H:$H,$Q363)="","vacía",DAY(INDEX(evol_conc!$H:$H,$Q363))&amp;"/"&amp;MONTH(INDEX(evol_conc!$H:$H,$Q363))&amp;"/"&amp;YEAR(INDEX(evol_conc!$H:$H,$Q363)))&amp;")",IF(INDEX(evol_conc!$G:$G,$Q363)&lt;&gt;$E363,"INGRESO DISTINTO EN evol_conc ("&amp;IF(INDEX(evol_conc!$G:$G,$Q363)="","vacía",DAY(INDEX(evol_conc!$G:$G,$Q363))&amp;"/"&amp;MONTH(INDEX(evol_conc!$G:$G,$Q363))&amp;"/"&amp;YEAR(INDEX(evol_conc!$G:$G,$Q363)))&amp;")","OK"))))))))</f>
        <v/>
      </c>
      <c r="Q363" t="str">
        <f ca="1">IF($N363="","",IFERROR(MATCH($N363,evol_conc!$P:$P,0),0))</f>
        <v/>
      </c>
    </row>
    <row r="364" spans="12:17" ht="18" hidden="1" customHeight="1" x14ac:dyDescent="0.25">
      <c r="L364" s="53" t="str">
        <f t="shared" si="10"/>
        <v/>
      </c>
      <c r="M364" s="19" t="str">
        <f t="shared" si="11"/>
        <v/>
      </c>
      <c r="N364" t="str">
        <f ca="1">IF(TRIM(SUBSTITUTE($B364,CHAR(160)," "))="","",IFERROR(IF(ISNUMBER(SEARCH("INC",$B364)),"INC",IF(ISNUMBER(SEARCH("OPI",$B364)),"OPI",IF(ISNUMBER(SEARCH("DP",$B364)),"DP","CONC")))&amp;" "&amp;TEXT(LOOKUP(9.99E+307,--MID(SUBSTITUTE($B364,CHAR(160)," "),SUMPRODUCT(MIN(FIND({0,1,2,3,4,5,6,7,8,9},SUBSTITUTE($B364,CHAR(160)," ")&amp;"0123456789"))),ROW(INDIRECT("1:6")))),"0"),"SIN NUMERO"))</f>
        <v/>
      </c>
      <c r="O364" t="str">
        <f ca="1">IF($N364="","",IF(LEFT(UPPER($P364),9)="VERIFICAR","VERIFICAR",IF(AND($H364&lt;&gt;"",COUNTIFS($N$2:$N$1000,$N364,$H$2:$H$1000,$H364)&gt;1),"DUPLICADA",IF(TRIM(IF($A364="","tipo ","")&amp;IF($F364="","fecha de firma ","")&amp;IF($G364="","decisión ","")&amp;IF($H364="","N° resolución ","")&amp;IF($I364="","N° dictamen",""))&lt;&gt;"","INCOMPLETA: "&amp;TRIM(IF($A364="","tipo ","")&amp;IF($F364="","fecha de firma ","")&amp;IF($G364="","decisión ","")&amp;IF($H364="","N° resolución ","")&amp;IF($I364="","N° dictamen","")),IF(LEFT($N364,4)&lt;&gt;"CONC","OK",IF(N($Q364)=0,IF(AND(ISNUMBER($E364),$E364&gt;=DATE(2024,1,1)),"FALTA EN evol_conc","OK"),IF(INDEX(evol_conc!$H:$H,$Q364)&lt;&gt;$F364,"FIRMA DISTINTA EN evol_conc ("&amp;IF(INDEX(evol_conc!$H:$H,$Q364)="","vacía",DAY(INDEX(evol_conc!$H:$H,$Q364))&amp;"/"&amp;MONTH(INDEX(evol_conc!$H:$H,$Q364))&amp;"/"&amp;YEAR(INDEX(evol_conc!$H:$H,$Q364)))&amp;")",IF(INDEX(evol_conc!$G:$G,$Q364)&lt;&gt;$E364,"INGRESO DISTINTO EN evol_conc ("&amp;IF(INDEX(evol_conc!$G:$G,$Q364)="","vacía",DAY(INDEX(evol_conc!$G:$G,$Q364))&amp;"/"&amp;MONTH(INDEX(evol_conc!$G:$G,$Q364))&amp;"/"&amp;YEAR(INDEX(evol_conc!$G:$G,$Q364)))&amp;")","OK"))))))))</f>
        <v/>
      </c>
      <c r="Q364" t="str">
        <f ca="1">IF($N364="","",IFERROR(MATCH($N364,evol_conc!$P:$P,0),0))</f>
        <v/>
      </c>
    </row>
    <row r="365" spans="12:17" ht="18" hidden="1" customHeight="1" x14ac:dyDescent="0.25">
      <c r="L365" s="53" t="str">
        <f t="shared" si="10"/>
        <v/>
      </c>
      <c r="M365" s="19" t="str">
        <f t="shared" si="11"/>
        <v/>
      </c>
      <c r="N365" t="str">
        <f ca="1">IF(TRIM(SUBSTITUTE($B365,CHAR(160)," "))="","",IFERROR(IF(ISNUMBER(SEARCH("INC",$B365)),"INC",IF(ISNUMBER(SEARCH("OPI",$B365)),"OPI",IF(ISNUMBER(SEARCH("DP",$B365)),"DP","CONC")))&amp;" "&amp;TEXT(LOOKUP(9.99E+307,--MID(SUBSTITUTE($B365,CHAR(160)," "),SUMPRODUCT(MIN(FIND({0,1,2,3,4,5,6,7,8,9},SUBSTITUTE($B365,CHAR(160)," ")&amp;"0123456789"))),ROW(INDIRECT("1:6")))),"0"),"SIN NUMERO"))</f>
        <v/>
      </c>
      <c r="O365" t="str">
        <f ca="1">IF($N365="","",IF(LEFT(UPPER($P365),9)="VERIFICAR","VERIFICAR",IF(AND($H365&lt;&gt;"",COUNTIFS($N$2:$N$1000,$N365,$H$2:$H$1000,$H365)&gt;1),"DUPLICADA",IF(TRIM(IF($A365="","tipo ","")&amp;IF($F365="","fecha de firma ","")&amp;IF($G365="","decisión ","")&amp;IF($H365="","N° resolución ","")&amp;IF($I365="","N° dictamen",""))&lt;&gt;"","INCOMPLETA: "&amp;TRIM(IF($A365="","tipo ","")&amp;IF($F365="","fecha de firma ","")&amp;IF($G365="","decisión ","")&amp;IF($H365="","N° resolución ","")&amp;IF($I365="","N° dictamen","")),IF(LEFT($N365,4)&lt;&gt;"CONC","OK",IF(N($Q365)=0,IF(AND(ISNUMBER($E365),$E365&gt;=DATE(2024,1,1)),"FALTA EN evol_conc","OK"),IF(INDEX(evol_conc!$H:$H,$Q365)&lt;&gt;$F365,"FIRMA DISTINTA EN evol_conc ("&amp;IF(INDEX(evol_conc!$H:$H,$Q365)="","vacía",DAY(INDEX(evol_conc!$H:$H,$Q365))&amp;"/"&amp;MONTH(INDEX(evol_conc!$H:$H,$Q365))&amp;"/"&amp;YEAR(INDEX(evol_conc!$H:$H,$Q365)))&amp;")",IF(INDEX(evol_conc!$G:$G,$Q365)&lt;&gt;$E365,"INGRESO DISTINTO EN evol_conc ("&amp;IF(INDEX(evol_conc!$G:$G,$Q365)="","vacía",DAY(INDEX(evol_conc!$G:$G,$Q365))&amp;"/"&amp;MONTH(INDEX(evol_conc!$G:$G,$Q365))&amp;"/"&amp;YEAR(INDEX(evol_conc!$G:$G,$Q365)))&amp;")","OK"))))))))</f>
        <v/>
      </c>
      <c r="Q365" t="str">
        <f ca="1">IF($N365="","",IFERROR(MATCH($N365,evol_conc!$P:$P,0),0))</f>
        <v/>
      </c>
    </row>
    <row r="366" spans="12:17" ht="18" hidden="1" customHeight="1" x14ac:dyDescent="0.25">
      <c r="L366" s="53" t="str">
        <f t="shared" si="10"/>
        <v/>
      </c>
      <c r="M366" s="19" t="str">
        <f t="shared" si="11"/>
        <v/>
      </c>
      <c r="N366" t="str">
        <f ca="1">IF(TRIM(SUBSTITUTE($B366,CHAR(160)," "))="","",IFERROR(IF(ISNUMBER(SEARCH("INC",$B366)),"INC",IF(ISNUMBER(SEARCH("OPI",$B366)),"OPI",IF(ISNUMBER(SEARCH("DP",$B366)),"DP","CONC")))&amp;" "&amp;TEXT(LOOKUP(9.99E+307,--MID(SUBSTITUTE($B366,CHAR(160)," "),SUMPRODUCT(MIN(FIND({0,1,2,3,4,5,6,7,8,9},SUBSTITUTE($B366,CHAR(160)," ")&amp;"0123456789"))),ROW(INDIRECT("1:6")))),"0"),"SIN NUMERO"))</f>
        <v/>
      </c>
      <c r="O366" t="str">
        <f ca="1">IF($N366="","",IF(LEFT(UPPER($P366),9)="VERIFICAR","VERIFICAR",IF(AND($H366&lt;&gt;"",COUNTIFS($N$2:$N$1000,$N366,$H$2:$H$1000,$H366)&gt;1),"DUPLICADA",IF(TRIM(IF($A366="","tipo ","")&amp;IF($F366="","fecha de firma ","")&amp;IF($G366="","decisión ","")&amp;IF($H366="","N° resolución ","")&amp;IF($I366="","N° dictamen",""))&lt;&gt;"","INCOMPLETA: "&amp;TRIM(IF($A366="","tipo ","")&amp;IF($F366="","fecha de firma ","")&amp;IF($G366="","decisión ","")&amp;IF($H366="","N° resolución ","")&amp;IF($I366="","N° dictamen","")),IF(LEFT($N366,4)&lt;&gt;"CONC","OK",IF(N($Q366)=0,IF(AND(ISNUMBER($E366),$E366&gt;=DATE(2024,1,1)),"FALTA EN evol_conc","OK"),IF(INDEX(evol_conc!$H:$H,$Q366)&lt;&gt;$F366,"FIRMA DISTINTA EN evol_conc ("&amp;IF(INDEX(evol_conc!$H:$H,$Q366)="","vacía",DAY(INDEX(evol_conc!$H:$H,$Q366))&amp;"/"&amp;MONTH(INDEX(evol_conc!$H:$H,$Q366))&amp;"/"&amp;YEAR(INDEX(evol_conc!$H:$H,$Q366)))&amp;")",IF(INDEX(evol_conc!$G:$G,$Q366)&lt;&gt;$E366,"INGRESO DISTINTO EN evol_conc ("&amp;IF(INDEX(evol_conc!$G:$G,$Q366)="","vacía",DAY(INDEX(evol_conc!$G:$G,$Q366))&amp;"/"&amp;MONTH(INDEX(evol_conc!$G:$G,$Q366))&amp;"/"&amp;YEAR(INDEX(evol_conc!$G:$G,$Q366)))&amp;")","OK"))))))))</f>
        <v/>
      </c>
      <c r="Q366" t="str">
        <f ca="1">IF($N366="","",IFERROR(MATCH($N366,evol_conc!$P:$P,0),0))</f>
        <v/>
      </c>
    </row>
    <row r="367" spans="12:17" ht="18" hidden="1" customHeight="1" x14ac:dyDescent="0.25">
      <c r="L367" s="53" t="str">
        <f t="shared" si="10"/>
        <v/>
      </c>
      <c r="M367" s="19" t="str">
        <f t="shared" si="11"/>
        <v/>
      </c>
      <c r="N367" t="str">
        <f ca="1">IF(TRIM(SUBSTITUTE($B367,CHAR(160)," "))="","",IFERROR(IF(ISNUMBER(SEARCH("INC",$B367)),"INC",IF(ISNUMBER(SEARCH("OPI",$B367)),"OPI",IF(ISNUMBER(SEARCH("DP",$B367)),"DP","CONC")))&amp;" "&amp;TEXT(LOOKUP(9.99E+307,--MID(SUBSTITUTE($B367,CHAR(160)," "),SUMPRODUCT(MIN(FIND({0,1,2,3,4,5,6,7,8,9},SUBSTITUTE($B367,CHAR(160)," ")&amp;"0123456789"))),ROW(INDIRECT("1:6")))),"0"),"SIN NUMERO"))</f>
        <v/>
      </c>
      <c r="O367" t="str">
        <f ca="1">IF($N367="","",IF(LEFT(UPPER($P367),9)="VERIFICAR","VERIFICAR",IF(AND($H367&lt;&gt;"",COUNTIFS($N$2:$N$1000,$N367,$H$2:$H$1000,$H367)&gt;1),"DUPLICADA",IF(TRIM(IF($A367="","tipo ","")&amp;IF($F367="","fecha de firma ","")&amp;IF($G367="","decisión ","")&amp;IF($H367="","N° resolución ","")&amp;IF($I367="","N° dictamen",""))&lt;&gt;"","INCOMPLETA: "&amp;TRIM(IF($A367="","tipo ","")&amp;IF($F367="","fecha de firma ","")&amp;IF($G367="","decisión ","")&amp;IF($H367="","N° resolución ","")&amp;IF($I367="","N° dictamen","")),IF(LEFT($N367,4)&lt;&gt;"CONC","OK",IF(N($Q367)=0,IF(AND(ISNUMBER($E367),$E367&gt;=DATE(2024,1,1)),"FALTA EN evol_conc","OK"),IF(INDEX(evol_conc!$H:$H,$Q367)&lt;&gt;$F367,"FIRMA DISTINTA EN evol_conc ("&amp;IF(INDEX(evol_conc!$H:$H,$Q367)="","vacía",DAY(INDEX(evol_conc!$H:$H,$Q367))&amp;"/"&amp;MONTH(INDEX(evol_conc!$H:$H,$Q367))&amp;"/"&amp;YEAR(INDEX(evol_conc!$H:$H,$Q367)))&amp;")",IF(INDEX(evol_conc!$G:$G,$Q367)&lt;&gt;$E367,"INGRESO DISTINTO EN evol_conc ("&amp;IF(INDEX(evol_conc!$G:$G,$Q367)="","vacía",DAY(INDEX(evol_conc!$G:$G,$Q367))&amp;"/"&amp;MONTH(INDEX(evol_conc!$G:$G,$Q367))&amp;"/"&amp;YEAR(INDEX(evol_conc!$G:$G,$Q367)))&amp;")","OK"))))))))</f>
        <v/>
      </c>
      <c r="Q367" t="str">
        <f ca="1">IF($N367="","",IFERROR(MATCH($N367,evol_conc!$P:$P,0),0))</f>
        <v/>
      </c>
    </row>
    <row r="368" spans="12:17" ht="18" hidden="1" customHeight="1" x14ac:dyDescent="0.25">
      <c r="L368" s="53" t="str">
        <f t="shared" si="10"/>
        <v/>
      </c>
      <c r="M368" s="19" t="str">
        <f t="shared" si="11"/>
        <v/>
      </c>
      <c r="N368" t="str">
        <f ca="1">IF(TRIM(SUBSTITUTE($B368,CHAR(160)," "))="","",IFERROR(IF(ISNUMBER(SEARCH("INC",$B368)),"INC",IF(ISNUMBER(SEARCH("OPI",$B368)),"OPI",IF(ISNUMBER(SEARCH("DP",$B368)),"DP","CONC")))&amp;" "&amp;TEXT(LOOKUP(9.99E+307,--MID(SUBSTITUTE($B368,CHAR(160)," "),SUMPRODUCT(MIN(FIND({0,1,2,3,4,5,6,7,8,9},SUBSTITUTE($B368,CHAR(160)," ")&amp;"0123456789"))),ROW(INDIRECT("1:6")))),"0"),"SIN NUMERO"))</f>
        <v/>
      </c>
      <c r="O368" t="str">
        <f ca="1">IF($N368="","",IF(LEFT(UPPER($P368),9)="VERIFICAR","VERIFICAR",IF(AND($H368&lt;&gt;"",COUNTIFS($N$2:$N$1000,$N368,$H$2:$H$1000,$H368)&gt;1),"DUPLICADA",IF(TRIM(IF($A368="","tipo ","")&amp;IF($F368="","fecha de firma ","")&amp;IF($G368="","decisión ","")&amp;IF($H368="","N° resolución ","")&amp;IF($I368="","N° dictamen",""))&lt;&gt;"","INCOMPLETA: "&amp;TRIM(IF($A368="","tipo ","")&amp;IF($F368="","fecha de firma ","")&amp;IF($G368="","decisión ","")&amp;IF($H368="","N° resolución ","")&amp;IF($I368="","N° dictamen","")),IF(LEFT($N368,4)&lt;&gt;"CONC","OK",IF(N($Q368)=0,IF(AND(ISNUMBER($E368),$E368&gt;=DATE(2024,1,1)),"FALTA EN evol_conc","OK"),IF(INDEX(evol_conc!$H:$H,$Q368)&lt;&gt;$F368,"FIRMA DISTINTA EN evol_conc ("&amp;IF(INDEX(evol_conc!$H:$H,$Q368)="","vacía",DAY(INDEX(evol_conc!$H:$H,$Q368))&amp;"/"&amp;MONTH(INDEX(evol_conc!$H:$H,$Q368))&amp;"/"&amp;YEAR(INDEX(evol_conc!$H:$H,$Q368)))&amp;")",IF(INDEX(evol_conc!$G:$G,$Q368)&lt;&gt;$E368,"INGRESO DISTINTO EN evol_conc ("&amp;IF(INDEX(evol_conc!$G:$G,$Q368)="","vacía",DAY(INDEX(evol_conc!$G:$G,$Q368))&amp;"/"&amp;MONTH(INDEX(evol_conc!$G:$G,$Q368))&amp;"/"&amp;YEAR(INDEX(evol_conc!$G:$G,$Q368)))&amp;")","OK"))))))))</f>
        <v/>
      </c>
      <c r="Q368" t="str">
        <f ca="1">IF($N368="","",IFERROR(MATCH($N368,evol_conc!$P:$P,0),0))</f>
        <v/>
      </c>
    </row>
    <row r="369" spans="12:17" ht="18" hidden="1" customHeight="1" x14ac:dyDescent="0.25">
      <c r="L369" s="53" t="str">
        <f t="shared" si="10"/>
        <v/>
      </c>
      <c r="M369" s="19" t="str">
        <f t="shared" si="11"/>
        <v/>
      </c>
      <c r="N369" t="str">
        <f ca="1">IF(TRIM(SUBSTITUTE($B369,CHAR(160)," "))="","",IFERROR(IF(ISNUMBER(SEARCH("INC",$B369)),"INC",IF(ISNUMBER(SEARCH("OPI",$B369)),"OPI",IF(ISNUMBER(SEARCH("DP",$B369)),"DP","CONC")))&amp;" "&amp;TEXT(LOOKUP(9.99E+307,--MID(SUBSTITUTE($B369,CHAR(160)," "),SUMPRODUCT(MIN(FIND({0,1,2,3,4,5,6,7,8,9},SUBSTITUTE($B369,CHAR(160)," ")&amp;"0123456789"))),ROW(INDIRECT("1:6")))),"0"),"SIN NUMERO"))</f>
        <v/>
      </c>
      <c r="O369" t="str">
        <f ca="1">IF($N369="","",IF(LEFT(UPPER($P369),9)="VERIFICAR","VERIFICAR",IF(AND($H369&lt;&gt;"",COUNTIFS($N$2:$N$1000,$N369,$H$2:$H$1000,$H369)&gt;1),"DUPLICADA",IF(TRIM(IF($A369="","tipo ","")&amp;IF($F369="","fecha de firma ","")&amp;IF($G369="","decisión ","")&amp;IF($H369="","N° resolución ","")&amp;IF($I369="","N° dictamen",""))&lt;&gt;"","INCOMPLETA: "&amp;TRIM(IF($A369="","tipo ","")&amp;IF($F369="","fecha de firma ","")&amp;IF($G369="","decisión ","")&amp;IF($H369="","N° resolución ","")&amp;IF($I369="","N° dictamen","")),IF(LEFT($N369,4)&lt;&gt;"CONC","OK",IF(N($Q369)=0,IF(AND(ISNUMBER($E369),$E369&gt;=DATE(2024,1,1)),"FALTA EN evol_conc","OK"),IF(INDEX(evol_conc!$H:$H,$Q369)&lt;&gt;$F369,"FIRMA DISTINTA EN evol_conc ("&amp;IF(INDEX(evol_conc!$H:$H,$Q369)="","vacía",DAY(INDEX(evol_conc!$H:$H,$Q369))&amp;"/"&amp;MONTH(INDEX(evol_conc!$H:$H,$Q369))&amp;"/"&amp;YEAR(INDEX(evol_conc!$H:$H,$Q369)))&amp;")",IF(INDEX(evol_conc!$G:$G,$Q369)&lt;&gt;$E369,"INGRESO DISTINTO EN evol_conc ("&amp;IF(INDEX(evol_conc!$G:$G,$Q369)="","vacía",DAY(INDEX(evol_conc!$G:$G,$Q369))&amp;"/"&amp;MONTH(INDEX(evol_conc!$G:$G,$Q369))&amp;"/"&amp;YEAR(INDEX(evol_conc!$G:$G,$Q369)))&amp;")","OK"))))))))</f>
        <v/>
      </c>
      <c r="Q369" t="str">
        <f ca="1">IF($N369="","",IFERROR(MATCH($N369,evol_conc!$P:$P,0),0))</f>
        <v/>
      </c>
    </row>
    <row r="370" spans="12:17" ht="18" hidden="1" customHeight="1" x14ac:dyDescent="0.25">
      <c r="L370" s="53" t="str">
        <f t="shared" si="10"/>
        <v/>
      </c>
      <c r="M370" s="19" t="str">
        <f t="shared" si="11"/>
        <v/>
      </c>
      <c r="N370" t="str">
        <f ca="1">IF(TRIM(SUBSTITUTE($B370,CHAR(160)," "))="","",IFERROR(IF(ISNUMBER(SEARCH("INC",$B370)),"INC",IF(ISNUMBER(SEARCH("OPI",$B370)),"OPI",IF(ISNUMBER(SEARCH("DP",$B370)),"DP","CONC")))&amp;" "&amp;TEXT(LOOKUP(9.99E+307,--MID(SUBSTITUTE($B370,CHAR(160)," "),SUMPRODUCT(MIN(FIND({0,1,2,3,4,5,6,7,8,9},SUBSTITUTE($B370,CHAR(160)," ")&amp;"0123456789"))),ROW(INDIRECT("1:6")))),"0"),"SIN NUMERO"))</f>
        <v/>
      </c>
      <c r="O370" t="str">
        <f ca="1">IF($N370="","",IF(LEFT(UPPER($P370),9)="VERIFICAR","VERIFICAR",IF(AND($H370&lt;&gt;"",COUNTIFS($N$2:$N$1000,$N370,$H$2:$H$1000,$H370)&gt;1),"DUPLICADA",IF(TRIM(IF($A370="","tipo ","")&amp;IF($F370="","fecha de firma ","")&amp;IF($G370="","decisión ","")&amp;IF($H370="","N° resolución ","")&amp;IF($I370="","N° dictamen",""))&lt;&gt;"","INCOMPLETA: "&amp;TRIM(IF($A370="","tipo ","")&amp;IF($F370="","fecha de firma ","")&amp;IF($G370="","decisión ","")&amp;IF($H370="","N° resolución ","")&amp;IF($I370="","N° dictamen","")),IF(LEFT($N370,4)&lt;&gt;"CONC","OK",IF(N($Q370)=0,IF(AND(ISNUMBER($E370),$E370&gt;=DATE(2024,1,1)),"FALTA EN evol_conc","OK"),IF(INDEX(evol_conc!$H:$H,$Q370)&lt;&gt;$F370,"FIRMA DISTINTA EN evol_conc ("&amp;IF(INDEX(evol_conc!$H:$H,$Q370)="","vacía",DAY(INDEX(evol_conc!$H:$H,$Q370))&amp;"/"&amp;MONTH(INDEX(evol_conc!$H:$H,$Q370))&amp;"/"&amp;YEAR(INDEX(evol_conc!$H:$H,$Q370)))&amp;")",IF(INDEX(evol_conc!$G:$G,$Q370)&lt;&gt;$E370,"INGRESO DISTINTO EN evol_conc ("&amp;IF(INDEX(evol_conc!$G:$G,$Q370)="","vacía",DAY(INDEX(evol_conc!$G:$G,$Q370))&amp;"/"&amp;MONTH(INDEX(evol_conc!$G:$G,$Q370))&amp;"/"&amp;YEAR(INDEX(evol_conc!$G:$G,$Q370)))&amp;")","OK"))))))))</f>
        <v/>
      </c>
      <c r="Q370" t="str">
        <f ca="1">IF($N370="","",IFERROR(MATCH($N370,evol_conc!$P:$P,0),0))</f>
        <v/>
      </c>
    </row>
    <row r="371" spans="12:17" ht="18" hidden="1" customHeight="1" x14ac:dyDescent="0.25">
      <c r="L371" s="53" t="str">
        <f t="shared" si="10"/>
        <v/>
      </c>
      <c r="M371" s="19" t="str">
        <f t="shared" si="11"/>
        <v/>
      </c>
      <c r="N371" t="str">
        <f ca="1">IF(TRIM(SUBSTITUTE($B371,CHAR(160)," "))="","",IFERROR(IF(ISNUMBER(SEARCH("INC",$B371)),"INC",IF(ISNUMBER(SEARCH("OPI",$B371)),"OPI",IF(ISNUMBER(SEARCH("DP",$B371)),"DP","CONC")))&amp;" "&amp;TEXT(LOOKUP(9.99E+307,--MID(SUBSTITUTE($B371,CHAR(160)," "),SUMPRODUCT(MIN(FIND({0,1,2,3,4,5,6,7,8,9},SUBSTITUTE($B371,CHAR(160)," ")&amp;"0123456789"))),ROW(INDIRECT("1:6")))),"0"),"SIN NUMERO"))</f>
        <v/>
      </c>
      <c r="O371" t="str">
        <f ca="1">IF($N371="","",IF(LEFT(UPPER($P371),9)="VERIFICAR","VERIFICAR",IF(AND($H371&lt;&gt;"",COUNTIFS($N$2:$N$1000,$N371,$H$2:$H$1000,$H371)&gt;1),"DUPLICADA",IF(TRIM(IF($A371="","tipo ","")&amp;IF($F371="","fecha de firma ","")&amp;IF($G371="","decisión ","")&amp;IF($H371="","N° resolución ","")&amp;IF($I371="","N° dictamen",""))&lt;&gt;"","INCOMPLETA: "&amp;TRIM(IF($A371="","tipo ","")&amp;IF($F371="","fecha de firma ","")&amp;IF($G371="","decisión ","")&amp;IF($H371="","N° resolución ","")&amp;IF($I371="","N° dictamen","")),IF(LEFT($N371,4)&lt;&gt;"CONC","OK",IF(N($Q371)=0,IF(AND(ISNUMBER($E371),$E371&gt;=DATE(2024,1,1)),"FALTA EN evol_conc","OK"),IF(INDEX(evol_conc!$H:$H,$Q371)&lt;&gt;$F371,"FIRMA DISTINTA EN evol_conc ("&amp;IF(INDEX(evol_conc!$H:$H,$Q371)="","vacía",DAY(INDEX(evol_conc!$H:$H,$Q371))&amp;"/"&amp;MONTH(INDEX(evol_conc!$H:$H,$Q371))&amp;"/"&amp;YEAR(INDEX(evol_conc!$H:$H,$Q371)))&amp;")",IF(INDEX(evol_conc!$G:$G,$Q371)&lt;&gt;$E371,"INGRESO DISTINTO EN evol_conc ("&amp;IF(INDEX(evol_conc!$G:$G,$Q371)="","vacía",DAY(INDEX(evol_conc!$G:$G,$Q371))&amp;"/"&amp;MONTH(INDEX(evol_conc!$G:$G,$Q371))&amp;"/"&amp;YEAR(INDEX(evol_conc!$G:$G,$Q371)))&amp;")","OK"))))))))</f>
        <v/>
      </c>
      <c r="Q371" t="str">
        <f ca="1">IF($N371="","",IFERROR(MATCH($N371,evol_conc!$P:$P,0),0))</f>
        <v/>
      </c>
    </row>
    <row r="372" spans="12:17" ht="18" hidden="1" customHeight="1" x14ac:dyDescent="0.25">
      <c r="L372" s="53" t="str">
        <f t="shared" si="10"/>
        <v/>
      </c>
      <c r="M372" s="19" t="str">
        <f t="shared" si="11"/>
        <v/>
      </c>
      <c r="N372" t="str">
        <f ca="1">IF(TRIM(SUBSTITUTE($B372,CHAR(160)," "))="","",IFERROR(IF(ISNUMBER(SEARCH("INC",$B372)),"INC",IF(ISNUMBER(SEARCH("OPI",$B372)),"OPI",IF(ISNUMBER(SEARCH("DP",$B372)),"DP","CONC")))&amp;" "&amp;TEXT(LOOKUP(9.99E+307,--MID(SUBSTITUTE($B372,CHAR(160)," "),SUMPRODUCT(MIN(FIND({0,1,2,3,4,5,6,7,8,9},SUBSTITUTE($B372,CHAR(160)," ")&amp;"0123456789"))),ROW(INDIRECT("1:6")))),"0"),"SIN NUMERO"))</f>
        <v/>
      </c>
      <c r="O372" t="str">
        <f ca="1">IF($N372="","",IF(LEFT(UPPER($P372),9)="VERIFICAR","VERIFICAR",IF(AND($H372&lt;&gt;"",COUNTIFS($N$2:$N$1000,$N372,$H$2:$H$1000,$H372)&gt;1),"DUPLICADA",IF(TRIM(IF($A372="","tipo ","")&amp;IF($F372="","fecha de firma ","")&amp;IF($G372="","decisión ","")&amp;IF($H372="","N° resolución ","")&amp;IF($I372="","N° dictamen",""))&lt;&gt;"","INCOMPLETA: "&amp;TRIM(IF($A372="","tipo ","")&amp;IF($F372="","fecha de firma ","")&amp;IF($G372="","decisión ","")&amp;IF($H372="","N° resolución ","")&amp;IF($I372="","N° dictamen","")),IF(LEFT($N372,4)&lt;&gt;"CONC","OK",IF(N($Q372)=0,IF(AND(ISNUMBER($E372),$E372&gt;=DATE(2024,1,1)),"FALTA EN evol_conc","OK"),IF(INDEX(evol_conc!$H:$H,$Q372)&lt;&gt;$F372,"FIRMA DISTINTA EN evol_conc ("&amp;IF(INDEX(evol_conc!$H:$H,$Q372)="","vacía",DAY(INDEX(evol_conc!$H:$H,$Q372))&amp;"/"&amp;MONTH(INDEX(evol_conc!$H:$H,$Q372))&amp;"/"&amp;YEAR(INDEX(evol_conc!$H:$H,$Q372)))&amp;")",IF(INDEX(evol_conc!$G:$G,$Q372)&lt;&gt;$E372,"INGRESO DISTINTO EN evol_conc ("&amp;IF(INDEX(evol_conc!$G:$G,$Q372)="","vacía",DAY(INDEX(evol_conc!$G:$G,$Q372))&amp;"/"&amp;MONTH(INDEX(evol_conc!$G:$G,$Q372))&amp;"/"&amp;YEAR(INDEX(evol_conc!$G:$G,$Q372)))&amp;")","OK"))))))))</f>
        <v/>
      </c>
      <c r="Q372" t="str">
        <f ca="1">IF($N372="","",IFERROR(MATCH($N372,evol_conc!$P:$P,0),0))</f>
        <v/>
      </c>
    </row>
    <row r="373" spans="12:17" ht="18" hidden="1" customHeight="1" x14ac:dyDescent="0.25">
      <c r="L373" s="53" t="str">
        <f t="shared" si="10"/>
        <v/>
      </c>
      <c r="M373" s="19" t="str">
        <f t="shared" si="11"/>
        <v/>
      </c>
      <c r="N373" t="str">
        <f ca="1">IF(TRIM(SUBSTITUTE($B373,CHAR(160)," "))="","",IFERROR(IF(ISNUMBER(SEARCH("INC",$B373)),"INC",IF(ISNUMBER(SEARCH("OPI",$B373)),"OPI",IF(ISNUMBER(SEARCH("DP",$B373)),"DP","CONC")))&amp;" "&amp;TEXT(LOOKUP(9.99E+307,--MID(SUBSTITUTE($B373,CHAR(160)," "),SUMPRODUCT(MIN(FIND({0,1,2,3,4,5,6,7,8,9},SUBSTITUTE($B373,CHAR(160)," ")&amp;"0123456789"))),ROW(INDIRECT("1:6")))),"0"),"SIN NUMERO"))</f>
        <v/>
      </c>
      <c r="O373" t="str">
        <f ca="1">IF($N373="","",IF(LEFT(UPPER($P373),9)="VERIFICAR","VERIFICAR",IF(AND($H373&lt;&gt;"",COUNTIFS($N$2:$N$1000,$N373,$H$2:$H$1000,$H373)&gt;1),"DUPLICADA",IF(TRIM(IF($A373="","tipo ","")&amp;IF($F373="","fecha de firma ","")&amp;IF($G373="","decisión ","")&amp;IF($H373="","N° resolución ","")&amp;IF($I373="","N° dictamen",""))&lt;&gt;"","INCOMPLETA: "&amp;TRIM(IF($A373="","tipo ","")&amp;IF($F373="","fecha de firma ","")&amp;IF($G373="","decisión ","")&amp;IF($H373="","N° resolución ","")&amp;IF($I373="","N° dictamen","")),IF(LEFT($N373,4)&lt;&gt;"CONC","OK",IF(N($Q373)=0,IF(AND(ISNUMBER($E373),$E373&gt;=DATE(2024,1,1)),"FALTA EN evol_conc","OK"),IF(INDEX(evol_conc!$H:$H,$Q373)&lt;&gt;$F373,"FIRMA DISTINTA EN evol_conc ("&amp;IF(INDEX(evol_conc!$H:$H,$Q373)="","vacía",DAY(INDEX(evol_conc!$H:$H,$Q373))&amp;"/"&amp;MONTH(INDEX(evol_conc!$H:$H,$Q373))&amp;"/"&amp;YEAR(INDEX(evol_conc!$H:$H,$Q373)))&amp;")",IF(INDEX(evol_conc!$G:$G,$Q373)&lt;&gt;$E373,"INGRESO DISTINTO EN evol_conc ("&amp;IF(INDEX(evol_conc!$G:$G,$Q373)="","vacía",DAY(INDEX(evol_conc!$G:$G,$Q373))&amp;"/"&amp;MONTH(INDEX(evol_conc!$G:$G,$Q373))&amp;"/"&amp;YEAR(INDEX(evol_conc!$G:$G,$Q373)))&amp;")","OK"))))))))</f>
        <v/>
      </c>
      <c r="Q373" t="str">
        <f ca="1">IF($N373="","",IFERROR(MATCH($N373,evol_conc!$P:$P,0),0))</f>
        <v/>
      </c>
    </row>
    <row r="374" spans="12:17" ht="18" hidden="1" customHeight="1" x14ac:dyDescent="0.25">
      <c r="L374" s="53" t="str">
        <f t="shared" si="10"/>
        <v/>
      </c>
      <c r="M374" s="19" t="str">
        <f t="shared" si="11"/>
        <v/>
      </c>
      <c r="N374" t="str">
        <f ca="1">IF(TRIM(SUBSTITUTE($B374,CHAR(160)," "))="","",IFERROR(IF(ISNUMBER(SEARCH("INC",$B374)),"INC",IF(ISNUMBER(SEARCH("OPI",$B374)),"OPI",IF(ISNUMBER(SEARCH("DP",$B374)),"DP","CONC")))&amp;" "&amp;TEXT(LOOKUP(9.99E+307,--MID(SUBSTITUTE($B374,CHAR(160)," "),SUMPRODUCT(MIN(FIND({0,1,2,3,4,5,6,7,8,9},SUBSTITUTE($B374,CHAR(160)," ")&amp;"0123456789"))),ROW(INDIRECT("1:6")))),"0"),"SIN NUMERO"))</f>
        <v/>
      </c>
      <c r="O374" t="str">
        <f ca="1">IF($N374="","",IF(LEFT(UPPER($P374),9)="VERIFICAR","VERIFICAR",IF(AND($H374&lt;&gt;"",COUNTIFS($N$2:$N$1000,$N374,$H$2:$H$1000,$H374)&gt;1),"DUPLICADA",IF(TRIM(IF($A374="","tipo ","")&amp;IF($F374="","fecha de firma ","")&amp;IF($G374="","decisión ","")&amp;IF($H374="","N° resolución ","")&amp;IF($I374="","N° dictamen",""))&lt;&gt;"","INCOMPLETA: "&amp;TRIM(IF($A374="","tipo ","")&amp;IF($F374="","fecha de firma ","")&amp;IF($G374="","decisión ","")&amp;IF($H374="","N° resolución ","")&amp;IF($I374="","N° dictamen","")),IF(LEFT($N374,4)&lt;&gt;"CONC","OK",IF(N($Q374)=0,IF(AND(ISNUMBER($E374),$E374&gt;=DATE(2024,1,1)),"FALTA EN evol_conc","OK"),IF(INDEX(evol_conc!$H:$H,$Q374)&lt;&gt;$F374,"FIRMA DISTINTA EN evol_conc ("&amp;IF(INDEX(evol_conc!$H:$H,$Q374)="","vacía",DAY(INDEX(evol_conc!$H:$H,$Q374))&amp;"/"&amp;MONTH(INDEX(evol_conc!$H:$H,$Q374))&amp;"/"&amp;YEAR(INDEX(evol_conc!$H:$H,$Q374)))&amp;")",IF(INDEX(evol_conc!$G:$G,$Q374)&lt;&gt;$E374,"INGRESO DISTINTO EN evol_conc ("&amp;IF(INDEX(evol_conc!$G:$G,$Q374)="","vacía",DAY(INDEX(evol_conc!$G:$G,$Q374))&amp;"/"&amp;MONTH(INDEX(evol_conc!$G:$G,$Q374))&amp;"/"&amp;YEAR(INDEX(evol_conc!$G:$G,$Q374)))&amp;")","OK"))))))))</f>
        <v/>
      </c>
      <c r="Q374" t="str">
        <f ca="1">IF($N374="","",IFERROR(MATCH($N374,evol_conc!$P:$P,0),0))</f>
        <v/>
      </c>
    </row>
    <row r="375" spans="12:17" ht="18" hidden="1" customHeight="1" x14ac:dyDescent="0.25">
      <c r="L375" s="53" t="str">
        <f t="shared" si="10"/>
        <v/>
      </c>
      <c r="M375" s="19" t="str">
        <f t="shared" si="11"/>
        <v/>
      </c>
      <c r="N375" t="str">
        <f ca="1">IF(TRIM(SUBSTITUTE($B375,CHAR(160)," "))="","",IFERROR(IF(ISNUMBER(SEARCH("INC",$B375)),"INC",IF(ISNUMBER(SEARCH("OPI",$B375)),"OPI",IF(ISNUMBER(SEARCH("DP",$B375)),"DP","CONC")))&amp;" "&amp;TEXT(LOOKUP(9.99E+307,--MID(SUBSTITUTE($B375,CHAR(160)," "),SUMPRODUCT(MIN(FIND({0,1,2,3,4,5,6,7,8,9},SUBSTITUTE($B375,CHAR(160)," ")&amp;"0123456789"))),ROW(INDIRECT("1:6")))),"0"),"SIN NUMERO"))</f>
        <v/>
      </c>
      <c r="O375" t="str">
        <f ca="1">IF($N375="","",IF(LEFT(UPPER($P375),9)="VERIFICAR","VERIFICAR",IF(AND($H375&lt;&gt;"",COUNTIFS($N$2:$N$1000,$N375,$H$2:$H$1000,$H375)&gt;1),"DUPLICADA",IF(TRIM(IF($A375="","tipo ","")&amp;IF($F375="","fecha de firma ","")&amp;IF($G375="","decisión ","")&amp;IF($H375="","N° resolución ","")&amp;IF($I375="","N° dictamen",""))&lt;&gt;"","INCOMPLETA: "&amp;TRIM(IF($A375="","tipo ","")&amp;IF($F375="","fecha de firma ","")&amp;IF($G375="","decisión ","")&amp;IF($H375="","N° resolución ","")&amp;IF($I375="","N° dictamen","")),IF(LEFT($N375,4)&lt;&gt;"CONC","OK",IF(N($Q375)=0,IF(AND(ISNUMBER($E375),$E375&gt;=DATE(2024,1,1)),"FALTA EN evol_conc","OK"),IF(INDEX(evol_conc!$H:$H,$Q375)&lt;&gt;$F375,"FIRMA DISTINTA EN evol_conc ("&amp;IF(INDEX(evol_conc!$H:$H,$Q375)="","vacía",DAY(INDEX(evol_conc!$H:$H,$Q375))&amp;"/"&amp;MONTH(INDEX(evol_conc!$H:$H,$Q375))&amp;"/"&amp;YEAR(INDEX(evol_conc!$H:$H,$Q375)))&amp;")",IF(INDEX(evol_conc!$G:$G,$Q375)&lt;&gt;$E375,"INGRESO DISTINTO EN evol_conc ("&amp;IF(INDEX(evol_conc!$G:$G,$Q375)="","vacía",DAY(INDEX(evol_conc!$G:$G,$Q375))&amp;"/"&amp;MONTH(INDEX(evol_conc!$G:$G,$Q375))&amp;"/"&amp;YEAR(INDEX(evol_conc!$G:$G,$Q375)))&amp;")","OK"))))))))</f>
        <v/>
      </c>
      <c r="Q375" t="str">
        <f ca="1">IF($N375="","",IFERROR(MATCH($N375,evol_conc!$P:$P,0),0))</f>
        <v/>
      </c>
    </row>
    <row r="376" spans="12:17" ht="18" hidden="1" customHeight="1" x14ac:dyDescent="0.25">
      <c r="L376" s="53" t="str">
        <f t="shared" si="10"/>
        <v/>
      </c>
      <c r="M376" s="19" t="str">
        <f t="shared" si="11"/>
        <v/>
      </c>
      <c r="N376" t="str">
        <f ca="1">IF(TRIM(SUBSTITUTE($B376,CHAR(160)," "))="","",IFERROR(IF(ISNUMBER(SEARCH("INC",$B376)),"INC",IF(ISNUMBER(SEARCH("OPI",$B376)),"OPI",IF(ISNUMBER(SEARCH("DP",$B376)),"DP","CONC")))&amp;" "&amp;TEXT(LOOKUP(9.99E+307,--MID(SUBSTITUTE($B376,CHAR(160)," "),SUMPRODUCT(MIN(FIND({0,1,2,3,4,5,6,7,8,9},SUBSTITUTE($B376,CHAR(160)," ")&amp;"0123456789"))),ROW(INDIRECT("1:6")))),"0"),"SIN NUMERO"))</f>
        <v/>
      </c>
      <c r="O376" t="str">
        <f ca="1">IF($N376="","",IF(LEFT(UPPER($P376),9)="VERIFICAR","VERIFICAR",IF(AND($H376&lt;&gt;"",COUNTIFS($N$2:$N$1000,$N376,$H$2:$H$1000,$H376)&gt;1),"DUPLICADA",IF(TRIM(IF($A376="","tipo ","")&amp;IF($F376="","fecha de firma ","")&amp;IF($G376="","decisión ","")&amp;IF($H376="","N° resolución ","")&amp;IF($I376="","N° dictamen",""))&lt;&gt;"","INCOMPLETA: "&amp;TRIM(IF($A376="","tipo ","")&amp;IF($F376="","fecha de firma ","")&amp;IF($G376="","decisión ","")&amp;IF($H376="","N° resolución ","")&amp;IF($I376="","N° dictamen","")),IF(LEFT($N376,4)&lt;&gt;"CONC","OK",IF(N($Q376)=0,IF(AND(ISNUMBER($E376),$E376&gt;=DATE(2024,1,1)),"FALTA EN evol_conc","OK"),IF(INDEX(evol_conc!$H:$H,$Q376)&lt;&gt;$F376,"FIRMA DISTINTA EN evol_conc ("&amp;IF(INDEX(evol_conc!$H:$H,$Q376)="","vacía",DAY(INDEX(evol_conc!$H:$H,$Q376))&amp;"/"&amp;MONTH(INDEX(evol_conc!$H:$H,$Q376))&amp;"/"&amp;YEAR(INDEX(evol_conc!$H:$H,$Q376)))&amp;")",IF(INDEX(evol_conc!$G:$G,$Q376)&lt;&gt;$E376,"INGRESO DISTINTO EN evol_conc ("&amp;IF(INDEX(evol_conc!$G:$G,$Q376)="","vacía",DAY(INDEX(evol_conc!$G:$G,$Q376))&amp;"/"&amp;MONTH(INDEX(evol_conc!$G:$G,$Q376))&amp;"/"&amp;YEAR(INDEX(evol_conc!$G:$G,$Q376)))&amp;")","OK"))))))))</f>
        <v/>
      </c>
      <c r="Q376" t="str">
        <f ca="1">IF($N376="","",IFERROR(MATCH($N376,evol_conc!$P:$P,0),0))</f>
        <v/>
      </c>
    </row>
    <row r="377" spans="12:17" ht="18" hidden="1" customHeight="1" x14ac:dyDescent="0.25">
      <c r="L377" s="53" t="str">
        <f t="shared" si="10"/>
        <v/>
      </c>
      <c r="M377" s="19" t="str">
        <f t="shared" si="11"/>
        <v/>
      </c>
      <c r="N377" t="str">
        <f ca="1">IF(TRIM(SUBSTITUTE($B377,CHAR(160)," "))="","",IFERROR(IF(ISNUMBER(SEARCH("INC",$B377)),"INC",IF(ISNUMBER(SEARCH("OPI",$B377)),"OPI",IF(ISNUMBER(SEARCH("DP",$B377)),"DP","CONC")))&amp;" "&amp;TEXT(LOOKUP(9.99E+307,--MID(SUBSTITUTE($B377,CHAR(160)," "),SUMPRODUCT(MIN(FIND({0,1,2,3,4,5,6,7,8,9},SUBSTITUTE($B377,CHAR(160)," ")&amp;"0123456789"))),ROW(INDIRECT("1:6")))),"0"),"SIN NUMERO"))</f>
        <v/>
      </c>
      <c r="O377" t="str">
        <f ca="1">IF($N377="","",IF(LEFT(UPPER($P377),9)="VERIFICAR","VERIFICAR",IF(AND($H377&lt;&gt;"",COUNTIFS($N$2:$N$1000,$N377,$H$2:$H$1000,$H377)&gt;1),"DUPLICADA",IF(TRIM(IF($A377="","tipo ","")&amp;IF($F377="","fecha de firma ","")&amp;IF($G377="","decisión ","")&amp;IF($H377="","N° resolución ","")&amp;IF($I377="","N° dictamen",""))&lt;&gt;"","INCOMPLETA: "&amp;TRIM(IF($A377="","tipo ","")&amp;IF($F377="","fecha de firma ","")&amp;IF($G377="","decisión ","")&amp;IF($H377="","N° resolución ","")&amp;IF($I377="","N° dictamen","")),IF(LEFT($N377,4)&lt;&gt;"CONC","OK",IF(N($Q377)=0,IF(AND(ISNUMBER($E377),$E377&gt;=DATE(2024,1,1)),"FALTA EN evol_conc","OK"),IF(INDEX(evol_conc!$H:$H,$Q377)&lt;&gt;$F377,"FIRMA DISTINTA EN evol_conc ("&amp;IF(INDEX(evol_conc!$H:$H,$Q377)="","vacía",DAY(INDEX(evol_conc!$H:$H,$Q377))&amp;"/"&amp;MONTH(INDEX(evol_conc!$H:$H,$Q377))&amp;"/"&amp;YEAR(INDEX(evol_conc!$H:$H,$Q377)))&amp;")",IF(INDEX(evol_conc!$G:$G,$Q377)&lt;&gt;$E377,"INGRESO DISTINTO EN evol_conc ("&amp;IF(INDEX(evol_conc!$G:$G,$Q377)="","vacía",DAY(INDEX(evol_conc!$G:$G,$Q377))&amp;"/"&amp;MONTH(INDEX(evol_conc!$G:$G,$Q377))&amp;"/"&amp;YEAR(INDEX(evol_conc!$G:$G,$Q377)))&amp;")","OK"))))))))</f>
        <v/>
      </c>
      <c r="Q377" t="str">
        <f ca="1">IF($N377="","",IFERROR(MATCH($N377,evol_conc!$P:$P,0),0))</f>
        <v/>
      </c>
    </row>
    <row r="378" spans="12:17" ht="18" hidden="1" customHeight="1" x14ac:dyDescent="0.25">
      <c r="L378" s="53" t="str">
        <f t="shared" si="10"/>
        <v/>
      </c>
      <c r="M378" s="19" t="str">
        <f t="shared" si="11"/>
        <v/>
      </c>
      <c r="N378" t="str">
        <f ca="1">IF(TRIM(SUBSTITUTE($B378,CHAR(160)," "))="","",IFERROR(IF(ISNUMBER(SEARCH("INC",$B378)),"INC",IF(ISNUMBER(SEARCH("OPI",$B378)),"OPI",IF(ISNUMBER(SEARCH("DP",$B378)),"DP","CONC")))&amp;" "&amp;TEXT(LOOKUP(9.99E+307,--MID(SUBSTITUTE($B378,CHAR(160)," "),SUMPRODUCT(MIN(FIND({0,1,2,3,4,5,6,7,8,9},SUBSTITUTE($B378,CHAR(160)," ")&amp;"0123456789"))),ROW(INDIRECT("1:6")))),"0"),"SIN NUMERO"))</f>
        <v/>
      </c>
      <c r="O378" t="str">
        <f ca="1">IF($N378="","",IF(LEFT(UPPER($P378),9)="VERIFICAR","VERIFICAR",IF(AND($H378&lt;&gt;"",COUNTIFS($N$2:$N$1000,$N378,$H$2:$H$1000,$H378)&gt;1),"DUPLICADA",IF(TRIM(IF($A378="","tipo ","")&amp;IF($F378="","fecha de firma ","")&amp;IF($G378="","decisión ","")&amp;IF($H378="","N° resolución ","")&amp;IF($I378="","N° dictamen",""))&lt;&gt;"","INCOMPLETA: "&amp;TRIM(IF($A378="","tipo ","")&amp;IF($F378="","fecha de firma ","")&amp;IF($G378="","decisión ","")&amp;IF($H378="","N° resolución ","")&amp;IF($I378="","N° dictamen","")),IF(LEFT($N378,4)&lt;&gt;"CONC","OK",IF(N($Q378)=0,IF(AND(ISNUMBER($E378),$E378&gt;=DATE(2024,1,1)),"FALTA EN evol_conc","OK"),IF(INDEX(evol_conc!$H:$H,$Q378)&lt;&gt;$F378,"FIRMA DISTINTA EN evol_conc ("&amp;IF(INDEX(evol_conc!$H:$H,$Q378)="","vacía",DAY(INDEX(evol_conc!$H:$H,$Q378))&amp;"/"&amp;MONTH(INDEX(evol_conc!$H:$H,$Q378))&amp;"/"&amp;YEAR(INDEX(evol_conc!$H:$H,$Q378)))&amp;")",IF(INDEX(evol_conc!$G:$G,$Q378)&lt;&gt;$E378,"INGRESO DISTINTO EN evol_conc ("&amp;IF(INDEX(evol_conc!$G:$G,$Q378)="","vacía",DAY(INDEX(evol_conc!$G:$G,$Q378))&amp;"/"&amp;MONTH(INDEX(evol_conc!$G:$G,$Q378))&amp;"/"&amp;YEAR(INDEX(evol_conc!$G:$G,$Q378)))&amp;")","OK"))))))))</f>
        <v/>
      </c>
      <c r="Q378" t="str">
        <f ca="1">IF($N378="","",IFERROR(MATCH($N378,evol_conc!$P:$P,0),0))</f>
        <v/>
      </c>
    </row>
    <row r="379" spans="12:17" ht="18" hidden="1" customHeight="1" x14ac:dyDescent="0.25">
      <c r="L379" s="53" t="str">
        <f t="shared" si="10"/>
        <v/>
      </c>
      <c r="M379" s="19" t="str">
        <f t="shared" si="11"/>
        <v/>
      </c>
      <c r="N379" t="str">
        <f ca="1">IF(TRIM(SUBSTITUTE($B379,CHAR(160)," "))="","",IFERROR(IF(ISNUMBER(SEARCH("INC",$B379)),"INC",IF(ISNUMBER(SEARCH("OPI",$B379)),"OPI",IF(ISNUMBER(SEARCH("DP",$B379)),"DP","CONC")))&amp;" "&amp;TEXT(LOOKUP(9.99E+307,--MID(SUBSTITUTE($B379,CHAR(160)," "),SUMPRODUCT(MIN(FIND({0,1,2,3,4,5,6,7,8,9},SUBSTITUTE($B379,CHAR(160)," ")&amp;"0123456789"))),ROW(INDIRECT("1:6")))),"0"),"SIN NUMERO"))</f>
        <v/>
      </c>
      <c r="O379" t="str">
        <f ca="1">IF($N379="","",IF(LEFT(UPPER($P379),9)="VERIFICAR","VERIFICAR",IF(AND($H379&lt;&gt;"",COUNTIFS($N$2:$N$1000,$N379,$H$2:$H$1000,$H379)&gt;1),"DUPLICADA",IF(TRIM(IF($A379="","tipo ","")&amp;IF($F379="","fecha de firma ","")&amp;IF($G379="","decisión ","")&amp;IF($H379="","N° resolución ","")&amp;IF($I379="","N° dictamen",""))&lt;&gt;"","INCOMPLETA: "&amp;TRIM(IF($A379="","tipo ","")&amp;IF($F379="","fecha de firma ","")&amp;IF($G379="","decisión ","")&amp;IF($H379="","N° resolución ","")&amp;IF($I379="","N° dictamen","")),IF(LEFT($N379,4)&lt;&gt;"CONC","OK",IF(N($Q379)=0,IF(AND(ISNUMBER($E379),$E379&gt;=DATE(2024,1,1)),"FALTA EN evol_conc","OK"),IF(INDEX(evol_conc!$H:$H,$Q379)&lt;&gt;$F379,"FIRMA DISTINTA EN evol_conc ("&amp;IF(INDEX(evol_conc!$H:$H,$Q379)="","vacía",DAY(INDEX(evol_conc!$H:$H,$Q379))&amp;"/"&amp;MONTH(INDEX(evol_conc!$H:$H,$Q379))&amp;"/"&amp;YEAR(INDEX(evol_conc!$H:$H,$Q379)))&amp;")",IF(INDEX(evol_conc!$G:$G,$Q379)&lt;&gt;$E379,"INGRESO DISTINTO EN evol_conc ("&amp;IF(INDEX(evol_conc!$G:$G,$Q379)="","vacía",DAY(INDEX(evol_conc!$G:$G,$Q379))&amp;"/"&amp;MONTH(INDEX(evol_conc!$G:$G,$Q379))&amp;"/"&amp;YEAR(INDEX(evol_conc!$G:$G,$Q379)))&amp;")","OK"))))))))</f>
        <v/>
      </c>
      <c r="Q379" t="str">
        <f ca="1">IF($N379="","",IFERROR(MATCH($N379,evol_conc!$P:$P,0),0))</f>
        <v/>
      </c>
    </row>
    <row r="380" spans="12:17" ht="18" hidden="1" customHeight="1" x14ac:dyDescent="0.25">
      <c r="L380" s="53" t="str">
        <f t="shared" si="10"/>
        <v/>
      </c>
      <c r="M380" s="19" t="str">
        <f t="shared" si="11"/>
        <v/>
      </c>
      <c r="N380" t="str">
        <f ca="1">IF(TRIM(SUBSTITUTE($B380,CHAR(160)," "))="","",IFERROR(IF(ISNUMBER(SEARCH("INC",$B380)),"INC",IF(ISNUMBER(SEARCH("OPI",$B380)),"OPI",IF(ISNUMBER(SEARCH("DP",$B380)),"DP","CONC")))&amp;" "&amp;TEXT(LOOKUP(9.99E+307,--MID(SUBSTITUTE($B380,CHAR(160)," "),SUMPRODUCT(MIN(FIND({0,1,2,3,4,5,6,7,8,9},SUBSTITUTE($B380,CHAR(160)," ")&amp;"0123456789"))),ROW(INDIRECT("1:6")))),"0"),"SIN NUMERO"))</f>
        <v/>
      </c>
      <c r="O380" t="str">
        <f ca="1">IF($N380="","",IF(LEFT(UPPER($P380),9)="VERIFICAR","VERIFICAR",IF(AND($H380&lt;&gt;"",COUNTIFS($N$2:$N$1000,$N380,$H$2:$H$1000,$H380)&gt;1),"DUPLICADA",IF(TRIM(IF($A380="","tipo ","")&amp;IF($F380="","fecha de firma ","")&amp;IF($G380="","decisión ","")&amp;IF($H380="","N° resolución ","")&amp;IF($I380="","N° dictamen",""))&lt;&gt;"","INCOMPLETA: "&amp;TRIM(IF($A380="","tipo ","")&amp;IF($F380="","fecha de firma ","")&amp;IF($G380="","decisión ","")&amp;IF($H380="","N° resolución ","")&amp;IF($I380="","N° dictamen","")),IF(LEFT($N380,4)&lt;&gt;"CONC","OK",IF(N($Q380)=0,IF(AND(ISNUMBER($E380),$E380&gt;=DATE(2024,1,1)),"FALTA EN evol_conc","OK"),IF(INDEX(evol_conc!$H:$H,$Q380)&lt;&gt;$F380,"FIRMA DISTINTA EN evol_conc ("&amp;IF(INDEX(evol_conc!$H:$H,$Q380)="","vacía",DAY(INDEX(evol_conc!$H:$H,$Q380))&amp;"/"&amp;MONTH(INDEX(evol_conc!$H:$H,$Q380))&amp;"/"&amp;YEAR(INDEX(evol_conc!$H:$H,$Q380)))&amp;")",IF(INDEX(evol_conc!$G:$G,$Q380)&lt;&gt;$E380,"INGRESO DISTINTO EN evol_conc ("&amp;IF(INDEX(evol_conc!$G:$G,$Q380)="","vacía",DAY(INDEX(evol_conc!$G:$G,$Q380))&amp;"/"&amp;MONTH(INDEX(evol_conc!$G:$G,$Q380))&amp;"/"&amp;YEAR(INDEX(evol_conc!$G:$G,$Q380)))&amp;")","OK"))))))))</f>
        <v/>
      </c>
      <c r="Q380" t="str">
        <f ca="1">IF($N380="","",IFERROR(MATCH($N380,evol_conc!$P:$P,0),0))</f>
        <v/>
      </c>
    </row>
    <row r="381" spans="12:17" ht="18" hidden="1" customHeight="1" x14ac:dyDescent="0.25">
      <c r="L381" s="53" t="str">
        <f t="shared" si="10"/>
        <v/>
      </c>
      <c r="M381" s="19" t="str">
        <f t="shared" si="11"/>
        <v/>
      </c>
      <c r="N381" t="str">
        <f ca="1">IF(TRIM(SUBSTITUTE($B381,CHAR(160)," "))="","",IFERROR(IF(ISNUMBER(SEARCH("INC",$B381)),"INC",IF(ISNUMBER(SEARCH("OPI",$B381)),"OPI",IF(ISNUMBER(SEARCH("DP",$B381)),"DP","CONC")))&amp;" "&amp;TEXT(LOOKUP(9.99E+307,--MID(SUBSTITUTE($B381,CHAR(160)," "),SUMPRODUCT(MIN(FIND({0,1,2,3,4,5,6,7,8,9},SUBSTITUTE($B381,CHAR(160)," ")&amp;"0123456789"))),ROW(INDIRECT("1:6")))),"0"),"SIN NUMERO"))</f>
        <v/>
      </c>
      <c r="O381" t="str">
        <f ca="1">IF($N381="","",IF(LEFT(UPPER($P381),9)="VERIFICAR","VERIFICAR",IF(AND($H381&lt;&gt;"",COUNTIFS($N$2:$N$1000,$N381,$H$2:$H$1000,$H381)&gt;1),"DUPLICADA",IF(TRIM(IF($A381="","tipo ","")&amp;IF($F381="","fecha de firma ","")&amp;IF($G381="","decisión ","")&amp;IF($H381="","N° resolución ","")&amp;IF($I381="","N° dictamen",""))&lt;&gt;"","INCOMPLETA: "&amp;TRIM(IF($A381="","tipo ","")&amp;IF($F381="","fecha de firma ","")&amp;IF($G381="","decisión ","")&amp;IF($H381="","N° resolución ","")&amp;IF($I381="","N° dictamen","")),IF(LEFT($N381,4)&lt;&gt;"CONC","OK",IF(N($Q381)=0,IF(AND(ISNUMBER($E381),$E381&gt;=DATE(2024,1,1)),"FALTA EN evol_conc","OK"),IF(INDEX(evol_conc!$H:$H,$Q381)&lt;&gt;$F381,"FIRMA DISTINTA EN evol_conc ("&amp;IF(INDEX(evol_conc!$H:$H,$Q381)="","vacía",DAY(INDEX(evol_conc!$H:$H,$Q381))&amp;"/"&amp;MONTH(INDEX(evol_conc!$H:$H,$Q381))&amp;"/"&amp;YEAR(INDEX(evol_conc!$H:$H,$Q381)))&amp;")",IF(INDEX(evol_conc!$G:$G,$Q381)&lt;&gt;$E381,"INGRESO DISTINTO EN evol_conc ("&amp;IF(INDEX(evol_conc!$G:$G,$Q381)="","vacía",DAY(INDEX(evol_conc!$G:$G,$Q381))&amp;"/"&amp;MONTH(INDEX(evol_conc!$G:$G,$Q381))&amp;"/"&amp;YEAR(INDEX(evol_conc!$G:$G,$Q381)))&amp;")","OK"))))))))</f>
        <v/>
      </c>
      <c r="Q381" t="str">
        <f ca="1">IF($N381="","",IFERROR(MATCH($N381,evol_conc!$P:$P,0),0))</f>
        <v/>
      </c>
    </row>
    <row r="382" spans="12:17" ht="18" hidden="1" customHeight="1" x14ac:dyDescent="0.25">
      <c r="L382" s="53" t="str">
        <f t="shared" si="10"/>
        <v/>
      </c>
      <c r="M382" s="19" t="str">
        <f t="shared" si="11"/>
        <v/>
      </c>
      <c r="N382" t="str">
        <f ca="1">IF(TRIM(SUBSTITUTE($B382,CHAR(160)," "))="","",IFERROR(IF(ISNUMBER(SEARCH("INC",$B382)),"INC",IF(ISNUMBER(SEARCH("OPI",$B382)),"OPI",IF(ISNUMBER(SEARCH("DP",$B382)),"DP","CONC")))&amp;" "&amp;TEXT(LOOKUP(9.99E+307,--MID(SUBSTITUTE($B382,CHAR(160)," "),SUMPRODUCT(MIN(FIND({0,1,2,3,4,5,6,7,8,9},SUBSTITUTE($B382,CHAR(160)," ")&amp;"0123456789"))),ROW(INDIRECT("1:6")))),"0"),"SIN NUMERO"))</f>
        <v/>
      </c>
      <c r="O382" t="str">
        <f ca="1">IF($N382="","",IF(LEFT(UPPER($P382),9)="VERIFICAR","VERIFICAR",IF(AND($H382&lt;&gt;"",COUNTIFS($N$2:$N$1000,$N382,$H$2:$H$1000,$H382)&gt;1),"DUPLICADA",IF(TRIM(IF($A382="","tipo ","")&amp;IF($F382="","fecha de firma ","")&amp;IF($G382="","decisión ","")&amp;IF($H382="","N° resolución ","")&amp;IF($I382="","N° dictamen",""))&lt;&gt;"","INCOMPLETA: "&amp;TRIM(IF($A382="","tipo ","")&amp;IF($F382="","fecha de firma ","")&amp;IF($G382="","decisión ","")&amp;IF($H382="","N° resolución ","")&amp;IF($I382="","N° dictamen","")),IF(LEFT($N382,4)&lt;&gt;"CONC","OK",IF(N($Q382)=0,IF(AND(ISNUMBER($E382),$E382&gt;=DATE(2024,1,1)),"FALTA EN evol_conc","OK"),IF(INDEX(evol_conc!$H:$H,$Q382)&lt;&gt;$F382,"FIRMA DISTINTA EN evol_conc ("&amp;IF(INDEX(evol_conc!$H:$H,$Q382)="","vacía",DAY(INDEX(evol_conc!$H:$H,$Q382))&amp;"/"&amp;MONTH(INDEX(evol_conc!$H:$H,$Q382))&amp;"/"&amp;YEAR(INDEX(evol_conc!$H:$H,$Q382)))&amp;")",IF(INDEX(evol_conc!$G:$G,$Q382)&lt;&gt;$E382,"INGRESO DISTINTO EN evol_conc ("&amp;IF(INDEX(evol_conc!$G:$G,$Q382)="","vacía",DAY(INDEX(evol_conc!$G:$G,$Q382))&amp;"/"&amp;MONTH(INDEX(evol_conc!$G:$G,$Q382))&amp;"/"&amp;YEAR(INDEX(evol_conc!$G:$G,$Q382)))&amp;")","OK"))))))))</f>
        <v/>
      </c>
      <c r="Q382" t="str">
        <f ca="1">IF($N382="","",IFERROR(MATCH($N382,evol_conc!$P:$P,0),0))</f>
        <v/>
      </c>
    </row>
    <row r="383" spans="12:17" ht="18" hidden="1" customHeight="1" x14ac:dyDescent="0.25">
      <c r="L383" s="53" t="str">
        <f t="shared" si="10"/>
        <v/>
      </c>
      <c r="M383" s="19" t="str">
        <f t="shared" si="11"/>
        <v/>
      </c>
      <c r="N383" t="str">
        <f ca="1">IF(TRIM(SUBSTITUTE($B383,CHAR(160)," "))="","",IFERROR(IF(ISNUMBER(SEARCH("INC",$B383)),"INC",IF(ISNUMBER(SEARCH("OPI",$B383)),"OPI",IF(ISNUMBER(SEARCH("DP",$B383)),"DP","CONC")))&amp;" "&amp;TEXT(LOOKUP(9.99E+307,--MID(SUBSTITUTE($B383,CHAR(160)," "),SUMPRODUCT(MIN(FIND({0,1,2,3,4,5,6,7,8,9},SUBSTITUTE($B383,CHAR(160)," ")&amp;"0123456789"))),ROW(INDIRECT("1:6")))),"0"),"SIN NUMERO"))</f>
        <v/>
      </c>
      <c r="O383" t="str">
        <f ca="1">IF($N383="","",IF(LEFT(UPPER($P383),9)="VERIFICAR","VERIFICAR",IF(AND($H383&lt;&gt;"",COUNTIFS($N$2:$N$1000,$N383,$H$2:$H$1000,$H383)&gt;1),"DUPLICADA",IF(TRIM(IF($A383="","tipo ","")&amp;IF($F383="","fecha de firma ","")&amp;IF($G383="","decisión ","")&amp;IF($H383="","N° resolución ","")&amp;IF($I383="","N° dictamen",""))&lt;&gt;"","INCOMPLETA: "&amp;TRIM(IF($A383="","tipo ","")&amp;IF($F383="","fecha de firma ","")&amp;IF($G383="","decisión ","")&amp;IF($H383="","N° resolución ","")&amp;IF($I383="","N° dictamen","")),IF(LEFT($N383,4)&lt;&gt;"CONC","OK",IF(N($Q383)=0,IF(AND(ISNUMBER($E383),$E383&gt;=DATE(2024,1,1)),"FALTA EN evol_conc","OK"),IF(INDEX(evol_conc!$H:$H,$Q383)&lt;&gt;$F383,"FIRMA DISTINTA EN evol_conc ("&amp;IF(INDEX(evol_conc!$H:$H,$Q383)="","vacía",DAY(INDEX(evol_conc!$H:$H,$Q383))&amp;"/"&amp;MONTH(INDEX(evol_conc!$H:$H,$Q383))&amp;"/"&amp;YEAR(INDEX(evol_conc!$H:$H,$Q383)))&amp;")",IF(INDEX(evol_conc!$G:$G,$Q383)&lt;&gt;$E383,"INGRESO DISTINTO EN evol_conc ("&amp;IF(INDEX(evol_conc!$G:$G,$Q383)="","vacía",DAY(INDEX(evol_conc!$G:$G,$Q383))&amp;"/"&amp;MONTH(INDEX(evol_conc!$G:$G,$Q383))&amp;"/"&amp;YEAR(INDEX(evol_conc!$G:$G,$Q383)))&amp;")","OK"))))))))</f>
        <v/>
      </c>
      <c r="Q383" t="str">
        <f ca="1">IF($N383="","",IFERROR(MATCH($N383,evol_conc!$P:$P,0),0))</f>
        <v/>
      </c>
    </row>
    <row r="384" spans="12:17" ht="18" hidden="1" customHeight="1" x14ac:dyDescent="0.25">
      <c r="L384" s="53" t="str">
        <f t="shared" si="10"/>
        <v/>
      </c>
      <c r="M384" s="19" t="str">
        <f t="shared" si="11"/>
        <v/>
      </c>
      <c r="N384" t="str">
        <f ca="1">IF(TRIM(SUBSTITUTE($B384,CHAR(160)," "))="","",IFERROR(IF(ISNUMBER(SEARCH("INC",$B384)),"INC",IF(ISNUMBER(SEARCH("OPI",$B384)),"OPI",IF(ISNUMBER(SEARCH("DP",$B384)),"DP","CONC")))&amp;" "&amp;TEXT(LOOKUP(9.99E+307,--MID(SUBSTITUTE($B384,CHAR(160)," "),SUMPRODUCT(MIN(FIND({0,1,2,3,4,5,6,7,8,9},SUBSTITUTE($B384,CHAR(160)," ")&amp;"0123456789"))),ROW(INDIRECT("1:6")))),"0"),"SIN NUMERO"))</f>
        <v/>
      </c>
      <c r="O384" t="str">
        <f ca="1">IF($N384="","",IF(LEFT(UPPER($P384),9)="VERIFICAR","VERIFICAR",IF(AND($H384&lt;&gt;"",COUNTIFS($N$2:$N$1000,$N384,$H$2:$H$1000,$H384)&gt;1),"DUPLICADA",IF(TRIM(IF($A384="","tipo ","")&amp;IF($F384="","fecha de firma ","")&amp;IF($G384="","decisión ","")&amp;IF($H384="","N° resolución ","")&amp;IF($I384="","N° dictamen",""))&lt;&gt;"","INCOMPLETA: "&amp;TRIM(IF($A384="","tipo ","")&amp;IF($F384="","fecha de firma ","")&amp;IF($G384="","decisión ","")&amp;IF($H384="","N° resolución ","")&amp;IF($I384="","N° dictamen","")),IF(LEFT($N384,4)&lt;&gt;"CONC","OK",IF(N($Q384)=0,IF(AND(ISNUMBER($E384),$E384&gt;=DATE(2024,1,1)),"FALTA EN evol_conc","OK"),IF(INDEX(evol_conc!$H:$H,$Q384)&lt;&gt;$F384,"FIRMA DISTINTA EN evol_conc ("&amp;IF(INDEX(evol_conc!$H:$H,$Q384)="","vacía",DAY(INDEX(evol_conc!$H:$H,$Q384))&amp;"/"&amp;MONTH(INDEX(evol_conc!$H:$H,$Q384))&amp;"/"&amp;YEAR(INDEX(evol_conc!$H:$H,$Q384)))&amp;")",IF(INDEX(evol_conc!$G:$G,$Q384)&lt;&gt;$E384,"INGRESO DISTINTO EN evol_conc ("&amp;IF(INDEX(evol_conc!$G:$G,$Q384)="","vacía",DAY(INDEX(evol_conc!$G:$G,$Q384))&amp;"/"&amp;MONTH(INDEX(evol_conc!$G:$G,$Q384))&amp;"/"&amp;YEAR(INDEX(evol_conc!$G:$G,$Q384)))&amp;")","OK"))))))))</f>
        <v/>
      </c>
      <c r="Q384" t="str">
        <f ca="1">IF($N384="","",IFERROR(MATCH($N384,evol_conc!$P:$P,0),0))</f>
        <v/>
      </c>
    </row>
    <row r="385" spans="12:17" ht="18" hidden="1" customHeight="1" x14ac:dyDescent="0.25">
      <c r="L385" s="53" t="str">
        <f t="shared" si="10"/>
        <v/>
      </c>
      <c r="M385" s="19" t="str">
        <f t="shared" si="11"/>
        <v/>
      </c>
      <c r="N385" t="str">
        <f ca="1">IF(TRIM(SUBSTITUTE($B385,CHAR(160)," "))="","",IFERROR(IF(ISNUMBER(SEARCH("INC",$B385)),"INC",IF(ISNUMBER(SEARCH("OPI",$B385)),"OPI",IF(ISNUMBER(SEARCH("DP",$B385)),"DP","CONC")))&amp;" "&amp;TEXT(LOOKUP(9.99E+307,--MID(SUBSTITUTE($B385,CHAR(160)," "),SUMPRODUCT(MIN(FIND({0,1,2,3,4,5,6,7,8,9},SUBSTITUTE($B385,CHAR(160)," ")&amp;"0123456789"))),ROW(INDIRECT("1:6")))),"0"),"SIN NUMERO"))</f>
        <v/>
      </c>
      <c r="O385" t="str">
        <f ca="1">IF($N385="","",IF(LEFT(UPPER($P385),9)="VERIFICAR","VERIFICAR",IF(AND($H385&lt;&gt;"",COUNTIFS($N$2:$N$1000,$N385,$H$2:$H$1000,$H385)&gt;1),"DUPLICADA",IF(TRIM(IF($A385="","tipo ","")&amp;IF($F385="","fecha de firma ","")&amp;IF($G385="","decisión ","")&amp;IF($H385="","N° resolución ","")&amp;IF($I385="","N° dictamen",""))&lt;&gt;"","INCOMPLETA: "&amp;TRIM(IF($A385="","tipo ","")&amp;IF($F385="","fecha de firma ","")&amp;IF($G385="","decisión ","")&amp;IF($H385="","N° resolución ","")&amp;IF($I385="","N° dictamen","")),IF(LEFT($N385,4)&lt;&gt;"CONC","OK",IF(N($Q385)=0,IF(AND(ISNUMBER($E385),$E385&gt;=DATE(2024,1,1)),"FALTA EN evol_conc","OK"),IF(INDEX(evol_conc!$H:$H,$Q385)&lt;&gt;$F385,"FIRMA DISTINTA EN evol_conc ("&amp;IF(INDEX(evol_conc!$H:$H,$Q385)="","vacía",DAY(INDEX(evol_conc!$H:$H,$Q385))&amp;"/"&amp;MONTH(INDEX(evol_conc!$H:$H,$Q385))&amp;"/"&amp;YEAR(INDEX(evol_conc!$H:$H,$Q385)))&amp;")",IF(INDEX(evol_conc!$G:$G,$Q385)&lt;&gt;$E385,"INGRESO DISTINTO EN evol_conc ("&amp;IF(INDEX(evol_conc!$G:$G,$Q385)="","vacía",DAY(INDEX(evol_conc!$G:$G,$Q385))&amp;"/"&amp;MONTH(INDEX(evol_conc!$G:$G,$Q385))&amp;"/"&amp;YEAR(INDEX(evol_conc!$G:$G,$Q385)))&amp;")","OK"))))))))</f>
        <v/>
      </c>
      <c r="Q385" t="str">
        <f ca="1">IF($N385="","",IFERROR(MATCH($N385,evol_conc!$P:$P,0),0))</f>
        <v/>
      </c>
    </row>
    <row r="386" spans="12:17" ht="18" hidden="1" customHeight="1" x14ac:dyDescent="0.25">
      <c r="L386" s="53" t="str">
        <f t="shared" ref="L386:L449" si="12">IF(OR($E386="",$F386=""),"",($F386-$E386)/30)</f>
        <v/>
      </c>
      <c r="M386" s="19" t="str">
        <f t="shared" ref="M386:M449" si="13">IF(OR($E386="",$F386=""),"",$F386-$E386)</f>
        <v/>
      </c>
      <c r="N386" t="str">
        <f ca="1">IF(TRIM(SUBSTITUTE($B386,CHAR(160)," "))="","",IFERROR(IF(ISNUMBER(SEARCH("INC",$B386)),"INC",IF(ISNUMBER(SEARCH("OPI",$B386)),"OPI",IF(ISNUMBER(SEARCH("DP",$B386)),"DP","CONC")))&amp;" "&amp;TEXT(LOOKUP(9.99E+307,--MID(SUBSTITUTE($B386,CHAR(160)," "),SUMPRODUCT(MIN(FIND({0,1,2,3,4,5,6,7,8,9},SUBSTITUTE($B386,CHAR(160)," ")&amp;"0123456789"))),ROW(INDIRECT("1:6")))),"0"),"SIN NUMERO"))</f>
        <v/>
      </c>
      <c r="O386" t="str">
        <f ca="1">IF($N386="","",IF(LEFT(UPPER($P386),9)="VERIFICAR","VERIFICAR",IF(AND($H386&lt;&gt;"",COUNTIFS($N$2:$N$1000,$N386,$H$2:$H$1000,$H386)&gt;1),"DUPLICADA",IF(TRIM(IF($A386="","tipo ","")&amp;IF($F386="","fecha de firma ","")&amp;IF($G386="","decisión ","")&amp;IF($H386="","N° resolución ","")&amp;IF($I386="","N° dictamen",""))&lt;&gt;"","INCOMPLETA: "&amp;TRIM(IF($A386="","tipo ","")&amp;IF($F386="","fecha de firma ","")&amp;IF($G386="","decisión ","")&amp;IF($H386="","N° resolución ","")&amp;IF($I386="","N° dictamen","")),IF(LEFT($N386,4)&lt;&gt;"CONC","OK",IF(N($Q386)=0,IF(AND(ISNUMBER($E386),$E386&gt;=DATE(2024,1,1)),"FALTA EN evol_conc","OK"),IF(INDEX(evol_conc!$H:$H,$Q386)&lt;&gt;$F386,"FIRMA DISTINTA EN evol_conc ("&amp;IF(INDEX(evol_conc!$H:$H,$Q386)="","vacía",DAY(INDEX(evol_conc!$H:$H,$Q386))&amp;"/"&amp;MONTH(INDEX(evol_conc!$H:$H,$Q386))&amp;"/"&amp;YEAR(INDEX(evol_conc!$H:$H,$Q386)))&amp;")",IF(INDEX(evol_conc!$G:$G,$Q386)&lt;&gt;$E386,"INGRESO DISTINTO EN evol_conc ("&amp;IF(INDEX(evol_conc!$G:$G,$Q386)="","vacía",DAY(INDEX(evol_conc!$G:$G,$Q386))&amp;"/"&amp;MONTH(INDEX(evol_conc!$G:$G,$Q386))&amp;"/"&amp;YEAR(INDEX(evol_conc!$G:$G,$Q386)))&amp;")","OK"))))))))</f>
        <v/>
      </c>
      <c r="Q386" t="str">
        <f ca="1">IF($N386="","",IFERROR(MATCH($N386,evol_conc!$P:$P,0),0))</f>
        <v/>
      </c>
    </row>
    <row r="387" spans="12:17" ht="18" hidden="1" customHeight="1" x14ac:dyDescent="0.25">
      <c r="L387" s="53" t="str">
        <f t="shared" si="12"/>
        <v/>
      </c>
      <c r="M387" s="19" t="str">
        <f t="shared" si="13"/>
        <v/>
      </c>
      <c r="N387" t="str">
        <f ca="1">IF(TRIM(SUBSTITUTE($B387,CHAR(160)," "))="","",IFERROR(IF(ISNUMBER(SEARCH("INC",$B387)),"INC",IF(ISNUMBER(SEARCH("OPI",$B387)),"OPI",IF(ISNUMBER(SEARCH("DP",$B387)),"DP","CONC")))&amp;" "&amp;TEXT(LOOKUP(9.99E+307,--MID(SUBSTITUTE($B387,CHAR(160)," "),SUMPRODUCT(MIN(FIND({0,1,2,3,4,5,6,7,8,9},SUBSTITUTE($B387,CHAR(160)," ")&amp;"0123456789"))),ROW(INDIRECT("1:6")))),"0"),"SIN NUMERO"))</f>
        <v/>
      </c>
      <c r="O387" t="str">
        <f ca="1">IF($N387="","",IF(LEFT(UPPER($P387),9)="VERIFICAR","VERIFICAR",IF(AND($H387&lt;&gt;"",COUNTIFS($N$2:$N$1000,$N387,$H$2:$H$1000,$H387)&gt;1),"DUPLICADA",IF(TRIM(IF($A387="","tipo ","")&amp;IF($F387="","fecha de firma ","")&amp;IF($G387="","decisión ","")&amp;IF($H387="","N° resolución ","")&amp;IF($I387="","N° dictamen",""))&lt;&gt;"","INCOMPLETA: "&amp;TRIM(IF($A387="","tipo ","")&amp;IF($F387="","fecha de firma ","")&amp;IF($G387="","decisión ","")&amp;IF($H387="","N° resolución ","")&amp;IF($I387="","N° dictamen","")),IF(LEFT($N387,4)&lt;&gt;"CONC","OK",IF(N($Q387)=0,IF(AND(ISNUMBER($E387),$E387&gt;=DATE(2024,1,1)),"FALTA EN evol_conc","OK"),IF(INDEX(evol_conc!$H:$H,$Q387)&lt;&gt;$F387,"FIRMA DISTINTA EN evol_conc ("&amp;IF(INDEX(evol_conc!$H:$H,$Q387)="","vacía",DAY(INDEX(evol_conc!$H:$H,$Q387))&amp;"/"&amp;MONTH(INDEX(evol_conc!$H:$H,$Q387))&amp;"/"&amp;YEAR(INDEX(evol_conc!$H:$H,$Q387)))&amp;")",IF(INDEX(evol_conc!$G:$G,$Q387)&lt;&gt;$E387,"INGRESO DISTINTO EN evol_conc ("&amp;IF(INDEX(evol_conc!$G:$G,$Q387)="","vacía",DAY(INDEX(evol_conc!$G:$G,$Q387))&amp;"/"&amp;MONTH(INDEX(evol_conc!$G:$G,$Q387))&amp;"/"&amp;YEAR(INDEX(evol_conc!$G:$G,$Q387)))&amp;")","OK"))))))))</f>
        <v/>
      </c>
      <c r="Q387" t="str">
        <f ca="1">IF($N387="","",IFERROR(MATCH($N387,evol_conc!$P:$P,0),0))</f>
        <v/>
      </c>
    </row>
    <row r="388" spans="12:17" ht="18" hidden="1" customHeight="1" x14ac:dyDescent="0.25">
      <c r="L388" s="53" t="str">
        <f t="shared" si="12"/>
        <v/>
      </c>
      <c r="M388" s="19" t="str">
        <f t="shared" si="13"/>
        <v/>
      </c>
      <c r="N388" t="str">
        <f ca="1">IF(TRIM(SUBSTITUTE($B388,CHAR(160)," "))="","",IFERROR(IF(ISNUMBER(SEARCH("INC",$B388)),"INC",IF(ISNUMBER(SEARCH("OPI",$B388)),"OPI",IF(ISNUMBER(SEARCH("DP",$B388)),"DP","CONC")))&amp;" "&amp;TEXT(LOOKUP(9.99E+307,--MID(SUBSTITUTE($B388,CHAR(160)," "),SUMPRODUCT(MIN(FIND({0,1,2,3,4,5,6,7,8,9},SUBSTITUTE($B388,CHAR(160)," ")&amp;"0123456789"))),ROW(INDIRECT("1:6")))),"0"),"SIN NUMERO"))</f>
        <v/>
      </c>
      <c r="O388" t="str">
        <f ca="1">IF($N388="","",IF(LEFT(UPPER($P388),9)="VERIFICAR","VERIFICAR",IF(AND($H388&lt;&gt;"",COUNTIFS($N$2:$N$1000,$N388,$H$2:$H$1000,$H388)&gt;1),"DUPLICADA",IF(TRIM(IF($A388="","tipo ","")&amp;IF($F388="","fecha de firma ","")&amp;IF($G388="","decisión ","")&amp;IF($H388="","N° resolución ","")&amp;IF($I388="","N° dictamen",""))&lt;&gt;"","INCOMPLETA: "&amp;TRIM(IF($A388="","tipo ","")&amp;IF($F388="","fecha de firma ","")&amp;IF($G388="","decisión ","")&amp;IF($H388="","N° resolución ","")&amp;IF($I388="","N° dictamen","")),IF(LEFT($N388,4)&lt;&gt;"CONC","OK",IF(N($Q388)=0,IF(AND(ISNUMBER($E388),$E388&gt;=DATE(2024,1,1)),"FALTA EN evol_conc","OK"),IF(INDEX(evol_conc!$H:$H,$Q388)&lt;&gt;$F388,"FIRMA DISTINTA EN evol_conc ("&amp;IF(INDEX(evol_conc!$H:$H,$Q388)="","vacía",DAY(INDEX(evol_conc!$H:$H,$Q388))&amp;"/"&amp;MONTH(INDEX(evol_conc!$H:$H,$Q388))&amp;"/"&amp;YEAR(INDEX(evol_conc!$H:$H,$Q388)))&amp;")",IF(INDEX(evol_conc!$G:$G,$Q388)&lt;&gt;$E388,"INGRESO DISTINTO EN evol_conc ("&amp;IF(INDEX(evol_conc!$G:$G,$Q388)="","vacía",DAY(INDEX(evol_conc!$G:$G,$Q388))&amp;"/"&amp;MONTH(INDEX(evol_conc!$G:$G,$Q388))&amp;"/"&amp;YEAR(INDEX(evol_conc!$G:$G,$Q388)))&amp;")","OK"))))))))</f>
        <v/>
      </c>
      <c r="Q388" t="str">
        <f ca="1">IF($N388="","",IFERROR(MATCH($N388,evol_conc!$P:$P,0),0))</f>
        <v/>
      </c>
    </row>
    <row r="389" spans="12:17" ht="18" hidden="1" customHeight="1" x14ac:dyDescent="0.25">
      <c r="L389" s="53" t="str">
        <f t="shared" si="12"/>
        <v/>
      </c>
      <c r="M389" s="19" t="str">
        <f t="shared" si="13"/>
        <v/>
      </c>
      <c r="N389" t="str">
        <f ca="1">IF(TRIM(SUBSTITUTE($B389,CHAR(160)," "))="","",IFERROR(IF(ISNUMBER(SEARCH("INC",$B389)),"INC",IF(ISNUMBER(SEARCH("OPI",$B389)),"OPI",IF(ISNUMBER(SEARCH("DP",$B389)),"DP","CONC")))&amp;" "&amp;TEXT(LOOKUP(9.99E+307,--MID(SUBSTITUTE($B389,CHAR(160)," "),SUMPRODUCT(MIN(FIND({0,1,2,3,4,5,6,7,8,9},SUBSTITUTE($B389,CHAR(160)," ")&amp;"0123456789"))),ROW(INDIRECT("1:6")))),"0"),"SIN NUMERO"))</f>
        <v/>
      </c>
      <c r="O389" t="str">
        <f ca="1">IF($N389="","",IF(LEFT(UPPER($P389),9)="VERIFICAR","VERIFICAR",IF(AND($H389&lt;&gt;"",COUNTIFS($N$2:$N$1000,$N389,$H$2:$H$1000,$H389)&gt;1),"DUPLICADA",IF(TRIM(IF($A389="","tipo ","")&amp;IF($F389="","fecha de firma ","")&amp;IF($G389="","decisión ","")&amp;IF($H389="","N° resolución ","")&amp;IF($I389="","N° dictamen",""))&lt;&gt;"","INCOMPLETA: "&amp;TRIM(IF($A389="","tipo ","")&amp;IF($F389="","fecha de firma ","")&amp;IF($G389="","decisión ","")&amp;IF($H389="","N° resolución ","")&amp;IF($I389="","N° dictamen","")),IF(LEFT($N389,4)&lt;&gt;"CONC","OK",IF(N($Q389)=0,IF(AND(ISNUMBER($E389),$E389&gt;=DATE(2024,1,1)),"FALTA EN evol_conc","OK"),IF(INDEX(evol_conc!$H:$H,$Q389)&lt;&gt;$F389,"FIRMA DISTINTA EN evol_conc ("&amp;IF(INDEX(evol_conc!$H:$H,$Q389)="","vacía",DAY(INDEX(evol_conc!$H:$H,$Q389))&amp;"/"&amp;MONTH(INDEX(evol_conc!$H:$H,$Q389))&amp;"/"&amp;YEAR(INDEX(evol_conc!$H:$H,$Q389)))&amp;")",IF(INDEX(evol_conc!$G:$G,$Q389)&lt;&gt;$E389,"INGRESO DISTINTO EN evol_conc ("&amp;IF(INDEX(evol_conc!$G:$G,$Q389)="","vacía",DAY(INDEX(evol_conc!$G:$G,$Q389))&amp;"/"&amp;MONTH(INDEX(evol_conc!$G:$G,$Q389))&amp;"/"&amp;YEAR(INDEX(evol_conc!$G:$G,$Q389)))&amp;")","OK"))))))))</f>
        <v/>
      </c>
      <c r="Q389" t="str">
        <f ca="1">IF($N389="","",IFERROR(MATCH($N389,evol_conc!$P:$P,0),0))</f>
        <v/>
      </c>
    </row>
    <row r="390" spans="12:17" ht="18" hidden="1" customHeight="1" x14ac:dyDescent="0.25">
      <c r="L390" s="53" t="str">
        <f t="shared" si="12"/>
        <v/>
      </c>
      <c r="M390" s="19" t="str">
        <f t="shared" si="13"/>
        <v/>
      </c>
      <c r="N390" t="str">
        <f ca="1">IF(TRIM(SUBSTITUTE($B390,CHAR(160)," "))="","",IFERROR(IF(ISNUMBER(SEARCH("INC",$B390)),"INC",IF(ISNUMBER(SEARCH("OPI",$B390)),"OPI",IF(ISNUMBER(SEARCH("DP",$B390)),"DP","CONC")))&amp;" "&amp;TEXT(LOOKUP(9.99E+307,--MID(SUBSTITUTE($B390,CHAR(160)," "),SUMPRODUCT(MIN(FIND({0,1,2,3,4,5,6,7,8,9},SUBSTITUTE($B390,CHAR(160)," ")&amp;"0123456789"))),ROW(INDIRECT("1:6")))),"0"),"SIN NUMERO"))</f>
        <v/>
      </c>
      <c r="O390" t="str">
        <f ca="1">IF($N390="","",IF(LEFT(UPPER($P390),9)="VERIFICAR","VERIFICAR",IF(AND($H390&lt;&gt;"",COUNTIFS($N$2:$N$1000,$N390,$H$2:$H$1000,$H390)&gt;1),"DUPLICADA",IF(TRIM(IF($A390="","tipo ","")&amp;IF($F390="","fecha de firma ","")&amp;IF($G390="","decisión ","")&amp;IF($H390="","N° resolución ","")&amp;IF($I390="","N° dictamen",""))&lt;&gt;"","INCOMPLETA: "&amp;TRIM(IF($A390="","tipo ","")&amp;IF($F390="","fecha de firma ","")&amp;IF($G390="","decisión ","")&amp;IF($H390="","N° resolución ","")&amp;IF($I390="","N° dictamen","")),IF(LEFT($N390,4)&lt;&gt;"CONC","OK",IF(N($Q390)=0,IF(AND(ISNUMBER($E390),$E390&gt;=DATE(2024,1,1)),"FALTA EN evol_conc","OK"),IF(INDEX(evol_conc!$H:$H,$Q390)&lt;&gt;$F390,"FIRMA DISTINTA EN evol_conc ("&amp;IF(INDEX(evol_conc!$H:$H,$Q390)="","vacía",DAY(INDEX(evol_conc!$H:$H,$Q390))&amp;"/"&amp;MONTH(INDEX(evol_conc!$H:$H,$Q390))&amp;"/"&amp;YEAR(INDEX(evol_conc!$H:$H,$Q390)))&amp;")",IF(INDEX(evol_conc!$G:$G,$Q390)&lt;&gt;$E390,"INGRESO DISTINTO EN evol_conc ("&amp;IF(INDEX(evol_conc!$G:$G,$Q390)="","vacía",DAY(INDEX(evol_conc!$G:$G,$Q390))&amp;"/"&amp;MONTH(INDEX(evol_conc!$G:$G,$Q390))&amp;"/"&amp;YEAR(INDEX(evol_conc!$G:$G,$Q390)))&amp;")","OK"))))))))</f>
        <v/>
      </c>
      <c r="Q390" t="str">
        <f ca="1">IF($N390="","",IFERROR(MATCH($N390,evol_conc!$P:$P,0),0))</f>
        <v/>
      </c>
    </row>
    <row r="391" spans="12:17" ht="18" hidden="1" customHeight="1" x14ac:dyDescent="0.25">
      <c r="L391" s="53" t="str">
        <f t="shared" si="12"/>
        <v/>
      </c>
      <c r="M391" s="19" t="str">
        <f t="shared" si="13"/>
        <v/>
      </c>
      <c r="N391" t="str">
        <f ca="1">IF(TRIM(SUBSTITUTE($B391,CHAR(160)," "))="","",IFERROR(IF(ISNUMBER(SEARCH("INC",$B391)),"INC",IF(ISNUMBER(SEARCH("OPI",$B391)),"OPI",IF(ISNUMBER(SEARCH("DP",$B391)),"DP","CONC")))&amp;" "&amp;TEXT(LOOKUP(9.99E+307,--MID(SUBSTITUTE($B391,CHAR(160)," "),SUMPRODUCT(MIN(FIND({0,1,2,3,4,5,6,7,8,9},SUBSTITUTE($B391,CHAR(160)," ")&amp;"0123456789"))),ROW(INDIRECT("1:6")))),"0"),"SIN NUMERO"))</f>
        <v/>
      </c>
      <c r="O391" t="str">
        <f ca="1">IF($N391="","",IF(LEFT(UPPER($P391),9)="VERIFICAR","VERIFICAR",IF(AND($H391&lt;&gt;"",COUNTIFS($N$2:$N$1000,$N391,$H$2:$H$1000,$H391)&gt;1),"DUPLICADA",IF(TRIM(IF($A391="","tipo ","")&amp;IF($F391="","fecha de firma ","")&amp;IF($G391="","decisión ","")&amp;IF($H391="","N° resolución ","")&amp;IF($I391="","N° dictamen",""))&lt;&gt;"","INCOMPLETA: "&amp;TRIM(IF($A391="","tipo ","")&amp;IF($F391="","fecha de firma ","")&amp;IF($G391="","decisión ","")&amp;IF($H391="","N° resolución ","")&amp;IF($I391="","N° dictamen","")),IF(LEFT($N391,4)&lt;&gt;"CONC","OK",IF(N($Q391)=0,IF(AND(ISNUMBER($E391),$E391&gt;=DATE(2024,1,1)),"FALTA EN evol_conc","OK"),IF(INDEX(evol_conc!$H:$H,$Q391)&lt;&gt;$F391,"FIRMA DISTINTA EN evol_conc ("&amp;IF(INDEX(evol_conc!$H:$H,$Q391)="","vacía",DAY(INDEX(evol_conc!$H:$H,$Q391))&amp;"/"&amp;MONTH(INDEX(evol_conc!$H:$H,$Q391))&amp;"/"&amp;YEAR(INDEX(evol_conc!$H:$H,$Q391)))&amp;")",IF(INDEX(evol_conc!$G:$G,$Q391)&lt;&gt;$E391,"INGRESO DISTINTO EN evol_conc ("&amp;IF(INDEX(evol_conc!$G:$G,$Q391)="","vacía",DAY(INDEX(evol_conc!$G:$G,$Q391))&amp;"/"&amp;MONTH(INDEX(evol_conc!$G:$G,$Q391))&amp;"/"&amp;YEAR(INDEX(evol_conc!$G:$G,$Q391)))&amp;")","OK"))))))))</f>
        <v/>
      </c>
      <c r="Q391" t="str">
        <f ca="1">IF($N391="","",IFERROR(MATCH($N391,evol_conc!$P:$P,0),0))</f>
        <v/>
      </c>
    </row>
    <row r="392" spans="12:17" ht="18" hidden="1" customHeight="1" x14ac:dyDescent="0.25">
      <c r="L392" s="53" t="str">
        <f t="shared" si="12"/>
        <v/>
      </c>
      <c r="M392" s="19" t="str">
        <f t="shared" si="13"/>
        <v/>
      </c>
      <c r="N392" t="str">
        <f ca="1">IF(TRIM(SUBSTITUTE($B392,CHAR(160)," "))="","",IFERROR(IF(ISNUMBER(SEARCH("INC",$B392)),"INC",IF(ISNUMBER(SEARCH("OPI",$B392)),"OPI",IF(ISNUMBER(SEARCH("DP",$B392)),"DP","CONC")))&amp;" "&amp;TEXT(LOOKUP(9.99E+307,--MID(SUBSTITUTE($B392,CHAR(160)," "),SUMPRODUCT(MIN(FIND({0,1,2,3,4,5,6,7,8,9},SUBSTITUTE($B392,CHAR(160)," ")&amp;"0123456789"))),ROW(INDIRECT("1:6")))),"0"),"SIN NUMERO"))</f>
        <v/>
      </c>
      <c r="O392" t="str">
        <f ca="1">IF($N392="","",IF(LEFT(UPPER($P392),9)="VERIFICAR","VERIFICAR",IF(AND($H392&lt;&gt;"",COUNTIFS($N$2:$N$1000,$N392,$H$2:$H$1000,$H392)&gt;1),"DUPLICADA",IF(TRIM(IF($A392="","tipo ","")&amp;IF($F392="","fecha de firma ","")&amp;IF($G392="","decisión ","")&amp;IF($H392="","N° resolución ","")&amp;IF($I392="","N° dictamen",""))&lt;&gt;"","INCOMPLETA: "&amp;TRIM(IF($A392="","tipo ","")&amp;IF($F392="","fecha de firma ","")&amp;IF($G392="","decisión ","")&amp;IF($H392="","N° resolución ","")&amp;IF($I392="","N° dictamen","")),IF(LEFT($N392,4)&lt;&gt;"CONC","OK",IF(N($Q392)=0,IF(AND(ISNUMBER($E392),$E392&gt;=DATE(2024,1,1)),"FALTA EN evol_conc","OK"),IF(INDEX(evol_conc!$H:$H,$Q392)&lt;&gt;$F392,"FIRMA DISTINTA EN evol_conc ("&amp;IF(INDEX(evol_conc!$H:$H,$Q392)="","vacía",DAY(INDEX(evol_conc!$H:$H,$Q392))&amp;"/"&amp;MONTH(INDEX(evol_conc!$H:$H,$Q392))&amp;"/"&amp;YEAR(INDEX(evol_conc!$H:$H,$Q392)))&amp;")",IF(INDEX(evol_conc!$G:$G,$Q392)&lt;&gt;$E392,"INGRESO DISTINTO EN evol_conc ("&amp;IF(INDEX(evol_conc!$G:$G,$Q392)="","vacía",DAY(INDEX(evol_conc!$G:$G,$Q392))&amp;"/"&amp;MONTH(INDEX(evol_conc!$G:$G,$Q392))&amp;"/"&amp;YEAR(INDEX(evol_conc!$G:$G,$Q392)))&amp;")","OK"))))))))</f>
        <v/>
      </c>
      <c r="Q392" t="str">
        <f ca="1">IF($N392="","",IFERROR(MATCH($N392,evol_conc!$P:$P,0),0))</f>
        <v/>
      </c>
    </row>
    <row r="393" spans="12:17" ht="18" hidden="1" customHeight="1" x14ac:dyDescent="0.25">
      <c r="L393" s="53" t="str">
        <f t="shared" si="12"/>
        <v/>
      </c>
      <c r="M393" s="19" t="str">
        <f t="shared" si="13"/>
        <v/>
      </c>
      <c r="N393" t="str">
        <f ca="1">IF(TRIM(SUBSTITUTE($B393,CHAR(160)," "))="","",IFERROR(IF(ISNUMBER(SEARCH("INC",$B393)),"INC",IF(ISNUMBER(SEARCH("OPI",$B393)),"OPI",IF(ISNUMBER(SEARCH("DP",$B393)),"DP","CONC")))&amp;" "&amp;TEXT(LOOKUP(9.99E+307,--MID(SUBSTITUTE($B393,CHAR(160)," "),SUMPRODUCT(MIN(FIND({0,1,2,3,4,5,6,7,8,9},SUBSTITUTE($B393,CHAR(160)," ")&amp;"0123456789"))),ROW(INDIRECT("1:6")))),"0"),"SIN NUMERO"))</f>
        <v/>
      </c>
      <c r="O393" t="str">
        <f ca="1">IF($N393="","",IF(LEFT(UPPER($P393),9)="VERIFICAR","VERIFICAR",IF(AND($H393&lt;&gt;"",COUNTIFS($N$2:$N$1000,$N393,$H$2:$H$1000,$H393)&gt;1),"DUPLICADA",IF(TRIM(IF($A393="","tipo ","")&amp;IF($F393="","fecha de firma ","")&amp;IF($G393="","decisión ","")&amp;IF($H393="","N° resolución ","")&amp;IF($I393="","N° dictamen",""))&lt;&gt;"","INCOMPLETA: "&amp;TRIM(IF($A393="","tipo ","")&amp;IF($F393="","fecha de firma ","")&amp;IF($G393="","decisión ","")&amp;IF($H393="","N° resolución ","")&amp;IF($I393="","N° dictamen","")),IF(LEFT($N393,4)&lt;&gt;"CONC","OK",IF(N($Q393)=0,IF(AND(ISNUMBER($E393),$E393&gt;=DATE(2024,1,1)),"FALTA EN evol_conc","OK"),IF(INDEX(evol_conc!$H:$H,$Q393)&lt;&gt;$F393,"FIRMA DISTINTA EN evol_conc ("&amp;IF(INDEX(evol_conc!$H:$H,$Q393)="","vacía",DAY(INDEX(evol_conc!$H:$H,$Q393))&amp;"/"&amp;MONTH(INDEX(evol_conc!$H:$H,$Q393))&amp;"/"&amp;YEAR(INDEX(evol_conc!$H:$H,$Q393)))&amp;")",IF(INDEX(evol_conc!$G:$G,$Q393)&lt;&gt;$E393,"INGRESO DISTINTO EN evol_conc ("&amp;IF(INDEX(evol_conc!$G:$G,$Q393)="","vacía",DAY(INDEX(evol_conc!$G:$G,$Q393))&amp;"/"&amp;MONTH(INDEX(evol_conc!$G:$G,$Q393))&amp;"/"&amp;YEAR(INDEX(evol_conc!$G:$G,$Q393)))&amp;")","OK"))))))))</f>
        <v/>
      </c>
      <c r="Q393" t="str">
        <f ca="1">IF($N393="","",IFERROR(MATCH($N393,evol_conc!$P:$P,0),0))</f>
        <v/>
      </c>
    </row>
    <row r="394" spans="12:17" ht="18" hidden="1" customHeight="1" x14ac:dyDescent="0.25">
      <c r="L394" s="53" t="str">
        <f t="shared" si="12"/>
        <v/>
      </c>
      <c r="M394" s="19" t="str">
        <f t="shared" si="13"/>
        <v/>
      </c>
      <c r="N394" t="str">
        <f ca="1">IF(TRIM(SUBSTITUTE($B394,CHAR(160)," "))="","",IFERROR(IF(ISNUMBER(SEARCH("INC",$B394)),"INC",IF(ISNUMBER(SEARCH("OPI",$B394)),"OPI",IF(ISNUMBER(SEARCH("DP",$B394)),"DP","CONC")))&amp;" "&amp;TEXT(LOOKUP(9.99E+307,--MID(SUBSTITUTE($B394,CHAR(160)," "),SUMPRODUCT(MIN(FIND({0,1,2,3,4,5,6,7,8,9},SUBSTITUTE($B394,CHAR(160)," ")&amp;"0123456789"))),ROW(INDIRECT("1:6")))),"0"),"SIN NUMERO"))</f>
        <v/>
      </c>
      <c r="O394" t="str">
        <f ca="1">IF($N394="","",IF(LEFT(UPPER($P394),9)="VERIFICAR","VERIFICAR",IF(AND($H394&lt;&gt;"",COUNTIFS($N$2:$N$1000,$N394,$H$2:$H$1000,$H394)&gt;1),"DUPLICADA",IF(TRIM(IF($A394="","tipo ","")&amp;IF($F394="","fecha de firma ","")&amp;IF($G394="","decisión ","")&amp;IF($H394="","N° resolución ","")&amp;IF($I394="","N° dictamen",""))&lt;&gt;"","INCOMPLETA: "&amp;TRIM(IF($A394="","tipo ","")&amp;IF($F394="","fecha de firma ","")&amp;IF($G394="","decisión ","")&amp;IF($H394="","N° resolución ","")&amp;IF($I394="","N° dictamen","")),IF(LEFT($N394,4)&lt;&gt;"CONC","OK",IF(N($Q394)=0,IF(AND(ISNUMBER($E394),$E394&gt;=DATE(2024,1,1)),"FALTA EN evol_conc","OK"),IF(INDEX(evol_conc!$H:$H,$Q394)&lt;&gt;$F394,"FIRMA DISTINTA EN evol_conc ("&amp;IF(INDEX(evol_conc!$H:$H,$Q394)="","vacía",DAY(INDEX(evol_conc!$H:$H,$Q394))&amp;"/"&amp;MONTH(INDEX(evol_conc!$H:$H,$Q394))&amp;"/"&amp;YEAR(INDEX(evol_conc!$H:$H,$Q394)))&amp;")",IF(INDEX(evol_conc!$G:$G,$Q394)&lt;&gt;$E394,"INGRESO DISTINTO EN evol_conc ("&amp;IF(INDEX(evol_conc!$G:$G,$Q394)="","vacía",DAY(INDEX(evol_conc!$G:$G,$Q394))&amp;"/"&amp;MONTH(INDEX(evol_conc!$G:$G,$Q394))&amp;"/"&amp;YEAR(INDEX(evol_conc!$G:$G,$Q394)))&amp;")","OK"))))))))</f>
        <v/>
      </c>
      <c r="Q394" t="str">
        <f ca="1">IF($N394="","",IFERROR(MATCH($N394,evol_conc!$P:$P,0),0))</f>
        <v/>
      </c>
    </row>
    <row r="395" spans="12:17" ht="18" hidden="1" customHeight="1" x14ac:dyDescent="0.25">
      <c r="L395" s="53" t="str">
        <f t="shared" si="12"/>
        <v/>
      </c>
      <c r="M395" s="19" t="str">
        <f t="shared" si="13"/>
        <v/>
      </c>
      <c r="N395" t="str">
        <f ca="1">IF(TRIM(SUBSTITUTE($B395,CHAR(160)," "))="","",IFERROR(IF(ISNUMBER(SEARCH("INC",$B395)),"INC",IF(ISNUMBER(SEARCH("OPI",$B395)),"OPI",IF(ISNUMBER(SEARCH("DP",$B395)),"DP","CONC")))&amp;" "&amp;TEXT(LOOKUP(9.99E+307,--MID(SUBSTITUTE($B395,CHAR(160)," "),SUMPRODUCT(MIN(FIND({0,1,2,3,4,5,6,7,8,9},SUBSTITUTE($B395,CHAR(160)," ")&amp;"0123456789"))),ROW(INDIRECT("1:6")))),"0"),"SIN NUMERO"))</f>
        <v/>
      </c>
      <c r="O395" t="str">
        <f ca="1">IF($N395="","",IF(LEFT(UPPER($P395),9)="VERIFICAR","VERIFICAR",IF(AND($H395&lt;&gt;"",COUNTIFS($N$2:$N$1000,$N395,$H$2:$H$1000,$H395)&gt;1),"DUPLICADA",IF(TRIM(IF($A395="","tipo ","")&amp;IF($F395="","fecha de firma ","")&amp;IF($G395="","decisión ","")&amp;IF($H395="","N° resolución ","")&amp;IF($I395="","N° dictamen",""))&lt;&gt;"","INCOMPLETA: "&amp;TRIM(IF($A395="","tipo ","")&amp;IF($F395="","fecha de firma ","")&amp;IF($G395="","decisión ","")&amp;IF($H395="","N° resolución ","")&amp;IF($I395="","N° dictamen","")),IF(LEFT($N395,4)&lt;&gt;"CONC","OK",IF(N($Q395)=0,IF(AND(ISNUMBER($E395),$E395&gt;=DATE(2024,1,1)),"FALTA EN evol_conc","OK"),IF(INDEX(evol_conc!$H:$H,$Q395)&lt;&gt;$F395,"FIRMA DISTINTA EN evol_conc ("&amp;IF(INDEX(evol_conc!$H:$H,$Q395)="","vacía",DAY(INDEX(evol_conc!$H:$H,$Q395))&amp;"/"&amp;MONTH(INDEX(evol_conc!$H:$H,$Q395))&amp;"/"&amp;YEAR(INDEX(evol_conc!$H:$H,$Q395)))&amp;")",IF(INDEX(evol_conc!$G:$G,$Q395)&lt;&gt;$E395,"INGRESO DISTINTO EN evol_conc ("&amp;IF(INDEX(evol_conc!$G:$G,$Q395)="","vacía",DAY(INDEX(evol_conc!$G:$G,$Q395))&amp;"/"&amp;MONTH(INDEX(evol_conc!$G:$G,$Q395))&amp;"/"&amp;YEAR(INDEX(evol_conc!$G:$G,$Q395)))&amp;")","OK"))))))))</f>
        <v/>
      </c>
      <c r="Q395" t="str">
        <f ca="1">IF($N395="","",IFERROR(MATCH($N395,evol_conc!$P:$P,0),0))</f>
        <v/>
      </c>
    </row>
    <row r="396" spans="12:17" ht="18" hidden="1" customHeight="1" x14ac:dyDescent="0.25">
      <c r="L396" s="53" t="str">
        <f t="shared" si="12"/>
        <v/>
      </c>
      <c r="M396" s="19" t="str">
        <f t="shared" si="13"/>
        <v/>
      </c>
      <c r="N396" t="str">
        <f ca="1">IF(TRIM(SUBSTITUTE($B396,CHAR(160)," "))="","",IFERROR(IF(ISNUMBER(SEARCH("INC",$B396)),"INC",IF(ISNUMBER(SEARCH("OPI",$B396)),"OPI",IF(ISNUMBER(SEARCH("DP",$B396)),"DP","CONC")))&amp;" "&amp;TEXT(LOOKUP(9.99E+307,--MID(SUBSTITUTE($B396,CHAR(160)," "),SUMPRODUCT(MIN(FIND({0,1,2,3,4,5,6,7,8,9},SUBSTITUTE($B396,CHAR(160)," ")&amp;"0123456789"))),ROW(INDIRECT("1:6")))),"0"),"SIN NUMERO"))</f>
        <v/>
      </c>
      <c r="O396" t="str">
        <f ca="1">IF($N396="","",IF(LEFT(UPPER($P396),9)="VERIFICAR","VERIFICAR",IF(AND($H396&lt;&gt;"",COUNTIFS($N$2:$N$1000,$N396,$H$2:$H$1000,$H396)&gt;1),"DUPLICADA",IF(TRIM(IF($A396="","tipo ","")&amp;IF($F396="","fecha de firma ","")&amp;IF($G396="","decisión ","")&amp;IF($H396="","N° resolución ","")&amp;IF($I396="","N° dictamen",""))&lt;&gt;"","INCOMPLETA: "&amp;TRIM(IF($A396="","tipo ","")&amp;IF($F396="","fecha de firma ","")&amp;IF($G396="","decisión ","")&amp;IF($H396="","N° resolución ","")&amp;IF($I396="","N° dictamen","")),IF(LEFT($N396,4)&lt;&gt;"CONC","OK",IF(N($Q396)=0,IF(AND(ISNUMBER($E396),$E396&gt;=DATE(2024,1,1)),"FALTA EN evol_conc","OK"),IF(INDEX(evol_conc!$H:$H,$Q396)&lt;&gt;$F396,"FIRMA DISTINTA EN evol_conc ("&amp;IF(INDEX(evol_conc!$H:$H,$Q396)="","vacía",DAY(INDEX(evol_conc!$H:$H,$Q396))&amp;"/"&amp;MONTH(INDEX(evol_conc!$H:$H,$Q396))&amp;"/"&amp;YEAR(INDEX(evol_conc!$H:$H,$Q396)))&amp;")",IF(INDEX(evol_conc!$G:$G,$Q396)&lt;&gt;$E396,"INGRESO DISTINTO EN evol_conc ("&amp;IF(INDEX(evol_conc!$G:$G,$Q396)="","vacía",DAY(INDEX(evol_conc!$G:$G,$Q396))&amp;"/"&amp;MONTH(INDEX(evol_conc!$G:$G,$Q396))&amp;"/"&amp;YEAR(INDEX(evol_conc!$G:$G,$Q396)))&amp;")","OK"))))))))</f>
        <v/>
      </c>
      <c r="Q396" t="str">
        <f ca="1">IF($N396="","",IFERROR(MATCH($N396,evol_conc!$P:$P,0),0))</f>
        <v/>
      </c>
    </row>
    <row r="397" spans="12:17" ht="18" hidden="1" customHeight="1" x14ac:dyDescent="0.25">
      <c r="L397" s="53" t="str">
        <f t="shared" si="12"/>
        <v/>
      </c>
      <c r="M397" s="19" t="str">
        <f t="shared" si="13"/>
        <v/>
      </c>
      <c r="N397" t="str">
        <f ca="1">IF(TRIM(SUBSTITUTE($B397,CHAR(160)," "))="","",IFERROR(IF(ISNUMBER(SEARCH("INC",$B397)),"INC",IF(ISNUMBER(SEARCH("OPI",$B397)),"OPI",IF(ISNUMBER(SEARCH("DP",$B397)),"DP","CONC")))&amp;" "&amp;TEXT(LOOKUP(9.99E+307,--MID(SUBSTITUTE($B397,CHAR(160)," "),SUMPRODUCT(MIN(FIND({0,1,2,3,4,5,6,7,8,9},SUBSTITUTE($B397,CHAR(160)," ")&amp;"0123456789"))),ROW(INDIRECT("1:6")))),"0"),"SIN NUMERO"))</f>
        <v/>
      </c>
      <c r="O397" t="str">
        <f ca="1">IF($N397="","",IF(LEFT(UPPER($P397),9)="VERIFICAR","VERIFICAR",IF(AND($H397&lt;&gt;"",COUNTIFS($N$2:$N$1000,$N397,$H$2:$H$1000,$H397)&gt;1),"DUPLICADA",IF(TRIM(IF($A397="","tipo ","")&amp;IF($F397="","fecha de firma ","")&amp;IF($G397="","decisión ","")&amp;IF($H397="","N° resolución ","")&amp;IF($I397="","N° dictamen",""))&lt;&gt;"","INCOMPLETA: "&amp;TRIM(IF($A397="","tipo ","")&amp;IF($F397="","fecha de firma ","")&amp;IF($G397="","decisión ","")&amp;IF($H397="","N° resolución ","")&amp;IF($I397="","N° dictamen","")),IF(LEFT($N397,4)&lt;&gt;"CONC","OK",IF(N($Q397)=0,IF(AND(ISNUMBER($E397),$E397&gt;=DATE(2024,1,1)),"FALTA EN evol_conc","OK"),IF(INDEX(evol_conc!$H:$H,$Q397)&lt;&gt;$F397,"FIRMA DISTINTA EN evol_conc ("&amp;IF(INDEX(evol_conc!$H:$H,$Q397)="","vacía",DAY(INDEX(evol_conc!$H:$H,$Q397))&amp;"/"&amp;MONTH(INDEX(evol_conc!$H:$H,$Q397))&amp;"/"&amp;YEAR(INDEX(evol_conc!$H:$H,$Q397)))&amp;")",IF(INDEX(evol_conc!$G:$G,$Q397)&lt;&gt;$E397,"INGRESO DISTINTO EN evol_conc ("&amp;IF(INDEX(evol_conc!$G:$G,$Q397)="","vacía",DAY(INDEX(evol_conc!$G:$G,$Q397))&amp;"/"&amp;MONTH(INDEX(evol_conc!$G:$G,$Q397))&amp;"/"&amp;YEAR(INDEX(evol_conc!$G:$G,$Q397)))&amp;")","OK"))))))))</f>
        <v/>
      </c>
      <c r="Q397" t="str">
        <f ca="1">IF($N397="","",IFERROR(MATCH($N397,evol_conc!$P:$P,0),0))</f>
        <v/>
      </c>
    </row>
    <row r="398" spans="12:17" ht="18" hidden="1" customHeight="1" x14ac:dyDescent="0.25">
      <c r="L398" s="53" t="str">
        <f t="shared" si="12"/>
        <v/>
      </c>
      <c r="M398" s="19" t="str">
        <f t="shared" si="13"/>
        <v/>
      </c>
      <c r="N398" t="str">
        <f ca="1">IF(TRIM(SUBSTITUTE($B398,CHAR(160)," "))="","",IFERROR(IF(ISNUMBER(SEARCH("INC",$B398)),"INC",IF(ISNUMBER(SEARCH("OPI",$B398)),"OPI",IF(ISNUMBER(SEARCH("DP",$B398)),"DP","CONC")))&amp;" "&amp;TEXT(LOOKUP(9.99E+307,--MID(SUBSTITUTE($B398,CHAR(160)," "),SUMPRODUCT(MIN(FIND({0,1,2,3,4,5,6,7,8,9},SUBSTITUTE($B398,CHAR(160)," ")&amp;"0123456789"))),ROW(INDIRECT("1:6")))),"0"),"SIN NUMERO"))</f>
        <v/>
      </c>
      <c r="O398" t="str">
        <f ca="1">IF($N398="","",IF(LEFT(UPPER($P398),9)="VERIFICAR","VERIFICAR",IF(AND($H398&lt;&gt;"",COUNTIFS($N$2:$N$1000,$N398,$H$2:$H$1000,$H398)&gt;1),"DUPLICADA",IF(TRIM(IF($A398="","tipo ","")&amp;IF($F398="","fecha de firma ","")&amp;IF($G398="","decisión ","")&amp;IF($H398="","N° resolución ","")&amp;IF($I398="","N° dictamen",""))&lt;&gt;"","INCOMPLETA: "&amp;TRIM(IF($A398="","tipo ","")&amp;IF($F398="","fecha de firma ","")&amp;IF($G398="","decisión ","")&amp;IF($H398="","N° resolución ","")&amp;IF($I398="","N° dictamen","")),IF(LEFT($N398,4)&lt;&gt;"CONC","OK",IF(N($Q398)=0,IF(AND(ISNUMBER($E398),$E398&gt;=DATE(2024,1,1)),"FALTA EN evol_conc","OK"),IF(INDEX(evol_conc!$H:$H,$Q398)&lt;&gt;$F398,"FIRMA DISTINTA EN evol_conc ("&amp;IF(INDEX(evol_conc!$H:$H,$Q398)="","vacía",DAY(INDEX(evol_conc!$H:$H,$Q398))&amp;"/"&amp;MONTH(INDEX(evol_conc!$H:$H,$Q398))&amp;"/"&amp;YEAR(INDEX(evol_conc!$H:$H,$Q398)))&amp;")",IF(INDEX(evol_conc!$G:$G,$Q398)&lt;&gt;$E398,"INGRESO DISTINTO EN evol_conc ("&amp;IF(INDEX(evol_conc!$G:$G,$Q398)="","vacía",DAY(INDEX(evol_conc!$G:$G,$Q398))&amp;"/"&amp;MONTH(INDEX(evol_conc!$G:$G,$Q398))&amp;"/"&amp;YEAR(INDEX(evol_conc!$G:$G,$Q398)))&amp;")","OK"))))))))</f>
        <v/>
      </c>
      <c r="Q398" t="str">
        <f ca="1">IF($N398="","",IFERROR(MATCH($N398,evol_conc!$P:$P,0),0))</f>
        <v/>
      </c>
    </row>
    <row r="399" spans="12:17" ht="18" hidden="1" customHeight="1" x14ac:dyDescent="0.25">
      <c r="L399" s="53" t="str">
        <f t="shared" si="12"/>
        <v/>
      </c>
      <c r="M399" s="19" t="str">
        <f t="shared" si="13"/>
        <v/>
      </c>
      <c r="N399" t="str">
        <f ca="1">IF(TRIM(SUBSTITUTE($B399,CHAR(160)," "))="","",IFERROR(IF(ISNUMBER(SEARCH("INC",$B399)),"INC",IF(ISNUMBER(SEARCH("OPI",$B399)),"OPI",IF(ISNUMBER(SEARCH("DP",$B399)),"DP","CONC")))&amp;" "&amp;TEXT(LOOKUP(9.99E+307,--MID(SUBSTITUTE($B399,CHAR(160)," "),SUMPRODUCT(MIN(FIND({0,1,2,3,4,5,6,7,8,9},SUBSTITUTE($B399,CHAR(160)," ")&amp;"0123456789"))),ROW(INDIRECT("1:6")))),"0"),"SIN NUMERO"))</f>
        <v/>
      </c>
      <c r="O399" t="str">
        <f ca="1">IF($N399="","",IF(LEFT(UPPER($P399),9)="VERIFICAR","VERIFICAR",IF(AND($H399&lt;&gt;"",COUNTIFS($N$2:$N$1000,$N399,$H$2:$H$1000,$H399)&gt;1),"DUPLICADA",IF(TRIM(IF($A399="","tipo ","")&amp;IF($F399="","fecha de firma ","")&amp;IF($G399="","decisión ","")&amp;IF($H399="","N° resolución ","")&amp;IF($I399="","N° dictamen",""))&lt;&gt;"","INCOMPLETA: "&amp;TRIM(IF($A399="","tipo ","")&amp;IF($F399="","fecha de firma ","")&amp;IF($G399="","decisión ","")&amp;IF($H399="","N° resolución ","")&amp;IF($I399="","N° dictamen","")),IF(LEFT($N399,4)&lt;&gt;"CONC","OK",IF(N($Q399)=0,IF(AND(ISNUMBER($E399),$E399&gt;=DATE(2024,1,1)),"FALTA EN evol_conc","OK"),IF(INDEX(evol_conc!$H:$H,$Q399)&lt;&gt;$F399,"FIRMA DISTINTA EN evol_conc ("&amp;IF(INDEX(evol_conc!$H:$H,$Q399)="","vacía",DAY(INDEX(evol_conc!$H:$H,$Q399))&amp;"/"&amp;MONTH(INDEX(evol_conc!$H:$H,$Q399))&amp;"/"&amp;YEAR(INDEX(evol_conc!$H:$H,$Q399)))&amp;")",IF(INDEX(evol_conc!$G:$G,$Q399)&lt;&gt;$E399,"INGRESO DISTINTO EN evol_conc ("&amp;IF(INDEX(evol_conc!$G:$G,$Q399)="","vacía",DAY(INDEX(evol_conc!$G:$G,$Q399))&amp;"/"&amp;MONTH(INDEX(evol_conc!$G:$G,$Q399))&amp;"/"&amp;YEAR(INDEX(evol_conc!$G:$G,$Q399)))&amp;")","OK"))))))))</f>
        <v/>
      </c>
      <c r="Q399" t="str">
        <f ca="1">IF($N399="","",IFERROR(MATCH($N399,evol_conc!$P:$P,0),0))</f>
        <v/>
      </c>
    </row>
    <row r="400" spans="12:17" ht="18" hidden="1" customHeight="1" x14ac:dyDescent="0.25">
      <c r="L400" s="53" t="str">
        <f t="shared" si="12"/>
        <v/>
      </c>
      <c r="M400" s="19" t="str">
        <f t="shared" si="13"/>
        <v/>
      </c>
      <c r="N400" t="str">
        <f ca="1">IF(TRIM(SUBSTITUTE($B400,CHAR(160)," "))="","",IFERROR(IF(ISNUMBER(SEARCH("INC",$B400)),"INC",IF(ISNUMBER(SEARCH("OPI",$B400)),"OPI",IF(ISNUMBER(SEARCH("DP",$B400)),"DP","CONC")))&amp;" "&amp;TEXT(LOOKUP(9.99E+307,--MID(SUBSTITUTE($B400,CHAR(160)," "),SUMPRODUCT(MIN(FIND({0,1,2,3,4,5,6,7,8,9},SUBSTITUTE($B400,CHAR(160)," ")&amp;"0123456789"))),ROW(INDIRECT("1:6")))),"0"),"SIN NUMERO"))</f>
        <v/>
      </c>
      <c r="O400" t="str">
        <f ca="1">IF($N400="","",IF(LEFT(UPPER($P400),9)="VERIFICAR","VERIFICAR",IF(AND($H400&lt;&gt;"",COUNTIFS($N$2:$N$1000,$N400,$H$2:$H$1000,$H400)&gt;1),"DUPLICADA",IF(TRIM(IF($A400="","tipo ","")&amp;IF($F400="","fecha de firma ","")&amp;IF($G400="","decisión ","")&amp;IF($H400="","N° resolución ","")&amp;IF($I400="","N° dictamen",""))&lt;&gt;"","INCOMPLETA: "&amp;TRIM(IF($A400="","tipo ","")&amp;IF($F400="","fecha de firma ","")&amp;IF($G400="","decisión ","")&amp;IF($H400="","N° resolución ","")&amp;IF($I400="","N° dictamen","")),IF(LEFT($N400,4)&lt;&gt;"CONC","OK",IF(N($Q400)=0,IF(AND(ISNUMBER($E400),$E400&gt;=DATE(2024,1,1)),"FALTA EN evol_conc","OK"),IF(INDEX(evol_conc!$H:$H,$Q400)&lt;&gt;$F400,"FIRMA DISTINTA EN evol_conc ("&amp;IF(INDEX(evol_conc!$H:$H,$Q400)="","vacía",DAY(INDEX(evol_conc!$H:$H,$Q400))&amp;"/"&amp;MONTH(INDEX(evol_conc!$H:$H,$Q400))&amp;"/"&amp;YEAR(INDEX(evol_conc!$H:$H,$Q400)))&amp;")",IF(INDEX(evol_conc!$G:$G,$Q400)&lt;&gt;$E400,"INGRESO DISTINTO EN evol_conc ("&amp;IF(INDEX(evol_conc!$G:$G,$Q400)="","vacía",DAY(INDEX(evol_conc!$G:$G,$Q400))&amp;"/"&amp;MONTH(INDEX(evol_conc!$G:$G,$Q400))&amp;"/"&amp;YEAR(INDEX(evol_conc!$G:$G,$Q400)))&amp;")","OK"))))))))</f>
        <v/>
      </c>
      <c r="Q400" t="str">
        <f ca="1">IF($N400="","",IFERROR(MATCH($N400,evol_conc!$P:$P,0),0))</f>
        <v/>
      </c>
    </row>
    <row r="401" spans="12:17" ht="18" hidden="1" customHeight="1" x14ac:dyDescent="0.25">
      <c r="L401" s="53" t="str">
        <f t="shared" si="12"/>
        <v/>
      </c>
      <c r="M401" s="19" t="str">
        <f t="shared" si="13"/>
        <v/>
      </c>
      <c r="N401" t="str">
        <f ca="1">IF(TRIM(SUBSTITUTE($B401,CHAR(160)," "))="","",IFERROR(IF(ISNUMBER(SEARCH("INC",$B401)),"INC",IF(ISNUMBER(SEARCH("OPI",$B401)),"OPI",IF(ISNUMBER(SEARCH("DP",$B401)),"DP","CONC")))&amp;" "&amp;TEXT(LOOKUP(9.99E+307,--MID(SUBSTITUTE($B401,CHAR(160)," "),SUMPRODUCT(MIN(FIND({0,1,2,3,4,5,6,7,8,9},SUBSTITUTE($B401,CHAR(160)," ")&amp;"0123456789"))),ROW(INDIRECT("1:6")))),"0"),"SIN NUMERO"))</f>
        <v/>
      </c>
      <c r="O401" t="str">
        <f ca="1">IF($N401="","",IF(LEFT(UPPER($P401),9)="VERIFICAR","VERIFICAR",IF(AND($H401&lt;&gt;"",COUNTIFS($N$2:$N$1000,$N401,$H$2:$H$1000,$H401)&gt;1),"DUPLICADA",IF(TRIM(IF($A401="","tipo ","")&amp;IF($F401="","fecha de firma ","")&amp;IF($G401="","decisión ","")&amp;IF($H401="","N° resolución ","")&amp;IF($I401="","N° dictamen",""))&lt;&gt;"","INCOMPLETA: "&amp;TRIM(IF($A401="","tipo ","")&amp;IF($F401="","fecha de firma ","")&amp;IF($G401="","decisión ","")&amp;IF($H401="","N° resolución ","")&amp;IF($I401="","N° dictamen","")),IF(LEFT($N401,4)&lt;&gt;"CONC","OK",IF(N($Q401)=0,IF(AND(ISNUMBER($E401),$E401&gt;=DATE(2024,1,1)),"FALTA EN evol_conc","OK"),IF(INDEX(evol_conc!$H:$H,$Q401)&lt;&gt;$F401,"FIRMA DISTINTA EN evol_conc ("&amp;IF(INDEX(evol_conc!$H:$H,$Q401)="","vacía",DAY(INDEX(evol_conc!$H:$H,$Q401))&amp;"/"&amp;MONTH(INDEX(evol_conc!$H:$H,$Q401))&amp;"/"&amp;YEAR(INDEX(evol_conc!$H:$H,$Q401)))&amp;")",IF(INDEX(evol_conc!$G:$G,$Q401)&lt;&gt;$E401,"INGRESO DISTINTO EN evol_conc ("&amp;IF(INDEX(evol_conc!$G:$G,$Q401)="","vacía",DAY(INDEX(evol_conc!$G:$G,$Q401))&amp;"/"&amp;MONTH(INDEX(evol_conc!$G:$G,$Q401))&amp;"/"&amp;YEAR(INDEX(evol_conc!$G:$G,$Q401)))&amp;")","OK"))))))))</f>
        <v/>
      </c>
      <c r="Q401" t="str">
        <f ca="1">IF($N401="","",IFERROR(MATCH($N401,evol_conc!$P:$P,0),0))</f>
        <v/>
      </c>
    </row>
    <row r="402" spans="12:17" ht="18" hidden="1" customHeight="1" x14ac:dyDescent="0.25">
      <c r="L402" s="53" t="str">
        <f t="shared" si="12"/>
        <v/>
      </c>
      <c r="M402" s="19" t="str">
        <f t="shared" si="13"/>
        <v/>
      </c>
      <c r="N402" t="str">
        <f ca="1">IF(TRIM(SUBSTITUTE($B402,CHAR(160)," "))="","",IFERROR(IF(ISNUMBER(SEARCH("INC",$B402)),"INC",IF(ISNUMBER(SEARCH("OPI",$B402)),"OPI",IF(ISNUMBER(SEARCH("DP",$B402)),"DP","CONC")))&amp;" "&amp;TEXT(LOOKUP(9.99E+307,--MID(SUBSTITUTE($B402,CHAR(160)," "),SUMPRODUCT(MIN(FIND({0,1,2,3,4,5,6,7,8,9},SUBSTITUTE($B402,CHAR(160)," ")&amp;"0123456789"))),ROW(INDIRECT("1:6")))),"0"),"SIN NUMERO"))</f>
        <v/>
      </c>
      <c r="O402" t="str">
        <f ca="1">IF($N402="","",IF(LEFT(UPPER($P402),9)="VERIFICAR","VERIFICAR",IF(AND($H402&lt;&gt;"",COUNTIFS($N$2:$N$1000,$N402,$H$2:$H$1000,$H402)&gt;1),"DUPLICADA",IF(TRIM(IF($A402="","tipo ","")&amp;IF($F402="","fecha de firma ","")&amp;IF($G402="","decisión ","")&amp;IF($H402="","N° resolución ","")&amp;IF($I402="","N° dictamen",""))&lt;&gt;"","INCOMPLETA: "&amp;TRIM(IF($A402="","tipo ","")&amp;IF($F402="","fecha de firma ","")&amp;IF($G402="","decisión ","")&amp;IF($H402="","N° resolución ","")&amp;IF($I402="","N° dictamen","")),IF(LEFT($N402,4)&lt;&gt;"CONC","OK",IF(N($Q402)=0,IF(AND(ISNUMBER($E402),$E402&gt;=DATE(2024,1,1)),"FALTA EN evol_conc","OK"),IF(INDEX(evol_conc!$H:$H,$Q402)&lt;&gt;$F402,"FIRMA DISTINTA EN evol_conc ("&amp;IF(INDEX(evol_conc!$H:$H,$Q402)="","vacía",DAY(INDEX(evol_conc!$H:$H,$Q402))&amp;"/"&amp;MONTH(INDEX(evol_conc!$H:$H,$Q402))&amp;"/"&amp;YEAR(INDEX(evol_conc!$H:$H,$Q402)))&amp;")",IF(INDEX(evol_conc!$G:$G,$Q402)&lt;&gt;$E402,"INGRESO DISTINTO EN evol_conc ("&amp;IF(INDEX(evol_conc!$G:$G,$Q402)="","vacía",DAY(INDEX(evol_conc!$G:$G,$Q402))&amp;"/"&amp;MONTH(INDEX(evol_conc!$G:$G,$Q402))&amp;"/"&amp;YEAR(INDEX(evol_conc!$G:$G,$Q402)))&amp;")","OK"))))))))</f>
        <v/>
      </c>
      <c r="Q402" t="str">
        <f ca="1">IF($N402="","",IFERROR(MATCH($N402,evol_conc!$P:$P,0),0))</f>
        <v/>
      </c>
    </row>
    <row r="403" spans="12:17" ht="18" hidden="1" customHeight="1" x14ac:dyDescent="0.25">
      <c r="L403" s="53" t="str">
        <f t="shared" si="12"/>
        <v/>
      </c>
      <c r="M403" s="19" t="str">
        <f t="shared" si="13"/>
        <v/>
      </c>
      <c r="N403" t="str">
        <f ca="1">IF(TRIM(SUBSTITUTE($B403,CHAR(160)," "))="","",IFERROR(IF(ISNUMBER(SEARCH("INC",$B403)),"INC",IF(ISNUMBER(SEARCH("OPI",$B403)),"OPI",IF(ISNUMBER(SEARCH("DP",$B403)),"DP","CONC")))&amp;" "&amp;TEXT(LOOKUP(9.99E+307,--MID(SUBSTITUTE($B403,CHAR(160)," "),SUMPRODUCT(MIN(FIND({0,1,2,3,4,5,6,7,8,9},SUBSTITUTE($B403,CHAR(160)," ")&amp;"0123456789"))),ROW(INDIRECT("1:6")))),"0"),"SIN NUMERO"))</f>
        <v/>
      </c>
      <c r="O403" t="str">
        <f ca="1">IF($N403="","",IF(LEFT(UPPER($P403),9)="VERIFICAR","VERIFICAR",IF(AND($H403&lt;&gt;"",COUNTIFS($N$2:$N$1000,$N403,$H$2:$H$1000,$H403)&gt;1),"DUPLICADA",IF(TRIM(IF($A403="","tipo ","")&amp;IF($F403="","fecha de firma ","")&amp;IF($G403="","decisión ","")&amp;IF($H403="","N° resolución ","")&amp;IF($I403="","N° dictamen",""))&lt;&gt;"","INCOMPLETA: "&amp;TRIM(IF($A403="","tipo ","")&amp;IF($F403="","fecha de firma ","")&amp;IF($G403="","decisión ","")&amp;IF($H403="","N° resolución ","")&amp;IF($I403="","N° dictamen","")),IF(LEFT($N403,4)&lt;&gt;"CONC","OK",IF(N($Q403)=0,IF(AND(ISNUMBER($E403),$E403&gt;=DATE(2024,1,1)),"FALTA EN evol_conc","OK"),IF(INDEX(evol_conc!$H:$H,$Q403)&lt;&gt;$F403,"FIRMA DISTINTA EN evol_conc ("&amp;IF(INDEX(evol_conc!$H:$H,$Q403)="","vacía",DAY(INDEX(evol_conc!$H:$H,$Q403))&amp;"/"&amp;MONTH(INDEX(evol_conc!$H:$H,$Q403))&amp;"/"&amp;YEAR(INDEX(evol_conc!$H:$H,$Q403)))&amp;")",IF(INDEX(evol_conc!$G:$G,$Q403)&lt;&gt;$E403,"INGRESO DISTINTO EN evol_conc ("&amp;IF(INDEX(evol_conc!$G:$G,$Q403)="","vacía",DAY(INDEX(evol_conc!$G:$G,$Q403))&amp;"/"&amp;MONTH(INDEX(evol_conc!$G:$G,$Q403))&amp;"/"&amp;YEAR(INDEX(evol_conc!$G:$G,$Q403)))&amp;")","OK"))))))))</f>
        <v/>
      </c>
      <c r="Q403" t="str">
        <f ca="1">IF($N403="","",IFERROR(MATCH($N403,evol_conc!$P:$P,0),0))</f>
        <v/>
      </c>
    </row>
    <row r="404" spans="12:17" ht="18" hidden="1" customHeight="1" x14ac:dyDescent="0.25">
      <c r="L404" s="53" t="str">
        <f t="shared" si="12"/>
        <v/>
      </c>
      <c r="M404" s="19" t="str">
        <f t="shared" si="13"/>
        <v/>
      </c>
      <c r="N404" t="str">
        <f ca="1">IF(TRIM(SUBSTITUTE($B404,CHAR(160)," "))="","",IFERROR(IF(ISNUMBER(SEARCH("INC",$B404)),"INC",IF(ISNUMBER(SEARCH("OPI",$B404)),"OPI",IF(ISNUMBER(SEARCH("DP",$B404)),"DP","CONC")))&amp;" "&amp;TEXT(LOOKUP(9.99E+307,--MID(SUBSTITUTE($B404,CHAR(160)," "),SUMPRODUCT(MIN(FIND({0,1,2,3,4,5,6,7,8,9},SUBSTITUTE($B404,CHAR(160)," ")&amp;"0123456789"))),ROW(INDIRECT("1:6")))),"0"),"SIN NUMERO"))</f>
        <v/>
      </c>
      <c r="O404" t="str">
        <f ca="1">IF($N404="","",IF(LEFT(UPPER($P404),9)="VERIFICAR","VERIFICAR",IF(AND($H404&lt;&gt;"",COUNTIFS($N$2:$N$1000,$N404,$H$2:$H$1000,$H404)&gt;1),"DUPLICADA",IF(TRIM(IF($A404="","tipo ","")&amp;IF($F404="","fecha de firma ","")&amp;IF($G404="","decisión ","")&amp;IF($H404="","N° resolución ","")&amp;IF($I404="","N° dictamen",""))&lt;&gt;"","INCOMPLETA: "&amp;TRIM(IF($A404="","tipo ","")&amp;IF($F404="","fecha de firma ","")&amp;IF($G404="","decisión ","")&amp;IF($H404="","N° resolución ","")&amp;IF($I404="","N° dictamen","")),IF(LEFT($N404,4)&lt;&gt;"CONC","OK",IF(N($Q404)=0,IF(AND(ISNUMBER($E404),$E404&gt;=DATE(2024,1,1)),"FALTA EN evol_conc","OK"),IF(INDEX(evol_conc!$H:$H,$Q404)&lt;&gt;$F404,"FIRMA DISTINTA EN evol_conc ("&amp;IF(INDEX(evol_conc!$H:$H,$Q404)="","vacía",DAY(INDEX(evol_conc!$H:$H,$Q404))&amp;"/"&amp;MONTH(INDEX(evol_conc!$H:$H,$Q404))&amp;"/"&amp;YEAR(INDEX(evol_conc!$H:$H,$Q404)))&amp;")",IF(INDEX(evol_conc!$G:$G,$Q404)&lt;&gt;$E404,"INGRESO DISTINTO EN evol_conc ("&amp;IF(INDEX(evol_conc!$G:$G,$Q404)="","vacía",DAY(INDEX(evol_conc!$G:$G,$Q404))&amp;"/"&amp;MONTH(INDEX(evol_conc!$G:$G,$Q404))&amp;"/"&amp;YEAR(INDEX(evol_conc!$G:$G,$Q404)))&amp;")","OK"))))))))</f>
        <v/>
      </c>
      <c r="Q404" t="str">
        <f ca="1">IF($N404="","",IFERROR(MATCH($N404,evol_conc!$P:$P,0),0))</f>
        <v/>
      </c>
    </row>
    <row r="405" spans="12:17" ht="18" hidden="1" customHeight="1" x14ac:dyDescent="0.25">
      <c r="L405" s="53" t="str">
        <f t="shared" si="12"/>
        <v/>
      </c>
      <c r="M405" s="19" t="str">
        <f t="shared" si="13"/>
        <v/>
      </c>
      <c r="N405" t="str">
        <f ca="1">IF(TRIM(SUBSTITUTE($B405,CHAR(160)," "))="","",IFERROR(IF(ISNUMBER(SEARCH("INC",$B405)),"INC",IF(ISNUMBER(SEARCH("OPI",$B405)),"OPI",IF(ISNUMBER(SEARCH("DP",$B405)),"DP","CONC")))&amp;" "&amp;TEXT(LOOKUP(9.99E+307,--MID(SUBSTITUTE($B405,CHAR(160)," "),SUMPRODUCT(MIN(FIND({0,1,2,3,4,5,6,7,8,9},SUBSTITUTE($B405,CHAR(160)," ")&amp;"0123456789"))),ROW(INDIRECT("1:6")))),"0"),"SIN NUMERO"))</f>
        <v/>
      </c>
      <c r="O405" t="str">
        <f ca="1">IF($N405="","",IF(LEFT(UPPER($P405),9)="VERIFICAR","VERIFICAR",IF(AND($H405&lt;&gt;"",COUNTIFS($N$2:$N$1000,$N405,$H$2:$H$1000,$H405)&gt;1),"DUPLICADA",IF(TRIM(IF($A405="","tipo ","")&amp;IF($F405="","fecha de firma ","")&amp;IF($G405="","decisión ","")&amp;IF($H405="","N° resolución ","")&amp;IF($I405="","N° dictamen",""))&lt;&gt;"","INCOMPLETA: "&amp;TRIM(IF($A405="","tipo ","")&amp;IF($F405="","fecha de firma ","")&amp;IF($G405="","decisión ","")&amp;IF($H405="","N° resolución ","")&amp;IF($I405="","N° dictamen","")),IF(LEFT($N405,4)&lt;&gt;"CONC","OK",IF(N($Q405)=0,IF(AND(ISNUMBER($E405),$E405&gt;=DATE(2024,1,1)),"FALTA EN evol_conc","OK"),IF(INDEX(evol_conc!$H:$H,$Q405)&lt;&gt;$F405,"FIRMA DISTINTA EN evol_conc ("&amp;IF(INDEX(evol_conc!$H:$H,$Q405)="","vacía",DAY(INDEX(evol_conc!$H:$H,$Q405))&amp;"/"&amp;MONTH(INDEX(evol_conc!$H:$H,$Q405))&amp;"/"&amp;YEAR(INDEX(evol_conc!$H:$H,$Q405)))&amp;")",IF(INDEX(evol_conc!$G:$G,$Q405)&lt;&gt;$E405,"INGRESO DISTINTO EN evol_conc ("&amp;IF(INDEX(evol_conc!$G:$G,$Q405)="","vacía",DAY(INDEX(evol_conc!$G:$G,$Q405))&amp;"/"&amp;MONTH(INDEX(evol_conc!$G:$G,$Q405))&amp;"/"&amp;YEAR(INDEX(evol_conc!$G:$G,$Q405)))&amp;")","OK"))))))))</f>
        <v/>
      </c>
      <c r="Q405" t="str">
        <f ca="1">IF($N405="","",IFERROR(MATCH($N405,evol_conc!$P:$P,0),0))</f>
        <v/>
      </c>
    </row>
    <row r="406" spans="12:17" ht="18" hidden="1" customHeight="1" x14ac:dyDescent="0.25">
      <c r="L406" s="53" t="str">
        <f t="shared" si="12"/>
        <v/>
      </c>
      <c r="M406" s="19" t="str">
        <f t="shared" si="13"/>
        <v/>
      </c>
      <c r="N406" t="str">
        <f ca="1">IF(TRIM(SUBSTITUTE($B406,CHAR(160)," "))="","",IFERROR(IF(ISNUMBER(SEARCH("INC",$B406)),"INC",IF(ISNUMBER(SEARCH("OPI",$B406)),"OPI",IF(ISNUMBER(SEARCH("DP",$B406)),"DP","CONC")))&amp;" "&amp;TEXT(LOOKUP(9.99E+307,--MID(SUBSTITUTE($B406,CHAR(160)," "),SUMPRODUCT(MIN(FIND({0,1,2,3,4,5,6,7,8,9},SUBSTITUTE($B406,CHAR(160)," ")&amp;"0123456789"))),ROW(INDIRECT("1:6")))),"0"),"SIN NUMERO"))</f>
        <v/>
      </c>
      <c r="O406" t="str">
        <f ca="1">IF($N406="","",IF(LEFT(UPPER($P406),9)="VERIFICAR","VERIFICAR",IF(AND($H406&lt;&gt;"",COUNTIFS($N$2:$N$1000,$N406,$H$2:$H$1000,$H406)&gt;1),"DUPLICADA",IF(TRIM(IF($A406="","tipo ","")&amp;IF($F406="","fecha de firma ","")&amp;IF($G406="","decisión ","")&amp;IF($H406="","N° resolución ","")&amp;IF($I406="","N° dictamen",""))&lt;&gt;"","INCOMPLETA: "&amp;TRIM(IF($A406="","tipo ","")&amp;IF($F406="","fecha de firma ","")&amp;IF($G406="","decisión ","")&amp;IF($H406="","N° resolución ","")&amp;IF($I406="","N° dictamen","")),IF(LEFT($N406,4)&lt;&gt;"CONC","OK",IF(N($Q406)=0,IF(AND(ISNUMBER($E406),$E406&gt;=DATE(2024,1,1)),"FALTA EN evol_conc","OK"),IF(INDEX(evol_conc!$H:$H,$Q406)&lt;&gt;$F406,"FIRMA DISTINTA EN evol_conc ("&amp;IF(INDEX(evol_conc!$H:$H,$Q406)="","vacía",DAY(INDEX(evol_conc!$H:$H,$Q406))&amp;"/"&amp;MONTH(INDEX(evol_conc!$H:$H,$Q406))&amp;"/"&amp;YEAR(INDEX(evol_conc!$H:$H,$Q406)))&amp;")",IF(INDEX(evol_conc!$G:$G,$Q406)&lt;&gt;$E406,"INGRESO DISTINTO EN evol_conc ("&amp;IF(INDEX(evol_conc!$G:$G,$Q406)="","vacía",DAY(INDEX(evol_conc!$G:$G,$Q406))&amp;"/"&amp;MONTH(INDEX(evol_conc!$G:$G,$Q406))&amp;"/"&amp;YEAR(INDEX(evol_conc!$G:$G,$Q406)))&amp;")","OK"))))))))</f>
        <v/>
      </c>
      <c r="Q406" t="str">
        <f ca="1">IF($N406="","",IFERROR(MATCH($N406,evol_conc!$P:$P,0),0))</f>
        <v/>
      </c>
    </row>
    <row r="407" spans="12:17" ht="18" hidden="1" customHeight="1" x14ac:dyDescent="0.25">
      <c r="L407" s="53" t="str">
        <f t="shared" si="12"/>
        <v/>
      </c>
      <c r="M407" s="19" t="str">
        <f t="shared" si="13"/>
        <v/>
      </c>
      <c r="N407" t="str">
        <f ca="1">IF(TRIM(SUBSTITUTE($B407,CHAR(160)," "))="","",IFERROR(IF(ISNUMBER(SEARCH("INC",$B407)),"INC",IF(ISNUMBER(SEARCH("OPI",$B407)),"OPI",IF(ISNUMBER(SEARCH("DP",$B407)),"DP","CONC")))&amp;" "&amp;TEXT(LOOKUP(9.99E+307,--MID(SUBSTITUTE($B407,CHAR(160)," "),SUMPRODUCT(MIN(FIND({0,1,2,3,4,5,6,7,8,9},SUBSTITUTE($B407,CHAR(160)," ")&amp;"0123456789"))),ROW(INDIRECT("1:6")))),"0"),"SIN NUMERO"))</f>
        <v/>
      </c>
      <c r="O407" t="str">
        <f ca="1">IF($N407="","",IF(LEFT(UPPER($P407),9)="VERIFICAR","VERIFICAR",IF(AND($H407&lt;&gt;"",COUNTIFS($N$2:$N$1000,$N407,$H$2:$H$1000,$H407)&gt;1),"DUPLICADA",IF(TRIM(IF($A407="","tipo ","")&amp;IF($F407="","fecha de firma ","")&amp;IF($G407="","decisión ","")&amp;IF($H407="","N° resolución ","")&amp;IF($I407="","N° dictamen",""))&lt;&gt;"","INCOMPLETA: "&amp;TRIM(IF($A407="","tipo ","")&amp;IF($F407="","fecha de firma ","")&amp;IF($G407="","decisión ","")&amp;IF($H407="","N° resolución ","")&amp;IF($I407="","N° dictamen","")),IF(LEFT($N407,4)&lt;&gt;"CONC","OK",IF(N($Q407)=0,IF(AND(ISNUMBER($E407),$E407&gt;=DATE(2024,1,1)),"FALTA EN evol_conc","OK"),IF(INDEX(evol_conc!$H:$H,$Q407)&lt;&gt;$F407,"FIRMA DISTINTA EN evol_conc ("&amp;IF(INDEX(evol_conc!$H:$H,$Q407)="","vacía",DAY(INDEX(evol_conc!$H:$H,$Q407))&amp;"/"&amp;MONTH(INDEX(evol_conc!$H:$H,$Q407))&amp;"/"&amp;YEAR(INDEX(evol_conc!$H:$H,$Q407)))&amp;")",IF(INDEX(evol_conc!$G:$G,$Q407)&lt;&gt;$E407,"INGRESO DISTINTO EN evol_conc ("&amp;IF(INDEX(evol_conc!$G:$G,$Q407)="","vacía",DAY(INDEX(evol_conc!$G:$G,$Q407))&amp;"/"&amp;MONTH(INDEX(evol_conc!$G:$G,$Q407))&amp;"/"&amp;YEAR(INDEX(evol_conc!$G:$G,$Q407)))&amp;")","OK"))))))))</f>
        <v/>
      </c>
      <c r="Q407" t="str">
        <f ca="1">IF($N407="","",IFERROR(MATCH($N407,evol_conc!$P:$P,0),0))</f>
        <v/>
      </c>
    </row>
    <row r="408" spans="12:17" ht="18" hidden="1" customHeight="1" x14ac:dyDescent="0.25">
      <c r="L408" s="53" t="str">
        <f t="shared" si="12"/>
        <v/>
      </c>
      <c r="M408" s="19" t="str">
        <f t="shared" si="13"/>
        <v/>
      </c>
      <c r="N408" t="str">
        <f ca="1">IF(TRIM(SUBSTITUTE($B408,CHAR(160)," "))="","",IFERROR(IF(ISNUMBER(SEARCH("INC",$B408)),"INC",IF(ISNUMBER(SEARCH("OPI",$B408)),"OPI",IF(ISNUMBER(SEARCH("DP",$B408)),"DP","CONC")))&amp;" "&amp;TEXT(LOOKUP(9.99E+307,--MID(SUBSTITUTE($B408,CHAR(160)," "),SUMPRODUCT(MIN(FIND({0,1,2,3,4,5,6,7,8,9},SUBSTITUTE($B408,CHAR(160)," ")&amp;"0123456789"))),ROW(INDIRECT("1:6")))),"0"),"SIN NUMERO"))</f>
        <v/>
      </c>
      <c r="O408" t="str">
        <f ca="1">IF($N408="","",IF(LEFT(UPPER($P408),9)="VERIFICAR","VERIFICAR",IF(AND($H408&lt;&gt;"",COUNTIFS($N$2:$N$1000,$N408,$H$2:$H$1000,$H408)&gt;1),"DUPLICADA",IF(TRIM(IF($A408="","tipo ","")&amp;IF($F408="","fecha de firma ","")&amp;IF($G408="","decisión ","")&amp;IF($H408="","N° resolución ","")&amp;IF($I408="","N° dictamen",""))&lt;&gt;"","INCOMPLETA: "&amp;TRIM(IF($A408="","tipo ","")&amp;IF($F408="","fecha de firma ","")&amp;IF($G408="","decisión ","")&amp;IF($H408="","N° resolución ","")&amp;IF($I408="","N° dictamen","")),IF(LEFT($N408,4)&lt;&gt;"CONC","OK",IF(N($Q408)=0,IF(AND(ISNUMBER($E408),$E408&gt;=DATE(2024,1,1)),"FALTA EN evol_conc","OK"),IF(INDEX(evol_conc!$H:$H,$Q408)&lt;&gt;$F408,"FIRMA DISTINTA EN evol_conc ("&amp;IF(INDEX(evol_conc!$H:$H,$Q408)="","vacía",DAY(INDEX(evol_conc!$H:$H,$Q408))&amp;"/"&amp;MONTH(INDEX(evol_conc!$H:$H,$Q408))&amp;"/"&amp;YEAR(INDEX(evol_conc!$H:$H,$Q408)))&amp;")",IF(INDEX(evol_conc!$G:$G,$Q408)&lt;&gt;$E408,"INGRESO DISTINTO EN evol_conc ("&amp;IF(INDEX(evol_conc!$G:$G,$Q408)="","vacía",DAY(INDEX(evol_conc!$G:$G,$Q408))&amp;"/"&amp;MONTH(INDEX(evol_conc!$G:$G,$Q408))&amp;"/"&amp;YEAR(INDEX(evol_conc!$G:$G,$Q408)))&amp;")","OK"))))))))</f>
        <v/>
      </c>
      <c r="Q408" t="str">
        <f ca="1">IF($N408="","",IFERROR(MATCH($N408,evol_conc!$P:$P,0),0))</f>
        <v/>
      </c>
    </row>
    <row r="409" spans="12:17" ht="18" hidden="1" customHeight="1" x14ac:dyDescent="0.25">
      <c r="L409" s="53" t="str">
        <f t="shared" si="12"/>
        <v/>
      </c>
      <c r="M409" s="19" t="str">
        <f t="shared" si="13"/>
        <v/>
      </c>
      <c r="N409" t="str">
        <f ca="1">IF(TRIM(SUBSTITUTE($B409,CHAR(160)," "))="","",IFERROR(IF(ISNUMBER(SEARCH("INC",$B409)),"INC",IF(ISNUMBER(SEARCH("OPI",$B409)),"OPI",IF(ISNUMBER(SEARCH("DP",$B409)),"DP","CONC")))&amp;" "&amp;TEXT(LOOKUP(9.99E+307,--MID(SUBSTITUTE($B409,CHAR(160)," "),SUMPRODUCT(MIN(FIND({0,1,2,3,4,5,6,7,8,9},SUBSTITUTE($B409,CHAR(160)," ")&amp;"0123456789"))),ROW(INDIRECT("1:6")))),"0"),"SIN NUMERO"))</f>
        <v/>
      </c>
      <c r="O409" t="str">
        <f ca="1">IF($N409="","",IF(LEFT(UPPER($P409),9)="VERIFICAR","VERIFICAR",IF(AND($H409&lt;&gt;"",COUNTIFS($N$2:$N$1000,$N409,$H$2:$H$1000,$H409)&gt;1),"DUPLICADA",IF(TRIM(IF($A409="","tipo ","")&amp;IF($F409="","fecha de firma ","")&amp;IF($G409="","decisión ","")&amp;IF($H409="","N° resolución ","")&amp;IF($I409="","N° dictamen",""))&lt;&gt;"","INCOMPLETA: "&amp;TRIM(IF($A409="","tipo ","")&amp;IF($F409="","fecha de firma ","")&amp;IF($G409="","decisión ","")&amp;IF($H409="","N° resolución ","")&amp;IF($I409="","N° dictamen","")),IF(LEFT($N409,4)&lt;&gt;"CONC","OK",IF(N($Q409)=0,IF(AND(ISNUMBER($E409),$E409&gt;=DATE(2024,1,1)),"FALTA EN evol_conc","OK"),IF(INDEX(evol_conc!$H:$H,$Q409)&lt;&gt;$F409,"FIRMA DISTINTA EN evol_conc ("&amp;IF(INDEX(evol_conc!$H:$H,$Q409)="","vacía",DAY(INDEX(evol_conc!$H:$H,$Q409))&amp;"/"&amp;MONTH(INDEX(evol_conc!$H:$H,$Q409))&amp;"/"&amp;YEAR(INDEX(evol_conc!$H:$H,$Q409)))&amp;")",IF(INDEX(evol_conc!$G:$G,$Q409)&lt;&gt;$E409,"INGRESO DISTINTO EN evol_conc ("&amp;IF(INDEX(evol_conc!$G:$G,$Q409)="","vacía",DAY(INDEX(evol_conc!$G:$G,$Q409))&amp;"/"&amp;MONTH(INDEX(evol_conc!$G:$G,$Q409))&amp;"/"&amp;YEAR(INDEX(evol_conc!$G:$G,$Q409)))&amp;")","OK"))))))))</f>
        <v/>
      </c>
      <c r="Q409" t="str">
        <f ca="1">IF($N409="","",IFERROR(MATCH($N409,evol_conc!$P:$P,0),0))</f>
        <v/>
      </c>
    </row>
    <row r="410" spans="12:17" ht="18" hidden="1" customHeight="1" x14ac:dyDescent="0.25">
      <c r="L410" s="53" t="str">
        <f t="shared" si="12"/>
        <v/>
      </c>
      <c r="M410" s="19" t="str">
        <f t="shared" si="13"/>
        <v/>
      </c>
      <c r="N410" t="str">
        <f ca="1">IF(TRIM(SUBSTITUTE($B410,CHAR(160)," "))="","",IFERROR(IF(ISNUMBER(SEARCH("INC",$B410)),"INC",IF(ISNUMBER(SEARCH("OPI",$B410)),"OPI",IF(ISNUMBER(SEARCH("DP",$B410)),"DP","CONC")))&amp;" "&amp;TEXT(LOOKUP(9.99E+307,--MID(SUBSTITUTE($B410,CHAR(160)," "),SUMPRODUCT(MIN(FIND({0,1,2,3,4,5,6,7,8,9},SUBSTITUTE($B410,CHAR(160)," ")&amp;"0123456789"))),ROW(INDIRECT("1:6")))),"0"),"SIN NUMERO"))</f>
        <v/>
      </c>
      <c r="O410" t="str">
        <f ca="1">IF($N410="","",IF(LEFT(UPPER($P410),9)="VERIFICAR","VERIFICAR",IF(AND($H410&lt;&gt;"",COUNTIFS($N$2:$N$1000,$N410,$H$2:$H$1000,$H410)&gt;1),"DUPLICADA",IF(TRIM(IF($A410="","tipo ","")&amp;IF($F410="","fecha de firma ","")&amp;IF($G410="","decisión ","")&amp;IF($H410="","N° resolución ","")&amp;IF($I410="","N° dictamen",""))&lt;&gt;"","INCOMPLETA: "&amp;TRIM(IF($A410="","tipo ","")&amp;IF($F410="","fecha de firma ","")&amp;IF($G410="","decisión ","")&amp;IF($H410="","N° resolución ","")&amp;IF($I410="","N° dictamen","")),IF(LEFT($N410,4)&lt;&gt;"CONC","OK",IF(N($Q410)=0,IF(AND(ISNUMBER($E410),$E410&gt;=DATE(2024,1,1)),"FALTA EN evol_conc","OK"),IF(INDEX(evol_conc!$H:$H,$Q410)&lt;&gt;$F410,"FIRMA DISTINTA EN evol_conc ("&amp;IF(INDEX(evol_conc!$H:$H,$Q410)="","vacía",DAY(INDEX(evol_conc!$H:$H,$Q410))&amp;"/"&amp;MONTH(INDEX(evol_conc!$H:$H,$Q410))&amp;"/"&amp;YEAR(INDEX(evol_conc!$H:$H,$Q410)))&amp;")",IF(INDEX(evol_conc!$G:$G,$Q410)&lt;&gt;$E410,"INGRESO DISTINTO EN evol_conc ("&amp;IF(INDEX(evol_conc!$G:$G,$Q410)="","vacía",DAY(INDEX(evol_conc!$G:$G,$Q410))&amp;"/"&amp;MONTH(INDEX(evol_conc!$G:$G,$Q410))&amp;"/"&amp;YEAR(INDEX(evol_conc!$G:$G,$Q410)))&amp;")","OK"))))))))</f>
        <v/>
      </c>
      <c r="Q410" t="str">
        <f ca="1">IF($N410="","",IFERROR(MATCH($N410,evol_conc!$P:$P,0),0))</f>
        <v/>
      </c>
    </row>
    <row r="411" spans="12:17" ht="18" hidden="1" customHeight="1" x14ac:dyDescent="0.25">
      <c r="L411" s="53" t="str">
        <f t="shared" si="12"/>
        <v/>
      </c>
      <c r="M411" s="19" t="str">
        <f t="shared" si="13"/>
        <v/>
      </c>
      <c r="N411" t="str">
        <f ca="1">IF(TRIM(SUBSTITUTE($B411,CHAR(160)," "))="","",IFERROR(IF(ISNUMBER(SEARCH("INC",$B411)),"INC",IF(ISNUMBER(SEARCH("OPI",$B411)),"OPI",IF(ISNUMBER(SEARCH("DP",$B411)),"DP","CONC")))&amp;" "&amp;TEXT(LOOKUP(9.99E+307,--MID(SUBSTITUTE($B411,CHAR(160)," "),SUMPRODUCT(MIN(FIND({0,1,2,3,4,5,6,7,8,9},SUBSTITUTE($B411,CHAR(160)," ")&amp;"0123456789"))),ROW(INDIRECT("1:6")))),"0"),"SIN NUMERO"))</f>
        <v/>
      </c>
      <c r="O411" t="str">
        <f ca="1">IF($N411="","",IF(LEFT(UPPER($P411),9)="VERIFICAR","VERIFICAR",IF(AND($H411&lt;&gt;"",COUNTIFS($N$2:$N$1000,$N411,$H$2:$H$1000,$H411)&gt;1),"DUPLICADA",IF(TRIM(IF($A411="","tipo ","")&amp;IF($F411="","fecha de firma ","")&amp;IF($G411="","decisión ","")&amp;IF($H411="","N° resolución ","")&amp;IF($I411="","N° dictamen",""))&lt;&gt;"","INCOMPLETA: "&amp;TRIM(IF($A411="","tipo ","")&amp;IF($F411="","fecha de firma ","")&amp;IF($G411="","decisión ","")&amp;IF($H411="","N° resolución ","")&amp;IF($I411="","N° dictamen","")),IF(LEFT($N411,4)&lt;&gt;"CONC","OK",IF(N($Q411)=0,IF(AND(ISNUMBER($E411),$E411&gt;=DATE(2024,1,1)),"FALTA EN evol_conc","OK"),IF(INDEX(evol_conc!$H:$H,$Q411)&lt;&gt;$F411,"FIRMA DISTINTA EN evol_conc ("&amp;IF(INDEX(evol_conc!$H:$H,$Q411)="","vacía",DAY(INDEX(evol_conc!$H:$H,$Q411))&amp;"/"&amp;MONTH(INDEX(evol_conc!$H:$H,$Q411))&amp;"/"&amp;YEAR(INDEX(evol_conc!$H:$H,$Q411)))&amp;")",IF(INDEX(evol_conc!$G:$G,$Q411)&lt;&gt;$E411,"INGRESO DISTINTO EN evol_conc ("&amp;IF(INDEX(evol_conc!$G:$G,$Q411)="","vacía",DAY(INDEX(evol_conc!$G:$G,$Q411))&amp;"/"&amp;MONTH(INDEX(evol_conc!$G:$G,$Q411))&amp;"/"&amp;YEAR(INDEX(evol_conc!$G:$G,$Q411)))&amp;")","OK"))))))))</f>
        <v/>
      </c>
      <c r="Q411" t="str">
        <f ca="1">IF($N411="","",IFERROR(MATCH($N411,evol_conc!$P:$P,0),0))</f>
        <v/>
      </c>
    </row>
    <row r="412" spans="12:17" ht="18" hidden="1" customHeight="1" x14ac:dyDescent="0.25">
      <c r="L412" s="53" t="str">
        <f t="shared" si="12"/>
        <v/>
      </c>
      <c r="M412" s="19" t="str">
        <f t="shared" si="13"/>
        <v/>
      </c>
      <c r="N412" t="str">
        <f ca="1">IF(TRIM(SUBSTITUTE($B412,CHAR(160)," "))="","",IFERROR(IF(ISNUMBER(SEARCH("INC",$B412)),"INC",IF(ISNUMBER(SEARCH("OPI",$B412)),"OPI",IF(ISNUMBER(SEARCH("DP",$B412)),"DP","CONC")))&amp;" "&amp;TEXT(LOOKUP(9.99E+307,--MID(SUBSTITUTE($B412,CHAR(160)," "),SUMPRODUCT(MIN(FIND({0,1,2,3,4,5,6,7,8,9},SUBSTITUTE($B412,CHAR(160)," ")&amp;"0123456789"))),ROW(INDIRECT("1:6")))),"0"),"SIN NUMERO"))</f>
        <v/>
      </c>
      <c r="O412" t="str">
        <f ca="1">IF($N412="","",IF(LEFT(UPPER($P412),9)="VERIFICAR","VERIFICAR",IF(AND($H412&lt;&gt;"",COUNTIFS($N$2:$N$1000,$N412,$H$2:$H$1000,$H412)&gt;1),"DUPLICADA",IF(TRIM(IF($A412="","tipo ","")&amp;IF($F412="","fecha de firma ","")&amp;IF($G412="","decisión ","")&amp;IF($H412="","N° resolución ","")&amp;IF($I412="","N° dictamen",""))&lt;&gt;"","INCOMPLETA: "&amp;TRIM(IF($A412="","tipo ","")&amp;IF($F412="","fecha de firma ","")&amp;IF($G412="","decisión ","")&amp;IF($H412="","N° resolución ","")&amp;IF($I412="","N° dictamen","")),IF(LEFT($N412,4)&lt;&gt;"CONC","OK",IF(N($Q412)=0,IF(AND(ISNUMBER($E412),$E412&gt;=DATE(2024,1,1)),"FALTA EN evol_conc","OK"),IF(INDEX(evol_conc!$H:$H,$Q412)&lt;&gt;$F412,"FIRMA DISTINTA EN evol_conc ("&amp;IF(INDEX(evol_conc!$H:$H,$Q412)="","vacía",DAY(INDEX(evol_conc!$H:$H,$Q412))&amp;"/"&amp;MONTH(INDEX(evol_conc!$H:$H,$Q412))&amp;"/"&amp;YEAR(INDEX(evol_conc!$H:$H,$Q412)))&amp;")",IF(INDEX(evol_conc!$G:$G,$Q412)&lt;&gt;$E412,"INGRESO DISTINTO EN evol_conc ("&amp;IF(INDEX(evol_conc!$G:$G,$Q412)="","vacía",DAY(INDEX(evol_conc!$G:$G,$Q412))&amp;"/"&amp;MONTH(INDEX(evol_conc!$G:$G,$Q412))&amp;"/"&amp;YEAR(INDEX(evol_conc!$G:$G,$Q412)))&amp;")","OK"))))))))</f>
        <v/>
      </c>
      <c r="Q412" t="str">
        <f ca="1">IF($N412="","",IFERROR(MATCH($N412,evol_conc!$P:$P,0),0))</f>
        <v/>
      </c>
    </row>
    <row r="413" spans="12:17" ht="18" hidden="1" customHeight="1" x14ac:dyDescent="0.25">
      <c r="L413" s="53" t="str">
        <f t="shared" si="12"/>
        <v/>
      </c>
      <c r="M413" s="19" t="str">
        <f t="shared" si="13"/>
        <v/>
      </c>
      <c r="N413" t="str">
        <f ca="1">IF(TRIM(SUBSTITUTE($B413,CHAR(160)," "))="","",IFERROR(IF(ISNUMBER(SEARCH("INC",$B413)),"INC",IF(ISNUMBER(SEARCH("OPI",$B413)),"OPI",IF(ISNUMBER(SEARCH("DP",$B413)),"DP","CONC")))&amp;" "&amp;TEXT(LOOKUP(9.99E+307,--MID(SUBSTITUTE($B413,CHAR(160)," "),SUMPRODUCT(MIN(FIND({0,1,2,3,4,5,6,7,8,9},SUBSTITUTE($B413,CHAR(160)," ")&amp;"0123456789"))),ROW(INDIRECT("1:6")))),"0"),"SIN NUMERO"))</f>
        <v/>
      </c>
      <c r="O413" t="str">
        <f ca="1">IF($N413="","",IF(LEFT(UPPER($P413),9)="VERIFICAR","VERIFICAR",IF(AND($H413&lt;&gt;"",COUNTIFS($N$2:$N$1000,$N413,$H$2:$H$1000,$H413)&gt;1),"DUPLICADA",IF(TRIM(IF($A413="","tipo ","")&amp;IF($F413="","fecha de firma ","")&amp;IF($G413="","decisión ","")&amp;IF($H413="","N° resolución ","")&amp;IF($I413="","N° dictamen",""))&lt;&gt;"","INCOMPLETA: "&amp;TRIM(IF($A413="","tipo ","")&amp;IF($F413="","fecha de firma ","")&amp;IF($G413="","decisión ","")&amp;IF($H413="","N° resolución ","")&amp;IF($I413="","N° dictamen","")),IF(LEFT($N413,4)&lt;&gt;"CONC","OK",IF(N($Q413)=0,IF(AND(ISNUMBER($E413),$E413&gt;=DATE(2024,1,1)),"FALTA EN evol_conc","OK"),IF(INDEX(evol_conc!$H:$H,$Q413)&lt;&gt;$F413,"FIRMA DISTINTA EN evol_conc ("&amp;IF(INDEX(evol_conc!$H:$H,$Q413)="","vacía",DAY(INDEX(evol_conc!$H:$H,$Q413))&amp;"/"&amp;MONTH(INDEX(evol_conc!$H:$H,$Q413))&amp;"/"&amp;YEAR(INDEX(evol_conc!$H:$H,$Q413)))&amp;")",IF(INDEX(evol_conc!$G:$G,$Q413)&lt;&gt;$E413,"INGRESO DISTINTO EN evol_conc ("&amp;IF(INDEX(evol_conc!$G:$G,$Q413)="","vacía",DAY(INDEX(evol_conc!$G:$G,$Q413))&amp;"/"&amp;MONTH(INDEX(evol_conc!$G:$G,$Q413))&amp;"/"&amp;YEAR(INDEX(evol_conc!$G:$G,$Q413)))&amp;")","OK"))))))))</f>
        <v/>
      </c>
      <c r="Q413" t="str">
        <f ca="1">IF($N413="","",IFERROR(MATCH($N413,evol_conc!$P:$P,0),0))</f>
        <v/>
      </c>
    </row>
    <row r="414" spans="12:17" ht="18" hidden="1" customHeight="1" x14ac:dyDescent="0.25">
      <c r="L414" s="53" t="str">
        <f t="shared" si="12"/>
        <v/>
      </c>
      <c r="M414" s="19" t="str">
        <f t="shared" si="13"/>
        <v/>
      </c>
      <c r="N414" t="str">
        <f ca="1">IF(TRIM(SUBSTITUTE($B414,CHAR(160)," "))="","",IFERROR(IF(ISNUMBER(SEARCH("INC",$B414)),"INC",IF(ISNUMBER(SEARCH("OPI",$B414)),"OPI",IF(ISNUMBER(SEARCH("DP",$B414)),"DP","CONC")))&amp;" "&amp;TEXT(LOOKUP(9.99E+307,--MID(SUBSTITUTE($B414,CHAR(160)," "),SUMPRODUCT(MIN(FIND({0,1,2,3,4,5,6,7,8,9},SUBSTITUTE($B414,CHAR(160)," ")&amp;"0123456789"))),ROW(INDIRECT("1:6")))),"0"),"SIN NUMERO"))</f>
        <v/>
      </c>
      <c r="O414" t="str">
        <f ca="1">IF($N414="","",IF(LEFT(UPPER($P414),9)="VERIFICAR","VERIFICAR",IF(AND($H414&lt;&gt;"",COUNTIFS($N$2:$N$1000,$N414,$H$2:$H$1000,$H414)&gt;1),"DUPLICADA",IF(TRIM(IF($A414="","tipo ","")&amp;IF($F414="","fecha de firma ","")&amp;IF($G414="","decisión ","")&amp;IF($H414="","N° resolución ","")&amp;IF($I414="","N° dictamen",""))&lt;&gt;"","INCOMPLETA: "&amp;TRIM(IF($A414="","tipo ","")&amp;IF($F414="","fecha de firma ","")&amp;IF($G414="","decisión ","")&amp;IF($H414="","N° resolución ","")&amp;IF($I414="","N° dictamen","")),IF(LEFT($N414,4)&lt;&gt;"CONC","OK",IF(N($Q414)=0,IF(AND(ISNUMBER($E414),$E414&gt;=DATE(2024,1,1)),"FALTA EN evol_conc","OK"),IF(INDEX(evol_conc!$H:$H,$Q414)&lt;&gt;$F414,"FIRMA DISTINTA EN evol_conc ("&amp;IF(INDEX(evol_conc!$H:$H,$Q414)="","vacía",DAY(INDEX(evol_conc!$H:$H,$Q414))&amp;"/"&amp;MONTH(INDEX(evol_conc!$H:$H,$Q414))&amp;"/"&amp;YEAR(INDEX(evol_conc!$H:$H,$Q414)))&amp;")",IF(INDEX(evol_conc!$G:$G,$Q414)&lt;&gt;$E414,"INGRESO DISTINTO EN evol_conc ("&amp;IF(INDEX(evol_conc!$G:$G,$Q414)="","vacía",DAY(INDEX(evol_conc!$G:$G,$Q414))&amp;"/"&amp;MONTH(INDEX(evol_conc!$G:$G,$Q414))&amp;"/"&amp;YEAR(INDEX(evol_conc!$G:$G,$Q414)))&amp;")","OK"))))))))</f>
        <v/>
      </c>
      <c r="Q414" t="str">
        <f ca="1">IF($N414="","",IFERROR(MATCH($N414,evol_conc!$P:$P,0),0))</f>
        <v/>
      </c>
    </row>
    <row r="415" spans="12:17" ht="18" hidden="1" customHeight="1" x14ac:dyDescent="0.25">
      <c r="L415" s="53" t="str">
        <f t="shared" si="12"/>
        <v/>
      </c>
      <c r="M415" s="19" t="str">
        <f t="shared" si="13"/>
        <v/>
      </c>
      <c r="N415" t="str">
        <f ca="1">IF(TRIM(SUBSTITUTE($B415,CHAR(160)," "))="","",IFERROR(IF(ISNUMBER(SEARCH("INC",$B415)),"INC",IF(ISNUMBER(SEARCH("OPI",$B415)),"OPI",IF(ISNUMBER(SEARCH("DP",$B415)),"DP","CONC")))&amp;" "&amp;TEXT(LOOKUP(9.99E+307,--MID(SUBSTITUTE($B415,CHAR(160)," "),SUMPRODUCT(MIN(FIND({0,1,2,3,4,5,6,7,8,9},SUBSTITUTE($B415,CHAR(160)," ")&amp;"0123456789"))),ROW(INDIRECT("1:6")))),"0"),"SIN NUMERO"))</f>
        <v/>
      </c>
      <c r="O415" t="str">
        <f ca="1">IF($N415="","",IF(LEFT(UPPER($P415),9)="VERIFICAR","VERIFICAR",IF(AND($H415&lt;&gt;"",COUNTIFS($N$2:$N$1000,$N415,$H$2:$H$1000,$H415)&gt;1),"DUPLICADA",IF(TRIM(IF($A415="","tipo ","")&amp;IF($F415="","fecha de firma ","")&amp;IF($G415="","decisión ","")&amp;IF($H415="","N° resolución ","")&amp;IF($I415="","N° dictamen",""))&lt;&gt;"","INCOMPLETA: "&amp;TRIM(IF($A415="","tipo ","")&amp;IF($F415="","fecha de firma ","")&amp;IF($G415="","decisión ","")&amp;IF($H415="","N° resolución ","")&amp;IF($I415="","N° dictamen","")),IF(LEFT($N415,4)&lt;&gt;"CONC","OK",IF(N($Q415)=0,IF(AND(ISNUMBER($E415),$E415&gt;=DATE(2024,1,1)),"FALTA EN evol_conc","OK"),IF(INDEX(evol_conc!$H:$H,$Q415)&lt;&gt;$F415,"FIRMA DISTINTA EN evol_conc ("&amp;IF(INDEX(evol_conc!$H:$H,$Q415)="","vacía",DAY(INDEX(evol_conc!$H:$H,$Q415))&amp;"/"&amp;MONTH(INDEX(evol_conc!$H:$H,$Q415))&amp;"/"&amp;YEAR(INDEX(evol_conc!$H:$H,$Q415)))&amp;")",IF(INDEX(evol_conc!$G:$G,$Q415)&lt;&gt;$E415,"INGRESO DISTINTO EN evol_conc ("&amp;IF(INDEX(evol_conc!$G:$G,$Q415)="","vacía",DAY(INDEX(evol_conc!$G:$G,$Q415))&amp;"/"&amp;MONTH(INDEX(evol_conc!$G:$G,$Q415))&amp;"/"&amp;YEAR(INDEX(evol_conc!$G:$G,$Q415)))&amp;")","OK"))))))))</f>
        <v/>
      </c>
      <c r="Q415" t="str">
        <f ca="1">IF($N415="","",IFERROR(MATCH($N415,evol_conc!$P:$P,0),0))</f>
        <v/>
      </c>
    </row>
    <row r="416" spans="12:17" ht="18" hidden="1" customHeight="1" x14ac:dyDescent="0.25">
      <c r="L416" s="53" t="str">
        <f t="shared" si="12"/>
        <v/>
      </c>
      <c r="M416" s="19" t="str">
        <f t="shared" si="13"/>
        <v/>
      </c>
      <c r="N416" t="str">
        <f ca="1">IF(TRIM(SUBSTITUTE($B416,CHAR(160)," "))="","",IFERROR(IF(ISNUMBER(SEARCH("INC",$B416)),"INC",IF(ISNUMBER(SEARCH("OPI",$B416)),"OPI",IF(ISNUMBER(SEARCH("DP",$B416)),"DP","CONC")))&amp;" "&amp;TEXT(LOOKUP(9.99E+307,--MID(SUBSTITUTE($B416,CHAR(160)," "),SUMPRODUCT(MIN(FIND({0,1,2,3,4,5,6,7,8,9},SUBSTITUTE($B416,CHAR(160)," ")&amp;"0123456789"))),ROW(INDIRECT("1:6")))),"0"),"SIN NUMERO"))</f>
        <v/>
      </c>
      <c r="O416" t="str">
        <f ca="1">IF($N416="","",IF(LEFT(UPPER($P416),9)="VERIFICAR","VERIFICAR",IF(AND($H416&lt;&gt;"",COUNTIFS($N$2:$N$1000,$N416,$H$2:$H$1000,$H416)&gt;1),"DUPLICADA",IF(TRIM(IF($A416="","tipo ","")&amp;IF($F416="","fecha de firma ","")&amp;IF($G416="","decisión ","")&amp;IF($H416="","N° resolución ","")&amp;IF($I416="","N° dictamen",""))&lt;&gt;"","INCOMPLETA: "&amp;TRIM(IF($A416="","tipo ","")&amp;IF($F416="","fecha de firma ","")&amp;IF($G416="","decisión ","")&amp;IF($H416="","N° resolución ","")&amp;IF($I416="","N° dictamen","")),IF(LEFT($N416,4)&lt;&gt;"CONC","OK",IF(N($Q416)=0,IF(AND(ISNUMBER($E416),$E416&gt;=DATE(2024,1,1)),"FALTA EN evol_conc","OK"),IF(INDEX(evol_conc!$H:$H,$Q416)&lt;&gt;$F416,"FIRMA DISTINTA EN evol_conc ("&amp;IF(INDEX(evol_conc!$H:$H,$Q416)="","vacía",DAY(INDEX(evol_conc!$H:$H,$Q416))&amp;"/"&amp;MONTH(INDEX(evol_conc!$H:$H,$Q416))&amp;"/"&amp;YEAR(INDEX(evol_conc!$H:$H,$Q416)))&amp;")",IF(INDEX(evol_conc!$G:$G,$Q416)&lt;&gt;$E416,"INGRESO DISTINTO EN evol_conc ("&amp;IF(INDEX(evol_conc!$G:$G,$Q416)="","vacía",DAY(INDEX(evol_conc!$G:$G,$Q416))&amp;"/"&amp;MONTH(INDEX(evol_conc!$G:$G,$Q416))&amp;"/"&amp;YEAR(INDEX(evol_conc!$G:$G,$Q416)))&amp;")","OK"))))))))</f>
        <v/>
      </c>
      <c r="Q416" t="str">
        <f ca="1">IF($N416="","",IFERROR(MATCH($N416,evol_conc!$P:$P,0),0))</f>
        <v/>
      </c>
    </row>
    <row r="417" spans="12:17" ht="18" hidden="1" customHeight="1" x14ac:dyDescent="0.25">
      <c r="L417" s="53" t="str">
        <f t="shared" si="12"/>
        <v/>
      </c>
      <c r="M417" s="19" t="str">
        <f t="shared" si="13"/>
        <v/>
      </c>
      <c r="N417" t="str">
        <f ca="1">IF(TRIM(SUBSTITUTE($B417,CHAR(160)," "))="","",IFERROR(IF(ISNUMBER(SEARCH("INC",$B417)),"INC",IF(ISNUMBER(SEARCH("OPI",$B417)),"OPI",IF(ISNUMBER(SEARCH("DP",$B417)),"DP","CONC")))&amp;" "&amp;TEXT(LOOKUP(9.99E+307,--MID(SUBSTITUTE($B417,CHAR(160)," "),SUMPRODUCT(MIN(FIND({0,1,2,3,4,5,6,7,8,9},SUBSTITUTE($B417,CHAR(160)," ")&amp;"0123456789"))),ROW(INDIRECT("1:6")))),"0"),"SIN NUMERO"))</f>
        <v/>
      </c>
      <c r="O417" t="str">
        <f ca="1">IF($N417="","",IF(LEFT(UPPER($P417),9)="VERIFICAR","VERIFICAR",IF(AND($H417&lt;&gt;"",COUNTIFS($N$2:$N$1000,$N417,$H$2:$H$1000,$H417)&gt;1),"DUPLICADA",IF(TRIM(IF($A417="","tipo ","")&amp;IF($F417="","fecha de firma ","")&amp;IF($G417="","decisión ","")&amp;IF($H417="","N° resolución ","")&amp;IF($I417="","N° dictamen",""))&lt;&gt;"","INCOMPLETA: "&amp;TRIM(IF($A417="","tipo ","")&amp;IF($F417="","fecha de firma ","")&amp;IF($G417="","decisión ","")&amp;IF($H417="","N° resolución ","")&amp;IF($I417="","N° dictamen","")),IF(LEFT($N417,4)&lt;&gt;"CONC","OK",IF(N($Q417)=0,IF(AND(ISNUMBER($E417),$E417&gt;=DATE(2024,1,1)),"FALTA EN evol_conc","OK"),IF(INDEX(evol_conc!$H:$H,$Q417)&lt;&gt;$F417,"FIRMA DISTINTA EN evol_conc ("&amp;IF(INDEX(evol_conc!$H:$H,$Q417)="","vacía",DAY(INDEX(evol_conc!$H:$H,$Q417))&amp;"/"&amp;MONTH(INDEX(evol_conc!$H:$H,$Q417))&amp;"/"&amp;YEAR(INDEX(evol_conc!$H:$H,$Q417)))&amp;")",IF(INDEX(evol_conc!$G:$G,$Q417)&lt;&gt;$E417,"INGRESO DISTINTO EN evol_conc ("&amp;IF(INDEX(evol_conc!$G:$G,$Q417)="","vacía",DAY(INDEX(evol_conc!$G:$G,$Q417))&amp;"/"&amp;MONTH(INDEX(evol_conc!$G:$G,$Q417))&amp;"/"&amp;YEAR(INDEX(evol_conc!$G:$G,$Q417)))&amp;")","OK"))))))))</f>
        <v/>
      </c>
      <c r="Q417" t="str">
        <f ca="1">IF($N417="","",IFERROR(MATCH($N417,evol_conc!$P:$P,0),0))</f>
        <v/>
      </c>
    </row>
    <row r="418" spans="12:17" ht="18" hidden="1" customHeight="1" x14ac:dyDescent="0.25">
      <c r="L418" s="53" t="str">
        <f t="shared" si="12"/>
        <v/>
      </c>
      <c r="M418" s="19" t="str">
        <f t="shared" si="13"/>
        <v/>
      </c>
      <c r="N418" t="str">
        <f ca="1">IF(TRIM(SUBSTITUTE($B418,CHAR(160)," "))="","",IFERROR(IF(ISNUMBER(SEARCH("INC",$B418)),"INC",IF(ISNUMBER(SEARCH("OPI",$B418)),"OPI",IF(ISNUMBER(SEARCH("DP",$B418)),"DP","CONC")))&amp;" "&amp;TEXT(LOOKUP(9.99E+307,--MID(SUBSTITUTE($B418,CHAR(160)," "),SUMPRODUCT(MIN(FIND({0,1,2,3,4,5,6,7,8,9},SUBSTITUTE($B418,CHAR(160)," ")&amp;"0123456789"))),ROW(INDIRECT("1:6")))),"0"),"SIN NUMERO"))</f>
        <v/>
      </c>
      <c r="O418" t="str">
        <f ca="1">IF($N418="","",IF(LEFT(UPPER($P418),9)="VERIFICAR","VERIFICAR",IF(AND($H418&lt;&gt;"",COUNTIFS($N$2:$N$1000,$N418,$H$2:$H$1000,$H418)&gt;1),"DUPLICADA",IF(TRIM(IF($A418="","tipo ","")&amp;IF($F418="","fecha de firma ","")&amp;IF($G418="","decisión ","")&amp;IF($H418="","N° resolución ","")&amp;IF($I418="","N° dictamen",""))&lt;&gt;"","INCOMPLETA: "&amp;TRIM(IF($A418="","tipo ","")&amp;IF($F418="","fecha de firma ","")&amp;IF($G418="","decisión ","")&amp;IF($H418="","N° resolución ","")&amp;IF($I418="","N° dictamen","")),IF(LEFT($N418,4)&lt;&gt;"CONC","OK",IF(N($Q418)=0,IF(AND(ISNUMBER($E418),$E418&gt;=DATE(2024,1,1)),"FALTA EN evol_conc","OK"),IF(INDEX(evol_conc!$H:$H,$Q418)&lt;&gt;$F418,"FIRMA DISTINTA EN evol_conc ("&amp;IF(INDEX(evol_conc!$H:$H,$Q418)="","vacía",DAY(INDEX(evol_conc!$H:$H,$Q418))&amp;"/"&amp;MONTH(INDEX(evol_conc!$H:$H,$Q418))&amp;"/"&amp;YEAR(INDEX(evol_conc!$H:$H,$Q418)))&amp;")",IF(INDEX(evol_conc!$G:$G,$Q418)&lt;&gt;$E418,"INGRESO DISTINTO EN evol_conc ("&amp;IF(INDEX(evol_conc!$G:$G,$Q418)="","vacía",DAY(INDEX(evol_conc!$G:$G,$Q418))&amp;"/"&amp;MONTH(INDEX(evol_conc!$G:$G,$Q418))&amp;"/"&amp;YEAR(INDEX(evol_conc!$G:$G,$Q418)))&amp;")","OK"))))))))</f>
        <v/>
      </c>
      <c r="Q418" t="str">
        <f ca="1">IF($N418="","",IFERROR(MATCH($N418,evol_conc!$P:$P,0),0))</f>
        <v/>
      </c>
    </row>
    <row r="419" spans="12:17" ht="18" hidden="1" customHeight="1" x14ac:dyDescent="0.25">
      <c r="L419" s="53" t="str">
        <f t="shared" si="12"/>
        <v/>
      </c>
      <c r="M419" s="19" t="str">
        <f t="shared" si="13"/>
        <v/>
      </c>
      <c r="N419" t="str">
        <f ca="1">IF(TRIM(SUBSTITUTE($B419,CHAR(160)," "))="","",IFERROR(IF(ISNUMBER(SEARCH("INC",$B419)),"INC",IF(ISNUMBER(SEARCH("OPI",$B419)),"OPI",IF(ISNUMBER(SEARCH("DP",$B419)),"DP","CONC")))&amp;" "&amp;TEXT(LOOKUP(9.99E+307,--MID(SUBSTITUTE($B419,CHAR(160)," "),SUMPRODUCT(MIN(FIND({0,1,2,3,4,5,6,7,8,9},SUBSTITUTE($B419,CHAR(160)," ")&amp;"0123456789"))),ROW(INDIRECT("1:6")))),"0"),"SIN NUMERO"))</f>
        <v/>
      </c>
      <c r="O419" t="str">
        <f ca="1">IF($N419="","",IF(LEFT(UPPER($P419),9)="VERIFICAR","VERIFICAR",IF(AND($H419&lt;&gt;"",COUNTIFS($N$2:$N$1000,$N419,$H$2:$H$1000,$H419)&gt;1),"DUPLICADA",IF(TRIM(IF($A419="","tipo ","")&amp;IF($F419="","fecha de firma ","")&amp;IF($G419="","decisión ","")&amp;IF($H419="","N° resolución ","")&amp;IF($I419="","N° dictamen",""))&lt;&gt;"","INCOMPLETA: "&amp;TRIM(IF($A419="","tipo ","")&amp;IF($F419="","fecha de firma ","")&amp;IF($G419="","decisión ","")&amp;IF($H419="","N° resolución ","")&amp;IF($I419="","N° dictamen","")),IF(LEFT($N419,4)&lt;&gt;"CONC","OK",IF(N($Q419)=0,IF(AND(ISNUMBER($E419),$E419&gt;=DATE(2024,1,1)),"FALTA EN evol_conc","OK"),IF(INDEX(evol_conc!$H:$H,$Q419)&lt;&gt;$F419,"FIRMA DISTINTA EN evol_conc ("&amp;IF(INDEX(evol_conc!$H:$H,$Q419)="","vacía",DAY(INDEX(evol_conc!$H:$H,$Q419))&amp;"/"&amp;MONTH(INDEX(evol_conc!$H:$H,$Q419))&amp;"/"&amp;YEAR(INDEX(evol_conc!$H:$H,$Q419)))&amp;")",IF(INDEX(evol_conc!$G:$G,$Q419)&lt;&gt;$E419,"INGRESO DISTINTO EN evol_conc ("&amp;IF(INDEX(evol_conc!$G:$G,$Q419)="","vacía",DAY(INDEX(evol_conc!$G:$G,$Q419))&amp;"/"&amp;MONTH(INDEX(evol_conc!$G:$G,$Q419))&amp;"/"&amp;YEAR(INDEX(evol_conc!$G:$G,$Q419)))&amp;")","OK"))))))))</f>
        <v/>
      </c>
      <c r="Q419" t="str">
        <f ca="1">IF($N419="","",IFERROR(MATCH($N419,evol_conc!$P:$P,0),0))</f>
        <v/>
      </c>
    </row>
    <row r="420" spans="12:17" ht="18" hidden="1" customHeight="1" x14ac:dyDescent="0.25">
      <c r="L420" s="53" t="str">
        <f t="shared" si="12"/>
        <v/>
      </c>
      <c r="M420" s="19" t="str">
        <f t="shared" si="13"/>
        <v/>
      </c>
      <c r="N420" t="str">
        <f ca="1">IF(TRIM(SUBSTITUTE($B420,CHAR(160)," "))="","",IFERROR(IF(ISNUMBER(SEARCH("INC",$B420)),"INC",IF(ISNUMBER(SEARCH("OPI",$B420)),"OPI",IF(ISNUMBER(SEARCH("DP",$B420)),"DP","CONC")))&amp;" "&amp;TEXT(LOOKUP(9.99E+307,--MID(SUBSTITUTE($B420,CHAR(160)," "),SUMPRODUCT(MIN(FIND({0,1,2,3,4,5,6,7,8,9},SUBSTITUTE($B420,CHAR(160)," ")&amp;"0123456789"))),ROW(INDIRECT("1:6")))),"0"),"SIN NUMERO"))</f>
        <v/>
      </c>
      <c r="O420" t="str">
        <f ca="1">IF($N420="","",IF(LEFT(UPPER($P420),9)="VERIFICAR","VERIFICAR",IF(AND($H420&lt;&gt;"",COUNTIFS($N$2:$N$1000,$N420,$H$2:$H$1000,$H420)&gt;1),"DUPLICADA",IF(TRIM(IF($A420="","tipo ","")&amp;IF($F420="","fecha de firma ","")&amp;IF($G420="","decisión ","")&amp;IF($H420="","N° resolución ","")&amp;IF($I420="","N° dictamen",""))&lt;&gt;"","INCOMPLETA: "&amp;TRIM(IF($A420="","tipo ","")&amp;IF($F420="","fecha de firma ","")&amp;IF($G420="","decisión ","")&amp;IF($H420="","N° resolución ","")&amp;IF($I420="","N° dictamen","")),IF(LEFT($N420,4)&lt;&gt;"CONC","OK",IF(N($Q420)=0,IF(AND(ISNUMBER($E420),$E420&gt;=DATE(2024,1,1)),"FALTA EN evol_conc","OK"),IF(INDEX(evol_conc!$H:$H,$Q420)&lt;&gt;$F420,"FIRMA DISTINTA EN evol_conc ("&amp;IF(INDEX(evol_conc!$H:$H,$Q420)="","vacía",DAY(INDEX(evol_conc!$H:$H,$Q420))&amp;"/"&amp;MONTH(INDEX(evol_conc!$H:$H,$Q420))&amp;"/"&amp;YEAR(INDEX(evol_conc!$H:$H,$Q420)))&amp;")",IF(INDEX(evol_conc!$G:$G,$Q420)&lt;&gt;$E420,"INGRESO DISTINTO EN evol_conc ("&amp;IF(INDEX(evol_conc!$G:$G,$Q420)="","vacía",DAY(INDEX(evol_conc!$G:$G,$Q420))&amp;"/"&amp;MONTH(INDEX(evol_conc!$G:$G,$Q420))&amp;"/"&amp;YEAR(INDEX(evol_conc!$G:$G,$Q420)))&amp;")","OK"))))))))</f>
        <v/>
      </c>
      <c r="Q420" t="str">
        <f ca="1">IF($N420="","",IFERROR(MATCH($N420,evol_conc!$P:$P,0),0))</f>
        <v/>
      </c>
    </row>
    <row r="421" spans="12:17" ht="18" hidden="1" customHeight="1" x14ac:dyDescent="0.25">
      <c r="L421" s="53" t="str">
        <f t="shared" si="12"/>
        <v/>
      </c>
      <c r="M421" s="19" t="str">
        <f t="shared" si="13"/>
        <v/>
      </c>
      <c r="N421" t="str">
        <f ca="1">IF(TRIM(SUBSTITUTE($B421,CHAR(160)," "))="","",IFERROR(IF(ISNUMBER(SEARCH("INC",$B421)),"INC",IF(ISNUMBER(SEARCH("OPI",$B421)),"OPI",IF(ISNUMBER(SEARCH("DP",$B421)),"DP","CONC")))&amp;" "&amp;TEXT(LOOKUP(9.99E+307,--MID(SUBSTITUTE($B421,CHAR(160)," "),SUMPRODUCT(MIN(FIND({0,1,2,3,4,5,6,7,8,9},SUBSTITUTE($B421,CHAR(160)," ")&amp;"0123456789"))),ROW(INDIRECT("1:6")))),"0"),"SIN NUMERO"))</f>
        <v/>
      </c>
      <c r="O421" t="str">
        <f ca="1">IF($N421="","",IF(LEFT(UPPER($P421),9)="VERIFICAR","VERIFICAR",IF(AND($H421&lt;&gt;"",COUNTIFS($N$2:$N$1000,$N421,$H$2:$H$1000,$H421)&gt;1),"DUPLICADA",IF(TRIM(IF($A421="","tipo ","")&amp;IF($F421="","fecha de firma ","")&amp;IF($G421="","decisión ","")&amp;IF($H421="","N° resolución ","")&amp;IF($I421="","N° dictamen",""))&lt;&gt;"","INCOMPLETA: "&amp;TRIM(IF($A421="","tipo ","")&amp;IF($F421="","fecha de firma ","")&amp;IF($G421="","decisión ","")&amp;IF($H421="","N° resolución ","")&amp;IF($I421="","N° dictamen","")),IF(LEFT($N421,4)&lt;&gt;"CONC","OK",IF(N($Q421)=0,IF(AND(ISNUMBER($E421),$E421&gt;=DATE(2024,1,1)),"FALTA EN evol_conc","OK"),IF(INDEX(evol_conc!$H:$H,$Q421)&lt;&gt;$F421,"FIRMA DISTINTA EN evol_conc ("&amp;IF(INDEX(evol_conc!$H:$H,$Q421)="","vacía",DAY(INDEX(evol_conc!$H:$H,$Q421))&amp;"/"&amp;MONTH(INDEX(evol_conc!$H:$H,$Q421))&amp;"/"&amp;YEAR(INDEX(evol_conc!$H:$H,$Q421)))&amp;")",IF(INDEX(evol_conc!$G:$G,$Q421)&lt;&gt;$E421,"INGRESO DISTINTO EN evol_conc ("&amp;IF(INDEX(evol_conc!$G:$G,$Q421)="","vacía",DAY(INDEX(evol_conc!$G:$G,$Q421))&amp;"/"&amp;MONTH(INDEX(evol_conc!$G:$G,$Q421))&amp;"/"&amp;YEAR(INDEX(evol_conc!$G:$G,$Q421)))&amp;")","OK"))))))))</f>
        <v/>
      </c>
      <c r="Q421" t="str">
        <f ca="1">IF($N421="","",IFERROR(MATCH($N421,evol_conc!$P:$P,0),0))</f>
        <v/>
      </c>
    </row>
    <row r="422" spans="12:17" ht="18" hidden="1" customHeight="1" x14ac:dyDescent="0.25">
      <c r="L422" s="53" t="str">
        <f t="shared" si="12"/>
        <v/>
      </c>
      <c r="M422" s="19" t="str">
        <f t="shared" si="13"/>
        <v/>
      </c>
      <c r="N422" t="str">
        <f ca="1">IF(TRIM(SUBSTITUTE($B422,CHAR(160)," "))="","",IFERROR(IF(ISNUMBER(SEARCH("INC",$B422)),"INC",IF(ISNUMBER(SEARCH("OPI",$B422)),"OPI",IF(ISNUMBER(SEARCH("DP",$B422)),"DP","CONC")))&amp;" "&amp;TEXT(LOOKUP(9.99E+307,--MID(SUBSTITUTE($B422,CHAR(160)," "),SUMPRODUCT(MIN(FIND({0,1,2,3,4,5,6,7,8,9},SUBSTITUTE($B422,CHAR(160)," ")&amp;"0123456789"))),ROW(INDIRECT("1:6")))),"0"),"SIN NUMERO"))</f>
        <v/>
      </c>
      <c r="O422" t="str">
        <f ca="1">IF($N422="","",IF(LEFT(UPPER($P422),9)="VERIFICAR","VERIFICAR",IF(AND($H422&lt;&gt;"",COUNTIFS($N$2:$N$1000,$N422,$H$2:$H$1000,$H422)&gt;1),"DUPLICADA",IF(TRIM(IF($A422="","tipo ","")&amp;IF($F422="","fecha de firma ","")&amp;IF($G422="","decisión ","")&amp;IF($H422="","N° resolución ","")&amp;IF($I422="","N° dictamen",""))&lt;&gt;"","INCOMPLETA: "&amp;TRIM(IF($A422="","tipo ","")&amp;IF($F422="","fecha de firma ","")&amp;IF($G422="","decisión ","")&amp;IF($H422="","N° resolución ","")&amp;IF($I422="","N° dictamen","")),IF(LEFT($N422,4)&lt;&gt;"CONC","OK",IF(N($Q422)=0,IF(AND(ISNUMBER($E422),$E422&gt;=DATE(2024,1,1)),"FALTA EN evol_conc","OK"),IF(INDEX(evol_conc!$H:$H,$Q422)&lt;&gt;$F422,"FIRMA DISTINTA EN evol_conc ("&amp;IF(INDEX(evol_conc!$H:$H,$Q422)="","vacía",DAY(INDEX(evol_conc!$H:$H,$Q422))&amp;"/"&amp;MONTH(INDEX(evol_conc!$H:$H,$Q422))&amp;"/"&amp;YEAR(INDEX(evol_conc!$H:$H,$Q422)))&amp;")",IF(INDEX(evol_conc!$G:$G,$Q422)&lt;&gt;$E422,"INGRESO DISTINTO EN evol_conc ("&amp;IF(INDEX(evol_conc!$G:$G,$Q422)="","vacía",DAY(INDEX(evol_conc!$G:$G,$Q422))&amp;"/"&amp;MONTH(INDEX(evol_conc!$G:$G,$Q422))&amp;"/"&amp;YEAR(INDEX(evol_conc!$G:$G,$Q422)))&amp;")","OK"))))))))</f>
        <v/>
      </c>
      <c r="Q422" t="str">
        <f ca="1">IF($N422="","",IFERROR(MATCH($N422,evol_conc!$P:$P,0),0))</f>
        <v/>
      </c>
    </row>
    <row r="423" spans="12:17" ht="18" hidden="1" customHeight="1" x14ac:dyDescent="0.25">
      <c r="L423" s="53" t="str">
        <f t="shared" si="12"/>
        <v/>
      </c>
      <c r="M423" s="19" t="str">
        <f t="shared" si="13"/>
        <v/>
      </c>
      <c r="N423" t="str">
        <f ca="1">IF(TRIM(SUBSTITUTE($B423,CHAR(160)," "))="","",IFERROR(IF(ISNUMBER(SEARCH("INC",$B423)),"INC",IF(ISNUMBER(SEARCH("OPI",$B423)),"OPI",IF(ISNUMBER(SEARCH("DP",$B423)),"DP","CONC")))&amp;" "&amp;TEXT(LOOKUP(9.99E+307,--MID(SUBSTITUTE($B423,CHAR(160)," "),SUMPRODUCT(MIN(FIND({0,1,2,3,4,5,6,7,8,9},SUBSTITUTE($B423,CHAR(160)," ")&amp;"0123456789"))),ROW(INDIRECT("1:6")))),"0"),"SIN NUMERO"))</f>
        <v/>
      </c>
      <c r="O423" t="str">
        <f ca="1">IF($N423="","",IF(LEFT(UPPER($P423),9)="VERIFICAR","VERIFICAR",IF(AND($H423&lt;&gt;"",COUNTIFS($N$2:$N$1000,$N423,$H$2:$H$1000,$H423)&gt;1),"DUPLICADA",IF(TRIM(IF($A423="","tipo ","")&amp;IF($F423="","fecha de firma ","")&amp;IF($G423="","decisión ","")&amp;IF($H423="","N° resolución ","")&amp;IF($I423="","N° dictamen",""))&lt;&gt;"","INCOMPLETA: "&amp;TRIM(IF($A423="","tipo ","")&amp;IF($F423="","fecha de firma ","")&amp;IF($G423="","decisión ","")&amp;IF($H423="","N° resolución ","")&amp;IF($I423="","N° dictamen","")),IF(LEFT($N423,4)&lt;&gt;"CONC","OK",IF(N($Q423)=0,IF(AND(ISNUMBER($E423),$E423&gt;=DATE(2024,1,1)),"FALTA EN evol_conc","OK"),IF(INDEX(evol_conc!$H:$H,$Q423)&lt;&gt;$F423,"FIRMA DISTINTA EN evol_conc ("&amp;IF(INDEX(evol_conc!$H:$H,$Q423)="","vacía",DAY(INDEX(evol_conc!$H:$H,$Q423))&amp;"/"&amp;MONTH(INDEX(evol_conc!$H:$H,$Q423))&amp;"/"&amp;YEAR(INDEX(evol_conc!$H:$H,$Q423)))&amp;")",IF(INDEX(evol_conc!$G:$G,$Q423)&lt;&gt;$E423,"INGRESO DISTINTO EN evol_conc ("&amp;IF(INDEX(evol_conc!$G:$G,$Q423)="","vacía",DAY(INDEX(evol_conc!$G:$G,$Q423))&amp;"/"&amp;MONTH(INDEX(evol_conc!$G:$G,$Q423))&amp;"/"&amp;YEAR(INDEX(evol_conc!$G:$G,$Q423)))&amp;")","OK"))))))))</f>
        <v/>
      </c>
      <c r="Q423" t="str">
        <f ca="1">IF($N423="","",IFERROR(MATCH($N423,evol_conc!$P:$P,0),0))</f>
        <v/>
      </c>
    </row>
    <row r="424" spans="12:17" ht="18" hidden="1" customHeight="1" x14ac:dyDescent="0.25">
      <c r="L424" s="53" t="str">
        <f t="shared" si="12"/>
        <v/>
      </c>
      <c r="M424" s="19" t="str">
        <f t="shared" si="13"/>
        <v/>
      </c>
      <c r="N424" t="str">
        <f ca="1">IF(TRIM(SUBSTITUTE($B424,CHAR(160)," "))="","",IFERROR(IF(ISNUMBER(SEARCH("INC",$B424)),"INC",IF(ISNUMBER(SEARCH("OPI",$B424)),"OPI",IF(ISNUMBER(SEARCH("DP",$B424)),"DP","CONC")))&amp;" "&amp;TEXT(LOOKUP(9.99E+307,--MID(SUBSTITUTE($B424,CHAR(160)," "),SUMPRODUCT(MIN(FIND({0,1,2,3,4,5,6,7,8,9},SUBSTITUTE($B424,CHAR(160)," ")&amp;"0123456789"))),ROW(INDIRECT("1:6")))),"0"),"SIN NUMERO"))</f>
        <v/>
      </c>
      <c r="O424" t="str">
        <f ca="1">IF($N424="","",IF(LEFT(UPPER($P424),9)="VERIFICAR","VERIFICAR",IF(AND($H424&lt;&gt;"",COUNTIFS($N$2:$N$1000,$N424,$H$2:$H$1000,$H424)&gt;1),"DUPLICADA",IF(TRIM(IF($A424="","tipo ","")&amp;IF($F424="","fecha de firma ","")&amp;IF($G424="","decisión ","")&amp;IF($H424="","N° resolución ","")&amp;IF($I424="","N° dictamen",""))&lt;&gt;"","INCOMPLETA: "&amp;TRIM(IF($A424="","tipo ","")&amp;IF($F424="","fecha de firma ","")&amp;IF($G424="","decisión ","")&amp;IF($H424="","N° resolución ","")&amp;IF($I424="","N° dictamen","")),IF(LEFT($N424,4)&lt;&gt;"CONC","OK",IF(N($Q424)=0,IF(AND(ISNUMBER($E424),$E424&gt;=DATE(2024,1,1)),"FALTA EN evol_conc","OK"),IF(INDEX(evol_conc!$H:$H,$Q424)&lt;&gt;$F424,"FIRMA DISTINTA EN evol_conc ("&amp;IF(INDEX(evol_conc!$H:$H,$Q424)="","vacía",DAY(INDEX(evol_conc!$H:$H,$Q424))&amp;"/"&amp;MONTH(INDEX(evol_conc!$H:$H,$Q424))&amp;"/"&amp;YEAR(INDEX(evol_conc!$H:$H,$Q424)))&amp;")",IF(INDEX(evol_conc!$G:$G,$Q424)&lt;&gt;$E424,"INGRESO DISTINTO EN evol_conc ("&amp;IF(INDEX(evol_conc!$G:$G,$Q424)="","vacía",DAY(INDEX(evol_conc!$G:$G,$Q424))&amp;"/"&amp;MONTH(INDEX(evol_conc!$G:$G,$Q424))&amp;"/"&amp;YEAR(INDEX(evol_conc!$G:$G,$Q424)))&amp;")","OK"))))))))</f>
        <v/>
      </c>
      <c r="Q424" t="str">
        <f ca="1">IF($N424="","",IFERROR(MATCH($N424,evol_conc!$P:$P,0),0))</f>
        <v/>
      </c>
    </row>
    <row r="425" spans="12:17" ht="18" hidden="1" customHeight="1" x14ac:dyDescent="0.25">
      <c r="L425" s="53" t="str">
        <f t="shared" si="12"/>
        <v/>
      </c>
      <c r="M425" s="19" t="str">
        <f t="shared" si="13"/>
        <v/>
      </c>
      <c r="N425" t="str">
        <f ca="1">IF(TRIM(SUBSTITUTE($B425,CHAR(160)," "))="","",IFERROR(IF(ISNUMBER(SEARCH("INC",$B425)),"INC",IF(ISNUMBER(SEARCH("OPI",$B425)),"OPI",IF(ISNUMBER(SEARCH("DP",$B425)),"DP","CONC")))&amp;" "&amp;TEXT(LOOKUP(9.99E+307,--MID(SUBSTITUTE($B425,CHAR(160)," "),SUMPRODUCT(MIN(FIND({0,1,2,3,4,5,6,7,8,9},SUBSTITUTE($B425,CHAR(160)," ")&amp;"0123456789"))),ROW(INDIRECT("1:6")))),"0"),"SIN NUMERO"))</f>
        <v/>
      </c>
      <c r="O425" t="str">
        <f ca="1">IF($N425="","",IF(LEFT(UPPER($P425),9)="VERIFICAR","VERIFICAR",IF(AND($H425&lt;&gt;"",COUNTIFS($N$2:$N$1000,$N425,$H$2:$H$1000,$H425)&gt;1),"DUPLICADA",IF(TRIM(IF($A425="","tipo ","")&amp;IF($F425="","fecha de firma ","")&amp;IF($G425="","decisión ","")&amp;IF($H425="","N° resolución ","")&amp;IF($I425="","N° dictamen",""))&lt;&gt;"","INCOMPLETA: "&amp;TRIM(IF($A425="","tipo ","")&amp;IF($F425="","fecha de firma ","")&amp;IF($G425="","decisión ","")&amp;IF($H425="","N° resolución ","")&amp;IF($I425="","N° dictamen","")),IF(LEFT($N425,4)&lt;&gt;"CONC","OK",IF(N($Q425)=0,IF(AND(ISNUMBER($E425),$E425&gt;=DATE(2024,1,1)),"FALTA EN evol_conc","OK"),IF(INDEX(evol_conc!$H:$H,$Q425)&lt;&gt;$F425,"FIRMA DISTINTA EN evol_conc ("&amp;IF(INDEX(evol_conc!$H:$H,$Q425)="","vacía",DAY(INDEX(evol_conc!$H:$H,$Q425))&amp;"/"&amp;MONTH(INDEX(evol_conc!$H:$H,$Q425))&amp;"/"&amp;YEAR(INDEX(evol_conc!$H:$H,$Q425)))&amp;")",IF(INDEX(evol_conc!$G:$G,$Q425)&lt;&gt;$E425,"INGRESO DISTINTO EN evol_conc ("&amp;IF(INDEX(evol_conc!$G:$G,$Q425)="","vacía",DAY(INDEX(evol_conc!$G:$G,$Q425))&amp;"/"&amp;MONTH(INDEX(evol_conc!$G:$G,$Q425))&amp;"/"&amp;YEAR(INDEX(evol_conc!$G:$G,$Q425)))&amp;")","OK"))))))))</f>
        <v/>
      </c>
      <c r="Q425" t="str">
        <f ca="1">IF($N425="","",IFERROR(MATCH($N425,evol_conc!$P:$P,0),0))</f>
        <v/>
      </c>
    </row>
    <row r="426" spans="12:17" ht="18" hidden="1" customHeight="1" x14ac:dyDescent="0.25">
      <c r="L426" s="53" t="str">
        <f t="shared" si="12"/>
        <v/>
      </c>
      <c r="M426" s="19" t="str">
        <f t="shared" si="13"/>
        <v/>
      </c>
      <c r="N426" t="str">
        <f ca="1">IF(TRIM(SUBSTITUTE($B426,CHAR(160)," "))="","",IFERROR(IF(ISNUMBER(SEARCH("INC",$B426)),"INC",IF(ISNUMBER(SEARCH("OPI",$B426)),"OPI",IF(ISNUMBER(SEARCH("DP",$B426)),"DP","CONC")))&amp;" "&amp;TEXT(LOOKUP(9.99E+307,--MID(SUBSTITUTE($B426,CHAR(160)," "),SUMPRODUCT(MIN(FIND({0,1,2,3,4,5,6,7,8,9},SUBSTITUTE($B426,CHAR(160)," ")&amp;"0123456789"))),ROW(INDIRECT("1:6")))),"0"),"SIN NUMERO"))</f>
        <v/>
      </c>
      <c r="O426" t="str">
        <f ca="1">IF($N426="","",IF(LEFT(UPPER($P426),9)="VERIFICAR","VERIFICAR",IF(AND($H426&lt;&gt;"",COUNTIFS($N$2:$N$1000,$N426,$H$2:$H$1000,$H426)&gt;1),"DUPLICADA",IF(TRIM(IF($A426="","tipo ","")&amp;IF($F426="","fecha de firma ","")&amp;IF($G426="","decisión ","")&amp;IF($H426="","N° resolución ","")&amp;IF($I426="","N° dictamen",""))&lt;&gt;"","INCOMPLETA: "&amp;TRIM(IF($A426="","tipo ","")&amp;IF($F426="","fecha de firma ","")&amp;IF($G426="","decisión ","")&amp;IF($H426="","N° resolución ","")&amp;IF($I426="","N° dictamen","")),IF(LEFT($N426,4)&lt;&gt;"CONC","OK",IF(N($Q426)=0,IF(AND(ISNUMBER($E426),$E426&gt;=DATE(2024,1,1)),"FALTA EN evol_conc","OK"),IF(INDEX(evol_conc!$H:$H,$Q426)&lt;&gt;$F426,"FIRMA DISTINTA EN evol_conc ("&amp;IF(INDEX(evol_conc!$H:$H,$Q426)="","vacía",DAY(INDEX(evol_conc!$H:$H,$Q426))&amp;"/"&amp;MONTH(INDEX(evol_conc!$H:$H,$Q426))&amp;"/"&amp;YEAR(INDEX(evol_conc!$H:$H,$Q426)))&amp;")",IF(INDEX(evol_conc!$G:$G,$Q426)&lt;&gt;$E426,"INGRESO DISTINTO EN evol_conc ("&amp;IF(INDEX(evol_conc!$G:$G,$Q426)="","vacía",DAY(INDEX(evol_conc!$G:$G,$Q426))&amp;"/"&amp;MONTH(INDEX(evol_conc!$G:$G,$Q426))&amp;"/"&amp;YEAR(INDEX(evol_conc!$G:$G,$Q426)))&amp;")","OK"))))))))</f>
        <v/>
      </c>
      <c r="Q426" t="str">
        <f ca="1">IF($N426="","",IFERROR(MATCH($N426,evol_conc!$P:$P,0),0))</f>
        <v/>
      </c>
    </row>
    <row r="427" spans="12:17" ht="18" hidden="1" customHeight="1" x14ac:dyDescent="0.25">
      <c r="L427" s="53" t="str">
        <f t="shared" si="12"/>
        <v/>
      </c>
      <c r="M427" s="19" t="str">
        <f t="shared" si="13"/>
        <v/>
      </c>
      <c r="N427" t="str">
        <f ca="1">IF(TRIM(SUBSTITUTE($B427,CHAR(160)," "))="","",IFERROR(IF(ISNUMBER(SEARCH("INC",$B427)),"INC",IF(ISNUMBER(SEARCH("OPI",$B427)),"OPI",IF(ISNUMBER(SEARCH("DP",$B427)),"DP","CONC")))&amp;" "&amp;TEXT(LOOKUP(9.99E+307,--MID(SUBSTITUTE($B427,CHAR(160)," "),SUMPRODUCT(MIN(FIND({0,1,2,3,4,5,6,7,8,9},SUBSTITUTE($B427,CHAR(160)," ")&amp;"0123456789"))),ROW(INDIRECT("1:6")))),"0"),"SIN NUMERO"))</f>
        <v/>
      </c>
      <c r="O427" t="str">
        <f ca="1">IF($N427="","",IF(LEFT(UPPER($P427),9)="VERIFICAR","VERIFICAR",IF(AND($H427&lt;&gt;"",COUNTIFS($N$2:$N$1000,$N427,$H$2:$H$1000,$H427)&gt;1),"DUPLICADA",IF(TRIM(IF($A427="","tipo ","")&amp;IF($F427="","fecha de firma ","")&amp;IF($G427="","decisión ","")&amp;IF($H427="","N° resolución ","")&amp;IF($I427="","N° dictamen",""))&lt;&gt;"","INCOMPLETA: "&amp;TRIM(IF($A427="","tipo ","")&amp;IF($F427="","fecha de firma ","")&amp;IF($G427="","decisión ","")&amp;IF($H427="","N° resolución ","")&amp;IF($I427="","N° dictamen","")),IF(LEFT($N427,4)&lt;&gt;"CONC","OK",IF(N($Q427)=0,IF(AND(ISNUMBER($E427),$E427&gt;=DATE(2024,1,1)),"FALTA EN evol_conc","OK"),IF(INDEX(evol_conc!$H:$H,$Q427)&lt;&gt;$F427,"FIRMA DISTINTA EN evol_conc ("&amp;IF(INDEX(evol_conc!$H:$H,$Q427)="","vacía",DAY(INDEX(evol_conc!$H:$H,$Q427))&amp;"/"&amp;MONTH(INDEX(evol_conc!$H:$H,$Q427))&amp;"/"&amp;YEAR(INDEX(evol_conc!$H:$H,$Q427)))&amp;")",IF(INDEX(evol_conc!$G:$G,$Q427)&lt;&gt;$E427,"INGRESO DISTINTO EN evol_conc ("&amp;IF(INDEX(evol_conc!$G:$G,$Q427)="","vacía",DAY(INDEX(evol_conc!$G:$G,$Q427))&amp;"/"&amp;MONTH(INDEX(evol_conc!$G:$G,$Q427))&amp;"/"&amp;YEAR(INDEX(evol_conc!$G:$G,$Q427)))&amp;")","OK"))))))))</f>
        <v/>
      </c>
      <c r="Q427" t="str">
        <f ca="1">IF($N427="","",IFERROR(MATCH($N427,evol_conc!$P:$P,0),0))</f>
        <v/>
      </c>
    </row>
    <row r="428" spans="12:17" ht="18" hidden="1" customHeight="1" x14ac:dyDescent="0.25">
      <c r="L428" s="53" t="str">
        <f t="shared" si="12"/>
        <v/>
      </c>
      <c r="M428" s="19" t="str">
        <f t="shared" si="13"/>
        <v/>
      </c>
      <c r="N428" t="str">
        <f ca="1">IF(TRIM(SUBSTITUTE($B428,CHAR(160)," "))="","",IFERROR(IF(ISNUMBER(SEARCH("INC",$B428)),"INC",IF(ISNUMBER(SEARCH("OPI",$B428)),"OPI",IF(ISNUMBER(SEARCH("DP",$B428)),"DP","CONC")))&amp;" "&amp;TEXT(LOOKUP(9.99E+307,--MID(SUBSTITUTE($B428,CHAR(160)," "),SUMPRODUCT(MIN(FIND({0,1,2,3,4,5,6,7,8,9},SUBSTITUTE($B428,CHAR(160)," ")&amp;"0123456789"))),ROW(INDIRECT("1:6")))),"0"),"SIN NUMERO"))</f>
        <v/>
      </c>
      <c r="O428" t="str">
        <f ca="1">IF($N428="","",IF(LEFT(UPPER($P428),9)="VERIFICAR","VERIFICAR",IF(AND($H428&lt;&gt;"",COUNTIFS($N$2:$N$1000,$N428,$H$2:$H$1000,$H428)&gt;1),"DUPLICADA",IF(TRIM(IF($A428="","tipo ","")&amp;IF($F428="","fecha de firma ","")&amp;IF($G428="","decisión ","")&amp;IF($H428="","N° resolución ","")&amp;IF($I428="","N° dictamen",""))&lt;&gt;"","INCOMPLETA: "&amp;TRIM(IF($A428="","tipo ","")&amp;IF($F428="","fecha de firma ","")&amp;IF($G428="","decisión ","")&amp;IF($H428="","N° resolución ","")&amp;IF($I428="","N° dictamen","")),IF(LEFT($N428,4)&lt;&gt;"CONC","OK",IF(N($Q428)=0,IF(AND(ISNUMBER($E428),$E428&gt;=DATE(2024,1,1)),"FALTA EN evol_conc","OK"),IF(INDEX(evol_conc!$H:$H,$Q428)&lt;&gt;$F428,"FIRMA DISTINTA EN evol_conc ("&amp;IF(INDEX(evol_conc!$H:$H,$Q428)="","vacía",DAY(INDEX(evol_conc!$H:$H,$Q428))&amp;"/"&amp;MONTH(INDEX(evol_conc!$H:$H,$Q428))&amp;"/"&amp;YEAR(INDEX(evol_conc!$H:$H,$Q428)))&amp;")",IF(INDEX(evol_conc!$G:$G,$Q428)&lt;&gt;$E428,"INGRESO DISTINTO EN evol_conc ("&amp;IF(INDEX(evol_conc!$G:$G,$Q428)="","vacía",DAY(INDEX(evol_conc!$G:$G,$Q428))&amp;"/"&amp;MONTH(INDEX(evol_conc!$G:$G,$Q428))&amp;"/"&amp;YEAR(INDEX(evol_conc!$G:$G,$Q428)))&amp;")","OK"))))))))</f>
        <v/>
      </c>
      <c r="Q428" t="str">
        <f ca="1">IF($N428="","",IFERROR(MATCH($N428,evol_conc!$P:$P,0),0))</f>
        <v/>
      </c>
    </row>
    <row r="429" spans="12:17" ht="18" hidden="1" customHeight="1" x14ac:dyDescent="0.25">
      <c r="L429" s="53" t="str">
        <f t="shared" si="12"/>
        <v/>
      </c>
      <c r="M429" s="19" t="str">
        <f t="shared" si="13"/>
        <v/>
      </c>
      <c r="N429" t="str">
        <f ca="1">IF(TRIM(SUBSTITUTE($B429,CHAR(160)," "))="","",IFERROR(IF(ISNUMBER(SEARCH("INC",$B429)),"INC",IF(ISNUMBER(SEARCH("OPI",$B429)),"OPI",IF(ISNUMBER(SEARCH("DP",$B429)),"DP","CONC")))&amp;" "&amp;TEXT(LOOKUP(9.99E+307,--MID(SUBSTITUTE($B429,CHAR(160)," "),SUMPRODUCT(MIN(FIND({0,1,2,3,4,5,6,7,8,9},SUBSTITUTE($B429,CHAR(160)," ")&amp;"0123456789"))),ROW(INDIRECT("1:6")))),"0"),"SIN NUMERO"))</f>
        <v/>
      </c>
      <c r="O429" t="str">
        <f ca="1">IF($N429="","",IF(LEFT(UPPER($P429),9)="VERIFICAR","VERIFICAR",IF(AND($H429&lt;&gt;"",COUNTIFS($N$2:$N$1000,$N429,$H$2:$H$1000,$H429)&gt;1),"DUPLICADA",IF(TRIM(IF($A429="","tipo ","")&amp;IF($F429="","fecha de firma ","")&amp;IF($G429="","decisión ","")&amp;IF($H429="","N° resolución ","")&amp;IF($I429="","N° dictamen",""))&lt;&gt;"","INCOMPLETA: "&amp;TRIM(IF($A429="","tipo ","")&amp;IF($F429="","fecha de firma ","")&amp;IF($G429="","decisión ","")&amp;IF($H429="","N° resolución ","")&amp;IF($I429="","N° dictamen","")),IF(LEFT($N429,4)&lt;&gt;"CONC","OK",IF(N($Q429)=0,IF(AND(ISNUMBER($E429),$E429&gt;=DATE(2024,1,1)),"FALTA EN evol_conc","OK"),IF(INDEX(evol_conc!$H:$H,$Q429)&lt;&gt;$F429,"FIRMA DISTINTA EN evol_conc ("&amp;IF(INDEX(evol_conc!$H:$H,$Q429)="","vacía",DAY(INDEX(evol_conc!$H:$H,$Q429))&amp;"/"&amp;MONTH(INDEX(evol_conc!$H:$H,$Q429))&amp;"/"&amp;YEAR(INDEX(evol_conc!$H:$H,$Q429)))&amp;")",IF(INDEX(evol_conc!$G:$G,$Q429)&lt;&gt;$E429,"INGRESO DISTINTO EN evol_conc ("&amp;IF(INDEX(evol_conc!$G:$G,$Q429)="","vacía",DAY(INDEX(evol_conc!$G:$G,$Q429))&amp;"/"&amp;MONTH(INDEX(evol_conc!$G:$G,$Q429))&amp;"/"&amp;YEAR(INDEX(evol_conc!$G:$G,$Q429)))&amp;")","OK"))))))))</f>
        <v/>
      </c>
      <c r="Q429" t="str">
        <f ca="1">IF($N429="","",IFERROR(MATCH($N429,evol_conc!$P:$P,0),0))</f>
        <v/>
      </c>
    </row>
    <row r="430" spans="12:17" ht="18" hidden="1" customHeight="1" x14ac:dyDescent="0.25">
      <c r="L430" s="53" t="str">
        <f t="shared" si="12"/>
        <v/>
      </c>
      <c r="M430" s="19" t="str">
        <f t="shared" si="13"/>
        <v/>
      </c>
      <c r="N430" t="str">
        <f ca="1">IF(TRIM(SUBSTITUTE($B430,CHAR(160)," "))="","",IFERROR(IF(ISNUMBER(SEARCH("INC",$B430)),"INC",IF(ISNUMBER(SEARCH("OPI",$B430)),"OPI",IF(ISNUMBER(SEARCH("DP",$B430)),"DP","CONC")))&amp;" "&amp;TEXT(LOOKUP(9.99E+307,--MID(SUBSTITUTE($B430,CHAR(160)," "),SUMPRODUCT(MIN(FIND({0,1,2,3,4,5,6,7,8,9},SUBSTITUTE($B430,CHAR(160)," ")&amp;"0123456789"))),ROW(INDIRECT("1:6")))),"0"),"SIN NUMERO"))</f>
        <v/>
      </c>
      <c r="O430" t="str">
        <f ca="1">IF($N430="","",IF(LEFT(UPPER($P430),9)="VERIFICAR","VERIFICAR",IF(AND($H430&lt;&gt;"",COUNTIFS($N$2:$N$1000,$N430,$H$2:$H$1000,$H430)&gt;1),"DUPLICADA",IF(TRIM(IF($A430="","tipo ","")&amp;IF($F430="","fecha de firma ","")&amp;IF($G430="","decisión ","")&amp;IF($H430="","N° resolución ","")&amp;IF($I430="","N° dictamen",""))&lt;&gt;"","INCOMPLETA: "&amp;TRIM(IF($A430="","tipo ","")&amp;IF($F430="","fecha de firma ","")&amp;IF($G430="","decisión ","")&amp;IF($H430="","N° resolución ","")&amp;IF($I430="","N° dictamen","")),IF(LEFT($N430,4)&lt;&gt;"CONC","OK",IF(N($Q430)=0,IF(AND(ISNUMBER($E430),$E430&gt;=DATE(2024,1,1)),"FALTA EN evol_conc","OK"),IF(INDEX(evol_conc!$H:$H,$Q430)&lt;&gt;$F430,"FIRMA DISTINTA EN evol_conc ("&amp;IF(INDEX(evol_conc!$H:$H,$Q430)="","vacía",DAY(INDEX(evol_conc!$H:$H,$Q430))&amp;"/"&amp;MONTH(INDEX(evol_conc!$H:$H,$Q430))&amp;"/"&amp;YEAR(INDEX(evol_conc!$H:$H,$Q430)))&amp;")",IF(INDEX(evol_conc!$G:$G,$Q430)&lt;&gt;$E430,"INGRESO DISTINTO EN evol_conc ("&amp;IF(INDEX(evol_conc!$G:$G,$Q430)="","vacía",DAY(INDEX(evol_conc!$G:$G,$Q430))&amp;"/"&amp;MONTH(INDEX(evol_conc!$G:$G,$Q430))&amp;"/"&amp;YEAR(INDEX(evol_conc!$G:$G,$Q430)))&amp;")","OK"))))))))</f>
        <v/>
      </c>
      <c r="Q430" t="str">
        <f ca="1">IF($N430="","",IFERROR(MATCH($N430,evol_conc!$P:$P,0),0))</f>
        <v/>
      </c>
    </row>
    <row r="431" spans="12:17" ht="18" hidden="1" customHeight="1" x14ac:dyDescent="0.25">
      <c r="L431" s="53" t="str">
        <f t="shared" si="12"/>
        <v/>
      </c>
      <c r="M431" s="19" t="str">
        <f t="shared" si="13"/>
        <v/>
      </c>
      <c r="N431" t="str">
        <f ca="1">IF(TRIM(SUBSTITUTE($B431,CHAR(160)," "))="","",IFERROR(IF(ISNUMBER(SEARCH("INC",$B431)),"INC",IF(ISNUMBER(SEARCH("OPI",$B431)),"OPI",IF(ISNUMBER(SEARCH("DP",$B431)),"DP","CONC")))&amp;" "&amp;TEXT(LOOKUP(9.99E+307,--MID(SUBSTITUTE($B431,CHAR(160)," "),SUMPRODUCT(MIN(FIND({0,1,2,3,4,5,6,7,8,9},SUBSTITUTE($B431,CHAR(160)," ")&amp;"0123456789"))),ROW(INDIRECT("1:6")))),"0"),"SIN NUMERO"))</f>
        <v/>
      </c>
      <c r="O431" t="str">
        <f ca="1">IF($N431="","",IF(LEFT(UPPER($P431),9)="VERIFICAR","VERIFICAR",IF(AND($H431&lt;&gt;"",COUNTIFS($N$2:$N$1000,$N431,$H$2:$H$1000,$H431)&gt;1),"DUPLICADA",IF(TRIM(IF($A431="","tipo ","")&amp;IF($F431="","fecha de firma ","")&amp;IF($G431="","decisión ","")&amp;IF($H431="","N° resolución ","")&amp;IF($I431="","N° dictamen",""))&lt;&gt;"","INCOMPLETA: "&amp;TRIM(IF($A431="","tipo ","")&amp;IF($F431="","fecha de firma ","")&amp;IF($G431="","decisión ","")&amp;IF($H431="","N° resolución ","")&amp;IF($I431="","N° dictamen","")),IF(LEFT($N431,4)&lt;&gt;"CONC","OK",IF(N($Q431)=0,IF(AND(ISNUMBER($E431),$E431&gt;=DATE(2024,1,1)),"FALTA EN evol_conc","OK"),IF(INDEX(evol_conc!$H:$H,$Q431)&lt;&gt;$F431,"FIRMA DISTINTA EN evol_conc ("&amp;IF(INDEX(evol_conc!$H:$H,$Q431)="","vacía",DAY(INDEX(evol_conc!$H:$H,$Q431))&amp;"/"&amp;MONTH(INDEX(evol_conc!$H:$H,$Q431))&amp;"/"&amp;YEAR(INDEX(evol_conc!$H:$H,$Q431)))&amp;")",IF(INDEX(evol_conc!$G:$G,$Q431)&lt;&gt;$E431,"INGRESO DISTINTO EN evol_conc ("&amp;IF(INDEX(evol_conc!$G:$G,$Q431)="","vacía",DAY(INDEX(evol_conc!$G:$G,$Q431))&amp;"/"&amp;MONTH(INDEX(evol_conc!$G:$G,$Q431))&amp;"/"&amp;YEAR(INDEX(evol_conc!$G:$G,$Q431)))&amp;")","OK"))))))))</f>
        <v/>
      </c>
      <c r="Q431" t="str">
        <f ca="1">IF($N431="","",IFERROR(MATCH($N431,evol_conc!$P:$P,0),0))</f>
        <v/>
      </c>
    </row>
    <row r="432" spans="12:17" ht="18" hidden="1" customHeight="1" x14ac:dyDescent="0.25">
      <c r="L432" s="53" t="str">
        <f t="shared" si="12"/>
        <v/>
      </c>
      <c r="M432" s="19" t="str">
        <f t="shared" si="13"/>
        <v/>
      </c>
      <c r="N432" t="str">
        <f ca="1">IF(TRIM(SUBSTITUTE($B432,CHAR(160)," "))="","",IFERROR(IF(ISNUMBER(SEARCH("INC",$B432)),"INC",IF(ISNUMBER(SEARCH("OPI",$B432)),"OPI",IF(ISNUMBER(SEARCH("DP",$B432)),"DP","CONC")))&amp;" "&amp;TEXT(LOOKUP(9.99E+307,--MID(SUBSTITUTE($B432,CHAR(160)," "),SUMPRODUCT(MIN(FIND({0,1,2,3,4,5,6,7,8,9},SUBSTITUTE($B432,CHAR(160)," ")&amp;"0123456789"))),ROW(INDIRECT("1:6")))),"0"),"SIN NUMERO"))</f>
        <v/>
      </c>
      <c r="O432" t="str">
        <f ca="1">IF($N432="","",IF(LEFT(UPPER($P432),9)="VERIFICAR","VERIFICAR",IF(AND($H432&lt;&gt;"",COUNTIFS($N$2:$N$1000,$N432,$H$2:$H$1000,$H432)&gt;1),"DUPLICADA",IF(TRIM(IF($A432="","tipo ","")&amp;IF($F432="","fecha de firma ","")&amp;IF($G432="","decisión ","")&amp;IF($H432="","N° resolución ","")&amp;IF($I432="","N° dictamen",""))&lt;&gt;"","INCOMPLETA: "&amp;TRIM(IF($A432="","tipo ","")&amp;IF($F432="","fecha de firma ","")&amp;IF($G432="","decisión ","")&amp;IF($H432="","N° resolución ","")&amp;IF($I432="","N° dictamen","")),IF(LEFT($N432,4)&lt;&gt;"CONC","OK",IF(N($Q432)=0,IF(AND(ISNUMBER($E432),$E432&gt;=DATE(2024,1,1)),"FALTA EN evol_conc","OK"),IF(INDEX(evol_conc!$H:$H,$Q432)&lt;&gt;$F432,"FIRMA DISTINTA EN evol_conc ("&amp;IF(INDEX(evol_conc!$H:$H,$Q432)="","vacía",DAY(INDEX(evol_conc!$H:$H,$Q432))&amp;"/"&amp;MONTH(INDEX(evol_conc!$H:$H,$Q432))&amp;"/"&amp;YEAR(INDEX(evol_conc!$H:$H,$Q432)))&amp;")",IF(INDEX(evol_conc!$G:$G,$Q432)&lt;&gt;$E432,"INGRESO DISTINTO EN evol_conc ("&amp;IF(INDEX(evol_conc!$G:$G,$Q432)="","vacía",DAY(INDEX(evol_conc!$G:$G,$Q432))&amp;"/"&amp;MONTH(INDEX(evol_conc!$G:$G,$Q432))&amp;"/"&amp;YEAR(INDEX(evol_conc!$G:$G,$Q432)))&amp;")","OK"))))))))</f>
        <v/>
      </c>
      <c r="Q432" t="str">
        <f ca="1">IF($N432="","",IFERROR(MATCH($N432,evol_conc!$P:$P,0),0))</f>
        <v/>
      </c>
    </row>
    <row r="433" spans="12:17" ht="18" hidden="1" customHeight="1" x14ac:dyDescent="0.25">
      <c r="L433" s="53" t="str">
        <f t="shared" si="12"/>
        <v/>
      </c>
      <c r="M433" s="19" t="str">
        <f t="shared" si="13"/>
        <v/>
      </c>
      <c r="N433" t="str">
        <f ca="1">IF(TRIM(SUBSTITUTE($B433,CHAR(160)," "))="","",IFERROR(IF(ISNUMBER(SEARCH("INC",$B433)),"INC",IF(ISNUMBER(SEARCH("OPI",$B433)),"OPI",IF(ISNUMBER(SEARCH("DP",$B433)),"DP","CONC")))&amp;" "&amp;TEXT(LOOKUP(9.99E+307,--MID(SUBSTITUTE($B433,CHAR(160)," "),SUMPRODUCT(MIN(FIND({0,1,2,3,4,5,6,7,8,9},SUBSTITUTE($B433,CHAR(160)," ")&amp;"0123456789"))),ROW(INDIRECT("1:6")))),"0"),"SIN NUMERO"))</f>
        <v/>
      </c>
      <c r="O433" t="str">
        <f ca="1">IF($N433="","",IF(LEFT(UPPER($P433),9)="VERIFICAR","VERIFICAR",IF(AND($H433&lt;&gt;"",COUNTIFS($N$2:$N$1000,$N433,$H$2:$H$1000,$H433)&gt;1),"DUPLICADA",IF(TRIM(IF($A433="","tipo ","")&amp;IF($F433="","fecha de firma ","")&amp;IF($G433="","decisión ","")&amp;IF($H433="","N° resolución ","")&amp;IF($I433="","N° dictamen",""))&lt;&gt;"","INCOMPLETA: "&amp;TRIM(IF($A433="","tipo ","")&amp;IF($F433="","fecha de firma ","")&amp;IF($G433="","decisión ","")&amp;IF($H433="","N° resolución ","")&amp;IF($I433="","N° dictamen","")),IF(LEFT($N433,4)&lt;&gt;"CONC","OK",IF(N($Q433)=0,IF(AND(ISNUMBER($E433),$E433&gt;=DATE(2024,1,1)),"FALTA EN evol_conc","OK"),IF(INDEX(evol_conc!$H:$H,$Q433)&lt;&gt;$F433,"FIRMA DISTINTA EN evol_conc ("&amp;IF(INDEX(evol_conc!$H:$H,$Q433)="","vacía",DAY(INDEX(evol_conc!$H:$H,$Q433))&amp;"/"&amp;MONTH(INDEX(evol_conc!$H:$H,$Q433))&amp;"/"&amp;YEAR(INDEX(evol_conc!$H:$H,$Q433)))&amp;")",IF(INDEX(evol_conc!$G:$G,$Q433)&lt;&gt;$E433,"INGRESO DISTINTO EN evol_conc ("&amp;IF(INDEX(evol_conc!$G:$G,$Q433)="","vacía",DAY(INDEX(evol_conc!$G:$G,$Q433))&amp;"/"&amp;MONTH(INDEX(evol_conc!$G:$G,$Q433))&amp;"/"&amp;YEAR(INDEX(evol_conc!$G:$G,$Q433)))&amp;")","OK"))))))))</f>
        <v/>
      </c>
      <c r="Q433" t="str">
        <f ca="1">IF($N433="","",IFERROR(MATCH($N433,evol_conc!$P:$P,0),0))</f>
        <v/>
      </c>
    </row>
    <row r="434" spans="12:17" ht="18" hidden="1" customHeight="1" x14ac:dyDescent="0.25">
      <c r="L434" s="53" t="str">
        <f t="shared" si="12"/>
        <v/>
      </c>
      <c r="M434" s="19" t="str">
        <f t="shared" si="13"/>
        <v/>
      </c>
      <c r="N434" t="str">
        <f ca="1">IF(TRIM(SUBSTITUTE($B434,CHAR(160)," "))="","",IFERROR(IF(ISNUMBER(SEARCH("INC",$B434)),"INC",IF(ISNUMBER(SEARCH("OPI",$B434)),"OPI",IF(ISNUMBER(SEARCH("DP",$B434)),"DP","CONC")))&amp;" "&amp;TEXT(LOOKUP(9.99E+307,--MID(SUBSTITUTE($B434,CHAR(160)," "),SUMPRODUCT(MIN(FIND({0,1,2,3,4,5,6,7,8,9},SUBSTITUTE($B434,CHAR(160)," ")&amp;"0123456789"))),ROW(INDIRECT("1:6")))),"0"),"SIN NUMERO"))</f>
        <v/>
      </c>
      <c r="O434" t="str">
        <f ca="1">IF($N434="","",IF(LEFT(UPPER($P434),9)="VERIFICAR","VERIFICAR",IF(AND($H434&lt;&gt;"",COUNTIFS($N$2:$N$1000,$N434,$H$2:$H$1000,$H434)&gt;1),"DUPLICADA",IF(TRIM(IF($A434="","tipo ","")&amp;IF($F434="","fecha de firma ","")&amp;IF($G434="","decisión ","")&amp;IF($H434="","N° resolución ","")&amp;IF($I434="","N° dictamen",""))&lt;&gt;"","INCOMPLETA: "&amp;TRIM(IF($A434="","tipo ","")&amp;IF($F434="","fecha de firma ","")&amp;IF($G434="","decisión ","")&amp;IF($H434="","N° resolución ","")&amp;IF($I434="","N° dictamen","")),IF(LEFT($N434,4)&lt;&gt;"CONC","OK",IF(N($Q434)=0,IF(AND(ISNUMBER($E434),$E434&gt;=DATE(2024,1,1)),"FALTA EN evol_conc","OK"),IF(INDEX(evol_conc!$H:$H,$Q434)&lt;&gt;$F434,"FIRMA DISTINTA EN evol_conc ("&amp;IF(INDEX(evol_conc!$H:$H,$Q434)="","vacía",DAY(INDEX(evol_conc!$H:$H,$Q434))&amp;"/"&amp;MONTH(INDEX(evol_conc!$H:$H,$Q434))&amp;"/"&amp;YEAR(INDEX(evol_conc!$H:$H,$Q434)))&amp;")",IF(INDEX(evol_conc!$G:$G,$Q434)&lt;&gt;$E434,"INGRESO DISTINTO EN evol_conc ("&amp;IF(INDEX(evol_conc!$G:$G,$Q434)="","vacía",DAY(INDEX(evol_conc!$G:$G,$Q434))&amp;"/"&amp;MONTH(INDEX(evol_conc!$G:$G,$Q434))&amp;"/"&amp;YEAR(INDEX(evol_conc!$G:$G,$Q434)))&amp;")","OK"))))))))</f>
        <v/>
      </c>
      <c r="Q434" t="str">
        <f ca="1">IF($N434="","",IFERROR(MATCH($N434,evol_conc!$P:$P,0),0))</f>
        <v/>
      </c>
    </row>
    <row r="435" spans="12:17" ht="18" hidden="1" customHeight="1" x14ac:dyDescent="0.25">
      <c r="L435" s="53" t="str">
        <f t="shared" si="12"/>
        <v/>
      </c>
      <c r="M435" s="19" t="str">
        <f t="shared" si="13"/>
        <v/>
      </c>
      <c r="N435" t="str">
        <f ca="1">IF(TRIM(SUBSTITUTE($B435,CHAR(160)," "))="","",IFERROR(IF(ISNUMBER(SEARCH("INC",$B435)),"INC",IF(ISNUMBER(SEARCH("OPI",$B435)),"OPI",IF(ISNUMBER(SEARCH("DP",$B435)),"DP","CONC")))&amp;" "&amp;TEXT(LOOKUP(9.99E+307,--MID(SUBSTITUTE($B435,CHAR(160)," "),SUMPRODUCT(MIN(FIND({0,1,2,3,4,5,6,7,8,9},SUBSTITUTE($B435,CHAR(160)," ")&amp;"0123456789"))),ROW(INDIRECT("1:6")))),"0"),"SIN NUMERO"))</f>
        <v/>
      </c>
      <c r="O435" t="str">
        <f ca="1">IF($N435="","",IF(LEFT(UPPER($P435),9)="VERIFICAR","VERIFICAR",IF(AND($H435&lt;&gt;"",COUNTIFS($N$2:$N$1000,$N435,$H$2:$H$1000,$H435)&gt;1),"DUPLICADA",IF(TRIM(IF($A435="","tipo ","")&amp;IF($F435="","fecha de firma ","")&amp;IF($G435="","decisión ","")&amp;IF($H435="","N° resolución ","")&amp;IF($I435="","N° dictamen",""))&lt;&gt;"","INCOMPLETA: "&amp;TRIM(IF($A435="","tipo ","")&amp;IF($F435="","fecha de firma ","")&amp;IF($G435="","decisión ","")&amp;IF($H435="","N° resolución ","")&amp;IF($I435="","N° dictamen","")),IF(LEFT($N435,4)&lt;&gt;"CONC","OK",IF(N($Q435)=0,IF(AND(ISNUMBER($E435),$E435&gt;=DATE(2024,1,1)),"FALTA EN evol_conc","OK"),IF(INDEX(evol_conc!$H:$H,$Q435)&lt;&gt;$F435,"FIRMA DISTINTA EN evol_conc ("&amp;IF(INDEX(evol_conc!$H:$H,$Q435)="","vacía",DAY(INDEX(evol_conc!$H:$H,$Q435))&amp;"/"&amp;MONTH(INDEX(evol_conc!$H:$H,$Q435))&amp;"/"&amp;YEAR(INDEX(evol_conc!$H:$H,$Q435)))&amp;")",IF(INDEX(evol_conc!$G:$G,$Q435)&lt;&gt;$E435,"INGRESO DISTINTO EN evol_conc ("&amp;IF(INDEX(evol_conc!$G:$G,$Q435)="","vacía",DAY(INDEX(evol_conc!$G:$G,$Q435))&amp;"/"&amp;MONTH(INDEX(evol_conc!$G:$G,$Q435))&amp;"/"&amp;YEAR(INDEX(evol_conc!$G:$G,$Q435)))&amp;")","OK"))))))))</f>
        <v/>
      </c>
      <c r="Q435" t="str">
        <f ca="1">IF($N435="","",IFERROR(MATCH($N435,evol_conc!$P:$P,0),0))</f>
        <v/>
      </c>
    </row>
    <row r="436" spans="12:17" ht="18" hidden="1" customHeight="1" x14ac:dyDescent="0.25">
      <c r="L436" s="53" t="str">
        <f t="shared" si="12"/>
        <v/>
      </c>
      <c r="M436" s="19" t="str">
        <f t="shared" si="13"/>
        <v/>
      </c>
      <c r="N436" t="str">
        <f ca="1">IF(TRIM(SUBSTITUTE($B436,CHAR(160)," "))="","",IFERROR(IF(ISNUMBER(SEARCH("INC",$B436)),"INC",IF(ISNUMBER(SEARCH("OPI",$B436)),"OPI",IF(ISNUMBER(SEARCH("DP",$B436)),"DP","CONC")))&amp;" "&amp;TEXT(LOOKUP(9.99E+307,--MID(SUBSTITUTE($B436,CHAR(160)," "),SUMPRODUCT(MIN(FIND({0,1,2,3,4,5,6,7,8,9},SUBSTITUTE($B436,CHAR(160)," ")&amp;"0123456789"))),ROW(INDIRECT("1:6")))),"0"),"SIN NUMERO"))</f>
        <v/>
      </c>
      <c r="O436" t="str">
        <f ca="1">IF($N436="","",IF(LEFT(UPPER($P436),9)="VERIFICAR","VERIFICAR",IF(AND($H436&lt;&gt;"",COUNTIFS($N$2:$N$1000,$N436,$H$2:$H$1000,$H436)&gt;1),"DUPLICADA",IF(TRIM(IF($A436="","tipo ","")&amp;IF($F436="","fecha de firma ","")&amp;IF($G436="","decisión ","")&amp;IF($H436="","N° resolución ","")&amp;IF($I436="","N° dictamen",""))&lt;&gt;"","INCOMPLETA: "&amp;TRIM(IF($A436="","tipo ","")&amp;IF($F436="","fecha de firma ","")&amp;IF($G436="","decisión ","")&amp;IF($H436="","N° resolución ","")&amp;IF($I436="","N° dictamen","")),IF(LEFT($N436,4)&lt;&gt;"CONC","OK",IF(N($Q436)=0,IF(AND(ISNUMBER($E436),$E436&gt;=DATE(2024,1,1)),"FALTA EN evol_conc","OK"),IF(INDEX(evol_conc!$H:$H,$Q436)&lt;&gt;$F436,"FIRMA DISTINTA EN evol_conc ("&amp;IF(INDEX(evol_conc!$H:$H,$Q436)="","vacía",DAY(INDEX(evol_conc!$H:$H,$Q436))&amp;"/"&amp;MONTH(INDEX(evol_conc!$H:$H,$Q436))&amp;"/"&amp;YEAR(INDEX(evol_conc!$H:$H,$Q436)))&amp;")",IF(INDEX(evol_conc!$G:$G,$Q436)&lt;&gt;$E436,"INGRESO DISTINTO EN evol_conc ("&amp;IF(INDEX(evol_conc!$G:$G,$Q436)="","vacía",DAY(INDEX(evol_conc!$G:$G,$Q436))&amp;"/"&amp;MONTH(INDEX(evol_conc!$G:$G,$Q436))&amp;"/"&amp;YEAR(INDEX(evol_conc!$G:$G,$Q436)))&amp;")","OK"))))))))</f>
        <v/>
      </c>
      <c r="Q436" t="str">
        <f ca="1">IF($N436="","",IFERROR(MATCH($N436,evol_conc!$P:$P,0),0))</f>
        <v/>
      </c>
    </row>
    <row r="437" spans="12:17" ht="18" hidden="1" customHeight="1" x14ac:dyDescent="0.25">
      <c r="L437" s="53" t="str">
        <f t="shared" si="12"/>
        <v/>
      </c>
      <c r="M437" s="19" t="str">
        <f t="shared" si="13"/>
        <v/>
      </c>
      <c r="N437" t="str">
        <f ca="1">IF(TRIM(SUBSTITUTE($B437,CHAR(160)," "))="","",IFERROR(IF(ISNUMBER(SEARCH("INC",$B437)),"INC",IF(ISNUMBER(SEARCH("OPI",$B437)),"OPI",IF(ISNUMBER(SEARCH("DP",$B437)),"DP","CONC")))&amp;" "&amp;TEXT(LOOKUP(9.99E+307,--MID(SUBSTITUTE($B437,CHAR(160)," "),SUMPRODUCT(MIN(FIND({0,1,2,3,4,5,6,7,8,9},SUBSTITUTE($B437,CHAR(160)," ")&amp;"0123456789"))),ROW(INDIRECT("1:6")))),"0"),"SIN NUMERO"))</f>
        <v/>
      </c>
      <c r="O437" t="str">
        <f ca="1">IF($N437="","",IF(LEFT(UPPER($P437),9)="VERIFICAR","VERIFICAR",IF(AND($H437&lt;&gt;"",COUNTIFS($N$2:$N$1000,$N437,$H$2:$H$1000,$H437)&gt;1),"DUPLICADA",IF(TRIM(IF($A437="","tipo ","")&amp;IF($F437="","fecha de firma ","")&amp;IF($G437="","decisión ","")&amp;IF($H437="","N° resolución ","")&amp;IF($I437="","N° dictamen",""))&lt;&gt;"","INCOMPLETA: "&amp;TRIM(IF($A437="","tipo ","")&amp;IF($F437="","fecha de firma ","")&amp;IF($G437="","decisión ","")&amp;IF($H437="","N° resolución ","")&amp;IF($I437="","N° dictamen","")),IF(LEFT($N437,4)&lt;&gt;"CONC","OK",IF(N($Q437)=0,IF(AND(ISNUMBER($E437),$E437&gt;=DATE(2024,1,1)),"FALTA EN evol_conc","OK"),IF(INDEX(evol_conc!$H:$H,$Q437)&lt;&gt;$F437,"FIRMA DISTINTA EN evol_conc ("&amp;IF(INDEX(evol_conc!$H:$H,$Q437)="","vacía",DAY(INDEX(evol_conc!$H:$H,$Q437))&amp;"/"&amp;MONTH(INDEX(evol_conc!$H:$H,$Q437))&amp;"/"&amp;YEAR(INDEX(evol_conc!$H:$H,$Q437)))&amp;")",IF(INDEX(evol_conc!$G:$G,$Q437)&lt;&gt;$E437,"INGRESO DISTINTO EN evol_conc ("&amp;IF(INDEX(evol_conc!$G:$G,$Q437)="","vacía",DAY(INDEX(evol_conc!$G:$G,$Q437))&amp;"/"&amp;MONTH(INDEX(evol_conc!$G:$G,$Q437))&amp;"/"&amp;YEAR(INDEX(evol_conc!$G:$G,$Q437)))&amp;")","OK"))))))))</f>
        <v/>
      </c>
      <c r="Q437" t="str">
        <f ca="1">IF($N437="","",IFERROR(MATCH($N437,evol_conc!$P:$P,0),0))</f>
        <v/>
      </c>
    </row>
    <row r="438" spans="12:17" ht="18" hidden="1" customHeight="1" x14ac:dyDescent="0.25">
      <c r="L438" s="53" t="str">
        <f t="shared" si="12"/>
        <v/>
      </c>
      <c r="M438" s="19" t="str">
        <f t="shared" si="13"/>
        <v/>
      </c>
      <c r="N438" t="str">
        <f ca="1">IF(TRIM(SUBSTITUTE($B438,CHAR(160)," "))="","",IFERROR(IF(ISNUMBER(SEARCH("INC",$B438)),"INC",IF(ISNUMBER(SEARCH("OPI",$B438)),"OPI",IF(ISNUMBER(SEARCH("DP",$B438)),"DP","CONC")))&amp;" "&amp;TEXT(LOOKUP(9.99E+307,--MID(SUBSTITUTE($B438,CHAR(160)," "),SUMPRODUCT(MIN(FIND({0,1,2,3,4,5,6,7,8,9},SUBSTITUTE($B438,CHAR(160)," ")&amp;"0123456789"))),ROW(INDIRECT("1:6")))),"0"),"SIN NUMERO"))</f>
        <v/>
      </c>
      <c r="O438" t="str">
        <f ca="1">IF($N438="","",IF(LEFT(UPPER($P438),9)="VERIFICAR","VERIFICAR",IF(AND($H438&lt;&gt;"",COUNTIFS($N$2:$N$1000,$N438,$H$2:$H$1000,$H438)&gt;1),"DUPLICADA",IF(TRIM(IF($A438="","tipo ","")&amp;IF($F438="","fecha de firma ","")&amp;IF($G438="","decisión ","")&amp;IF($H438="","N° resolución ","")&amp;IF($I438="","N° dictamen",""))&lt;&gt;"","INCOMPLETA: "&amp;TRIM(IF($A438="","tipo ","")&amp;IF($F438="","fecha de firma ","")&amp;IF($G438="","decisión ","")&amp;IF($H438="","N° resolución ","")&amp;IF($I438="","N° dictamen","")),IF(LEFT($N438,4)&lt;&gt;"CONC","OK",IF(N($Q438)=0,IF(AND(ISNUMBER($E438),$E438&gt;=DATE(2024,1,1)),"FALTA EN evol_conc","OK"),IF(INDEX(evol_conc!$H:$H,$Q438)&lt;&gt;$F438,"FIRMA DISTINTA EN evol_conc ("&amp;IF(INDEX(evol_conc!$H:$H,$Q438)="","vacía",DAY(INDEX(evol_conc!$H:$H,$Q438))&amp;"/"&amp;MONTH(INDEX(evol_conc!$H:$H,$Q438))&amp;"/"&amp;YEAR(INDEX(evol_conc!$H:$H,$Q438)))&amp;")",IF(INDEX(evol_conc!$G:$G,$Q438)&lt;&gt;$E438,"INGRESO DISTINTO EN evol_conc ("&amp;IF(INDEX(evol_conc!$G:$G,$Q438)="","vacía",DAY(INDEX(evol_conc!$G:$G,$Q438))&amp;"/"&amp;MONTH(INDEX(evol_conc!$G:$G,$Q438))&amp;"/"&amp;YEAR(INDEX(evol_conc!$G:$G,$Q438)))&amp;")","OK"))))))))</f>
        <v/>
      </c>
      <c r="Q438" t="str">
        <f ca="1">IF($N438="","",IFERROR(MATCH($N438,evol_conc!$P:$P,0),0))</f>
        <v/>
      </c>
    </row>
    <row r="439" spans="12:17" ht="18" hidden="1" customHeight="1" x14ac:dyDescent="0.25">
      <c r="L439" s="53" t="str">
        <f t="shared" si="12"/>
        <v/>
      </c>
      <c r="M439" s="19" t="str">
        <f t="shared" si="13"/>
        <v/>
      </c>
      <c r="N439" t="str">
        <f ca="1">IF(TRIM(SUBSTITUTE($B439,CHAR(160)," "))="","",IFERROR(IF(ISNUMBER(SEARCH("INC",$B439)),"INC",IF(ISNUMBER(SEARCH("OPI",$B439)),"OPI",IF(ISNUMBER(SEARCH("DP",$B439)),"DP","CONC")))&amp;" "&amp;TEXT(LOOKUP(9.99E+307,--MID(SUBSTITUTE($B439,CHAR(160)," "),SUMPRODUCT(MIN(FIND({0,1,2,3,4,5,6,7,8,9},SUBSTITUTE($B439,CHAR(160)," ")&amp;"0123456789"))),ROW(INDIRECT("1:6")))),"0"),"SIN NUMERO"))</f>
        <v/>
      </c>
      <c r="O439" t="str">
        <f ca="1">IF($N439="","",IF(LEFT(UPPER($P439),9)="VERIFICAR","VERIFICAR",IF(AND($H439&lt;&gt;"",COUNTIFS($N$2:$N$1000,$N439,$H$2:$H$1000,$H439)&gt;1),"DUPLICADA",IF(TRIM(IF($A439="","tipo ","")&amp;IF($F439="","fecha de firma ","")&amp;IF($G439="","decisión ","")&amp;IF($H439="","N° resolución ","")&amp;IF($I439="","N° dictamen",""))&lt;&gt;"","INCOMPLETA: "&amp;TRIM(IF($A439="","tipo ","")&amp;IF($F439="","fecha de firma ","")&amp;IF($G439="","decisión ","")&amp;IF($H439="","N° resolución ","")&amp;IF($I439="","N° dictamen","")),IF(LEFT($N439,4)&lt;&gt;"CONC","OK",IF(N($Q439)=0,IF(AND(ISNUMBER($E439),$E439&gt;=DATE(2024,1,1)),"FALTA EN evol_conc","OK"),IF(INDEX(evol_conc!$H:$H,$Q439)&lt;&gt;$F439,"FIRMA DISTINTA EN evol_conc ("&amp;IF(INDEX(evol_conc!$H:$H,$Q439)="","vacía",DAY(INDEX(evol_conc!$H:$H,$Q439))&amp;"/"&amp;MONTH(INDEX(evol_conc!$H:$H,$Q439))&amp;"/"&amp;YEAR(INDEX(evol_conc!$H:$H,$Q439)))&amp;")",IF(INDEX(evol_conc!$G:$G,$Q439)&lt;&gt;$E439,"INGRESO DISTINTO EN evol_conc ("&amp;IF(INDEX(evol_conc!$G:$G,$Q439)="","vacía",DAY(INDEX(evol_conc!$G:$G,$Q439))&amp;"/"&amp;MONTH(INDEX(evol_conc!$G:$G,$Q439))&amp;"/"&amp;YEAR(INDEX(evol_conc!$G:$G,$Q439)))&amp;")","OK"))))))))</f>
        <v/>
      </c>
      <c r="Q439" t="str">
        <f ca="1">IF($N439="","",IFERROR(MATCH($N439,evol_conc!$P:$P,0),0))</f>
        <v/>
      </c>
    </row>
    <row r="440" spans="12:17" ht="18" hidden="1" customHeight="1" x14ac:dyDescent="0.25">
      <c r="L440" s="53" t="str">
        <f t="shared" si="12"/>
        <v/>
      </c>
      <c r="M440" s="19" t="str">
        <f t="shared" si="13"/>
        <v/>
      </c>
      <c r="N440" t="str">
        <f ca="1">IF(TRIM(SUBSTITUTE($B440,CHAR(160)," "))="","",IFERROR(IF(ISNUMBER(SEARCH("INC",$B440)),"INC",IF(ISNUMBER(SEARCH("OPI",$B440)),"OPI",IF(ISNUMBER(SEARCH("DP",$B440)),"DP","CONC")))&amp;" "&amp;TEXT(LOOKUP(9.99E+307,--MID(SUBSTITUTE($B440,CHAR(160)," "),SUMPRODUCT(MIN(FIND({0,1,2,3,4,5,6,7,8,9},SUBSTITUTE($B440,CHAR(160)," ")&amp;"0123456789"))),ROW(INDIRECT("1:6")))),"0"),"SIN NUMERO"))</f>
        <v/>
      </c>
      <c r="O440" t="str">
        <f ca="1">IF($N440="","",IF(LEFT(UPPER($P440),9)="VERIFICAR","VERIFICAR",IF(AND($H440&lt;&gt;"",COUNTIFS($N$2:$N$1000,$N440,$H$2:$H$1000,$H440)&gt;1),"DUPLICADA",IF(TRIM(IF($A440="","tipo ","")&amp;IF($F440="","fecha de firma ","")&amp;IF($G440="","decisión ","")&amp;IF($H440="","N° resolución ","")&amp;IF($I440="","N° dictamen",""))&lt;&gt;"","INCOMPLETA: "&amp;TRIM(IF($A440="","tipo ","")&amp;IF($F440="","fecha de firma ","")&amp;IF($G440="","decisión ","")&amp;IF($H440="","N° resolución ","")&amp;IF($I440="","N° dictamen","")),IF(LEFT($N440,4)&lt;&gt;"CONC","OK",IF(N($Q440)=0,IF(AND(ISNUMBER($E440),$E440&gt;=DATE(2024,1,1)),"FALTA EN evol_conc","OK"),IF(INDEX(evol_conc!$H:$H,$Q440)&lt;&gt;$F440,"FIRMA DISTINTA EN evol_conc ("&amp;IF(INDEX(evol_conc!$H:$H,$Q440)="","vacía",DAY(INDEX(evol_conc!$H:$H,$Q440))&amp;"/"&amp;MONTH(INDEX(evol_conc!$H:$H,$Q440))&amp;"/"&amp;YEAR(INDEX(evol_conc!$H:$H,$Q440)))&amp;")",IF(INDEX(evol_conc!$G:$G,$Q440)&lt;&gt;$E440,"INGRESO DISTINTO EN evol_conc ("&amp;IF(INDEX(evol_conc!$G:$G,$Q440)="","vacía",DAY(INDEX(evol_conc!$G:$G,$Q440))&amp;"/"&amp;MONTH(INDEX(evol_conc!$G:$G,$Q440))&amp;"/"&amp;YEAR(INDEX(evol_conc!$G:$G,$Q440)))&amp;")","OK"))))))))</f>
        <v/>
      </c>
      <c r="Q440" t="str">
        <f ca="1">IF($N440="","",IFERROR(MATCH($N440,evol_conc!$P:$P,0),0))</f>
        <v/>
      </c>
    </row>
    <row r="441" spans="12:17" ht="18" hidden="1" customHeight="1" x14ac:dyDescent="0.25">
      <c r="L441" s="53" t="str">
        <f t="shared" si="12"/>
        <v/>
      </c>
      <c r="M441" s="19" t="str">
        <f t="shared" si="13"/>
        <v/>
      </c>
      <c r="N441" t="str">
        <f ca="1">IF(TRIM(SUBSTITUTE($B441,CHAR(160)," "))="","",IFERROR(IF(ISNUMBER(SEARCH("INC",$B441)),"INC",IF(ISNUMBER(SEARCH("OPI",$B441)),"OPI",IF(ISNUMBER(SEARCH("DP",$B441)),"DP","CONC")))&amp;" "&amp;TEXT(LOOKUP(9.99E+307,--MID(SUBSTITUTE($B441,CHAR(160)," "),SUMPRODUCT(MIN(FIND({0,1,2,3,4,5,6,7,8,9},SUBSTITUTE($B441,CHAR(160)," ")&amp;"0123456789"))),ROW(INDIRECT("1:6")))),"0"),"SIN NUMERO"))</f>
        <v/>
      </c>
      <c r="O441" t="str">
        <f ca="1">IF($N441="","",IF(LEFT(UPPER($P441),9)="VERIFICAR","VERIFICAR",IF(AND($H441&lt;&gt;"",COUNTIFS($N$2:$N$1000,$N441,$H$2:$H$1000,$H441)&gt;1),"DUPLICADA",IF(TRIM(IF($A441="","tipo ","")&amp;IF($F441="","fecha de firma ","")&amp;IF($G441="","decisión ","")&amp;IF($H441="","N° resolución ","")&amp;IF($I441="","N° dictamen",""))&lt;&gt;"","INCOMPLETA: "&amp;TRIM(IF($A441="","tipo ","")&amp;IF($F441="","fecha de firma ","")&amp;IF($G441="","decisión ","")&amp;IF($H441="","N° resolución ","")&amp;IF($I441="","N° dictamen","")),IF(LEFT($N441,4)&lt;&gt;"CONC","OK",IF(N($Q441)=0,IF(AND(ISNUMBER($E441),$E441&gt;=DATE(2024,1,1)),"FALTA EN evol_conc","OK"),IF(INDEX(evol_conc!$H:$H,$Q441)&lt;&gt;$F441,"FIRMA DISTINTA EN evol_conc ("&amp;IF(INDEX(evol_conc!$H:$H,$Q441)="","vacía",DAY(INDEX(evol_conc!$H:$H,$Q441))&amp;"/"&amp;MONTH(INDEX(evol_conc!$H:$H,$Q441))&amp;"/"&amp;YEAR(INDEX(evol_conc!$H:$H,$Q441)))&amp;")",IF(INDEX(evol_conc!$G:$G,$Q441)&lt;&gt;$E441,"INGRESO DISTINTO EN evol_conc ("&amp;IF(INDEX(evol_conc!$G:$G,$Q441)="","vacía",DAY(INDEX(evol_conc!$G:$G,$Q441))&amp;"/"&amp;MONTH(INDEX(evol_conc!$G:$G,$Q441))&amp;"/"&amp;YEAR(INDEX(evol_conc!$G:$G,$Q441)))&amp;")","OK"))))))))</f>
        <v/>
      </c>
      <c r="Q441" t="str">
        <f ca="1">IF($N441="","",IFERROR(MATCH($N441,evol_conc!$P:$P,0),0))</f>
        <v/>
      </c>
    </row>
    <row r="442" spans="12:17" ht="18" hidden="1" customHeight="1" x14ac:dyDescent="0.25">
      <c r="L442" s="53" t="str">
        <f t="shared" si="12"/>
        <v/>
      </c>
      <c r="M442" s="19" t="str">
        <f t="shared" si="13"/>
        <v/>
      </c>
      <c r="N442" t="str">
        <f ca="1">IF(TRIM(SUBSTITUTE($B442,CHAR(160)," "))="","",IFERROR(IF(ISNUMBER(SEARCH("INC",$B442)),"INC",IF(ISNUMBER(SEARCH("OPI",$B442)),"OPI",IF(ISNUMBER(SEARCH("DP",$B442)),"DP","CONC")))&amp;" "&amp;TEXT(LOOKUP(9.99E+307,--MID(SUBSTITUTE($B442,CHAR(160)," "),SUMPRODUCT(MIN(FIND({0,1,2,3,4,5,6,7,8,9},SUBSTITUTE($B442,CHAR(160)," ")&amp;"0123456789"))),ROW(INDIRECT("1:6")))),"0"),"SIN NUMERO"))</f>
        <v/>
      </c>
      <c r="O442" t="str">
        <f ca="1">IF($N442="","",IF(LEFT(UPPER($P442),9)="VERIFICAR","VERIFICAR",IF(AND($H442&lt;&gt;"",COUNTIFS($N$2:$N$1000,$N442,$H$2:$H$1000,$H442)&gt;1),"DUPLICADA",IF(TRIM(IF($A442="","tipo ","")&amp;IF($F442="","fecha de firma ","")&amp;IF($G442="","decisión ","")&amp;IF($H442="","N° resolución ","")&amp;IF($I442="","N° dictamen",""))&lt;&gt;"","INCOMPLETA: "&amp;TRIM(IF($A442="","tipo ","")&amp;IF($F442="","fecha de firma ","")&amp;IF($G442="","decisión ","")&amp;IF($H442="","N° resolución ","")&amp;IF($I442="","N° dictamen","")),IF(LEFT($N442,4)&lt;&gt;"CONC","OK",IF(N($Q442)=0,IF(AND(ISNUMBER($E442),$E442&gt;=DATE(2024,1,1)),"FALTA EN evol_conc","OK"),IF(INDEX(evol_conc!$H:$H,$Q442)&lt;&gt;$F442,"FIRMA DISTINTA EN evol_conc ("&amp;IF(INDEX(evol_conc!$H:$H,$Q442)="","vacía",DAY(INDEX(evol_conc!$H:$H,$Q442))&amp;"/"&amp;MONTH(INDEX(evol_conc!$H:$H,$Q442))&amp;"/"&amp;YEAR(INDEX(evol_conc!$H:$H,$Q442)))&amp;")",IF(INDEX(evol_conc!$G:$G,$Q442)&lt;&gt;$E442,"INGRESO DISTINTO EN evol_conc ("&amp;IF(INDEX(evol_conc!$G:$G,$Q442)="","vacía",DAY(INDEX(evol_conc!$G:$G,$Q442))&amp;"/"&amp;MONTH(INDEX(evol_conc!$G:$G,$Q442))&amp;"/"&amp;YEAR(INDEX(evol_conc!$G:$G,$Q442)))&amp;")","OK"))))))))</f>
        <v/>
      </c>
      <c r="Q442" t="str">
        <f ca="1">IF($N442="","",IFERROR(MATCH($N442,evol_conc!$P:$P,0),0))</f>
        <v/>
      </c>
    </row>
    <row r="443" spans="12:17" ht="18" hidden="1" customHeight="1" x14ac:dyDescent="0.25">
      <c r="L443" s="53" t="str">
        <f t="shared" si="12"/>
        <v/>
      </c>
      <c r="M443" s="19" t="str">
        <f t="shared" si="13"/>
        <v/>
      </c>
      <c r="N443" t="str">
        <f ca="1">IF(TRIM(SUBSTITUTE($B443,CHAR(160)," "))="","",IFERROR(IF(ISNUMBER(SEARCH("INC",$B443)),"INC",IF(ISNUMBER(SEARCH("OPI",$B443)),"OPI",IF(ISNUMBER(SEARCH("DP",$B443)),"DP","CONC")))&amp;" "&amp;TEXT(LOOKUP(9.99E+307,--MID(SUBSTITUTE($B443,CHAR(160)," "),SUMPRODUCT(MIN(FIND({0,1,2,3,4,5,6,7,8,9},SUBSTITUTE($B443,CHAR(160)," ")&amp;"0123456789"))),ROW(INDIRECT("1:6")))),"0"),"SIN NUMERO"))</f>
        <v/>
      </c>
      <c r="O443" t="str">
        <f ca="1">IF($N443="","",IF(LEFT(UPPER($P443),9)="VERIFICAR","VERIFICAR",IF(AND($H443&lt;&gt;"",COUNTIFS($N$2:$N$1000,$N443,$H$2:$H$1000,$H443)&gt;1),"DUPLICADA",IF(TRIM(IF($A443="","tipo ","")&amp;IF($F443="","fecha de firma ","")&amp;IF($G443="","decisión ","")&amp;IF($H443="","N° resolución ","")&amp;IF($I443="","N° dictamen",""))&lt;&gt;"","INCOMPLETA: "&amp;TRIM(IF($A443="","tipo ","")&amp;IF($F443="","fecha de firma ","")&amp;IF($G443="","decisión ","")&amp;IF($H443="","N° resolución ","")&amp;IF($I443="","N° dictamen","")),IF(LEFT($N443,4)&lt;&gt;"CONC","OK",IF(N($Q443)=0,IF(AND(ISNUMBER($E443),$E443&gt;=DATE(2024,1,1)),"FALTA EN evol_conc","OK"),IF(INDEX(evol_conc!$H:$H,$Q443)&lt;&gt;$F443,"FIRMA DISTINTA EN evol_conc ("&amp;IF(INDEX(evol_conc!$H:$H,$Q443)="","vacía",DAY(INDEX(evol_conc!$H:$H,$Q443))&amp;"/"&amp;MONTH(INDEX(evol_conc!$H:$H,$Q443))&amp;"/"&amp;YEAR(INDEX(evol_conc!$H:$H,$Q443)))&amp;")",IF(INDEX(evol_conc!$G:$G,$Q443)&lt;&gt;$E443,"INGRESO DISTINTO EN evol_conc ("&amp;IF(INDEX(evol_conc!$G:$G,$Q443)="","vacía",DAY(INDEX(evol_conc!$G:$G,$Q443))&amp;"/"&amp;MONTH(INDEX(evol_conc!$G:$G,$Q443))&amp;"/"&amp;YEAR(INDEX(evol_conc!$G:$G,$Q443)))&amp;")","OK"))))))))</f>
        <v/>
      </c>
      <c r="Q443" t="str">
        <f ca="1">IF($N443="","",IFERROR(MATCH($N443,evol_conc!$P:$P,0),0))</f>
        <v/>
      </c>
    </row>
    <row r="444" spans="12:17" ht="18" hidden="1" customHeight="1" x14ac:dyDescent="0.25">
      <c r="L444" s="53" t="str">
        <f t="shared" si="12"/>
        <v/>
      </c>
      <c r="M444" s="19" t="str">
        <f t="shared" si="13"/>
        <v/>
      </c>
      <c r="N444" t="str">
        <f ca="1">IF(TRIM(SUBSTITUTE($B444,CHAR(160)," "))="","",IFERROR(IF(ISNUMBER(SEARCH("INC",$B444)),"INC",IF(ISNUMBER(SEARCH("OPI",$B444)),"OPI",IF(ISNUMBER(SEARCH("DP",$B444)),"DP","CONC")))&amp;" "&amp;TEXT(LOOKUP(9.99E+307,--MID(SUBSTITUTE($B444,CHAR(160)," "),SUMPRODUCT(MIN(FIND({0,1,2,3,4,5,6,7,8,9},SUBSTITUTE($B444,CHAR(160)," ")&amp;"0123456789"))),ROW(INDIRECT("1:6")))),"0"),"SIN NUMERO"))</f>
        <v/>
      </c>
      <c r="O444" t="str">
        <f ca="1">IF($N444="","",IF(LEFT(UPPER($P444),9)="VERIFICAR","VERIFICAR",IF(AND($H444&lt;&gt;"",COUNTIFS($N$2:$N$1000,$N444,$H$2:$H$1000,$H444)&gt;1),"DUPLICADA",IF(TRIM(IF($A444="","tipo ","")&amp;IF($F444="","fecha de firma ","")&amp;IF($G444="","decisión ","")&amp;IF($H444="","N° resolución ","")&amp;IF($I444="","N° dictamen",""))&lt;&gt;"","INCOMPLETA: "&amp;TRIM(IF($A444="","tipo ","")&amp;IF($F444="","fecha de firma ","")&amp;IF($G444="","decisión ","")&amp;IF($H444="","N° resolución ","")&amp;IF($I444="","N° dictamen","")),IF(LEFT($N444,4)&lt;&gt;"CONC","OK",IF(N($Q444)=0,IF(AND(ISNUMBER($E444),$E444&gt;=DATE(2024,1,1)),"FALTA EN evol_conc","OK"),IF(INDEX(evol_conc!$H:$H,$Q444)&lt;&gt;$F444,"FIRMA DISTINTA EN evol_conc ("&amp;IF(INDEX(evol_conc!$H:$H,$Q444)="","vacía",DAY(INDEX(evol_conc!$H:$H,$Q444))&amp;"/"&amp;MONTH(INDEX(evol_conc!$H:$H,$Q444))&amp;"/"&amp;YEAR(INDEX(evol_conc!$H:$H,$Q444)))&amp;")",IF(INDEX(evol_conc!$G:$G,$Q444)&lt;&gt;$E444,"INGRESO DISTINTO EN evol_conc ("&amp;IF(INDEX(evol_conc!$G:$G,$Q444)="","vacía",DAY(INDEX(evol_conc!$G:$G,$Q444))&amp;"/"&amp;MONTH(INDEX(evol_conc!$G:$G,$Q444))&amp;"/"&amp;YEAR(INDEX(evol_conc!$G:$G,$Q444)))&amp;")","OK"))))))))</f>
        <v/>
      </c>
      <c r="Q444" t="str">
        <f ca="1">IF($N444="","",IFERROR(MATCH($N444,evol_conc!$P:$P,0),0))</f>
        <v/>
      </c>
    </row>
    <row r="445" spans="12:17" ht="18" hidden="1" customHeight="1" x14ac:dyDescent="0.25">
      <c r="L445" s="53" t="str">
        <f t="shared" si="12"/>
        <v/>
      </c>
      <c r="M445" s="19" t="str">
        <f t="shared" si="13"/>
        <v/>
      </c>
      <c r="N445" t="str">
        <f ca="1">IF(TRIM(SUBSTITUTE($B445,CHAR(160)," "))="","",IFERROR(IF(ISNUMBER(SEARCH("INC",$B445)),"INC",IF(ISNUMBER(SEARCH("OPI",$B445)),"OPI",IF(ISNUMBER(SEARCH("DP",$B445)),"DP","CONC")))&amp;" "&amp;TEXT(LOOKUP(9.99E+307,--MID(SUBSTITUTE($B445,CHAR(160)," "),SUMPRODUCT(MIN(FIND({0,1,2,3,4,5,6,7,8,9},SUBSTITUTE($B445,CHAR(160)," ")&amp;"0123456789"))),ROW(INDIRECT("1:6")))),"0"),"SIN NUMERO"))</f>
        <v/>
      </c>
      <c r="O445" t="str">
        <f ca="1">IF($N445="","",IF(LEFT(UPPER($P445),9)="VERIFICAR","VERIFICAR",IF(AND($H445&lt;&gt;"",COUNTIFS($N$2:$N$1000,$N445,$H$2:$H$1000,$H445)&gt;1),"DUPLICADA",IF(TRIM(IF($A445="","tipo ","")&amp;IF($F445="","fecha de firma ","")&amp;IF($G445="","decisión ","")&amp;IF($H445="","N° resolución ","")&amp;IF($I445="","N° dictamen",""))&lt;&gt;"","INCOMPLETA: "&amp;TRIM(IF($A445="","tipo ","")&amp;IF($F445="","fecha de firma ","")&amp;IF($G445="","decisión ","")&amp;IF($H445="","N° resolución ","")&amp;IF($I445="","N° dictamen","")),IF(LEFT($N445,4)&lt;&gt;"CONC","OK",IF(N($Q445)=0,IF(AND(ISNUMBER($E445),$E445&gt;=DATE(2024,1,1)),"FALTA EN evol_conc","OK"),IF(INDEX(evol_conc!$H:$H,$Q445)&lt;&gt;$F445,"FIRMA DISTINTA EN evol_conc ("&amp;IF(INDEX(evol_conc!$H:$H,$Q445)="","vacía",DAY(INDEX(evol_conc!$H:$H,$Q445))&amp;"/"&amp;MONTH(INDEX(evol_conc!$H:$H,$Q445))&amp;"/"&amp;YEAR(INDEX(evol_conc!$H:$H,$Q445)))&amp;")",IF(INDEX(evol_conc!$G:$G,$Q445)&lt;&gt;$E445,"INGRESO DISTINTO EN evol_conc ("&amp;IF(INDEX(evol_conc!$G:$G,$Q445)="","vacía",DAY(INDEX(evol_conc!$G:$G,$Q445))&amp;"/"&amp;MONTH(INDEX(evol_conc!$G:$G,$Q445))&amp;"/"&amp;YEAR(INDEX(evol_conc!$G:$G,$Q445)))&amp;")","OK"))))))))</f>
        <v/>
      </c>
      <c r="Q445" t="str">
        <f ca="1">IF($N445="","",IFERROR(MATCH($N445,evol_conc!$P:$P,0),0))</f>
        <v/>
      </c>
    </row>
    <row r="446" spans="12:17" ht="18" hidden="1" customHeight="1" x14ac:dyDescent="0.25">
      <c r="L446" s="53" t="str">
        <f t="shared" si="12"/>
        <v/>
      </c>
      <c r="M446" s="19" t="str">
        <f t="shared" si="13"/>
        <v/>
      </c>
      <c r="N446" t="str">
        <f ca="1">IF(TRIM(SUBSTITUTE($B446,CHAR(160)," "))="","",IFERROR(IF(ISNUMBER(SEARCH("INC",$B446)),"INC",IF(ISNUMBER(SEARCH("OPI",$B446)),"OPI",IF(ISNUMBER(SEARCH("DP",$B446)),"DP","CONC")))&amp;" "&amp;TEXT(LOOKUP(9.99E+307,--MID(SUBSTITUTE($B446,CHAR(160)," "),SUMPRODUCT(MIN(FIND({0,1,2,3,4,5,6,7,8,9},SUBSTITUTE($B446,CHAR(160)," ")&amp;"0123456789"))),ROW(INDIRECT("1:6")))),"0"),"SIN NUMERO"))</f>
        <v/>
      </c>
      <c r="O446" t="str">
        <f ca="1">IF($N446="","",IF(LEFT(UPPER($P446),9)="VERIFICAR","VERIFICAR",IF(AND($H446&lt;&gt;"",COUNTIFS($N$2:$N$1000,$N446,$H$2:$H$1000,$H446)&gt;1),"DUPLICADA",IF(TRIM(IF($A446="","tipo ","")&amp;IF($F446="","fecha de firma ","")&amp;IF($G446="","decisión ","")&amp;IF($H446="","N° resolución ","")&amp;IF($I446="","N° dictamen",""))&lt;&gt;"","INCOMPLETA: "&amp;TRIM(IF($A446="","tipo ","")&amp;IF($F446="","fecha de firma ","")&amp;IF($G446="","decisión ","")&amp;IF($H446="","N° resolución ","")&amp;IF($I446="","N° dictamen","")),IF(LEFT($N446,4)&lt;&gt;"CONC","OK",IF(N($Q446)=0,IF(AND(ISNUMBER($E446),$E446&gt;=DATE(2024,1,1)),"FALTA EN evol_conc","OK"),IF(INDEX(evol_conc!$H:$H,$Q446)&lt;&gt;$F446,"FIRMA DISTINTA EN evol_conc ("&amp;IF(INDEX(evol_conc!$H:$H,$Q446)="","vacía",DAY(INDEX(evol_conc!$H:$H,$Q446))&amp;"/"&amp;MONTH(INDEX(evol_conc!$H:$H,$Q446))&amp;"/"&amp;YEAR(INDEX(evol_conc!$H:$H,$Q446)))&amp;")",IF(INDEX(evol_conc!$G:$G,$Q446)&lt;&gt;$E446,"INGRESO DISTINTO EN evol_conc ("&amp;IF(INDEX(evol_conc!$G:$G,$Q446)="","vacía",DAY(INDEX(evol_conc!$G:$G,$Q446))&amp;"/"&amp;MONTH(INDEX(evol_conc!$G:$G,$Q446))&amp;"/"&amp;YEAR(INDEX(evol_conc!$G:$G,$Q446)))&amp;")","OK"))))))))</f>
        <v/>
      </c>
      <c r="Q446" t="str">
        <f ca="1">IF($N446="","",IFERROR(MATCH($N446,evol_conc!$P:$P,0),0))</f>
        <v/>
      </c>
    </row>
    <row r="447" spans="12:17" ht="18" hidden="1" customHeight="1" x14ac:dyDescent="0.25">
      <c r="L447" s="53" t="str">
        <f t="shared" si="12"/>
        <v/>
      </c>
      <c r="M447" s="19" t="str">
        <f t="shared" si="13"/>
        <v/>
      </c>
      <c r="N447" t="str">
        <f ca="1">IF(TRIM(SUBSTITUTE($B447,CHAR(160)," "))="","",IFERROR(IF(ISNUMBER(SEARCH("INC",$B447)),"INC",IF(ISNUMBER(SEARCH("OPI",$B447)),"OPI",IF(ISNUMBER(SEARCH("DP",$B447)),"DP","CONC")))&amp;" "&amp;TEXT(LOOKUP(9.99E+307,--MID(SUBSTITUTE($B447,CHAR(160)," "),SUMPRODUCT(MIN(FIND({0,1,2,3,4,5,6,7,8,9},SUBSTITUTE($B447,CHAR(160)," ")&amp;"0123456789"))),ROW(INDIRECT("1:6")))),"0"),"SIN NUMERO"))</f>
        <v/>
      </c>
      <c r="O447" t="str">
        <f ca="1">IF($N447="","",IF(LEFT(UPPER($P447),9)="VERIFICAR","VERIFICAR",IF(AND($H447&lt;&gt;"",COUNTIFS($N$2:$N$1000,$N447,$H$2:$H$1000,$H447)&gt;1),"DUPLICADA",IF(TRIM(IF($A447="","tipo ","")&amp;IF($F447="","fecha de firma ","")&amp;IF($G447="","decisión ","")&amp;IF($H447="","N° resolución ","")&amp;IF($I447="","N° dictamen",""))&lt;&gt;"","INCOMPLETA: "&amp;TRIM(IF($A447="","tipo ","")&amp;IF($F447="","fecha de firma ","")&amp;IF($G447="","decisión ","")&amp;IF($H447="","N° resolución ","")&amp;IF($I447="","N° dictamen","")),IF(LEFT($N447,4)&lt;&gt;"CONC","OK",IF(N($Q447)=0,IF(AND(ISNUMBER($E447),$E447&gt;=DATE(2024,1,1)),"FALTA EN evol_conc","OK"),IF(INDEX(evol_conc!$H:$H,$Q447)&lt;&gt;$F447,"FIRMA DISTINTA EN evol_conc ("&amp;IF(INDEX(evol_conc!$H:$H,$Q447)="","vacía",DAY(INDEX(evol_conc!$H:$H,$Q447))&amp;"/"&amp;MONTH(INDEX(evol_conc!$H:$H,$Q447))&amp;"/"&amp;YEAR(INDEX(evol_conc!$H:$H,$Q447)))&amp;")",IF(INDEX(evol_conc!$G:$G,$Q447)&lt;&gt;$E447,"INGRESO DISTINTO EN evol_conc ("&amp;IF(INDEX(evol_conc!$G:$G,$Q447)="","vacía",DAY(INDEX(evol_conc!$G:$G,$Q447))&amp;"/"&amp;MONTH(INDEX(evol_conc!$G:$G,$Q447))&amp;"/"&amp;YEAR(INDEX(evol_conc!$G:$G,$Q447)))&amp;")","OK"))))))))</f>
        <v/>
      </c>
      <c r="Q447" t="str">
        <f ca="1">IF($N447="","",IFERROR(MATCH($N447,evol_conc!$P:$P,0),0))</f>
        <v/>
      </c>
    </row>
    <row r="448" spans="12:17" ht="18" hidden="1" customHeight="1" x14ac:dyDescent="0.25">
      <c r="L448" s="53" t="str">
        <f t="shared" si="12"/>
        <v/>
      </c>
      <c r="M448" s="19" t="str">
        <f t="shared" si="13"/>
        <v/>
      </c>
      <c r="N448" t="str">
        <f ca="1">IF(TRIM(SUBSTITUTE($B448,CHAR(160)," "))="","",IFERROR(IF(ISNUMBER(SEARCH("INC",$B448)),"INC",IF(ISNUMBER(SEARCH("OPI",$B448)),"OPI",IF(ISNUMBER(SEARCH("DP",$B448)),"DP","CONC")))&amp;" "&amp;TEXT(LOOKUP(9.99E+307,--MID(SUBSTITUTE($B448,CHAR(160)," "),SUMPRODUCT(MIN(FIND({0,1,2,3,4,5,6,7,8,9},SUBSTITUTE($B448,CHAR(160)," ")&amp;"0123456789"))),ROW(INDIRECT("1:6")))),"0"),"SIN NUMERO"))</f>
        <v/>
      </c>
      <c r="O448" t="str">
        <f ca="1">IF($N448="","",IF(LEFT(UPPER($P448),9)="VERIFICAR","VERIFICAR",IF(AND($H448&lt;&gt;"",COUNTIFS($N$2:$N$1000,$N448,$H$2:$H$1000,$H448)&gt;1),"DUPLICADA",IF(TRIM(IF($A448="","tipo ","")&amp;IF($F448="","fecha de firma ","")&amp;IF($G448="","decisión ","")&amp;IF($H448="","N° resolución ","")&amp;IF($I448="","N° dictamen",""))&lt;&gt;"","INCOMPLETA: "&amp;TRIM(IF($A448="","tipo ","")&amp;IF($F448="","fecha de firma ","")&amp;IF($G448="","decisión ","")&amp;IF($H448="","N° resolución ","")&amp;IF($I448="","N° dictamen","")),IF(LEFT($N448,4)&lt;&gt;"CONC","OK",IF(N($Q448)=0,IF(AND(ISNUMBER($E448),$E448&gt;=DATE(2024,1,1)),"FALTA EN evol_conc","OK"),IF(INDEX(evol_conc!$H:$H,$Q448)&lt;&gt;$F448,"FIRMA DISTINTA EN evol_conc ("&amp;IF(INDEX(evol_conc!$H:$H,$Q448)="","vacía",DAY(INDEX(evol_conc!$H:$H,$Q448))&amp;"/"&amp;MONTH(INDEX(evol_conc!$H:$H,$Q448))&amp;"/"&amp;YEAR(INDEX(evol_conc!$H:$H,$Q448)))&amp;")",IF(INDEX(evol_conc!$G:$G,$Q448)&lt;&gt;$E448,"INGRESO DISTINTO EN evol_conc ("&amp;IF(INDEX(evol_conc!$G:$G,$Q448)="","vacía",DAY(INDEX(evol_conc!$G:$G,$Q448))&amp;"/"&amp;MONTH(INDEX(evol_conc!$G:$G,$Q448))&amp;"/"&amp;YEAR(INDEX(evol_conc!$G:$G,$Q448)))&amp;")","OK"))))))))</f>
        <v/>
      </c>
      <c r="Q448" t="str">
        <f ca="1">IF($N448="","",IFERROR(MATCH($N448,evol_conc!$P:$P,0),0))</f>
        <v/>
      </c>
    </row>
    <row r="449" spans="12:17" ht="18" hidden="1" customHeight="1" x14ac:dyDescent="0.25">
      <c r="L449" s="53" t="str">
        <f t="shared" si="12"/>
        <v/>
      </c>
      <c r="M449" s="19" t="str">
        <f t="shared" si="13"/>
        <v/>
      </c>
      <c r="N449" t="str">
        <f ca="1">IF(TRIM(SUBSTITUTE($B449,CHAR(160)," "))="","",IFERROR(IF(ISNUMBER(SEARCH("INC",$B449)),"INC",IF(ISNUMBER(SEARCH("OPI",$B449)),"OPI",IF(ISNUMBER(SEARCH("DP",$B449)),"DP","CONC")))&amp;" "&amp;TEXT(LOOKUP(9.99E+307,--MID(SUBSTITUTE($B449,CHAR(160)," "),SUMPRODUCT(MIN(FIND({0,1,2,3,4,5,6,7,8,9},SUBSTITUTE($B449,CHAR(160)," ")&amp;"0123456789"))),ROW(INDIRECT("1:6")))),"0"),"SIN NUMERO"))</f>
        <v/>
      </c>
      <c r="O449" t="str">
        <f ca="1">IF($N449="","",IF(LEFT(UPPER($P449),9)="VERIFICAR","VERIFICAR",IF(AND($H449&lt;&gt;"",COUNTIFS($N$2:$N$1000,$N449,$H$2:$H$1000,$H449)&gt;1),"DUPLICADA",IF(TRIM(IF($A449="","tipo ","")&amp;IF($F449="","fecha de firma ","")&amp;IF($G449="","decisión ","")&amp;IF($H449="","N° resolución ","")&amp;IF($I449="","N° dictamen",""))&lt;&gt;"","INCOMPLETA: "&amp;TRIM(IF($A449="","tipo ","")&amp;IF($F449="","fecha de firma ","")&amp;IF($G449="","decisión ","")&amp;IF($H449="","N° resolución ","")&amp;IF($I449="","N° dictamen","")),IF(LEFT($N449,4)&lt;&gt;"CONC","OK",IF(N($Q449)=0,IF(AND(ISNUMBER($E449),$E449&gt;=DATE(2024,1,1)),"FALTA EN evol_conc","OK"),IF(INDEX(evol_conc!$H:$H,$Q449)&lt;&gt;$F449,"FIRMA DISTINTA EN evol_conc ("&amp;IF(INDEX(evol_conc!$H:$H,$Q449)="","vacía",DAY(INDEX(evol_conc!$H:$H,$Q449))&amp;"/"&amp;MONTH(INDEX(evol_conc!$H:$H,$Q449))&amp;"/"&amp;YEAR(INDEX(evol_conc!$H:$H,$Q449)))&amp;")",IF(INDEX(evol_conc!$G:$G,$Q449)&lt;&gt;$E449,"INGRESO DISTINTO EN evol_conc ("&amp;IF(INDEX(evol_conc!$G:$G,$Q449)="","vacía",DAY(INDEX(evol_conc!$G:$G,$Q449))&amp;"/"&amp;MONTH(INDEX(evol_conc!$G:$G,$Q449))&amp;"/"&amp;YEAR(INDEX(evol_conc!$G:$G,$Q449)))&amp;")","OK"))))))))</f>
        <v/>
      </c>
      <c r="Q449" t="str">
        <f ca="1">IF($N449="","",IFERROR(MATCH($N449,evol_conc!$P:$P,0),0))</f>
        <v/>
      </c>
    </row>
    <row r="450" spans="12:17" ht="18" hidden="1" customHeight="1" x14ac:dyDescent="0.25">
      <c r="L450" s="53" t="str">
        <f t="shared" ref="L450:L513" si="14">IF(OR($E450="",$F450=""),"",($F450-$E450)/30)</f>
        <v/>
      </c>
      <c r="M450" s="19" t="str">
        <f t="shared" ref="M450:M513" si="15">IF(OR($E450="",$F450=""),"",$F450-$E450)</f>
        <v/>
      </c>
      <c r="N450" t="str">
        <f ca="1">IF(TRIM(SUBSTITUTE($B450,CHAR(160)," "))="","",IFERROR(IF(ISNUMBER(SEARCH("INC",$B450)),"INC",IF(ISNUMBER(SEARCH("OPI",$B450)),"OPI",IF(ISNUMBER(SEARCH("DP",$B450)),"DP","CONC")))&amp;" "&amp;TEXT(LOOKUP(9.99E+307,--MID(SUBSTITUTE($B450,CHAR(160)," "),SUMPRODUCT(MIN(FIND({0,1,2,3,4,5,6,7,8,9},SUBSTITUTE($B450,CHAR(160)," ")&amp;"0123456789"))),ROW(INDIRECT("1:6")))),"0"),"SIN NUMERO"))</f>
        <v/>
      </c>
      <c r="O450" t="str">
        <f ca="1">IF($N450="","",IF(LEFT(UPPER($P450),9)="VERIFICAR","VERIFICAR",IF(AND($H450&lt;&gt;"",COUNTIFS($N$2:$N$1000,$N450,$H$2:$H$1000,$H450)&gt;1),"DUPLICADA",IF(TRIM(IF($A450="","tipo ","")&amp;IF($F450="","fecha de firma ","")&amp;IF($G450="","decisión ","")&amp;IF($H450="","N° resolución ","")&amp;IF($I450="","N° dictamen",""))&lt;&gt;"","INCOMPLETA: "&amp;TRIM(IF($A450="","tipo ","")&amp;IF($F450="","fecha de firma ","")&amp;IF($G450="","decisión ","")&amp;IF($H450="","N° resolución ","")&amp;IF($I450="","N° dictamen","")),IF(LEFT($N450,4)&lt;&gt;"CONC","OK",IF(N($Q450)=0,IF(AND(ISNUMBER($E450),$E450&gt;=DATE(2024,1,1)),"FALTA EN evol_conc","OK"),IF(INDEX(evol_conc!$H:$H,$Q450)&lt;&gt;$F450,"FIRMA DISTINTA EN evol_conc ("&amp;IF(INDEX(evol_conc!$H:$H,$Q450)="","vacía",DAY(INDEX(evol_conc!$H:$H,$Q450))&amp;"/"&amp;MONTH(INDEX(evol_conc!$H:$H,$Q450))&amp;"/"&amp;YEAR(INDEX(evol_conc!$H:$H,$Q450)))&amp;")",IF(INDEX(evol_conc!$G:$G,$Q450)&lt;&gt;$E450,"INGRESO DISTINTO EN evol_conc ("&amp;IF(INDEX(evol_conc!$G:$G,$Q450)="","vacía",DAY(INDEX(evol_conc!$G:$G,$Q450))&amp;"/"&amp;MONTH(INDEX(evol_conc!$G:$G,$Q450))&amp;"/"&amp;YEAR(INDEX(evol_conc!$G:$G,$Q450)))&amp;")","OK"))))))))</f>
        <v/>
      </c>
      <c r="Q450" t="str">
        <f ca="1">IF($N450="","",IFERROR(MATCH($N450,evol_conc!$P:$P,0),0))</f>
        <v/>
      </c>
    </row>
    <row r="451" spans="12:17" ht="18" hidden="1" customHeight="1" x14ac:dyDescent="0.25">
      <c r="L451" s="53" t="str">
        <f t="shared" si="14"/>
        <v/>
      </c>
      <c r="M451" s="19" t="str">
        <f t="shared" si="15"/>
        <v/>
      </c>
      <c r="N451" t="str">
        <f ca="1">IF(TRIM(SUBSTITUTE($B451,CHAR(160)," "))="","",IFERROR(IF(ISNUMBER(SEARCH("INC",$B451)),"INC",IF(ISNUMBER(SEARCH("OPI",$B451)),"OPI",IF(ISNUMBER(SEARCH("DP",$B451)),"DP","CONC")))&amp;" "&amp;TEXT(LOOKUP(9.99E+307,--MID(SUBSTITUTE($B451,CHAR(160)," "),SUMPRODUCT(MIN(FIND({0,1,2,3,4,5,6,7,8,9},SUBSTITUTE($B451,CHAR(160)," ")&amp;"0123456789"))),ROW(INDIRECT("1:6")))),"0"),"SIN NUMERO"))</f>
        <v/>
      </c>
      <c r="O451" t="str">
        <f ca="1">IF($N451="","",IF(LEFT(UPPER($P451),9)="VERIFICAR","VERIFICAR",IF(AND($H451&lt;&gt;"",COUNTIFS($N$2:$N$1000,$N451,$H$2:$H$1000,$H451)&gt;1),"DUPLICADA",IF(TRIM(IF($A451="","tipo ","")&amp;IF($F451="","fecha de firma ","")&amp;IF($G451="","decisión ","")&amp;IF($H451="","N° resolución ","")&amp;IF($I451="","N° dictamen",""))&lt;&gt;"","INCOMPLETA: "&amp;TRIM(IF($A451="","tipo ","")&amp;IF($F451="","fecha de firma ","")&amp;IF($G451="","decisión ","")&amp;IF($H451="","N° resolución ","")&amp;IF($I451="","N° dictamen","")),IF(LEFT($N451,4)&lt;&gt;"CONC","OK",IF(N($Q451)=0,IF(AND(ISNUMBER($E451),$E451&gt;=DATE(2024,1,1)),"FALTA EN evol_conc","OK"),IF(INDEX(evol_conc!$H:$H,$Q451)&lt;&gt;$F451,"FIRMA DISTINTA EN evol_conc ("&amp;IF(INDEX(evol_conc!$H:$H,$Q451)="","vacía",DAY(INDEX(evol_conc!$H:$H,$Q451))&amp;"/"&amp;MONTH(INDEX(evol_conc!$H:$H,$Q451))&amp;"/"&amp;YEAR(INDEX(evol_conc!$H:$H,$Q451)))&amp;")",IF(INDEX(evol_conc!$G:$G,$Q451)&lt;&gt;$E451,"INGRESO DISTINTO EN evol_conc ("&amp;IF(INDEX(evol_conc!$G:$G,$Q451)="","vacía",DAY(INDEX(evol_conc!$G:$G,$Q451))&amp;"/"&amp;MONTH(INDEX(evol_conc!$G:$G,$Q451))&amp;"/"&amp;YEAR(INDEX(evol_conc!$G:$G,$Q451)))&amp;")","OK"))))))))</f>
        <v/>
      </c>
      <c r="Q451" t="str">
        <f ca="1">IF($N451="","",IFERROR(MATCH($N451,evol_conc!$P:$P,0),0))</f>
        <v/>
      </c>
    </row>
    <row r="452" spans="12:17" ht="18" hidden="1" customHeight="1" x14ac:dyDescent="0.25">
      <c r="L452" s="53" t="str">
        <f t="shared" si="14"/>
        <v/>
      </c>
      <c r="M452" s="19" t="str">
        <f t="shared" si="15"/>
        <v/>
      </c>
      <c r="N452" t="str">
        <f ca="1">IF(TRIM(SUBSTITUTE($B452,CHAR(160)," "))="","",IFERROR(IF(ISNUMBER(SEARCH("INC",$B452)),"INC",IF(ISNUMBER(SEARCH("OPI",$B452)),"OPI",IF(ISNUMBER(SEARCH("DP",$B452)),"DP","CONC")))&amp;" "&amp;TEXT(LOOKUP(9.99E+307,--MID(SUBSTITUTE($B452,CHAR(160)," "),SUMPRODUCT(MIN(FIND({0,1,2,3,4,5,6,7,8,9},SUBSTITUTE($B452,CHAR(160)," ")&amp;"0123456789"))),ROW(INDIRECT("1:6")))),"0"),"SIN NUMERO"))</f>
        <v/>
      </c>
      <c r="O452" t="str">
        <f ca="1">IF($N452="","",IF(LEFT(UPPER($P452),9)="VERIFICAR","VERIFICAR",IF(AND($H452&lt;&gt;"",COUNTIFS($N$2:$N$1000,$N452,$H$2:$H$1000,$H452)&gt;1),"DUPLICADA",IF(TRIM(IF($A452="","tipo ","")&amp;IF($F452="","fecha de firma ","")&amp;IF($G452="","decisión ","")&amp;IF($H452="","N° resolución ","")&amp;IF($I452="","N° dictamen",""))&lt;&gt;"","INCOMPLETA: "&amp;TRIM(IF($A452="","tipo ","")&amp;IF($F452="","fecha de firma ","")&amp;IF($G452="","decisión ","")&amp;IF($H452="","N° resolución ","")&amp;IF($I452="","N° dictamen","")),IF(LEFT($N452,4)&lt;&gt;"CONC","OK",IF(N($Q452)=0,IF(AND(ISNUMBER($E452),$E452&gt;=DATE(2024,1,1)),"FALTA EN evol_conc","OK"),IF(INDEX(evol_conc!$H:$H,$Q452)&lt;&gt;$F452,"FIRMA DISTINTA EN evol_conc ("&amp;IF(INDEX(evol_conc!$H:$H,$Q452)="","vacía",DAY(INDEX(evol_conc!$H:$H,$Q452))&amp;"/"&amp;MONTH(INDEX(evol_conc!$H:$H,$Q452))&amp;"/"&amp;YEAR(INDEX(evol_conc!$H:$H,$Q452)))&amp;")",IF(INDEX(evol_conc!$G:$G,$Q452)&lt;&gt;$E452,"INGRESO DISTINTO EN evol_conc ("&amp;IF(INDEX(evol_conc!$G:$G,$Q452)="","vacía",DAY(INDEX(evol_conc!$G:$G,$Q452))&amp;"/"&amp;MONTH(INDEX(evol_conc!$G:$G,$Q452))&amp;"/"&amp;YEAR(INDEX(evol_conc!$G:$G,$Q452)))&amp;")","OK"))))))))</f>
        <v/>
      </c>
      <c r="Q452" t="str">
        <f ca="1">IF($N452="","",IFERROR(MATCH($N452,evol_conc!$P:$P,0),0))</f>
        <v/>
      </c>
    </row>
    <row r="453" spans="12:17" ht="18" hidden="1" customHeight="1" x14ac:dyDescent="0.25">
      <c r="L453" s="53" t="str">
        <f t="shared" si="14"/>
        <v/>
      </c>
      <c r="M453" s="19" t="str">
        <f t="shared" si="15"/>
        <v/>
      </c>
      <c r="N453" t="str">
        <f ca="1">IF(TRIM(SUBSTITUTE($B453,CHAR(160)," "))="","",IFERROR(IF(ISNUMBER(SEARCH("INC",$B453)),"INC",IF(ISNUMBER(SEARCH("OPI",$B453)),"OPI",IF(ISNUMBER(SEARCH("DP",$B453)),"DP","CONC")))&amp;" "&amp;TEXT(LOOKUP(9.99E+307,--MID(SUBSTITUTE($B453,CHAR(160)," "),SUMPRODUCT(MIN(FIND({0,1,2,3,4,5,6,7,8,9},SUBSTITUTE($B453,CHAR(160)," ")&amp;"0123456789"))),ROW(INDIRECT("1:6")))),"0"),"SIN NUMERO"))</f>
        <v/>
      </c>
      <c r="O453" t="str">
        <f ca="1">IF($N453="","",IF(LEFT(UPPER($P453),9)="VERIFICAR","VERIFICAR",IF(AND($H453&lt;&gt;"",COUNTIFS($N$2:$N$1000,$N453,$H$2:$H$1000,$H453)&gt;1),"DUPLICADA",IF(TRIM(IF($A453="","tipo ","")&amp;IF($F453="","fecha de firma ","")&amp;IF($G453="","decisión ","")&amp;IF($H453="","N° resolución ","")&amp;IF($I453="","N° dictamen",""))&lt;&gt;"","INCOMPLETA: "&amp;TRIM(IF($A453="","tipo ","")&amp;IF($F453="","fecha de firma ","")&amp;IF($G453="","decisión ","")&amp;IF($H453="","N° resolución ","")&amp;IF($I453="","N° dictamen","")),IF(LEFT($N453,4)&lt;&gt;"CONC","OK",IF(N($Q453)=0,IF(AND(ISNUMBER($E453),$E453&gt;=DATE(2024,1,1)),"FALTA EN evol_conc","OK"),IF(INDEX(evol_conc!$H:$H,$Q453)&lt;&gt;$F453,"FIRMA DISTINTA EN evol_conc ("&amp;IF(INDEX(evol_conc!$H:$H,$Q453)="","vacía",DAY(INDEX(evol_conc!$H:$H,$Q453))&amp;"/"&amp;MONTH(INDEX(evol_conc!$H:$H,$Q453))&amp;"/"&amp;YEAR(INDEX(evol_conc!$H:$H,$Q453)))&amp;")",IF(INDEX(evol_conc!$G:$G,$Q453)&lt;&gt;$E453,"INGRESO DISTINTO EN evol_conc ("&amp;IF(INDEX(evol_conc!$G:$G,$Q453)="","vacía",DAY(INDEX(evol_conc!$G:$G,$Q453))&amp;"/"&amp;MONTH(INDEX(evol_conc!$G:$G,$Q453))&amp;"/"&amp;YEAR(INDEX(evol_conc!$G:$G,$Q453)))&amp;")","OK"))))))))</f>
        <v/>
      </c>
      <c r="Q453" t="str">
        <f ca="1">IF($N453="","",IFERROR(MATCH($N453,evol_conc!$P:$P,0),0))</f>
        <v/>
      </c>
    </row>
    <row r="454" spans="12:17" ht="18" hidden="1" customHeight="1" x14ac:dyDescent="0.25">
      <c r="L454" s="53" t="str">
        <f t="shared" si="14"/>
        <v/>
      </c>
      <c r="M454" s="19" t="str">
        <f t="shared" si="15"/>
        <v/>
      </c>
      <c r="N454" t="str">
        <f ca="1">IF(TRIM(SUBSTITUTE($B454,CHAR(160)," "))="","",IFERROR(IF(ISNUMBER(SEARCH("INC",$B454)),"INC",IF(ISNUMBER(SEARCH("OPI",$B454)),"OPI",IF(ISNUMBER(SEARCH("DP",$B454)),"DP","CONC")))&amp;" "&amp;TEXT(LOOKUP(9.99E+307,--MID(SUBSTITUTE($B454,CHAR(160)," "),SUMPRODUCT(MIN(FIND({0,1,2,3,4,5,6,7,8,9},SUBSTITUTE($B454,CHAR(160)," ")&amp;"0123456789"))),ROW(INDIRECT("1:6")))),"0"),"SIN NUMERO"))</f>
        <v/>
      </c>
      <c r="O454" t="str">
        <f ca="1">IF($N454="","",IF(LEFT(UPPER($P454),9)="VERIFICAR","VERIFICAR",IF(AND($H454&lt;&gt;"",COUNTIFS($N$2:$N$1000,$N454,$H$2:$H$1000,$H454)&gt;1),"DUPLICADA",IF(TRIM(IF($A454="","tipo ","")&amp;IF($F454="","fecha de firma ","")&amp;IF($G454="","decisión ","")&amp;IF($H454="","N° resolución ","")&amp;IF($I454="","N° dictamen",""))&lt;&gt;"","INCOMPLETA: "&amp;TRIM(IF($A454="","tipo ","")&amp;IF($F454="","fecha de firma ","")&amp;IF($G454="","decisión ","")&amp;IF($H454="","N° resolución ","")&amp;IF($I454="","N° dictamen","")),IF(LEFT($N454,4)&lt;&gt;"CONC","OK",IF(N($Q454)=0,IF(AND(ISNUMBER($E454),$E454&gt;=DATE(2024,1,1)),"FALTA EN evol_conc","OK"),IF(INDEX(evol_conc!$H:$H,$Q454)&lt;&gt;$F454,"FIRMA DISTINTA EN evol_conc ("&amp;IF(INDEX(evol_conc!$H:$H,$Q454)="","vacía",DAY(INDEX(evol_conc!$H:$H,$Q454))&amp;"/"&amp;MONTH(INDEX(evol_conc!$H:$H,$Q454))&amp;"/"&amp;YEAR(INDEX(evol_conc!$H:$H,$Q454)))&amp;")",IF(INDEX(evol_conc!$G:$G,$Q454)&lt;&gt;$E454,"INGRESO DISTINTO EN evol_conc ("&amp;IF(INDEX(evol_conc!$G:$G,$Q454)="","vacía",DAY(INDEX(evol_conc!$G:$G,$Q454))&amp;"/"&amp;MONTH(INDEX(evol_conc!$G:$G,$Q454))&amp;"/"&amp;YEAR(INDEX(evol_conc!$G:$G,$Q454)))&amp;")","OK"))))))))</f>
        <v/>
      </c>
      <c r="Q454" t="str">
        <f ca="1">IF($N454="","",IFERROR(MATCH($N454,evol_conc!$P:$P,0),0))</f>
        <v/>
      </c>
    </row>
    <row r="455" spans="12:17" ht="18" hidden="1" customHeight="1" x14ac:dyDescent="0.25">
      <c r="L455" s="53" t="str">
        <f t="shared" si="14"/>
        <v/>
      </c>
      <c r="M455" s="19" t="str">
        <f t="shared" si="15"/>
        <v/>
      </c>
      <c r="N455" t="str">
        <f ca="1">IF(TRIM(SUBSTITUTE($B455,CHAR(160)," "))="","",IFERROR(IF(ISNUMBER(SEARCH("INC",$B455)),"INC",IF(ISNUMBER(SEARCH("OPI",$B455)),"OPI",IF(ISNUMBER(SEARCH("DP",$B455)),"DP","CONC")))&amp;" "&amp;TEXT(LOOKUP(9.99E+307,--MID(SUBSTITUTE($B455,CHAR(160)," "),SUMPRODUCT(MIN(FIND({0,1,2,3,4,5,6,7,8,9},SUBSTITUTE($B455,CHAR(160)," ")&amp;"0123456789"))),ROW(INDIRECT("1:6")))),"0"),"SIN NUMERO"))</f>
        <v/>
      </c>
      <c r="O455" t="str">
        <f ca="1">IF($N455="","",IF(LEFT(UPPER($P455),9)="VERIFICAR","VERIFICAR",IF(AND($H455&lt;&gt;"",COUNTIFS($N$2:$N$1000,$N455,$H$2:$H$1000,$H455)&gt;1),"DUPLICADA",IF(TRIM(IF($A455="","tipo ","")&amp;IF($F455="","fecha de firma ","")&amp;IF($G455="","decisión ","")&amp;IF($H455="","N° resolución ","")&amp;IF($I455="","N° dictamen",""))&lt;&gt;"","INCOMPLETA: "&amp;TRIM(IF($A455="","tipo ","")&amp;IF($F455="","fecha de firma ","")&amp;IF($G455="","decisión ","")&amp;IF($H455="","N° resolución ","")&amp;IF($I455="","N° dictamen","")),IF(LEFT($N455,4)&lt;&gt;"CONC","OK",IF(N($Q455)=0,IF(AND(ISNUMBER($E455),$E455&gt;=DATE(2024,1,1)),"FALTA EN evol_conc","OK"),IF(INDEX(evol_conc!$H:$H,$Q455)&lt;&gt;$F455,"FIRMA DISTINTA EN evol_conc ("&amp;IF(INDEX(evol_conc!$H:$H,$Q455)="","vacía",DAY(INDEX(evol_conc!$H:$H,$Q455))&amp;"/"&amp;MONTH(INDEX(evol_conc!$H:$H,$Q455))&amp;"/"&amp;YEAR(INDEX(evol_conc!$H:$H,$Q455)))&amp;")",IF(INDEX(evol_conc!$G:$G,$Q455)&lt;&gt;$E455,"INGRESO DISTINTO EN evol_conc ("&amp;IF(INDEX(evol_conc!$G:$G,$Q455)="","vacía",DAY(INDEX(evol_conc!$G:$G,$Q455))&amp;"/"&amp;MONTH(INDEX(evol_conc!$G:$G,$Q455))&amp;"/"&amp;YEAR(INDEX(evol_conc!$G:$G,$Q455)))&amp;")","OK"))))))))</f>
        <v/>
      </c>
      <c r="Q455" t="str">
        <f ca="1">IF($N455="","",IFERROR(MATCH($N455,evol_conc!$P:$P,0),0))</f>
        <v/>
      </c>
    </row>
    <row r="456" spans="12:17" ht="18" hidden="1" customHeight="1" x14ac:dyDescent="0.25">
      <c r="L456" s="53" t="str">
        <f t="shared" si="14"/>
        <v/>
      </c>
      <c r="M456" s="19" t="str">
        <f t="shared" si="15"/>
        <v/>
      </c>
      <c r="N456" t="str">
        <f ca="1">IF(TRIM(SUBSTITUTE($B456,CHAR(160)," "))="","",IFERROR(IF(ISNUMBER(SEARCH("INC",$B456)),"INC",IF(ISNUMBER(SEARCH("OPI",$B456)),"OPI",IF(ISNUMBER(SEARCH("DP",$B456)),"DP","CONC")))&amp;" "&amp;TEXT(LOOKUP(9.99E+307,--MID(SUBSTITUTE($B456,CHAR(160)," "),SUMPRODUCT(MIN(FIND({0,1,2,3,4,5,6,7,8,9},SUBSTITUTE($B456,CHAR(160)," ")&amp;"0123456789"))),ROW(INDIRECT("1:6")))),"0"),"SIN NUMERO"))</f>
        <v/>
      </c>
      <c r="O456" t="str">
        <f ca="1">IF($N456="","",IF(LEFT(UPPER($P456),9)="VERIFICAR","VERIFICAR",IF(AND($H456&lt;&gt;"",COUNTIFS($N$2:$N$1000,$N456,$H$2:$H$1000,$H456)&gt;1),"DUPLICADA",IF(TRIM(IF($A456="","tipo ","")&amp;IF($F456="","fecha de firma ","")&amp;IF($G456="","decisión ","")&amp;IF($H456="","N° resolución ","")&amp;IF($I456="","N° dictamen",""))&lt;&gt;"","INCOMPLETA: "&amp;TRIM(IF($A456="","tipo ","")&amp;IF($F456="","fecha de firma ","")&amp;IF($G456="","decisión ","")&amp;IF($H456="","N° resolución ","")&amp;IF($I456="","N° dictamen","")),IF(LEFT($N456,4)&lt;&gt;"CONC","OK",IF(N($Q456)=0,IF(AND(ISNUMBER($E456),$E456&gt;=DATE(2024,1,1)),"FALTA EN evol_conc","OK"),IF(INDEX(evol_conc!$H:$H,$Q456)&lt;&gt;$F456,"FIRMA DISTINTA EN evol_conc ("&amp;IF(INDEX(evol_conc!$H:$H,$Q456)="","vacía",DAY(INDEX(evol_conc!$H:$H,$Q456))&amp;"/"&amp;MONTH(INDEX(evol_conc!$H:$H,$Q456))&amp;"/"&amp;YEAR(INDEX(evol_conc!$H:$H,$Q456)))&amp;")",IF(INDEX(evol_conc!$G:$G,$Q456)&lt;&gt;$E456,"INGRESO DISTINTO EN evol_conc ("&amp;IF(INDEX(evol_conc!$G:$G,$Q456)="","vacía",DAY(INDEX(evol_conc!$G:$G,$Q456))&amp;"/"&amp;MONTH(INDEX(evol_conc!$G:$G,$Q456))&amp;"/"&amp;YEAR(INDEX(evol_conc!$G:$G,$Q456)))&amp;")","OK"))))))))</f>
        <v/>
      </c>
      <c r="Q456" t="str">
        <f ca="1">IF($N456="","",IFERROR(MATCH($N456,evol_conc!$P:$P,0),0))</f>
        <v/>
      </c>
    </row>
    <row r="457" spans="12:17" ht="18" hidden="1" customHeight="1" x14ac:dyDescent="0.25">
      <c r="L457" s="53" t="str">
        <f t="shared" si="14"/>
        <v/>
      </c>
      <c r="M457" s="19" t="str">
        <f t="shared" si="15"/>
        <v/>
      </c>
      <c r="N457" t="str">
        <f ca="1">IF(TRIM(SUBSTITUTE($B457,CHAR(160)," "))="","",IFERROR(IF(ISNUMBER(SEARCH("INC",$B457)),"INC",IF(ISNUMBER(SEARCH("OPI",$B457)),"OPI",IF(ISNUMBER(SEARCH("DP",$B457)),"DP","CONC")))&amp;" "&amp;TEXT(LOOKUP(9.99E+307,--MID(SUBSTITUTE($B457,CHAR(160)," "),SUMPRODUCT(MIN(FIND({0,1,2,3,4,5,6,7,8,9},SUBSTITUTE($B457,CHAR(160)," ")&amp;"0123456789"))),ROW(INDIRECT("1:6")))),"0"),"SIN NUMERO"))</f>
        <v/>
      </c>
      <c r="O457" t="str">
        <f ca="1">IF($N457="","",IF(LEFT(UPPER($P457),9)="VERIFICAR","VERIFICAR",IF(AND($H457&lt;&gt;"",COUNTIFS($N$2:$N$1000,$N457,$H$2:$H$1000,$H457)&gt;1),"DUPLICADA",IF(TRIM(IF($A457="","tipo ","")&amp;IF($F457="","fecha de firma ","")&amp;IF($G457="","decisión ","")&amp;IF($H457="","N° resolución ","")&amp;IF($I457="","N° dictamen",""))&lt;&gt;"","INCOMPLETA: "&amp;TRIM(IF($A457="","tipo ","")&amp;IF($F457="","fecha de firma ","")&amp;IF($G457="","decisión ","")&amp;IF($H457="","N° resolución ","")&amp;IF($I457="","N° dictamen","")),IF(LEFT($N457,4)&lt;&gt;"CONC","OK",IF(N($Q457)=0,IF(AND(ISNUMBER($E457),$E457&gt;=DATE(2024,1,1)),"FALTA EN evol_conc","OK"),IF(INDEX(evol_conc!$H:$H,$Q457)&lt;&gt;$F457,"FIRMA DISTINTA EN evol_conc ("&amp;IF(INDEX(evol_conc!$H:$H,$Q457)="","vacía",DAY(INDEX(evol_conc!$H:$H,$Q457))&amp;"/"&amp;MONTH(INDEX(evol_conc!$H:$H,$Q457))&amp;"/"&amp;YEAR(INDEX(evol_conc!$H:$H,$Q457)))&amp;")",IF(INDEX(evol_conc!$G:$G,$Q457)&lt;&gt;$E457,"INGRESO DISTINTO EN evol_conc ("&amp;IF(INDEX(evol_conc!$G:$G,$Q457)="","vacía",DAY(INDEX(evol_conc!$G:$G,$Q457))&amp;"/"&amp;MONTH(INDEX(evol_conc!$G:$G,$Q457))&amp;"/"&amp;YEAR(INDEX(evol_conc!$G:$G,$Q457)))&amp;")","OK"))))))))</f>
        <v/>
      </c>
      <c r="Q457" t="str">
        <f ca="1">IF($N457="","",IFERROR(MATCH($N457,evol_conc!$P:$P,0),0))</f>
        <v/>
      </c>
    </row>
    <row r="458" spans="12:17" ht="18" hidden="1" customHeight="1" x14ac:dyDescent="0.25">
      <c r="L458" s="53" t="str">
        <f t="shared" si="14"/>
        <v/>
      </c>
      <c r="M458" s="19" t="str">
        <f t="shared" si="15"/>
        <v/>
      </c>
      <c r="N458" t="str">
        <f ca="1">IF(TRIM(SUBSTITUTE($B458,CHAR(160)," "))="","",IFERROR(IF(ISNUMBER(SEARCH("INC",$B458)),"INC",IF(ISNUMBER(SEARCH("OPI",$B458)),"OPI",IF(ISNUMBER(SEARCH("DP",$B458)),"DP","CONC")))&amp;" "&amp;TEXT(LOOKUP(9.99E+307,--MID(SUBSTITUTE($B458,CHAR(160)," "),SUMPRODUCT(MIN(FIND({0,1,2,3,4,5,6,7,8,9},SUBSTITUTE($B458,CHAR(160)," ")&amp;"0123456789"))),ROW(INDIRECT("1:6")))),"0"),"SIN NUMERO"))</f>
        <v/>
      </c>
      <c r="O458" t="str">
        <f ca="1">IF($N458="","",IF(LEFT(UPPER($P458),9)="VERIFICAR","VERIFICAR",IF(AND($H458&lt;&gt;"",COUNTIFS($N$2:$N$1000,$N458,$H$2:$H$1000,$H458)&gt;1),"DUPLICADA",IF(TRIM(IF($A458="","tipo ","")&amp;IF($F458="","fecha de firma ","")&amp;IF($G458="","decisión ","")&amp;IF($H458="","N° resolución ","")&amp;IF($I458="","N° dictamen",""))&lt;&gt;"","INCOMPLETA: "&amp;TRIM(IF($A458="","tipo ","")&amp;IF($F458="","fecha de firma ","")&amp;IF($G458="","decisión ","")&amp;IF($H458="","N° resolución ","")&amp;IF($I458="","N° dictamen","")),IF(LEFT($N458,4)&lt;&gt;"CONC","OK",IF(N($Q458)=0,IF(AND(ISNUMBER($E458),$E458&gt;=DATE(2024,1,1)),"FALTA EN evol_conc","OK"),IF(INDEX(evol_conc!$H:$H,$Q458)&lt;&gt;$F458,"FIRMA DISTINTA EN evol_conc ("&amp;IF(INDEX(evol_conc!$H:$H,$Q458)="","vacía",DAY(INDEX(evol_conc!$H:$H,$Q458))&amp;"/"&amp;MONTH(INDEX(evol_conc!$H:$H,$Q458))&amp;"/"&amp;YEAR(INDEX(evol_conc!$H:$H,$Q458)))&amp;")",IF(INDEX(evol_conc!$G:$G,$Q458)&lt;&gt;$E458,"INGRESO DISTINTO EN evol_conc ("&amp;IF(INDEX(evol_conc!$G:$G,$Q458)="","vacía",DAY(INDEX(evol_conc!$G:$G,$Q458))&amp;"/"&amp;MONTH(INDEX(evol_conc!$G:$G,$Q458))&amp;"/"&amp;YEAR(INDEX(evol_conc!$G:$G,$Q458)))&amp;")","OK"))))))))</f>
        <v/>
      </c>
      <c r="Q458" t="str">
        <f ca="1">IF($N458="","",IFERROR(MATCH($N458,evol_conc!$P:$P,0),0))</f>
        <v/>
      </c>
    </row>
    <row r="459" spans="12:17" ht="18" hidden="1" customHeight="1" x14ac:dyDescent="0.25">
      <c r="L459" s="53" t="str">
        <f t="shared" si="14"/>
        <v/>
      </c>
      <c r="M459" s="19" t="str">
        <f t="shared" si="15"/>
        <v/>
      </c>
      <c r="N459" t="str">
        <f ca="1">IF(TRIM(SUBSTITUTE($B459,CHAR(160)," "))="","",IFERROR(IF(ISNUMBER(SEARCH("INC",$B459)),"INC",IF(ISNUMBER(SEARCH("OPI",$B459)),"OPI",IF(ISNUMBER(SEARCH("DP",$B459)),"DP","CONC")))&amp;" "&amp;TEXT(LOOKUP(9.99E+307,--MID(SUBSTITUTE($B459,CHAR(160)," "),SUMPRODUCT(MIN(FIND({0,1,2,3,4,5,6,7,8,9},SUBSTITUTE($B459,CHAR(160)," ")&amp;"0123456789"))),ROW(INDIRECT("1:6")))),"0"),"SIN NUMERO"))</f>
        <v/>
      </c>
      <c r="O459" t="str">
        <f ca="1">IF($N459="","",IF(LEFT(UPPER($P459),9)="VERIFICAR","VERIFICAR",IF(AND($H459&lt;&gt;"",COUNTIFS($N$2:$N$1000,$N459,$H$2:$H$1000,$H459)&gt;1),"DUPLICADA",IF(TRIM(IF($A459="","tipo ","")&amp;IF($F459="","fecha de firma ","")&amp;IF($G459="","decisión ","")&amp;IF($H459="","N° resolución ","")&amp;IF($I459="","N° dictamen",""))&lt;&gt;"","INCOMPLETA: "&amp;TRIM(IF($A459="","tipo ","")&amp;IF($F459="","fecha de firma ","")&amp;IF($G459="","decisión ","")&amp;IF($H459="","N° resolución ","")&amp;IF($I459="","N° dictamen","")),IF(LEFT($N459,4)&lt;&gt;"CONC","OK",IF(N($Q459)=0,IF(AND(ISNUMBER($E459),$E459&gt;=DATE(2024,1,1)),"FALTA EN evol_conc","OK"),IF(INDEX(evol_conc!$H:$H,$Q459)&lt;&gt;$F459,"FIRMA DISTINTA EN evol_conc ("&amp;IF(INDEX(evol_conc!$H:$H,$Q459)="","vacía",DAY(INDEX(evol_conc!$H:$H,$Q459))&amp;"/"&amp;MONTH(INDEX(evol_conc!$H:$H,$Q459))&amp;"/"&amp;YEAR(INDEX(evol_conc!$H:$H,$Q459)))&amp;")",IF(INDEX(evol_conc!$G:$G,$Q459)&lt;&gt;$E459,"INGRESO DISTINTO EN evol_conc ("&amp;IF(INDEX(evol_conc!$G:$G,$Q459)="","vacía",DAY(INDEX(evol_conc!$G:$G,$Q459))&amp;"/"&amp;MONTH(INDEX(evol_conc!$G:$G,$Q459))&amp;"/"&amp;YEAR(INDEX(evol_conc!$G:$G,$Q459)))&amp;")","OK"))))))))</f>
        <v/>
      </c>
      <c r="Q459" t="str">
        <f ca="1">IF($N459="","",IFERROR(MATCH($N459,evol_conc!$P:$P,0),0))</f>
        <v/>
      </c>
    </row>
    <row r="460" spans="12:17" ht="18" hidden="1" customHeight="1" x14ac:dyDescent="0.25">
      <c r="L460" s="53" t="str">
        <f t="shared" si="14"/>
        <v/>
      </c>
      <c r="M460" s="19" t="str">
        <f t="shared" si="15"/>
        <v/>
      </c>
      <c r="N460" t="str">
        <f ca="1">IF(TRIM(SUBSTITUTE($B460,CHAR(160)," "))="","",IFERROR(IF(ISNUMBER(SEARCH("INC",$B460)),"INC",IF(ISNUMBER(SEARCH("OPI",$B460)),"OPI",IF(ISNUMBER(SEARCH("DP",$B460)),"DP","CONC")))&amp;" "&amp;TEXT(LOOKUP(9.99E+307,--MID(SUBSTITUTE($B460,CHAR(160)," "),SUMPRODUCT(MIN(FIND({0,1,2,3,4,5,6,7,8,9},SUBSTITUTE($B460,CHAR(160)," ")&amp;"0123456789"))),ROW(INDIRECT("1:6")))),"0"),"SIN NUMERO"))</f>
        <v/>
      </c>
      <c r="O460" t="str">
        <f ca="1">IF($N460="","",IF(LEFT(UPPER($P460),9)="VERIFICAR","VERIFICAR",IF(AND($H460&lt;&gt;"",COUNTIFS($N$2:$N$1000,$N460,$H$2:$H$1000,$H460)&gt;1),"DUPLICADA",IF(TRIM(IF($A460="","tipo ","")&amp;IF($F460="","fecha de firma ","")&amp;IF($G460="","decisión ","")&amp;IF($H460="","N° resolución ","")&amp;IF($I460="","N° dictamen",""))&lt;&gt;"","INCOMPLETA: "&amp;TRIM(IF($A460="","tipo ","")&amp;IF($F460="","fecha de firma ","")&amp;IF($G460="","decisión ","")&amp;IF($H460="","N° resolución ","")&amp;IF($I460="","N° dictamen","")),IF(LEFT($N460,4)&lt;&gt;"CONC","OK",IF(N($Q460)=0,IF(AND(ISNUMBER($E460),$E460&gt;=DATE(2024,1,1)),"FALTA EN evol_conc","OK"),IF(INDEX(evol_conc!$H:$H,$Q460)&lt;&gt;$F460,"FIRMA DISTINTA EN evol_conc ("&amp;IF(INDEX(evol_conc!$H:$H,$Q460)="","vacía",DAY(INDEX(evol_conc!$H:$H,$Q460))&amp;"/"&amp;MONTH(INDEX(evol_conc!$H:$H,$Q460))&amp;"/"&amp;YEAR(INDEX(evol_conc!$H:$H,$Q460)))&amp;")",IF(INDEX(evol_conc!$G:$G,$Q460)&lt;&gt;$E460,"INGRESO DISTINTO EN evol_conc ("&amp;IF(INDEX(evol_conc!$G:$G,$Q460)="","vacía",DAY(INDEX(evol_conc!$G:$G,$Q460))&amp;"/"&amp;MONTH(INDEX(evol_conc!$G:$G,$Q460))&amp;"/"&amp;YEAR(INDEX(evol_conc!$G:$G,$Q460)))&amp;")","OK"))))))))</f>
        <v/>
      </c>
      <c r="Q460" t="str">
        <f ca="1">IF($N460="","",IFERROR(MATCH($N460,evol_conc!$P:$P,0),0))</f>
        <v/>
      </c>
    </row>
    <row r="461" spans="12:17" ht="18" hidden="1" customHeight="1" x14ac:dyDescent="0.25">
      <c r="L461" s="53" t="str">
        <f t="shared" si="14"/>
        <v/>
      </c>
      <c r="M461" s="19" t="str">
        <f t="shared" si="15"/>
        <v/>
      </c>
      <c r="N461" t="str">
        <f ca="1">IF(TRIM(SUBSTITUTE($B461,CHAR(160)," "))="","",IFERROR(IF(ISNUMBER(SEARCH("INC",$B461)),"INC",IF(ISNUMBER(SEARCH("OPI",$B461)),"OPI",IF(ISNUMBER(SEARCH("DP",$B461)),"DP","CONC")))&amp;" "&amp;TEXT(LOOKUP(9.99E+307,--MID(SUBSTITUTE($B461,CHAR(160)," "),SUMPRODUCT(MIN(FIND({0,1,2,3,4,5,6,7,8,9},SUBSTITUTE($B461,CHAR(160)," ")&amp;"0123456789"))),ROW(INDIRECT("1:6")))),"0"),"SIN NUMERO"))</f>
        <v/>
      </c>
      <c r="O461" t="str">
        <f ca="1">IF($N461="","",IF(LEFT(UPPER($P461),9)="VERIFICAR","VERIFICAR",IF(AND($H461&lt;&gt;"",COUNTIFS($N$2:$N$1000,$N461,$H$2:$H$1000,$H461)&gt;1),"DUPLICADA",IF(TRIM(IF($A461="","tipo ","")&amp;IF($F461="","fecha de firma ","")&amp;IF($G461="","decisión ","")&amp;IF($H461="","N° resolución ","")&amp;IF($I461="","N° dictamen",""))&lt;&gt;"","INCOMPLETA: "&amp;TRIM(IF($A461="","tipo ","")&amp;IF($F461="","fecha de firma ","")&amp;IF($G461="","decisión ","")&amp;IF($H461="","N° resolución ","")&amp;IF($I461="","N° dictamen","")),IF(LEFT($N461,4)&lt;&gt;"CONC","OK",IF(N($Q461)=0,IF(AND(ISNUMBER($E461),$E461&gt;=DATE(2024,1,1)),"FALTA EN evol_conc","OK"),IF(INDEX(evol_conc!$H:$H,$Q461)&lt;&gt;$F461,"FIRMA DISTINTA EN evol_conc ("&amp;IF(INDEX(evol_conc!$H:$H,$Q461)="","vacía",DAY(INDEX(evol_conc!$H:$H,$Q461))&amp;"/"&amp;MONTH(INDEX(evol_conc!$H:$H,$Q461))&amp;"/"&amp;YEAR(INDEX(evol_conc!$H:$H,$Q461)))&amp;")",IF(INDEX(evol_conc!$G:$G,$Q461)&lt;&gt;$E461,"INGRESO DISTINTO EN evol_conc ("&amp;IF(INDEX(evol_conc!$G:$G,$Q461)="","vacía",DAY(INDEX(evol_conc!$G:$G,$Q461))&amp;"/"&amp;MONTH(INDEX(evol_conc!$G:$G,$Q461))&amp;"/"&amp;YEAR(INDEX(evol_conc!$G:$G,$Q461)))&amp;")","OK"))))))))</f>
        <v/>
      </c>
      <c r="Q461" t="str">
        <f ca="1">IF($N461="","",IFERROR(MATCH($N461,evol_conc!$P:$P,0),0))</f>
        <v/>
      </c>
    </row>
    <row r="462" spans="12:17" ht="18" hidden="1" customHeight="1" x14ac:dyDescent="0.25">
      <c r="L462" s="53" t="str">
        <f t="shared" si="14"/>
        <v/>
      </c>
      <c r="M462" s="19" t="str">
        <f t="shared" si="15"/>
        <v/>
      </c>
      <c r="N462" t="str">
        <f ca="1">IF(TRIM(SUBSTITUTE($B462,CHAR(160)," "))="","",IFERROR(IF(ISNUMBER(SEARCH("INC",$B462)),"INC",IF(ISNUMBER(SEARCH("OPI",$B462)),"OPI",IF(ISNUMBER(SEARCH("DP",$B462)),"DP","CONC")))&amp;" "&amp;TEXT(LOOKUP(9.99E+307,--MID(SUBSTITUTE($B462,CHAR(160)," "),SUMPRODUCT(MIN(FIND({0,1,2,3,4,5,6,7,8,9},SUBSTITUTE($B462,CHAR(160)," ")&amp;"0123456789"))),ROW(INDIRECT("1:6")))),"0"),"SIN NUMERO"))</f>
        <v/>
      </c>
      <c r="O462" t="str">
        <f ca="1">IF($N462="","",IF(LEFT(UPPER($P462),9)="VERIFICAR","VERIFICAR",IF(AND($H462&lt;&gt;"",COUNTIFS($N$2:$N$1000,$N462,$H$2:$H$1000,$H462)&gt;1),"DUPLICADA",IF(TRIM(IF($A462="","tipo ","")&amp;IF($F462="","fecha de firma ","")&amp;IF($G462="","decisión ","")&amp;IF($H462="","N° resolución ","")&amp;IF($I462="","N° dictamen",""))&lt;&gt;"","INCOMPLETA: "&amp;TRIM(IF($A462="","tipo ","")&amp;IF($F462="","fecha de firma ","")&amp;IF($G462="","decisión ","")&amp;IF($H462="","N° resolución ","")&amp;IF($I462="","N° dictamen","")),IF(LEFT($N462,4)&lt;&gt;"CONC","OK",IF(N($Q462)=0,IF(AND(ISNUMBER($E462),$E462&gt;=DATE(2024,1,1)),"FALTA EN evol_conc","OK"),IF(INDEX(evol_conc!$H:$H,$Q462)&lt;&gt;$F462,"FIRMA DISTINTA EN evol_conc ("&amp;IF(INDEX(evol_conc!$H:$H,$Q462)="","vacía",DAY(INDEX(evol_conc!$H:$H,$Q462))&amp;"/"&amp;MONTH(INDEX(evol_conc!$H:$H,$Q462))&amp;"/"&amp;YEAR(INDEX(evol_conc!$H:$H,$Q462)))&amp;")",IF(INDEX(evol_conc!$G:$G,$Q462)&lt;&gt;$E462,"INGRESO DISTINTO EN evol_conc ("&amp;IF(INDEX(evol_conc!$G:$G,$Q462)="","vacía",DAY(INDEX(evol_conc!$G:$G,$Q462))&amp;"/"&amp;MONTH(INDEX(evol_conc!$G:$G,$Q462))&amp;"/"&amp;YEAR(INDEX(evol_conc!$G:$G,$Q462)))&amp;")","OK"))))))))</f>
        <v/>
      </c>
      <c r="Q462" t="str">
        <f ca="1">IF($N462="","",IFERROR(MATCH($N462,evol_conc!$P:$P,0),0))</f>
        <v/>
      </c>
    </row>
    <row r="463" spans="12:17" ht="18" hidden="1" customHeight="1" x14ac:dyDescent="0.25">
      <c r="L463" s="53" t="str">
        <f t="shared" si="14"/>
        <v/>
      </c>
      <c r="M463" s="19" t="str">
        <f t="shared" si="15"/>
        <v/>
      </c>
      <c r="N463" t="str">
        <f ca="1">IF(TRIM(SUBSTITUTE($B463,CHAR(160)," "))="","",IFERROR(IF(ISNUMBER(SEARCH("INC",$B463)),"INC",IF(ISNUMBER(SEARCH("OPI",$B463)),"OPI",IF(ISNUMBER(SEARCH("DP",$B463)),"DP","CONC")))&amp;" "&amp;TEXT(LOOKUP(9.99E+307,--MID(SUBSTITUTE($B463,CHAR(160)," "),SUMPRODUCT(MIN(FIND({0,1,2,3,4,5,6,7,8,9},SUBSTITUTE($B463,CHAR(160)," ")&amp;"0123456789"))),ROW(INDIRECT("1:6")))),"0"),"SIN NUMERO"))</f>
        <v/>
      </c>
      <c r="O463" t="str">
        <f ca="1">IF($N463="","",IF(LEFT(UPPER($P463),9)="VERIFICAR","VERIFICAR",IF(AND($H463&lt;&gt;"",COUNTIFS($N$2:$N$1000,$N463,$H$2:$H$1000,$H463)&gt;1),"DUPLICADA",IF(TRIM(IF($A463="","tipo ","")&amp;IF($F463="","fecha de firma ","")&amp;IF($G463="","decisión ","")&amp;IF($H463="","N° resolución ","")&amp;IF($I463="","N° dictamen",""))&lt;&gt;"","INCOMPLETA: "&amp;TRIM(IF($A463="","tipo ","")&amp;IF($F463="","fecha de firma ","")&amp;IF($G463="","decisión ","")&amp;IF($H463="","N° resolución ","")&amp;IF($I463="","N° dictamen","")),IF(LEFT($N463,4)&lt;&gt;"CONC","OK",IF(N($Q463)=0,IF(AND(ISNUMBER($E463),$E463&gt;=DATE(2024,1,1)),"FALTA EN evol_conc","OK"),IF(INDEX(evol_conc!$H:$H,$Q463)&lt;&gt;$F463,"FIRMA DISTINTA EN evol_conc ("&amp;IF(INDEX(evol_conc!$H:$H,$Q463)="","vacía",DAY(INDEX(evol_conc!$H:$H,$Q463))&amp;"/"&amp;MONTH(INDEX(evol_conc!$H:$H,$Q463))&amp;"/"&amp;YEAR(INDEX(evol_conc!$H:$H,$Q463)))&amp;")",IF(INDEX(evol_conc!$G:$G,$Q463)&lt;&gt;$E463,"INGRESO DISTINTO EN evol_conc ("&amp;IF(INDEX(evol_conc!$G:$G,$Q463)="","vacía",DAY(INDEX(evol_conc!$G:$G,$Q463))&amp;"/"&amp;MONTH(INDEX(evol_conc!$G:$G,$Q463))&amp;"/"&amp;YEAR(INDEX(evol_conc!$G:$G,$Q463)))&amp;")","OK"))))))))</f>
        <v/>
      </c>
      <c r="Q463" t="str">
        <f ca="1">IF($N463="","",IFERROR(MATCH($N463,evol_conc!$P:$P,0),0))</f>
        <v/>
      </c>
    </row>
    <row r="464" spans="12:17" ht="18" hidden="1" customHeight="1" x14ac:dyDescent="0.25">
      <c r="L464" s="53" t="str">
        <f t="shared" si="14"/>
        <v/>
      </c>
      <c r="M464" s="19" t="str">
        <f t="shared" si="15"/>
        <v/>
      </c>
      <c r="N464" t="str">
        <f ca="1">IF(TRIM(SUBSTITUTE($B464,CHAR(160)," "))="","",IFERROR(IF(ISNUMBER(SEARCH("INC",$B464)),"INC",IF(ISNUMBER(SEARCH("OPI",$B464)),"OPI",IF(ISNUMBER(SEARCH("DP",$B464)),"DP","CONC")))&amp;" "&amp;TEXT(LOOKUP(9.99E+307,--MID(SUBSTITUTE($B464,CHAR(160)," "),SUMPRODUCT(MIN(FIND({0,1,2,3,4,5,6,7,8,9},SUBSTITUTE($B464,CHAR(160)," ")&amp;"0123456789"))),ROW(INDIRECT("1:6")))),"0"),"SIN NUMERO"))</f>
        <v/>
      </c>
      <c r="O464" t="str">
        <f ca="1">IF($N464="","",IF(LEFT(UPPER($P464),9)="VERIFICAR","VERIFICAR",IF(AND($H464&lt;&gt;"",COUNTIFS($N$2:$N$1000,$N464,$H$2:$H$1000,$H464)&gt;1),"DUPLICADA",IF(TRIM(IF($A464="","tipo ","")&amp;IF($F464="","fecha de firma ","")&amp;IF($G464="","decisión ","")&amp;IF($H464="","N° resolución ","")&amp;IF($I464="","N° dictamen",""))&lt;&gt;"","INCOMPLETA: "&amp;TRIM(IF($A464="","tipo ","")&amp;IF($F464="","fecha de firma ","")&amp;IF($G464="","decisión ","")&amp;IF($H464="","N° resolución ","")&amp;IF($I464="","N° dictamen","")),IF(LEFT($N464,4)&lt;&gt;"CONC","OK",IF(N($Q464)=0,IF(AND(ISNUMBER($E464),$E464&gt;=DATE(2024,1,1)),"FALTA EN evol_conc","OK"),IF(INDEX(evol_conc!$H:$H,$Q464)&lt;&gt;$F464,"FIRMA DISTINTA EN evol_conc ("&amp;IF(INDEX(evol_conc!$H:$H,$Q464)="","vacía",DAY(INDEX(evol_conc!$H:$H,$Q464))&amp;"/"&amp;MONTH(INDEX(evol_conc!$H:$H,$Q464))&amp;"/"&amp;YEAR(INDEX(evol_conc!$H:$H,$Q464)))&amp;")",IF(INDEX(evol_conc!$G:$G,$Q464)&lt;&gt;$E464,"INGRESO DISTINTO EN evol_conc ("&amp;IF(INDEX(evol_conc!$G:$G,$Q464)="","vacía",DAY(INDEX(evol_conc!$G:$G,$Q464))&amp;"/"&amp;MONTH(INDEX(evol_conc!$G:$G,$Q464))&amp;"/"&amp;YEAR(INDEX(evol_conc!$G:$G,$Q464)))&amp;")","OK"))))))))</f>
        <v/>
      </c>
      <c r="Q464" t="str">
        <f ca="1">IF($N464="","",IFERROR(MATCH($N464,evol_conc!$P:$P,0),0))</f>
        <v/>
      </c>
    </row>
    <row r="465" spans="12:17" ht="18" hidden="1" customHeight="1" x14ac:dyDescent="0.25">
      <c r="L465" s="53" t="str">
        <f t="shared" si="14"/>
        <v/>
      </c>
      <c r="M465" s="19" t="str">
        <f t="shared" si="15"/>
        <v/>
      </c>
      <c r="N465" t="str">
        <f ca="1">IF(TRIM(SUBSTITUTE($B465,CHAR(160)," "))="","",IFERROR(IF(ISNUMBER(SEARCH("INC",$B465)),"INC",IF(ISNUMBER(SEARCH("OPI",$B465)),"OPI",IF(ISNUMBER(SEARCH("DP",$B465)),"DP","CONC")))&amp;" "&amp;TEXT(LOOKUP(9.99E+307,--MID(SUBSTITUTE($B465,CHAR(160)," "),SUMPRODUCT(MIN(FIND({0,1,2,3,4,5,6,7,8,9},SUBSTITUTE($B465,CHAR(160)," ")&amp;"0123456789"))),ROW(INDIRECT("1:6")))),"0"),"SIN NUMERO"))</f>
        <v/>
      </c>
      <c r="O465" t="str">
        <f ca="1">IF($N465="","",IF(LEFT(UPPER($P465),9)="VERIFICAR","VERIFICAR",IF(AND($H465&lt;&gt;"",COUNTIFS($N$2:$N$1000,$N465,$H$2:$H$1000,$H465)&gt;1),"DUPLICADA",IF(TRIM(IF($A465="","tipo ","")&amp;IF($F465="","fecha de firma ","")&amp;IF($G465="","decisión ","")&amp;IF($H465="","N° resolución ","")&amp;IF($I465="","N° dictamen",""))&lt;&gt;"","INCOMPLETA: "&amp;TRIM(IF($A465="","tipo ","")&amp;IF($F465="","fecha de firma ","")&amp;IF($G465="","decisión ","")&amp;IF($H465="","N° resolución ","")&amp;IF($I465="","N° dictamen","")),IF(LEFT($N465,4)&lt;&gt;"CONC","OK",IF(N($Q465)=0,IF(AND(ISNUMBER($E465),$E465&gt;=DATE(2024,1,1)),"FALTA EN evol_conc","OK"),IF(INDEX(evol_conc!$H:$H,$Q465)&lt;&gt;$F465,"FIRMA DISTINTA EN evol_conc ("&amp;IF(INDEX(evol_conc!$H:$H,$Q465)="","vacía",DAY(INDEX(evol_conc!$H:$H,$Q465))&amp;"/"&amp;MONTH(INDEX(evol_conc!$H:$H,$Q465))&amp;"/"&amp;YEAR(INDEX(evol_conc!$H:$H,$Q465)))&amp;")",IF(INDEX(evol_conc!$G:$G,$Q465)&lt;&gt;$E465,"INGRESO DISTINTO EN evol_conc ("&amp;IF(INDEX(evol_conc!$G:$G,$Q465)="","vacía",DAY(INDEX(evol_conc!$G:$G,$Q465))&amp;"/"&amp;MONTH(INDEX(evol_conc!$G:$G,$Q465))&amp;"/"&amp;YEAR(INDEX(evol_conc!$G:$G,$Q465)))&amp;")","OK"))))))))</f>
        <v/>
      </c>
      <c r="Q465" t="str">
        <f ca="1">IF($N465="","",IFERROR(MATCH($N465,evol_conc!$P:$P,0),0))</f>
        <v/>
      </c>
    </row>
    <row r="466" spans="12:17" ht="18" hidden="1" customHeight="1" x14ac:dyDescent="0.25">
      <c r="L466" s="53" t="str">
        <f t="shared" si="14"/>
        <v/>
      </c>
      <c r="M466" s="19" t="str">
        <f t="shared" si="15"/>
        <v/>
      </c>
      <c r="N466" t="str">
        <f ca="1">IF(TRIM(SUBSTITUTE($B466,CHAR(160)," "))="","",IFERROR(IF(ISNUMBER(SEARCH("INC",$B466)),"INC",IF(ISNUMBER(SEARCH("OPI",$B466)),"OPI",IF(ISNUMBER(SEARCH("DP",$B466)),"DP","CONC")))&amp;" "&amp;TEXT(LOOKUP(9.99E+307,--MID(SUBSTITUTE($B466,CHAR(160)," "),SUMPRODUCT(MIN(FIND({0,1,2,3,4,5,6,7,8,9},SUBSTITUTE($B466,CHAR(160)," ")&amp;"0123456789"))),ROW(INDIRECT("1:6")))),"0"),"SIN NUMERO"))</f>
        <v/>
      </c>
      <c r="O466" t="str">
        <f ca="1">IF($N466="","",IF(LEFT(UPPER($P466),9)="VERIFICAR","VERIFICAR",IF(AND($H466&lt;&gt;"",COUNTIFS($N$2:$N$1000,$N466,$H$2:$H$1000,$H466)&gt;1),"DUPLICADA",IF(TRIM(IF($A466="","tipo ","")&amp;IF($F466="","fecha de firma ","")&amp;IF($G466="","decisión ","")&amp;IF($H466="","N° resolución ","")&amp;IF($I466="","N° dictamen",""))&lt;&gt;"","INCOMPLETA: "&amp;TRIM(IF($A466="","tipo ","")&amp;IF($F466="","fecha de firma ","")&amp;IF($G466="","decisión ","")&amp;IF($H466="","N° resolución ","")&amp;IF($I466="","N° dictamen","")),IF(LEFT($N466,4)&lt;&gt;"CONC","OK",IF(N($Q466)=0,IF(AND(ISNUMBER($E466),$E466&gt;=DATE(2024,1,1)),"FALTA EN evol_conc","OK"),IF(INDEX(evol_conc!$H:$H,$Q466)&lt;&gt;$F466,"FIRMA DISTINTA EN evol_conc ("&amp;IF(INDEX(evol_conc!$H:$H,$Q466)="","vacía",DAY(INDEX(evol_conc!$H:$H,$Q466))&amp;"/"&amp;MONTH(INDEX(evol_conc!$H:$H,$Q466))&amp;"/"&amp;YEAR(INDEX(evol_conc!$H:$H,$Q466)))&amp;")",IF(INDEX(evol_conc!$G:$G,$Q466)&lt;&gt;$E466,"INGRESO DISTINTO EN evol_conc ("&amp;IF(INDEX(evol_conc!$G:$G,$Q466)="","vacía",DAY(INDEX(evol_conc!$G:$G,$Q466))&amp;"/"&amp;MONTH(INDEX(evol_conc!$G:$G,$Q466))&amp;"/"&amp;YEAR(INDEX(evol_conc!$G:$G,$Q466)))&amp;")","OK"))))))))</f>
        <v/>
      </c>
      <c r="Q466" t="str">
        <f ca="1">IF($N466="","",IFERROR(MATCH($N466,evol_conc!$P:$P,0),0))</f>
        <v/>
      </c>
    </row>
    <row r="467" spans="12:17" ht="18" hidden="1" customHeight="1" x14ac:dyDescent="0.25">
      <c r="L467" s="53" t="str">
        <f t="shared" si="14"/>
        <v/>
      </c>
      <c r="M467" s="19" t="str">
        <f t="shared" si="15"/>
        <v/>
      </c>
      <c r="N467" t="str">
        <f ca="1">IF(TRIM(SUBSTITUTE($B467,CHAR(160)," "))="","",IFERROR(IF(ISNUMBER(SEARCH("INC",$B467)),"INC",IF(ISNUMBER(SEARCH("OPI",$B467)),"OPI",IF(ISNUMBER(SEARCH("DP",$B467)),"DP","CONC")))&amp;" "&amp;TEXT(LOOKUP(9.99E+307,--MID(SUBSTITUTE($B467,CHAR(160)," "),SUMPRODUCT(MIN(FIND({0,1,2,3,4,5,6,7,8,9},SUBSTITUTE($B467,CHAR(160)," ")&amp;"0123456789"))),ROW(INDIRECT("1:6")))),"0"),"SIN NUMERO"))</f>
        <v/>
      </c>
      <c r="O467" t="str">
        <f ca="1">IF($N467="","",IF(LEFT(UPPER($P467),9)="VERIFICAR","VERIFICAR",IF(AND($H467&lt;&gt;"",COUNTIFS($N$2:$N$1000,$N467,$H$2:$H$1000,$H467)&gt;1),"DUPLICADA",IF(TRIM(IF($A467="","tipo ","")&amp;IF($F467="","fecha de firma ","")&amp;IF($G467="","decisión ","")&amp;IF($H467="","N° resolución ","")&amp;IF($I467="","N° dictamen",""))&lt;&gt;"","INCOMPLETA: "&amp;TRIM(IF($A467="","tipo ","")&amp;IF($F467="","fecha de firma ","")&amp;IF($G467="","decisión ","")&amp;IF($H467="","N° resolución ","")&amp;IF($I467="","N° dictamen","")),IF(LEFT($N467,4)&lt;&gt;"CONC","OK",IF(N($Q467)=0,IF(AND(ISNUMBER($E467),$E467&gt;=DATE(2024,1,1)),"FALTA EN evol_conc","OK"),IF(INDEX(evol_conc!$H:$H,$Q467)&lt;&gt;$F467,"FIRMA DISTINTA EN evol_conc ("&amp;IF(INDEX(evol_conc!$H:$H,$Q467)="","vacía",DAY(INDEX(evol_conc!$H:$H,$Q467))&amp;"/"&amp;MONTH(INDEX(evol_conc!$H:$H,$Q467))&amp;"/"&amp;YEAR(INDEX(evol_conc!$H:$H,$Q467)))&amp;")",IF(INDEX(evol_conc!$G:$G,$Q467)&lt;&gt;$E467,"INGRESO DISTINTO EN evol_conc ("&amp;IF(INDEX(evol_conc!$G:$G,$Q467)="","vacía",DAY(INDEX(evol_conc!$G:$G,$Q467))&amp;"/"&amp;MONTH(INDEX(evol_conc!$G:$G,$Q467))&amp;"/"&amp;YEAR(INDEX(evol_conc!$G:$G,$Q467)))&amp;")","OK"))))))))</f>
        <v/>
      </c>
      <c r="Q467" t="str">
        <f ca="1">IF($N467="","",IFERROR(MATCH($N467,evol_conc!$P:$P,0),0))</f>
        <v/>
      </c>
    </row>
    <row r="468" spans="12:17" ht="18" hidden="1" customHeight="1" x14ac:dyDescent="0.25">
      <c r="L468" s="53" t="str">
        <f t="shared" si="14"/>
        <v/>
      </c>
      <c r="M468" s="19" t="str">
        <f t="shared" si="15"/>
        <v/>
      </c>
      <c r="N468" t="str">
        <f ca="1">IF(TRIM(SUBSTITUTE($B468,CHAR(160)," "))="","",IFERROR(IF(ISNUMBER(SEARCH("INC",$B468)),"INC",IF(ISNUMBER(SEARCH("OPI",$B468)),"OPI",IF(ISNUMBER(SEARCH("DP",$B468)),"DP","CONC")))&amp;" "&amp;TEXT(LOOKUP(9.99E+307,--MID(SUBSTITUTE($B468,CHAR(160)," "),SUMPRODUCT(MIN(FIND({0,1,2,3,4,5,6,7,8,9},SUBSTITUTE($B468,CHAR(160)," ")&amp;"0123456789"))),ROW(INDIRECT("1:6")))),"0"),"SIN NUMERO"))</f>
        <v/>
      </c>
      <c r="O468" t="str">
        <f ca="1">IF($N468="","",IF(LEFT(UPPER($P468),9)="VERIFICAR","VERIFICAR",IF(AND($H468&lt;&gt;"",COUNTIFS($N$2:$N$1000,$N468,$H$2:$H$1000,$H468)&gt;1),"DUPLICADA",IF(TRIM(IF($A468="","tipo ","")&amp;IF($F468="","fecha de firma ","")&amp;IF($G468="","decisión ","")&amp;IF($H468="","N° resolución ","")&amp;IF($I468="","N° dictamen",""))&lt;&gt;"","INCOMPLETA: "&amp;TRIM(IF($A468="","tipo ","")&amp;IF($F468="","fecha de firma ","")&amp;IF($G468="","decisión ","")&amp;IF($H468="","N° resolución ","")&amp;IF($I468="","N° dictamen","")),IF(LEFT($N468,4)&lt;&gt;"CONC","OK",IF(N($Q468)=0,IF(AND(ISNUMBER($E468),$E468&gt;=DATE(2024,1,1)),"FALTA EN evol_conc","OK"),IF(INDEX(evol_conc!$H:$H,$Q468)&lt;&gt;$F468,"FIRMA DISTINTA EN evol_conc ("&amp;IF(INDEX(evol_conc!$H:$H,$Q468)="","vacía",DAY(INDEX(evol_conc!$H:$H,$Q468))&amp;"/"&amp;MONTH(INDEX(evol_conc!$H:$H,$Q468))&amp;"/"&amp;YEAR(INDEX(evol_conc!$H:$H,$Q468)))&amp;")",IF(INDEX(evol_conc!$G:$G,$Q468)&lt;&gt;$E468,"INGRESO DISTINTO EN evol_conc ("&amp;IF(INDEX(evol_conc!$G:$G,$Q468)="","vacía",DAY(INDEX(evol_conc!$G:$G,$Q468))&amp;"/"&amp;MONTH(INDEX(evol_conc!$G:$G,$Q468))&amp;"/"&amp;YEAR(INDEX(evol_conc!$G:$G,$Q468)))&amp;")","OK"))))))))</f>
        <v/>
      </c>
      <c r="Q468" t="str">
        <f ca="1">IF($N468="","",IFERROR(MATCH($N468,evol_conc!$P:$P,0),0))</f>
        <v/>
      </c>
    </row>
    <row r="469" spans="12:17" ht="18" hidden="1" customHeight="1" x14ac:dyDescent="0.25">
      <c r="L469" s="53" t="str">
        <f t="shared" si="14"/>
        <v/>
      </c>
      <c r="M469" s="19" t="str">
        <f t="shared" si="15"/>
        <v/>
      </c>
      <c r="N469" t="str">
        <f ca="1">IF(TRIM(SUBSTITUTE($B469,CHAR(160)," "))="","",IFERROR(IF(ISNUMBER(SEARCH("INC",$B469)),"INC",IF(ISNUMBER(SEARCH("OPI",$B469)),"OPI",IF(ISNUMBER(SEARCH("DP",$B469)),"DP","CONC")))&amp;" "&amp;TEXT(LOOKUP(9.99E+307,--MID(SUBSTITUTE($B469,CHAR(160)," "),SUMPRODUCT(MIN(FIND({0,1,2,3,4,5,6,7,8,9},SUBSTITUTE($B469,CHAR(160)," ")&amp;"0123456789"))),ROW(INDIRECT("1:6")))),"0"),"SIN NUMERO"))</f>
        <v/>
      </c>
      <c r="O469" t="str">
        <f ca="1">IF($N469="","",IF(LEFT(UPPER($P469),9)="VERIFICAR","VERIFICAR",IF(AND($H469&lt;&gt;"",COUNTIFS($N$2:$N$1000,$N469,$H$2:$H$1000,$H469)&gt;1),"DUPLICADA",IF(TRIM(IF($A469="","tipo ","")&amp;IF($F469="","fecha de firma ","")&amp;IF($G469="","decisión ","")&amp;IF($H469="","N° resolución ","")&amp;IF($I469="","N° dictamen",""))&lt;&gt;"","INCOMPLETA: "&amp;TRIM(IF($A469="","tipo ","")&amp;IF($F469="","fecha de firma ","")&amp;IF($G469="","decisión ","")&amp;IF($H469="","N° resolución ","")&amp;IF($I469="","N° dictamen","")),IF(LEFT($N469,4)&lt;&gt;"CONC","OK",IF(N($Q469)=0,IF(AND(ISNUMBER($E469),$E469&gt;=DATE(2024,1,1)),"FALTA EN evol_conc","OK"),IF(INDEX(evol_conc!$H:$H,$Q469)&lt;&gt;$F469,"FIRMA DISTINTA EN evol_conc ("&amp;IF(INDEX(evol_conc!$H:$H,$Q469)="","vacía",DAY(INDEX(evol_conc!$H:$H,$Q469))&amp;"/"&amp;MONTH(INDEX(evol_conc!$H:$H,$Q469))&amp;"/"&amp;YEAR(INDEX(evol_conc!$H:$H,$Q469)))&amp;")",IF(INDEX(evol_conc!$G:$G,$Q469)&lt;&gt;$E469,"INGRESO DISTINTO EN evol_conc ("&amp;IF(INDEX(evol_conc!$G:$G,$Q469)="","vacía",DAY(INDEX(evol_conc!$G:$G,$Q469))&amp;"/"&amp;MONTH(INDEX(evol_conc!$G:$G,$Q469))&amp;"/"&amp;YEAR(INDEX(evol_conc!$G:$G,$Q469)))&amp;")","OK"))))))))</f>
        <v/>
      </c>
      <c r="Q469" t="str">
        <f ca="1">IF($N469="","",IFERROR(MATCH($N469,evol_conc!$P:$P,0),0))</f>
        <v/>
      </c>
    </row>
    <row r="470" spans="12:17" ht="18" hidden="1" customHeight="1" x14ac:dyDescent="0.25">
      <c r="L470" s="53" t="str">
        <f t="shared" si="14"/>
        <v/>
      </c>
      <c r="M470" s="19" t="str">
        <f t="shared" si="15"/>
        <v/>
      </c>
      <c r="N470" t="str">
        <f ca="1">IF(TRIM(SUBSTITUTE($B470,CHAR(160)," "))="","",IFERROR(IF(ISNUMBER(SEARCH("INC",$B470)),"INC",IF(ISNUMBER(SEARCH("OPI",$B470)),"OPI",IF(ISNUMBER(SEARCH("DP",$B470)),"DP","CONC")))&amp;" "&amp;TEXT(LOOKUP(9.99E+307,--MID(SUBSTITUTE($B470,CHAR(160)," "),SUMPRODUCT(MIN(FIND({0,1,2,3,4,5,6,7,8,9},SUBSTITUTE($B470,CHAR(160)," ")&amp;"0123456789"))),ROW(INDIRECT("1:6")))),"0"),"SIN NUMERO"))</f>
        <v/>
      </c>
      <c r="O470" t="str">
        <f ca="1">IF($N470="","",IF(LEFT(UPPER($P470),9)="VERIFICAR","VERIFICAR",IF(AND($H470&lt;&gt;"",COUNTIFS($N$2:$N$1000,$N470,$H$2:$H$1000,$H470)&gt;1),"DUPLICADA",IF(TRIM(IF($A470="","tipo ","")&amp;IF($F470="","fecha de firma ","")&amp;IF($G470="","decisión ","")&amp;IF($H470="","N° resolución ","")&amp;IF($I470="","N° dictamen",""))&lt;&gt;"","INCOMPLETA: "&amp;TRIM(IF($A470="","tipo ","")&amp;IF($F470="","fecha de firma ","")&amp;IF($G470="","decisión ","")&amp;IF($H470="","N° resolución ","")&amp;IF($I470="","N° dictamen","")),IF(LEFT($N470,4)&lt;&gt;"CONC","OK",IF(N($Q470)=0,IF(AND(ISNUMBER($E470),$E470&gt;=DATE(2024,1,1)),"FALTA EN evol_conc","OK"),IF(INDEX(evol_conc!$H:$H,$Q470)&lt;&gt;$F470,"FIRMA DISTINTA EN evol_conc ("&amp;IF(INDEX(evol_conc!$H:$H,$Q470)="","vacía",DAY(INDEX(evol_conc!$H:$H,$Q470))&amp;"/"&amp;MONTH(INDEX(evol_conc!$H:$H,$Q470))&amp;"/"&amp;YEAR(INDEX(evol_conc!$H:$H,$Q470)))&amp;")",IF(INDEX(evol_conc!$G:$G,$Q470)&lt;&gt;$E470,"INGRESO DISTINTO EN evol_conc ("&amp;IF(INDEX(evol_conc!$G:$G,$Q470)="","vacía",DAY(INDEX(evol_conc!$G:$G,$Q470))&amp;"/"&amp;MONTH(INDEX(evol_conc!$G:$G,$Q470))&amp;"/"&amp;YEAR(INDEX(evol_conc!$G:$G,$Q470)))&amp;")","OK"))))))))</f>
        <v/>
      </c>
      <c r="Q470" t="str">
        <f ca="1">IF($N470="","",IFERROR(MATCH($N470,evol_conc!$P:$P,0),0))</f>
        <v/>
      </c>
    </row>
    <row r="471" spans="12:17" ht="18" hidden="1" customHeight="1" x14ac:dyDescent="0.25">
      <c r="L471" s="53" t="str">
        <f t="shared" si="14"/>
        <v/>
      </c>
      <c r="M471" s="19" t="str">
        <f t="shared" si="15"/>
        <v/>
      </c>
      <c r="N471" t="str">
        <f ca="1">IF(TRIM(SUBSTITUTE($B471,CHAR(160)," "))="","",IFERROR(IF(ISNUMBER(SEARCH("INC",$B471)),"INC",IF(ISNUMBER(SEARCH("OPI",$B471)),"OPI",IF(ISNUMBER(SEARCH("DP",$B471)),"DP","CONC")))&amp;" "&amp;TEXT(LOOKUP(9.99E+307,--MID(SUBSTITUTE($B471,CHAR(160)," "),SUMPRODUCT(MIN(FIND({0,1,2,3,4,5,6,7,8,9},SUBSTITUTE($B471,CHAR(160)," ")&amp;"0123456789"))),ROW(INDIRECT("1:6")))),"0"),"SIN NUMERO"))</f>
        <v/>
      </c>
      <c r="O471" t="str">
        <f ca="1">IF($N471="","",IF(LEFT(UPPER($P471),9)="VERIFICAR","VERIFICAR",IF(AND($H471&lt;&gt;"",COUNTIFS($N$2:$N$1000,$N471,$H$2:$H$1000,$H471)&gt;1),"DUPLICADA",IF(TRIM(IF($A471="","tipo ","")&amp;IF($F471="","fecha de firma ","")&amp;IF($G471="","decisión ","")&amp;IF($H471="","N° resolución ","")&amp;IF($I471="","N° dictamen",""))&lt;&gt;"","INCOMPLETA: "&amp;TRIM(IF($A471="","tipo ","")&amp;IF($F471="","fecha de firma ","")&amp;IF($G471="","decisión ","")&amp;IF($H471="","N° resolución ","")&amp;IF($I471="","N° dictamen","")),IF(LEFT($N471,4)&lt;&gt;"CONC","OK",IF(N($Q471)=0,IF(AND(ISNUMBER($E471),$E471&gt;=DATE(2024,1,1)),"FALTA EN evol_conc","OK"),IF(INDEX(evol_conc!$H:$H,$Q471)&lt;&gt;$F471,"FIRMA DISTINTA EN evol_conc ("&amp;IF(INDEX(evol_conc!$H:$H,$Q471)="","vacía",DAY(INDEX(evol_conc!$H:$H,$Q471))&amp;"/"&amp;MONTH(INDEX(evol_conc!$H:$H,$Q471))&amp;"/"&amp;YEAR(INDEX(evol_conc!$H:$H,$Q471)))&amp;")",IF(INDEX(evol_conc!$G:$G,$Q471)&lt;&gt;$E471,"INGRESO DISTINTO EN evol_conc ("&amp;IF(INDEX(evol_conc!$G:$G,$Q471)="","vacía",DAY(INDEX(evol_conc!$G:$G,$Q471))&amp;"/"&amp;MONTH(INDEX(evol_conc!$G:$G,$Q471))&amp;"/"&amp;YEAR(INDEX(evol_conc!$G:$G,$Q471)))&amp;")","OK"))))))))</f>
        <v/>
      </c>
      <c r="Q471" t="str">
        <f ca="1">IF($N471="","",IFERROR(MATCH($N471,evol_conc!$P:$P,0),0))</f>
        <v/>
      </c>
    </row>
    <row r="472" spans="12:17" ht="18" hidden="1" customHeight="1" x14ac:dyDescent="0.25">
      <c r="L472" s="53" t="str">
        <f t="shared" si="14"/>
        <v/>
      </c>
      <c r="M472" s="19" t="str">
        <f t="shared" si="15"/>
        <v/>
      </c>
      <c r="N472" t="str">
        <f ca="1">IF(TRIM(SUBSTITUTE($B472,CHAR(160)," "))="","",IFERROR(IF(ISNUMBER(SEARCH("INC",$B472)),"INC",IF(ISNUMBER(SEARCH("OPI",$B472)),"OPI",IF(ISNUMBER(SEARCH("DP",$B472)),"DP","CONC")))&amp;" "&amp;TEXT(LOOKUP(9.99E+307,--MID(SUBSTITUTE($B472,CHAR(160)," "),SUMPRODUCT(MIN(FIND({0,1,2,3,4,5,6,7,8,9},SUBSTITUTE($B472,CHAR(160)," ")&amp;"0123456789"))),ROW(INDIRECT("1:6")))),"0"),"SIN NUMERO"))</f>
        <v/>
      </c>
      <c r="O472" t="str">
        <f ca="1">IF($N472="","",IF(LEFT(UPPER($P472),9)="VERIFICAR","VERIFICAR",IF(AND($H472&lt;&gt;"",COUNTIFS($N$2:$N$1000,$N472,$H$2:$H$1000,$H472)&gt;1),"DUPLICADA",IF(TRIM(IF($A472="","tipo ","")&amp;IF($F472="","fecha de firma ","")&amp;IF($G472="","decisión ","")&amp;IF($H472="","N° resolución ","")&amp;IF($I472="","N° dictamen",""))&lt;&gt;"","INCOMPLETA: "&amp;TRIM(IF($A472="","tipo ","")&amp;IF($F472="","fecha de firma ","")&amp;IF($G472="","decisión ","")&amp;IF($H472="","N° resolución ","")&amp;IF($I472="","N° dictamen","")),IF(LEFT($N472,4)&lt;&gt;"CONC","OK",IF(N($Q472)=0,IF(AND(ISNUMBER($E472),$E472&gt;=DATE(2024,1,1)),"FALTA EN evol_conc","OK"),IF(INDEX(evol_conc!$H:$H,$Q472)&lt;&gt;$F472,"FIRMA DISTINTA EN evol_conc ("&amp;IF(INDEX(evol_conc!$H:$H,$Q472)="","vacía",DAY(INDEX(evol_conc!$H:$H,$Q472))&amp;"/"&amp;MONTH(INDEX(evol_conc!$H:$H,$Q472))&amp;"/"&amp;YEAR(INDEX(evol_conc!$H:$H,$Q472)))&amp;")",IF(INDEX(evol_conc!$G:$G,$Q472)&lt;&gt;$E472,"INGRESO DISTINTO EN evol_conc ("&amp;IF(INDEX(evol_conc!$G:$G,$Q472)="","vacía",DAY(INDEX(evol_conc!$G:$G,$Q472))&amp;"/"&amp;MONTH(INDEX(evol_conc!$G:$G,$Q472))&amp;"/"&amp;YEAR(INDEX(evol_conc!$G:$G,$Q472)))&amp;")","OK"))))))))</f>
        <v/>
      </c>
      <c r="Q472" t="str">
        <f ca="1">IF($N472="","",IFERROR(MATCH($N472,evol_conc!$P:$P,0),0))</f>
        <v/>
      </c>
    </row>
    <row r="473" spans="12:17" ht="18" hidden="1" customHeight="1" x14ac:dyDescent="0.25">
      <c r="L473" s="53" t="str">
        <f t="shared" si="14"/>
        <v/>
      </c>
      <c r="M473" s="19" t="str">
        <f t="shared" si="15"/>
        <v/>
      </c>
      <c r="N473" t="str">
        <f ca="1">IF(TRIM(SUBSTITUTE($B473,CHAR(160)," "))="","",IFERROR(IF(ISNUMBER(SEARCH("INC",$B473)),"INC",IF(ISNUMBER(SEARCH("OPI",$B473)),"OPI",IF(ISNUMBER(SEARCH("DP",$B473)),"DP","CONC")))&amp;" "&amp;TEXT(LOOKUP(9.99E+307,--MID(SUBSTITUTE($B473,CHAR(160)," "),SUMPRODUCT(MIN(FIND({0,1,2,3,4,5,6,7,8,9},SUBSTITUTE($B473,CHAR(160)," ")&amp;"0123456789"))),ROW(INDIRECT("1:6")))),"0"),"SIN NUMERO"))</f>
        <v/>
      </c>
      <c r="O473" t="str">
        <f ca="1">IF($N473="","",IF(LEFT(UPPER($P473),9)="VERIFICAR","VERIFICAR",IF(AND($H473&lt;&gt;"",COUNTIFS($N$2:$N$1000,$N473,$H$2:$H$1000,$H473)&gt;1),"DUPLICADA",IF(TRIM(IF($A473="","tipo ","")&amp;IF($F473="","fecha de firma ","")&amp;IF($G473="","decisión ","")&amp;IF($H473="","N° resolución ","")&amp;IF($I473="","N° dictamen",""))&lt;&gt;"","INCOMPLETA: "&amp;TRIM(IF($A473="","tipo ","")&amp;IF($F473="","fecha de firma ","")&amp;IF($G473="","decisión ","")&amp;IF($H473="","N° resolución ","")&amp;IF($I473="","N° dictamen","")),IF(LEFT($N473,4)&lt;&gt;"CONC","OK",IF(N($Q473)=0,IF(AND(ISNUMBER($E473),$E473&gt;=DATE(2024,1,1)),"FALTA EN evol_conc","OK"),IF(INDEX(evol_conc!$H:$H,$Q473)&lt;&gt;$F473,"FIRMA DISTINTA EN evol_conc ("&amp;IF(INDEX(evol_conc!$H:$H,$Q473)="","vacía",DAY(INDEX(evol_conc!$H:$H,$Q473))&amp;"/"&amp;MONTH(INDEX(evol_conc!$H:$H,$Q473))&amp;"/"&amp;YEAR(INDEX(evol_conc!$H:$H,$Q473)))&amp;")",IF(INDEX(evol_conc!$G:$G,$Q473)&lt;&gt;$E473,"INGRESO DISTINTO EN evol_conc ("&amp;IF(INDEX(evol_conc!$G:$G,$Q473)="","vacía",DAY(INDEX(evol_conc!$G:$G,$Q473))&amp;"/"&amp;MONTH(INDEX(evol_conc!$G:$G,$Q473))&amp;"/"&amp;YEAR(INDEX(evol_conc!$G:$G,$Q473)))&amp;")","OK"))))))))</f>
        <v/>
      </c>
      <c r="Q473" t="str">
        <f ca="1">IF($N473="","",IFERROR(MATCH($N473,evol_conc!$P:$P,0),0))</f>
        <v/>
      </c>
    </row>
    <row r="474" spans="12:17" ht="18" hidden="1" customHeight="1" x14ac:dyDescent="0.25">
      <c r="L474" s="53" t="str">
        <f t="shared" si="14"/>
        <v/>
      </c>
      <c r="M474" s="19" t="str">
        <f t="shared" si="15"/>
        <v/>
      </c>
      <c r="N474" t="str">
        <f ca="1">IF(TRIM(SUBSTITUTE($B474,CHAR(160)," "))="","",IFERROR(IF(ISNUMBER(SEARCH("INC",$B474)),"INC",IF(ISNUMBER(SEARCH("OPI",$B474)),"OPI",IF(ISNUMBER(SEARCH("DP",$B474)),"DP","CONC")))&amp;" "&amp;TEXT(LOOKUP(9.99E+307,--MID(SUBSTITUTE($B474,CHAR(160)," "),SUMPRODUCT(MIN(FIND({0,1,2,3,4,5,6,7,8,9},SUBSTITUTE($B474,CHAR(160)," ")&amp;"0123456789"))),ROW(INDIRECT("1:6")))),"0"),"SIN NUMERO"))</f>
        <v/>
      </c>
      <c r="O474" t="str">
        <f ca="1">IF($N474="","",IF(LEFT(UPPER($P474),9)="VERIFICAR","VERIFICAR",IF(AND($H474&lt;&gt;"",COUNTIFS($N$2:$N$1000,$N474,$H$2:$H$1000,$H474)&gt;1),"DUPLICADA",IF(TRIM(IF($A474="","tipo ","")&amp;IF($F474="","fecha de firma ","")&amp;IF($G474="","decisión ","")&amp;IF($H474="","N° resolución ","")&amp;IF($I474="","N° dictamen",""))&lt;&gt;"","INCOMPLETA: "&amp;TRIM(IF($A474="","tipo ","")&amp;IF($F474="","fecha de firma ","")&amp;IF($G474="","decisión ","")&amp;IF($H474="","N° resolución ","")&amp;IF($I474="","N° dictamen","")),IF(LEFT($N474,4)&lt;&gt;"CONC","OK",IF(N($Q474)=0,IF(AND(ISNUMBER($E474),$E474&gt;=DATE(2024,1,1)),"FALTA EN evol_conc","OK"),IF(INDEX(evol_conc!$H:$H,$Q474)&lt;&gt;$F474,"FIRMA DISTINTA EN evol_conc ("&amp;IF(INDEX(evol_conc!$H:$H,$Q474)="","vacía",DAY(INDEX(evol_conc!$H:$H,$Q474))&amp;"/"&amp;MONTH(INDEX(evol_conc!$H:$H,$Q474))&amp;"/"&amp;YEAR(INDEX(evol_conc!$H:$H,$Q474)))&amp;")",IF(INDEX(evol_conc!$G:$G,$Q474)&lt;&gt;$E474,"INGRESO DISTINTO EN evol_conc ("&amp;IF(INDEX(evol_conc!$G:$G,$Q474)="","vacía",DAY(INDEX(evol_conc!$G:$G,$Q474))&amp;"/"&amp;MONTH(INDEX(evol_conc!$G:$G,$Q474))&amp;"/"&amp;YEAR(INDEX(evol_conc!$G:$G,$Q474)))&amp;")","OK"))))))))</f>
        <v/>
      </c>
      <c r="Q474" t="str">
        <f ca="1">IF($N474="","",IFERROR(MATCH($N474,evol_conc!$P:$P,0),0))</f>
        <v/>
      </c>
    </row>
    <row r="475" spans="12:17" ht="18" hidden="1" customHeight="1" x14ac:dyDescent="0.25">
      <c r="L475" s="53" t="str">
        <f t="shared" si="14"/>
        <v/>
      </c>
      <c r="M475" s="19" t="str">
        <f t="shared" si="15"/>
        <v/>
      </c>
      <c r="N475" t="str">
        <f ca="1">IF(TRIM(SUBSTITUTE($B475,CHAR(160)," "))="","",IFERROR(IF(ISNUMBER(SEARCH("INC",$B475)),"INC",IF(ISNUMBER(SEARCH("OPI",$B475)),"OPI",IF(ISNUMBER(SEARCH("DP",$B475)),"DP","CONC")))&amp;" "&amp;TEXT(LOOKUP(9.99E+307,--MID(SUBSTITUTE($B475,CHAR(160)," "),SUMPRODUCT(MIN(FIND({0,1,2,3,4,5,6,7,8,9},SUBSTITUTE($B475,CHAR(160)," ")&amp;"0123456789"))),ROW(INDIRECT("1:6")))),"0"),"SIN NUMERO"))</f>
        <v/>
      </c>
      <c r="O475" t="str">
        <f ca="1">IF($N475="","",IF(LEFT(UPPER($P475),9)="VERIFICAR","VERIFICAR",IF(AND($H475&lt;&gt;"",COUNTIFS($N$2:$N$1000,$N475,$H$2:$H$1000,$H475)&gt;1),"DUPLICADA",IF(TRIM(IF($A475="","tipo ","")&amp;IF($F475="","fecha de firma ","")&amp;IF($G475="","decisión ","")&amp;IF($H475="","N° resolución ","")&amp;IF($I475="","N° dictamen",""))&lt;&gt;"","INCOMPLETA: "&amp;TRIM(IF($A475="","tipo ","")&amp;IF($F475="","fecha de firma ","")&amp;IF($G475="","decisión ","")&amp;IF($H475="","N° resolución ","")&amp;IF($I475="","N° dictamen","")),IF(LEFT($N475,4)&lt;&gt;"CONC","OK",IF(N($Q475)=0,IF(AND(ISNUMBER($E475),$E475&gt;=DATE(2024,1,1)),"FALTA EN evol_conc","OK"),IF(INDEX(evol_conc!$H:$H,$Q475)&lt;&gt;$F475,"FIRMA DISTINTA EN evol_conc ("&amp;IF(INDEX(evol_conc!$H:$H,$Q475)="","vacía",DAY(INDEX(evol_conc!$H:$H,$Q475))&amp;"/"&amp;MONTH(INDEX(evol_conc!$H:$H,$Q475))&amp;"/"&amp;YEAR(INDEX(evol_conc!$H:$H,$Q475)))&amp;")",IF(INDEX(evol_conc!$G:$G,$Q475)&lt;&gt;$E475,"INGRESO DISTINTO EN evol_conc ("&amp;IF(INDEX(evol_conc!$G:$G,$Q475)="","vacía",DAY(INDEX(evol_conc!$G:$G,$Q475))&amp;"/"&amp;MONTH(INDEX(evol_conc!$G:$G,$Q475))&amp;"/"&amp;YEAR(INDEX(evol_conc!$G:$G,$Q475)))&amp;")","OK"))))))))</f>
        <v/>
      </c>
      <c r="Q475" t="str">
        <f ca="1">IF($N475="","",IFERROR(MATCH($N475,evol_conc!$P:$P,0),0))</f>
        <v/>
      </c>
    </row>
    <row r="476" spans="12:17" ht="18" hidden="1" customHeight="1" x14ac:dyDescent="0.25">
      <c r="L476" s="53" t="str">
        <f t="shared" si="14"/>
        <v/>
      </c>
      <c r="M476" s="19" t="str">
        <f t="shared" si="15"/>
        <v/>
      </c>
      <c r="N476" t="str">
        <f ca="1">IF(TRIM(SUBSTITUTE($B476,CHAR(160)," "))="","",IFERROR(IF(ISNUMBER(SEARCH("INC",$B476)),"INC",IF(ISNUMBER(SEARCH("OPI",$B476)),"OPI",IF(ISNUMBER(SEARCH("DP",$B476)),"DP","CONC")))&amp;" "&amp;TEXT(LOOKUP(9.99E+307,--MID(SUBSTITUTE($B476,CHAR(160)," "),SUMPRODUCT(MIN(FIND({0,1,2,3,4,5,6,7,8,9},SUBSTITUTE($B476,CHAR(160)," ")&amp;"0123456789"))),ROW(INDIRECT("1:6")))),"0"),"SIN NUMERO"))</f>
        <v/>
      </c>
      <c r="O476" t="str">
        <f ca="1">IF($N476="","",IF(LEFT(UPPER($P476),9)="VERIFICAR","VERIFICAR",IF(AND($H476&lt;&gt;"",COUNTIFS($N$2:$N$1000,$N476,$H$2:$H$1000,$H476)&gt;1),"DUPLICADA",IF(TRIM(IF($A476="","tipo ","")&amp;IF($F476="","fecha de firma ","")&amp;IF($G476="","decisión ","")&amp;IF($H476="","N° resolución ","")&amp;IF($I476="","N° dictamen",""))&lt;&gt;"","INCOMPLETA: "&amp;TRIM(IF($A476="","tipo ","")&amp;IF($F476="","fecha de firma ","")&amp;IF($G476="","decisión ","")&amp;IF($H476="","N° resolución ","")&amp;IF($I476="","N° dictamen","")),IF(LEFT($N476,4)&lt;&gt;"CONC","OK",IF(N($Q476)=0,IF(AND(ISNUMBER($E476),$E476&gt;=DATE(2024,1,1)),"FALTA EN evol_conc","OK"),IF(INDEX(evol_conc!$H:$H,$Q476)&lt;&gt;$F476,"FIRMA DISTINTA EN evol_conc ("&amp;IF(INDEX(evol_conc!$H:$H,$Q476)="","vacía",DAY(INDEX(evol_conc!$H:$H,$Q476))&amp;"/"&amp;MONTH(INDEX(evol_conc!$H:$H,$Q476))&amp;"/"&amp;YEAR(INDEX(evol_conc!$H:$H,$Q476)))&amp;")",IF(INDEX(evol_conc!$G:$G,$Q476)&lt;&gt;$E476,"INGRESO DISTINTO EN evol_conc ("&amp;IF(INDEX(evol_conc!$G:$G,$Q476)="","vacía",DAY(INDEX(evol_conc!$G:$G,$Q476))&amp;"/"&amp;MONTH(INDEX(evol_conc!$G:$G,$Q476))&amp;"/"&amp;YEAR(INDEX(evol_conc!$G:$G,$Q476)))&amp;")","OK"))))))))</f>
        <v/>
      </c>
      <c r="Q476" t="str">
        <f ca="1">IF($N476="","",IFERROR(MATCH($N476,evol_conc!$P:$P,0),0))</f>
        <v/>
      </c>
    </row>
    <row r="477" spans="12:17" ht="18" hidden="1" customHeight="1" x14ac:dyDescent="0.25">
      <c r="L477" s="53" t="str">
        <f t="shared" si="14"/>
        <v/>
      </c>
      <c r="M477" s="19" t="str">
        <f t="shared" si="15"/>
        <v/>
      </c>
      <c r="N477" t="str">
        <f ca="1">IF(TRIM(SUBSTITUTE($B477,CHAR(160)," "))="","",IFERROR(IF(ISNUMBER(SEARCH("INC",$B477)),"INC",IF(ISNUMBER(SEARCH("OPI",$B477)),"OPI",IF(ISNUMBER(SEARCH("DP",$B477)),"DP","CONC")))&amp;" "&amp;TEXT(LOOKUP(9.99E+307,--MID(SUBSTITUTE($B477,CHAR(160)," "),SUMPRODUCT(MIN(FIND({0,1,2,3,4,5,6,7,8,9},SUBSTITUTE($B477,CHAR(160)," ")&amp;"0123456789"))),ROW(INDIRECT("1:6")))),"0"),"SIN NUMERO"))</f>
        <v/>
      </c>
      <c r="O477" t="str">
        <f ca="1">IF($N477="","",IF(LEFT(UPPER($P477),9)="VERIFICAR","VERIFICAR",IF(AND($H477&lt;&gt;"",COUNTIFS($N$2:$N$1000,$N477,$H$2:$H$1000,$H477)&gt;1),"DUPLICADA",IF(TRIM(IF($A477="","tipo ","")&amp;IF($F477="","fecha de firma ","")&amp;IF($G477="","decisión ","")&amp;IF($H477="","N° resolución ","")&amp;IF($I477="","N° dictamen",""))&lt;&gt;"","INCOMPLETA: "&amp;TRIM(IF($A477="","tipo ","")&amp;IF($F477="","fecha de firma ","")&amp;IF($G477="","decisión ","")&amp;IF($H477="","N° resolución ","")&amp;IF($I477="","N° dictamen","")),IF(LEFT($N477,4)&lt;&gt;"CONC","OK",IF(N($Q477)=0,IF(AND(ISNUMBER($E477),$E477&gt;=DATE(2024,1,1)),"FALTA EN evol_conc","OK"),IF(INDEX(evol_conc!$H:$H,$Q477)&lt;&gt;$F477,"FIRMA DISTINTA EN evol_conc ("&amp;IF(INDEX(evol_conc!$H:$H,$Q477)="","vacía",DAY(INDEX(evol_conc!$H:$H,$Q477))&amp;"/"&amp;MONTH(INDEX(evol_conc!$H:$H,$Q477))&amp;"/"&amp;YEAR(INDEX(evol_conc!$H:$H,$Q477)))&amp;")",IF(INDEX(evol_conc!$G:$G,$Q477)&lt;&gt;$E477,"INGRESO DISTINTO EN evol_conc ("&amp;IF(INDEX(evol_conc!$G:$G,$Q477)="","vacía",DAY(INDEX(evol_conc!$G:$G,$Q477))&amp;"/"&amp;MONTH(INDEX(evol_conc!$G:$G,$Q477))&amp;"/"&amp;YEAR(INDEX(evol_conc!$G:$G,$Q477)))&amp;")","OK"))))))))</f>
        <v/>
      </c>
      <c r="Q477" t="str">
        <f ca="1">IF($N477="","",IFERROR(MATCH($N477,evol_conc!$P:$P,0),0))</f>
        <v/>
      </c>
    </row>
    <row r="478" spans="12:17" ht="18" hidden="1" customHeight="1" x14ac:dyDescent="0.25">
      <c r="L478" s="53" t="str">
        <f t="shared" si="14"/>
        <v/>
      </c>
      <c r="M478" s="19" t="str">
        <f t="shared" si="15"/>
        <v/>
      </c>
      <c r="N478" t="str">
        <f ca="1">IF(TRIM(SUBSTITUTE($B478,CHAR(160)," "))="","",IFERROR(IF(ISNUMBER(SEARCH("INC",$B478)),"INC",IF(ISNUMBER(SEARCH("OPI",$B478)),"OPI",IF(ISNUMBER(SEARCH("DP",$B478)),"DP","CONC")))&amp;" "&amp;TEXT(LOOKUP(9.99E+307,--MID(SUBSTITUTE($B478,CHAR(160)," "),SUMPRODUCT(MIN(FIND({0,1,2,3,4,5,6,7,8,9},SUBSTITUTE($B478,CHAR(160)," ")&amp;"0123456789"))),ROW(INDIRECT("1:6")))),"0"),"SIN NUMERO"))</f>
        <v/>
      </c>
      <c r="O478" t="str">
        <f ca="1">IF($N478="","",IF(LEFT(UPPER($P478),9)="VERIFICAR","VERIFICAR",IF(AND($H478&lt;&gt;"",COUNTIFS($N$2:$N$1000,$N478,$H$2:$H$1000,$H478)&gt;1),"DUPLICADA",IF(TRIM(IF($A478="","tipo ","")&amp;IF($F478="","fecha de firma ","")&amp;IF($G478="","decisión ","")&amp;IF($H478="","N° resolución ","")&amp;IF($I478="","N° dictamen",""))&lt;&gt;"","INCOMPLETA: "&amp;TRIM(IF($A478="","tipo ","")&amp;IF($F478="","fecha de firma ","")&amp;IF($G478="","decisión ","")&amp;IF($H478="","N° resolución ","")&amp;IF($I478="","N° dictamen","")),IF(LEFT($N478,4)&lt;&gt;"CONC","OK",IF(N($Q478)=0,IF(AND(ISNUMBER($E478),$E478&gt;=DATE(2024,1,1)),"FALTA EN evol_conc","OK"),IF(INDEX(evol_conc!$H:$H,$Q478)&lt;&gt;$F478,"FIRMA DISTINTA EN evol_conc ("&amp;IF(INDEX(evol_conc!$H:$H,$Q478)="","vacía",DAY(INDEX(evol_conc!$H:$H,$Q478))&amp;"/"&amp;MONTH(INDEX(evol_conc!$H:$H,$Q478))&amp;"/"&amp;YEAR(INDEX(evol_conc!$H:$H,$Q478)))&amp;")",IF(INDEX(evol_conc!$G:$G,$Q478)&lt;&gt;$E478,"INGRESO DISTINTO EN evol_conc ("&amp;IF(INDEX(evol_conc!$G:$G,$Q478)="","vacía",DAY(INDEX(evol_conc!$G:$G,$Q478))&amp;"/"&amp;MONTH(INDEX(evol_conc!$G:$G,$Q478))&amp;"/"&amp;YEAR(INDEX(evol_conc!$G:$G,$Q478)))&amp;")","OK"))))))))</f>
        <v/>
      </c>
      <c r="Q478" t="str">
        <f ca="1">IF($N478="","",IFERROR(MATCH($N478,evol_conc!$P:$P,0),0))</f>
        <v/>
      </c>
    </row>
    <row r="479" spans="12:17" ht="18" hidden="1" customHeight="1" x14ac:dyDescent="0.25">
      <c r="L479" s="53" t="str">
        <f t="shared" si="14"/>
        <v/>
      </c>
      <c r="M479" s="19" t="str">
        <f t="shared" si="15"/>
        <v/>
      </c>
      <c r="N479" t="str">
        <f ca="1">IF(TRIM(SUBSTITUTE($B479,CHAR(160)," "))="","",IFERROR(IF(ISNUMBER(SEARCH("INC",$B479)),"INC",IF(ISNUMBER(SEARCH("OPI",$B479)),"OPI",IF(ISNUMBER(SEARCH("DP",$B479)),"DP","CONC")))&amp;" "&amp;TEXT(LOOKUP(9.99E+307,--MID(SUBSTITUTE($B479,CHAR(160)," "),SUMPRODUCT(MIN(FIND({0,1,2,3,4,5,6,7,8,9},SUBSTITUTE($B479,CHAR(160)," ")&amp;"0123456789"))),ROW(INDIRECT("1:6")))),"0"),"SIN NUMERO"))</f>
        <v/>
      </c>
      <c r="O479" t="str">
        <f ca="1">IF($N479="","",IF(LEFT(UPPER($P479),9)="VERIFICAR","VERIFICAR",IF(AND($H479&lt;&gt;"",COUNTIFS($N$2:$N$1000,$N479,$H$2:$H$1000,$H479)&gt;1),"DUPLICADA",IF(TRIM(IF($A479="","tipo ","")&amp;IF($F479="","fecha de firma ","")&amp;IF($G479="","decisión ","")&amp;IF($H479="","N° resolución ","")&amp;IF($I479="","N° dictamen",""))&lt;&gt;"","INCOMPLETA: "&amp;TRIM(IF($A479="","tipo ","")&amp;IF($F479="","fecha de firma ","")&amp;IF($G479="","decisión ","")&amp;IF($H479="","N° resolución ","")&amp;IF($I479="","N° dictamen","")),IF(LEFT($N479,4)&lt;&gt;"CONC","OK",IF(N($Q479)=0,IF(AND(ISNUMBER($E479),$E479&gt;=DATE(2024,1,1)),"FALTA EN evol_conc","OK"),IF(INDEX(evol_conc!$H:$H,$Q479)&lt;&gt;$F479,"FIRMA DISTINTA EN evol_conc ("&amp;IF(INDEX(evol_conc!$H:$H,$Q479)="","vacía",DAY(INDEX(evol_conc!$H:$H,$Q479))&amp;"/"&amp;MONTH(INDEX(evol_conc!$H:$H,$Q479))&amp;"/"&amp;YEAR(INDEX(evol_conc!$H:$H,$Q479)))&amp;")",IF(INDEX(evol_conc!$G:$G,$Q479)&lt;&gt;$E479,"INGRESO DISTINTO EN evol_conc ("&amp;IF(INDEX(evol_conc!$G:$G,$Q479)="","vacía",DAY(INDEX(evol_conc!$G:$G,$Q479))&amp;"/"&amp;MONTH(INDEX(evol_conc!$G:$G,$Q479))&amp;"/"&amp;YEAR(INDEX(evol_conc!$G:$G,$Q479)))&amp;")","OK"))))))))</f>
        <v/>
      </c>
      <c r="Q479" t="str">
        <f ca="1">IF($N479="","",IFERROR(MATCH($N479,evol_conc!$P:$P,0),0))</f>
        <v/>
      </c>
    </row>
    <row r="480" spans="12:17" ht="18" hidden="1" customHeight="1" x14ac:dyDescent="0.25">
      <c r="L480" s="53" t="str">
        <f t="shared" si="14"/>
        <v/>
      </c>
      <c r="M480" s="19" t="str">
        <f t="shared" si="15"/>
        <v/>
      </c>
      <c r="N480" t="str">
        <f ca="1">IF(TRIM(SUBSTITUTE($B480,CHAR(160)," "))="","",IFERROR(IF(ISNUMBER(SEARCH("INC",$B480)),"INC",IF(ISNUMBER(SEARCH("OPI",$B480)),"OPI",IF(ISNUMBER(SEARCH("DP",$B480)),"DP","CONC")))&amp;" "&amp;TEXT(LOOKUP(9.99E+307,--MID(SUBSTITUTE($B480,CHAR(160)," "),SUMPRODUCT(MIN(FIND({0,1,2,3,4,5,6,7,8,9},SUBSTITUTE($B480,CHAR(160)," ")&amp;"0123456789"))),ROW(INDIRECT("1:6")))),"0"),"SIN NUMERO"))</f>
        <v/>
      </c>
      <c r="O480" t="str">
        <f ca="1">IF($N480="","",IF(LEFT(UPPER($P480),9)="VERIFICAR","VERIFICAR",IF(AND($H480&lt;&gt;"",COUNTIFS($N$2:$N$1000,$N480,$H$2:$H$1000,$H480)&gt;1),"DUPLICADA",IF(TRIM(IF($A480="","tipo ","")&amp;IF($F480="","fecha de firma ","")&amp;IF($G480="","decisión ","")&amp;IF($H480="","N° resolución ","")&amp;IF($I480="","N° dictamen",""))&lt;&gt;"","INCOMPLETA: "&amp;TRIM(IF($A480="","tipo ","")&amp;IF($F480="","fecha de firma ","")&amp;IF($G480="","decisión ","")&amp;IF($H480="","N° resolución ","")&amp;IF($I480="","N° dictamen","")),IF(LEFT($N480,4)&lt;&gt;"CONC","OK",IF(N($Q480)=0,IF(AND(ISNUMBER($E480),$E480&gt;=DATE(2024,1,1)),"FALTA EN evol_conc","OK"),IF(INDEX(evol_conc!$H:$H,$Q480)&lt;&gt;$F480,"FIRMA DISTINTA EN evol_conc ("&amp;IF(INDEX(evol_conc!$H:$H,$Q480)="","vacía",DAY(INDEX(evol_conc!$H:$H,$Q480))&amp;"/"&amp;MONTH(INDEX(evol_conc!$H:$H,$Q480))&amp;"/"&amp;YEAR(INDEX(evol_conc!$H:$H,$Q480)))&amp;")",IF(INDEX(evol_conc!$G:$G,$Q480)&lt;&gt;$E480,"INGRESO DISTINTO EN evol_conc ("&amp;IF(INDEX(evol_conc!$G:$G,$Q480)="","vacía",DAY(INDEX(evol_conc!$G:$G,$Q480))&amp;"/"&amp;MONTH(INDEX(evol_conc!$G:$G,$Q480))&amp;"/"&amp;YEAR(INDEX(evol_conc!$G:$G,$Q480)))&amp;")","OK"))))))))</f>
        <v/>
      </c>
      <c r="Q480" t="str">
        <f ca="1">IF($N480="","",IFERROR(MATCH($N480,evol_conc!$P:$P,0),0))</f>
        <v/>
      </c>
    </row>
    <row r="481" spans="12:17" ht="18" hidden="1" customHeight="1" x14ac:dyDescent="0.25">
      <c r="L481" s="53" t="str">
        <f t="shared" si="14"/>
        <v/>
      </c>
      <c r="M481" s="19" t="str">
        <f t="shared" si="15"/>
        <v/>
      </c>
      <c r="N481" t="str">
        <f ca="1">IF(TRIM(SUBSTITUTE($B481,CHAR(160)," "))="","",IFERROR(IF(ISNUMBER(SEARCH("INC",$B481)),"INC",IF(ISNUMBER(SEARCH("OPI",$B481)),"OPI",IF(ISNUMBER(SEARCH("DP",$B481)),"DP","CONC")))&amp;" "&amp;TEXT(LOOKUP(9.99E+307,--MID(SUBSTITUTE($B481,CHAR(160)," "),SUMPRODUCT(MIN(FIND({0,1,2,3,4,5,6,7,8,9},SUBSTITUTE($B481,CHAR(160)," ")&amp;"0123456789"))),ROW(INDIRECT("1:6")))),"0"),"SIN NUMERO"))</f>
        <v/>
      </c>
      <c r="O481" t="str">
        <f ca="1">IF($N481="","",IF(LEFT(UPPER($P481),9)="VERIFICAR","VERIFICAR",IF(AND($H481&lt;&gt;"",COUNTIFS($N$2:$N$1000,$N481,$H$2:$H$1000,$H481)&gt;1),"DUPLICADA",IF(TRIM(IF($A481="","tipo ","")&amp;IF($F481="","fecha de firma ","")&amp;IF($G481="","decisión ","")&amp;IF($H481="","N° resolución ","")&amp;IF($I481="","N° dictamen",""))&lt;&gt;"","INCOMPLETA: "&amp;TRIM(IF($A481="","tipo ","")&amp;IF($F481="","fecha de firma ","")&amp;IF($G481="","decisión ","")&amp;IF($H481="","N° resolución ","")&amp;IF($I481="","N° dictamen","")),IF(LEFT($N481,4)&lt;&gt;"CONC","OK",IF(N($Q481)=0,IF(AND(ISNUMBER($E481),$E481&gt;=DATE(2024,1,1)),"FALTA EN evol_conc","OK"),IF(INDEX(evol_conc!$H:$H,$Q481)&lt;&gt;$F481,"FIRMA DISTINTA EN evol_conc ("&amp;IF(INDEX(evol_conc!$H:$H,$Q481)="","vacía",DAY(INDEX(evol_conc!$H:$H,$Q481))&amp;"/"&amp;MONTH(INDEX(evol_conc!$H:$H,$Q481))&amp;"/"&amp;YEAR(INDEX(evol_conc!$H:$H,$Q481)))&amp;")",IF(INDEX(evol_conc!$G:$G,$Q481)&lt;&gt;$E481,"INGRESO DISTINTO EN evol_conc ("&amp;IF(INDEX(evol_conc!$G:$G,$Q481)="","vacía",DAY(INDEX(evol_conc!$G:$G,$Q481))&amp;"/"&amp;MONTH(INDEX(evol_conc!$G:$G,$Q481))&amp;"/"&amp;YEAR(INDEX(evol_conc!$G:$G,$Q481)))&amp;")","OK"))))))))</f>
        <v/>
      </c>
      <c r="Q481" t="str">
        <f ca="1">IF($N481="","",IFERROR(MATCH($N481,evol_conc!$P:$P,0),0))</f>
        <v/>
      </c>
    </row>
    <row r="482" spans="12:17" ht="18" hidden="1" customHeight="1" x14ac:dyDescent="0.25">
      <c r="L482" s="53" t="str">
        <f t="shared" si="14"/>
        <v/>
      </c>
      <c r="M482" s="19" t="str">
        <f t="shared" si="15"/>
        <v/>
      </c>
      <c r="N482" t="str">
        <f ca="1">IF(TRIM(SUBSTITUTE($B482,CHAR(160)," "))="","",IFERROR(IF(ISNUMBER(SEARCH("INC",$B482)),"INC",IF(ISNUMBER(SEARCH("OPI",$B482)),"OPI",IF(ISNUMBER(SEARCH("DP",$B482)),"DP","CONC")))&amp;" "&amp;TEXT(LOOKUP(9.99E+307,--MID(SUBSTITUTE($B482,CHAR(160)," "),SUMPRODUCT(MIN(FIND({0,1,2,3,4,5,6,7,8,9},SUBSTITUTE($B482,CHAR(160)," ")&amp;"0123456789"))),ROW(INDIRECT("1:6")))),"0"),"SIN NUMERO"))</f>
        <v/>
      </c>
      <c r="O482" t="str">
        <f ca="1">IF($N482="","",IF(LEFT(UPPER($P482),9)="VERIFICAR","VERIFICAR",IF(AND($H482&lt;&gt;"",COUNTIFS($N$2:$N$1000,$N482,$H$2:$H$1000,$H482)&gt;1),"DUPLICADA",IF(TRIM(IF($A482="","tipo ","")&amp;IF($F482="","fecha de firma ","")&amp;IF($G482="","decisión ","")&amp;IF($H482="","N° resolución ","")&amp;IF($I482="","N° dictamen",""))&lt;&gt;"","INCOMPLETA: "&amp;TRIM(IF($A482="","tipo ","")&amp;IF($F482="","fecha de firma ","")&amp;IF($G482="","decisión ","")&amp;IF($H482="","N° resolución ","")&amp;IF($I482="","N° dictamen","")),IF(LEFT($N482,4)&lt;&gt;"CONC","OK",IF(N($Q482)=0,IF(AND(ISNUMBER($E482),$E482&gt;=DATE(2024,1,1)),"FALTA EN evol_conc","OK"),IF(INDEX(evol_conc!$H:$H,$Q482)&lt;&gt;$F482,"FIRMA DISTINTA EN evol_conc ("&amp;IF(INDEX(evol_conc!$H:$H,$Q482)="","vacía",DAY(INDEX(evol_conc!$H:$H,$Q482))&amp;"/"&amp;MONTH(INDEX(evol_conc!$H:$H,$Q482))&amp;"/"&amp;YEAR(INDEX(evol_conc!$H:$H,$Q482)))&amp;")",IF(INDEX(evol_conc!$G:$G,$Q482)&lt;&gt;$E482,"INGRESO DISTINTO EN evol_conc ("&amp;IF(INDEX(evol_conc!$G:$G,$Q482)="","vacía",DAY(INDEX(evol_conc!$G:$G,$Q482))&amp;"/"&amp;MONTH(INDEX(evol_conc!$G:$G,$Q482))&amp;"/"&amp;YEAR(INDEX(evol_conc!$G:$G,$Q482)))&amp;")","OK"))))))))</f>
        <v/>
      </c>
      <c r="Q482" t="str">
        <f ca="1">IF($N482="","",IFERROR(MATCH($N482,evol_conc!$P:$P,0),0))</f>
        <v/>
      </c>
    </row>
    <row r="483" spans="12:17" ht="18" hidden="1" customHeight="1" x14ac:dyDescent="0.25">
      <c r="L483" s="53" t="str">
        <f t="shared" si="14"/>
        <v/>
      </c>
      <c r="M483" s="19" t="str">
        <f t="shared" si="15"/>
        <v/>
      </c>
      <c r="N483" t="str">
        <f ca="1">IF(TRIM(SUBSTITUTE($B483,CHAR(160)," "))="","",IFERROR(IF(ISNUMBER(SEARCH("INC",$B483)),"INC",IF(ISNUMBER(SEARCH("OPI",$B483)),"OPI",IF(ISNUMBER(SEARCH("DP",$B483)),"DP","CONC")))&amp;" "&amp;TEXT(LOOKUP(9.99E+307,--MID(SUBSTITUTE($B483,CHAR(160)," "),SUMPRODUCT(MIN(FIND({0,1,2,3,4,5,6,7,8,9},SUBSTITUTE($B483,CHAR(160)," ")&amp;"0123456789"))),ROW(INDIRECT("1:6")))),"0"),"SIN NUMERO"))</f>
        <v/>
      </c>
      <c r="O483" t="str">
        <f ca="1">IF($N483="","",IF(LEFT(UPPER($P483),9)="VERIFICAR","VERIFICAR",IF(AND($H483&lt;&gt;"",COUNTIFS($N$2:$N$1000,$N483,$H$2:$H$1000,$H483)&gt;1),"DUPLICADA",IF(TRIM(IF($A483="","tipo ","")&amp;IF($F483="","fecha de firma ","")&amp;IF($G483="","decisión ","")&amp;IF($H483="","N° resolución ","")&amp;IF($I483="","N° dictamen",""))&lt;&gt;"","INCOMPLETA: "&amp;TRIM(IF($A483="","tipo ","")&amp;IF($F483="","fecha de firma ","")&amp;IF($G483="","decisión ","")&amp;IF($H483="","N° resolución ","")&amp;IF($I483="","N° dictamen","")),IF(LEFT($N483,4)&lt;&gt;"CONC","OK",IF(N($Q483)=0,IF(AND(ISNUMBER($E483),$E483&gt;=DATE(2024,1,1)),"FALTA EN evol_conc","OK"),IF(INDEX(evol_conc!$H:$H,$Q483)&lt;&gt;$F483,"FIRMA DISTINTA EN evol_conc ("&amp;IF(INDEX(evol_conc!$H:$H,$Q483)="","vacía",DAY(INDEX(evol_conc!$H:$H,$Q483))&amp;"/"&amp;MONTH(INDEX(evol_conc!$H:$H,$Q483))&amp;"/"&amp;YEAR(INDEX(evol_conc!$H:$H,$Q483)))&amp;")",IF(INDEX(evol_conc!$G:$G,$Q483)&lt;&gt;$E483,"INGRESO DISTINTO EN evol_conc ("&amp;IF(INDEX(evol_conc!$G:$G,$Q483)="","vacía",DAY(INDEX(evol_conc!$G:$G,$Q483))&amp;"/"&amp;MONTH(INDEX(evol_conc!$G:$G,$Q483))&amp;"/"&amp;YEAR(INDEX(evol_conc!$G:$G,$Q483)))&amp;")","OK"))))))))</f>
        <v/>
      </c>
      <c r="Q483" t="str">
        <f ca="1">IF($N483="","",IFERROR(MATCH($N483,evol_conc!$P:$P,0),0))</f>
        <v/>
      </c>
    </row>
    <row r="484" spans="12:17" ht="18" hidden="1" customHeight="1" x14ac:dyDescent="0.25">
      <c r="L484" s="53" t="str">
        <f t="shared" si="14"/>
        <v/>
      </c>
      <c r="M484" s="19" t="str">
        <f t="shared" si="15"/>
        <v/>
      </c>
      <c r="N484" t="str">
        <f ca="1">IF(TRIM(SUBSTITUTE($B484,CHAR(160)," "))="","",IFERROR(IF(ISNUMBER(SEARCH("INC",$B484)),"INC",IF(ISNUMBER(SEARCH("OPI",$B484)),"OPI",IF(ISNUMBER(SEARCH("DP",$B484)),"DP","CONC")))&amp;" "&amp;TEXT(LOOKUP(9.99E+307,--MID(SUBSTITUTE($B484,CHAR(160)," "),SUMPRODUCT(MIN(FIND({0,1,2,3,4,5,6,7,8,9},SUBSTITUTE($B484,CHAR(160)," ")&amp;"0123456789"))),ROW(INDIRECT("1:6")))),"0"),"SIN NUMERO"))</f>
        <v/>
      </c>
      <c r="O484" t="str">
        <f ca="1">IF($N484="","",IF(LEFT(UPPER($P484),9)="VERIFICAR","VERIFICAR",IF(AND($H484&lt;&gt;"",COUNTIFS($N$2:$N$1000,$N484,$H$2:$H$1000,$H484)&gt;1),"DUPLICADA",IF(TRIM(IF($A484="","tipo ","")&amp;IF($F484="","fecha de firma ","")&amp;IF($G484="","decisión ","")&amp;IF($H484="","N° resolución ","")&amp;IF($I484="","N° dictamen",""))&lt;&gt;"","INCOMPLETA: "&amp;TRIM(IF($A484="","tipo ","")&amp;IF($F484="","fecha de firma ","")&amp;IF($G484="","decisión ","")&amp;IF($H484="","N° resolución ","")&amp;IF($I484="","N° dictamen","")),IF(LEFT($N484,4)&lt;&gt;"CONC","OK",IF(N($Q484)=0,IF(AND(ISNUMBER($E484),$E484&gt;=DATE(2024,1,1)),"FALTA EN evol_conc","OK"),IF(INDEX(evol_conc!$H:$H,$Q484)&lt;&gt;$F484,"FIRMA DISTINTA EN evol_conc ("&amp;IF(INDEX(evol_conc!$H:$H,$Q484)="","vacía",DAY(INDEX(evol_conc!$H:$H,$Q484))&amp;"/"&amp;MONTH(INDEX(evol_conc!$H:$H,$Q484))&amp;"/"&amp;YEAR(INDEX(evol_conc!$H:$H,$Q484)))&amp;")",IF(INDEX(evol_conc!$G:$G,$Q484)&lt;&gt;$E484,"INGRESO DISTINTO EN evol_conc ("&amp;IF(INDEX(evol_conc!$G:$G,$Q484)="","vacía",DAY(INDEX(evol_conc!$G:$G,$Q484))&amp;"/"&amp;MONTH(INDEX(evol_conc!$G:$G,$Q484))&amp;"/"&amp;YEAR(INDEX(evol_conc!$G:$G,$Q484)))&amp;")","OK"))))))))</f>
        <v/>
      </c>
      <c r="Q484" t="str">
        <f ca="1">IF($N484="","",IFERROR(MATCH($N484,evol_conc!$P:$P,0),0))</f>
        <v/>
      </c>
    </row>
    <row r="485" spans="12:17" ht="18" hidden="1" customHeight="1" x14ac:dyDescent="0.25">
      <c r="L485" s="53" t="str">
        <f t="shared" si="14"/>
        <v/>
      </c>
      <c r="M485" s="19" t="str">
        <f t="shared" si="15"/>
        <v/>
      </c>
      <c r="N485" t="str">
        <f ca="1">IF(TRIM(SUBSTITUTE($B485,CHAR(160)," "))="","",IFERROR(IF(ISNUMBER(SEARCH("INC",$B485)),"INC",IF(ISNUMBER(SEARCH("OPI",$B485)),"OPI",IF(ISNUMBER(SEARCH("DP",$B485)),"DP","CONC")))&amp;" "&amp;TEXT(LOOKUP(9.99E+307,--MID(SUBSTITUTE($B485,CHAR(160)," "),SUMPRODUCT(MIN(FIND({0,1,2,3,4,5,6,7,8,9},SUBSTITUTE($B485,CHAR(160)," ")&amp;"0123456789"))),ROW(INDIRECT("1:6")))),"0"),"SIN NUMERO"))</f>
        <v/>
      </c>
      <c r="O485" t="str">
        <f ca="1">IF($N485="","",IF(LEFT(UPPER($P485),9)="VERIFICAR","VERIFICAR",IF(AND($H485&lt;&gt;"",COUNTIFS($N$2:$N$1000,$N485,$H$2:$H$1000,$H485)&gt;1),"DUPLICADA",IF(TRIM(IF($A485="","tipo ","")&amp;IF($F485="","fecha de firma ","")&amp;IF($G485="","decisión ","")&amp;IF($H485="","N° resolución ","")&amp;IF($I485="","N° dictamen",""))&lt;&gt;"","INCOMPLETA: "&amp;TRIM(IF($A485="","tipo ","")&amp;IF($F485="","fecha de firma ","")&amp;IF($G485="","decisión ","")&amp;IF($H485="","N° resolución ","")&amp;IF($I485="","N° dictamen","")),IF(LEFT($N485,4)&lt;&gt;"CONC","OK",IF(N($Q485)=0,IF(AND(ISNUMBER($E485),$E485&gt;=DATE(2024,1,1)),"FALTA EN evol_conc","OK"),IF(INDEX(evol_conc!$H:$H,$Q485)&lt;&gt;$F485,"FIRMA DISTINTA EN evol_conc ("&amp;IF(INDEX(evol_conc!$H:$H,$Q485)="","vacía",DAY(INDEX(evol_conc!$H:$H,$Q485))&amp;"/"&amp;MONTH(INDEX(evol_conc!$H:$H,$Q485))&amp;"/"&amp;YEAR(INDEX(evol_conc!$H:$H,$Q485)))&amp;")",IF(INDEX(evol_conc!$G:$G,$Q485)&lt;&gt;$E485,"INGRESO DISTINTO EN evol_conc ("&amp;IF(INDEX(evol_conc!$G:$G,$Q485)="","vacía",DAY(INDEX(evol_conc!$G:$G,$Q485))&amp;"/"&amp;MONTH(INDEX(evol_conc!$G:$G,$Q485))&amp;"/"&amp;YEAR(INDEX(evol_conc!$G:$G,$Q485)))&amp;")","OK"))))))))</f>
        <v/>
      </c>
      <c r="Q485" t="str">
        <f ca="1">IF($N485="","",IFERROR(MATCH($N485,evol_conc!$P:$P,0),0))</f>
        <v/>
      </c>
    </row>
    <row r="486" spans="12:17" ht="18" hidden="1" customHeight="1" x14ac:dyDescent="0.25">
      <c r="L486" s="53" t="str">
        <f t="shared" si="14"/>
        <v/>
      </c>
      <c r="M486" s="19" t="str">
        <f t="shared" si="15"/>
        <v/>
      </c>
      <c r="N486" t="str">
        <f ca="1">IF(TRIM(SUBSTITUTE($B486,CHAR(160)," "))="","",IFERROR(IF(ISNUMBER(SEARCH("INC",$B486)),"INC",IF(ISNUMBER(SEARCH("OPI",$B486)),"OPI",IF(ISNUMBER(SEARCH("DP",$B486)),"DP","CONC")))&amp;" "&amp;TEXT(LOOKUP(9.99E+307,--MID(SUBSTITUTE($B486,CHAR(160)," "),SUMPRODUCT(MIN(FIND({0,1,2,3,4,5,6,7,8,9},SUBSTITUTE($B486,CHAR(160)," ")&amp;"0123456789"))),ROW(INDIRECT("1:6")))),"0"),"SIN NUMERO"))</f>
        <v/>
      </c>
      <c r="O486" t="str">
        <f ca="1">IF($N486="","",IF(LEFT(UPPER($P486),9)="VERIFICAR","VERIFICAR",IF(AND($H486&lt;&gt;"",COUNTIFS($N$2:$N$1000,$N486,$H$2:$H$1000,$H486)&gt;1),"DUPLICADA",IF(TRIM(IF($A486="","tipo ","")&amp;IF($F486="","fecha de firma ","")&amp;IF($G486="","decisión ","")&amp;IF($H486="","N° resolución ","")&amp;IF($I486="","N° dictamen",""))&lt;&gt;"","INCOMPLETA: "&amp;TRIM(IF($A486="","tipo ","")&amp;IF($F486="","fecha de firma ","")&amp;IF($G486="","decisión ","")&amp;IF($H486="","N° resolución ","")&amp;IF($I486="","N° dictamen","")),IF(LEFT($N486,4)&lt;&gt;"CONC","OK",IF(N($Q486)=0,IF(AND(ISNUMBER($E486),$E486&gt;=DATE(2024,1,1)),"FALTA EN evol_conc","OK"),IF(INDEX(evol_conc!$H:$H,$Q486)&lt;&gt;$F486,"FIRMA DISTINTA EN evol_conc ("&amp;IF(INDEX(evol_conc!$H:$H,$Q486)="","vacía",DAY(INDEX(evol_conc!$H:$H,$Q486))&amp;"/"&amp;MONTH(INDEX(evol_conc!$H:$H,$Q486))&amp;"/"&amp;YEAR(INDEX(evol_conc!$H:$H,$Q486)))&amp;")",IF(INDEX(evol_conc!$G:$G,$Q486)&lt;&gt;$E486,"INGRESO DISTINTO EN evol_conc ("&amp;IF(INDEX(evol_conc!$G:$G,$Q486)="","vacía",DAY(INDEX(evol_conc!$G:$G,$Q486))&amp;"/"&amp;MONTH(INDEX(evol_conc!$G:$G,$Q486))&amp;"/"&amp;YEAR(INDEX(evol_conc!$G:$G,$Q486)))&amp;")","OK"))))))))</f>
        <v/>
      </c>
      <c r="Q486" t="str">
        <f ca="1">IF($N486="","",IFERROR(MATCH($N486,evol_conc!$P:$P,0),0))</f>
        <v/>
      </c>
    </row>
    <row r="487" spans="12:17" ht="18" hidden="1" customHeight="1" x14ac:dyDescent="0.25">
      <c r="L487" s="53" t="str">
        <f t="shared" si="14"/>
        <v/>
      </c>
      <c r="M487" s="19" t="str">
        <f t="shared" si="15"/>
        <v/>
      </c>
      <c r="N487" t="str">
        <f ca="1">IF(TRIM(SUBSTITUTE($B487,CHAR(160)," "))="","",IFERROR(IF(ISNUMBER(SEARCH("INC",$B487)),"INC",IF(ISNUMBER(SEARCH("OPI",$B487)),"OPI",IF(ISNUMBER(SEARCH("DP",$B487)),"DP","CONC")))&amp;" "&amp;TEXT(LOOKUP(9.99E+307,--MID(SUBSTITUTE($B487,CHAR(160)," "),SUMPRODUCT(MIN(FIND({0,1,2,3,4,5,6,7,8,9},SUBSTITUTE($B487,CHAR(160)," ")&amp;"0123456789"))),ROW(INDIRECT("1:6")))),"0"),"SIN NUMERO"))</f>
        <v/>
      </c>
      <c r="O487" t="str">
        <f ca="1">IF($N487="","",IF(LEFT(UPPER($P487),9)="VERIFICAR","VERIFICAR",IF(AND($H487&lt;&gt;"",COUNTIFS($N$2:$N$1000,$N487,$H$2:$H$1000,$H487)&gt;1),"DUPLICADA",IF(TRIM(IF($A487="","tipo ","")&amp;IF($F487="","fecha de firma ","")&amp;IF($G487="","decisión ","")&amp;IF($H487="","N° resolución ","")&amp;IF($I487="","N° dictamen",""))&lt;&gt;"","INCOMPLETA: "&amp;TRIM(IF($A487="","tipo ","")&amp;IF($F487="","fecha de firma ","")&amp;IF($G487="","decisión ","")&amp;IF($H487="","N° resolución ","")&amp;IF($I487="","N° dictamen","")),IF(LEFT($N487,4)&lt;&gt;"CONC","OK",IF(N($Q487)=0,IF(AND(ISNUMBER($E487),$E487&gt;=DATE(2024,1,1)),"FALTA EN evol_conc","OK"),IF(INDEX(evol_conc!$H:$H,$Q487)&lt;&gt;$F487,"FIRMA DISTINTA EN evol_conc ("&amp;IF(INDEX(evol_conc!$H:$H,$Q487)="","vacía",DAY(INDEX(evol_conc!$H:$H,$Q487))&amp;"/"&amp;MONTH(INDEX(evol_conc!$H:$H,$Q487))&amp;"/"&amp;YEAR(INDEX(evol_conc!$H:$H,$Q487)))&amp;")",IF(INDEX(evol_conc!$G:$G,$Q487)&lt;&gt;$E487,"INGRESO DISTINTO EN evol_conc ("&amp;IF(INDEX(evol_conc!$G:$G,$Q487)="","vacía",DAY(INDEX(evol_conc!$G:$G,$Q487))&amp;"/"&amp;MONTH(INDEX(evol_conc!$G:$G,$Q487))&amp;"/"&amp;YEAR(INDEX(evol_conc!$G:$G,$Q487)))&amp;")","OK"))))))))</f>
        <v/>
      </c>
      <c r="Q487" t="str">
        <f ca="1">IF($N487="","",IFERROR(MATCH($N487,evol_conc!$P:$P,0),0))</f>
        <v/>
      </c>
    </row>
    <row r="488" spans="12:17" ht="18" hidden="1" customHeight="1" x14ac:dyDescent="0.25">
      <c r="L488" s="53" t="str">
        <f t="shared" si="14"/>
        <v/>
      </c>
      <c r="M488" s="19" t="str">
        <f t="shared" si="15"/>
        <v/>
      </c>
      <c r="N488" t="str">
        <f ca="1">IF(TRIM(SUBSTITUTE($B488,CHAR(160)," "))="","",IFERROR(IF(ISNUMBER(SEARCH("INC",$B488)),"INC",IF(ISNUMBER(SEARCH("OPI",$B488)),"OPI",IF(ISNUMBER(SEARCH("DP",$B488)),"DP","CONC")))&amp;" "&amp;TEXT(LOOKUP(9.99E+307,--MID(SUBSTITUTE($B488,CHAR(160)," "),SUMPRODUCT(MIN(FIND({0,1,2,3,4,5,6,7,8,9},SUBSTITUTE($B488,CHAR(160)," ")&amp;"0123456789"))),ROW(INDIRECT("1:6")))),"0"),"SIN NUMERO"))</f>
        <v/>
      </c>
      <c r="O488" t="str">
        <f ca="1">IF($N488="","",IF(LEFT(UPPER($P488),9)="VERIFICAR","VERIFICAR",IF(AND($H488&lt;&gt;"",COUNTIFS($N$2:$N$1000,$N488,$H$2:$H$1000,$H488)&gt;1),"DUPLICADA",IF(TRIM(IF($A488="","tipo ","")&amp;IF($F488="","fecha de firma ","")&amp;IF($G488="","decisión ","")&amp;IF($H488="","N° resolución ","")&amp;IF($I488="","N° dictamen",""))&lt;&gt;"","INCOMPLETA: "&amp;TRIM(IF($A488="","tipo ","")&amp;IF($F488="","fecha de firma ","")&amp;IF($G488="","decisión ","")&amp;IF($H488="","N° resolución ","")&amp;IF($I488="","N° dictamen","")),IF(LEFT($N488,4)&lt;&gt;"CONC","OK",IF(N($Q488)=0,IF(AND(ISNUMBER($E488),$E488&gt;=DATE(2024,1,1)),"FALTA EN evol_conc","OK"),IF(INDEX(evol_conc!$H:$H,$Q488)&lt;&gt;$F488,"FIRMA DISTINTA EN evol_conc ("&amp;IF(INDEX(evol_conc!$H:$H,$Q488)="","vacía",DAY(INDEX(evol_conc!$H:$H,$Q488))&amp;"/"&amp;MONTH(INDEX(evol_conc!$H:$H,$Q488))&amp;"/"&amp;YEAR(INDEX(evol_conc!$H:$H,$Q488)))&amp;")",IF(INDEX(evol_conc!$G:$G,$Q488)&lt;&gt;$E488,"INGRESO DISTINTO EN evol_conc ("&amp;IF(INDEX(evol_conc!$G:$G,$Q488)="","vacía",DAY(INDEX(evol_conc!$G:$G,$Q488))&amp;"/"&amp;MONTH(INDEX(evol_conc!$G:$G,$Q488))&amp;"/"&amp;YEAR(INDEX(evol_conc!$G:$G,$Q488)))&amp;")","OK"))))))))</f>
        <v/>
      </c>
      <c r="Q488" t="str">
        <f ca="1">IF($N488="","",IFERROR(MATCH($N488,evol_conc!$P:$P,0),0))</f>
        <v/>
      </c>
    </row>
    <row r="489" spans="12:17" ht="18" hidden="1" customHeight="1" x14ac:dyDescent="0.25">
      <c r="L489" s="53" t="str">
        <f t="shared" si="14"/>
        <v/>
      </c>
      <c r="M489" s="19" t="str">
        <f t="shared" si="15"/>
        <v/>
      </c>
      <c r="N489" t="str">
        <f ca="1">IF(TRIM(SUBSTITUTE($B489,CHAR(160)," "))="","",IFERROR(IF(ISNUMBER(SEARCH("INC",$B489)),"INC",IF(ISNUMBER(SEARCH("OPI",$B489)),"OPI",IF(ISNUMBER(SEARCH("DP",$B489)),"DP","CONC")))&amp;" "&amp;TEXT(LOOKUP(9.99E+307,--MID(SUBSTITUTE($B489,CHAR(160)," "),SUMPRODUCT(MIN(FIND({0,1,2,3,4,5,6,7,8,9},SUBSTITUTE($B489,CHAR(160)," ")&amp;"0123456789"))),ROW(INDIRECT("1:6")))),"0"),"SIN NUMERO"))</f>
        <v/>
      </c>
      <c r="O489" t="str">
        <f ca="1">IF($N489="","",IF(LEFT(UPPER($P489),9)="VERIFICAR","VERIFICAR",IF(AND($H489&lt;&gt;"",COUNTIFS($N$2:$N$1000,$N489,$H$2:$H$1000,$H489)&gt;1),"DUPLICADA",IF(TRIM(IF($A489="","tipo ","")&amp;IF($F489="","fecha de firma ","")&amp;IF($G489="","decisión ","")&amp;IF($H489="","N° resolución ","")&amp;IF($I489="","N° dictamen",""))&lt;&gt;"","INCOMPLETA: "&amp;TRIM(IF($A489="","tipo ","")&amp;IF($F489="","fecha de firma ","")&amp;IF($G489="","decisión ","")&amp;IF($H489="","N° resolución ","")&amp;IF($I489="","N° dictamen","")),IF(LEFT($N489,4)&lt;&gt;"CONC","OK",IF(N($Q489)=0,IF(AND(ISNUMBER($E489),$E489&gt;=DATE(2024,1,1)),"FALTA EN evol_conc","OK"),IF(INDEX(evol_conc!$H:$H,$Q489)&lt;&gt;$F489,"FIRMA DISTINTA EN evol_conc ("&amp;IF(INDEX(evol_conc!$H:$H,$Q489)="","vacía",DAY(INDEX(evol_conc!$H:$H,$Q489))&amp;"/"&amp;MONTH(INDEX(evol_conc!$H:$H,$Q489))&amp;"/"&amp;YEAR(INDEX(evol_conc!$H:$H,$Q489)))&amp;")",IF(INDEX(evol_conc!$G:$G,$Q489)&lt;&gt;$E489,"INGRESO DISTINTO EN evol_conc ("&amp;IF(INDEX(evol_conc!$G:$G,$Q489)="","vacía",DAY(INDEX(evol_conc!$G:$G,$Q489))&amp;"/"&amp;MONTH(INDEX(evol_conc!$G:$G,$Q489))&amp;"/"&amp;YEAR(INDEX(evol_conc!$G:$G,$Q489)))&amp;")","OK"))))))))</f>
        <v/>
      </c>
      <c r="Q489" t="str">
        <f ca="1">IF($N489="","",IFERROR(MATCH($N489,evol_conc!$P:$P,0),0))</f>
        <v/>
      </c>
    </row>
    <row r="490" spans="12:17" ht="18" hidden="1" customHeight="1" x14ac:dyDescent="0.25">
      <c r="L490" s="53" t="str">
        <f t="shared" si="14"/>
        <v/>
      </c>
      <c r="M490" s="19" t="str">
        <f t="shared" si="15"/>
        <v/>
      </c>
      <c r="N490" t="str">
        <f ca="1">IF(TRIM(SUBSTITUTE($B490,CHAR(160)," "))="","",IFERROR(IF(ISNUMBER(SEARCH("INC",$B490)),"INC",IF(ISNUMBER(SEARCH("OPI",$B490)),"OPI",IF(ISNUMBER(SEARCH("DP",$B490)),"DP","CONC")))&amp;" "&amp;TEXT(LOOKUP(9.99E+307,--MID(SUBSTITUTE($B490,CHAR(160)," "),SUMPRODUCT(MIN(FIND({0,1,2,3,4,5,6,7,8,9},SUBSTITUTE($B490,CHAR(160)," ")&amp;"0123456789"))),ROW(INDIRECT("1:6")))),"0"),"SIN NUMERO"))</f>
        <v/>
      </c>
      <c r="O490" t="str">
        <f ca="1">IF($N490="","",IF(LEFT(UPPER($P490),9)="VERIFICAR","VERIFICAR",IF(AND($H490&lt;&gt;"",COUNTIFS($N$2:$N$1000,$N490,$H$2:$H$1000,$H490)&gt;1),"DUPLICADA",IF(TRIM(IF($A490="","tipo ","")&amp;IF($F490="","fecha de firma ","")&amp;IF($G490="","decisión ","")&amp;IF($H490="","N° resolución ","")&amp;IF($I490="","N° dictamen",""))&lt;&gt;"","INCOMPLETA: "&amp;TRIM(IF($A490="","tipo ","")&amp;IF($F490="","fecha de firma ","")&amp;IF($G490="","decisión ","")&amp;IF($H490="","N° resolución ","")&amp;IF($I490="","N° dictamen","")),IF(LEFT($N490,4)&lt;&gt;"CONC","OK",IF(N($Q490)=0,IF(AND(ISNUMBER($E490),$E490&gt;=DATE(2024,1,1)),"FALTA EN evol_conc","OK"),IF(INDEX(evol_conc!$H:$H,$Q490)&lt;&gt;$F490,"FIRMA DISTINTA EN evol_conc ("&amp;IF(INDEX(evol_conc!$H:$H,$Q490)="","vacía",DAY(INDEX(evol_conc!$H:$H,$Q490))&amp;"/"&amp;MONTH(INDEX(evol_conc!$H:$H,$Q490))&amp;"/"&amp;YEAR(INDEX(evol_conc!$H:$H,$Q490)))&amp;")",IF(INDEX(evol_conc!$G:$G,$Q490)&lt;&gt;$E490,"INGRESO DISTINTO EN evol_conc ("&amp;IF(INDEX(evol_conc!$G:$G,$Q490)="","vacía",DAY(INDEX(evol_conc!$G:$G,$Q490))&amp;"/"&amp;MONTH(INDEX(evol_conc!$G:$G,$Q490))&amp;"/"&amp;YEAR(INDEX(evol_conc!$G:$G,$Q490)))&amp;")","OK"))))))))</f>
        <v/>
      </c>
      <c r="Q490" t="str">
        <f ca="1">IF($N490="","",IFERROR(MATCH($N490,evol_conc!$P:$P,0),0))</f>
        <v/>
      </c>
    </row>
    <row r="491" spans="12:17" ht="18" hidden="1" customHeight="1" x14ac:dyDescent="0.25">
      <c r="L491" s="53" t="str">
        <f t="shared" si="14"/>
        <v/>
      </c>
      <c r="M491" s="19" t="str">
        <f t="shared" si="15"/>
        <v/>
      </c>
      <c r="N491" t="str">
        <f ca="1">IF(TRIM(SUBSTITUTE($B491,CHAR(160)," "))="","",IFERROR(IF(ISNUMBER(SEARCH("INC",$B491)),"INC",IF(ISNUMBER(SEARCH("OPI",$B491)),"OPI",IF(ISNUMBER(SEARCH("DP",$B491)),"DP","CONC")))&amp;" "&amp;TEXT(LOOKUP(9.99E+307,--MID(SUBSTITUTE($B491,CHAR(160)," "),SUMPRODUCT(MIN(FIND({0,1,2,3,4,5,6,7,8,9},SUBSTITUTE($B491,CHAR(160)," ")&amp;"0123456789"))),ROW(INDIRECT("1:6")))),"0"),"SIN NUMERO"))</f>
        <v/>
      </c>
      <c r="O491" t="str">
        <f ca="1">IF($N491="","",IF(LEFT(UPPER($P491),9)="VERIFICAR","VERIFICAR",IF(AND($H491&lt;&gt;"",COUNTIFS($N$2:$N$1000,$N491,$H$2:$H$1000,$H491)&gt;1),"DUPLICADA",IF(TRIM(IF($A491="","tipo ","")&amp;IF($F491="","fecha de firma ","")&amp;IF($G491="","decisión ","")&amp;IF($H491="","N° resolución ","")&amp;IF($I491="","N° dictamen",""))&lt;&gt;"","INCOMPLETA: "&amp;TRIM(IF($A491="","tipo ","")&amp;IF($F491="","fecha de firma ","")&amp;IF($G491="","decisión ","")&amp;IF($H491="","N° resolución ","")&amp;IF($I491="","N° dictamen","")),IF(LEFT($N491,4)&lt;&gt;"CONC","OK",IF(N($Q491)=0,IF(AND(ISNUMBER($E491),$E491&gt;=DATE(2024,1,1)),"FALTA EN evol_conc","OK"),IF(INDEX(evol_conc!$H:$H,$Q491)&lt;&gt;$F491,"FIRMA DISTINTA EN evol_conc ("&amp;IF(INDEX(evol_conc!$H:$H,$Q491)="","vacía",DAY(INDEX(evol_conc!$H:$H,$Q491))&amp;"/"&amp;MONTH(INDEX(evol_conc!$H:$H,$Q491))&amp;"/"&amp;YEAR(INDEX(evol_conc!$H:$H,$Q491)))&amp;")",IF(INDEX(evol_conc!$G:$G,$Q491)&lt;&gt;$E491,"INGRESO DISTINTO EN evol_conc ("&amp;IF(INDEX(evol_conc!$G:$G,$Q491)="","vacía",DAY(INDEX(evol_conc!$G:$G,$Q491))&amp;"/"&amp;MONTH(INDEX(evol_conc!$G:$G,$Q491))&amp;"/"&amp;YEAR(INDEX(evol_conc!$G:$G,$Q491)))&amp;")","OK"))))))))</f>
        <v/>
      </c>
      <c r="Q491" t="str">
        <f ca="1">IF($N491="","",IFERROR(MATCH($N491,evol_conc!$P:$P,0),0))</f>
        <v/>
      </c>
    </row>
    <row r="492" spans="12:17" ht="18" hidden="1" customHeight="1" x14ac:dyDescent="0.25">
      <c r="L492" s="53" t="str">
        <f t="shared" si="14"/>
        <v/>
      </c>
      <c r="M492" s="19" t="str">
        <f t="shared" si="15"/>
        <v/>
      </c>
      <c r="N492" t="str">
        <f ca="1">IF(TRIM(SUBSTITUTE($B492,CHAR(160)," "))="","",IFERROR(IF(ISNUMBER(SEARCH("INC",$B492)),"INC",IF(ISNUMBER(SEARCH("OPI",$B492)),"OPI",IF(ISNUMBER(SEARCH("DP",$B492)),"DP","CONC")))&amp;" "&amp;TEXT(LOOKUP(9.99E+307,--MID(SUBSTITUTE($B492,CHAR(160)," "),SUMPRODUCT(MIN(FIND({0,1,2,3,4,5,6,7,8,9},SUBSTITUTE($B492,CHAR(160)," ")&amp;"0123456789"))),ROW(INDIRECT("1:6")))),"0"),"SIN NUMERO"))</f>
        <v/>
      </c>
      <c r="O492" t="str">
        <f ca="1">IF($N492="","",IF(LEFT(UPPER($P492),9)="VERIFICAR","VERIFICAR",IF(AND($H492&lt;&gt;"",COUNTIFS($N$2:$N$1000,$N492,$H$2:$H$1000,$H492)&gt;1),"DUPLICADA",IF(TRIM(IF($A492="","tipo ","")&amp;IF($F492="","fecha de firma ","")&amp;IF($G492="","decisión ","")&amp;IF($H492="","N° resolución ","")&amp;IF($I492="","N° dictamen",""))&lt;&gt;"","INCOMPLETA: "&amp;TRIM(IF($A492="","tipo ","")&amp;IF($F492="","fecha de firma ","")&amp;IF($G492="","decisión ","")&amp;IF($H492="","N° resolución ","")&amp;IF($I492="","N° dictamen","")),IF(LEFT($N492,4)&lt;&gt;"CONC","OK",IF(N($Q492)=0,IF(AND(ISNUMBER($E492),$E492&gt;=DATE(2024,1,1)),"FALTA EN evol_conc","OK"),IF(INDEX(evol_conc!$H:$H,$Q492)&lt;&gt;$F492,"FIRMA DISTINTA EN evol_conc ("&amp;IF(INDEX(evol_conc!$H:$H,$Q492)="","vacía",DAY(INDEX(evol_conc!$H:$H,$Q492))&amp;"/"&amp;MONTH(INDEX(evol_conc!$H:$H,$Q492))&amp;"/"&amp;YEAR(INDEX(evol_conc!$H:$H,$Q492)))&amp;")",IF(INDEX(evol_conc!$G:$G,$Q492)&lt;&gt;$E492,"INGRESO DISTINTO EN evol_conc ("&amp;IF(INDEX(evol_conc!$G:$G,$Q492)="","vacía",DAY(INDEX(evol_conc!$G:$G,$Q492))&amp;"/"&amp;MONTH(INDEX(evol_conc!$G:$G,$Q492))&amp;"/"&amp;YEAR(INDEX(evol_conc!$G:$G,$Q492)))&amp;")","OK"))))))))</f>
        <v/>
      </c>
      <c r="Q492" t="str">
        <f ca="1">IF($N492="","",IFERROR(MATCH($N492,evol_conc!$P:$P,0),0))</f>
        <v/>
      </c>
    </row>
    <row r="493" spans="12:17" ht="18" hidden="1" customHeight="1" x14ac:dyDescent="0.25">
      <c r="L493" s="53" t="str">
        <f t="shared" si="14"/>
        <v/>
      </c>
      <c r="M493" s="19" t="str">
        <f t="shared" si="15"/>
        <v/>
      </c>
      <c r="N493" t="str">
        <f ca="1">IF(TRIM(SUBSTITUTE($B493,CHAR(160)," "))="","",IFERROR(IF(ISNUMBER(SEARCH("INC",$B493)),"INC",IF(ISNUMBER(SEARCH("OPI",$B493)),"OPI",IF(ISNUMBER(SEARCH("DP",$B493)),"DP","CONC")))&amp;" "&amp;TEXT(LOOKUP(9.99E+307,--MID(SUBSTITUTE($B493,CHAR(160)," "),SUMPRODUCT(MIN(FIND({0,1,2,3,4,5,6,7,8,9},SUBSTITUTE($B493,CHAR(160)," ")&amp;"0123456789"))),ROW(INDIRECT("1:6")))),"0"),"SIN NUMERO"))</f>
        <v/>
      </c>
      <c r="O493" t="str">
        <f ca="1">IF($N493="","",IF(LEFT(UPPER($P493),9)="VERIFICAR","VERIFICAR",IF(AND($H493&lt;&gt;"",COUNTIFS($N$2:$N$1000,$N493,$H$2:$H$1000,$H493)&gt;1),"DUPLICADA",IF(TRIM(IF($A493="","tipo ","")&amp;IF($F493="","fecha de firma ","")&amp;IF($G493="","decisión ","")&amp;IF($H493="","N° resolución ","")&amp;IF($I493="","N° dictamen",""))&lt;&gt;"","INCOMPLETA: "&amp;TRIM(IF($A493="","tipo ","")&amp;IF($F493="","fecha de firma ","")&amp;IF($G493="","decisión ","")&amp;IF($H493="","N° resolución ","")&amp;IF($I493="","N° dictamen","")),IF(LEFT($N493,4)&lt;&gt;"CONC","OK",IF(N($Q493)=0,IF(AND(ISNUMBER($E493),$E493&gt;=DATE(2024,1,1)),"FALTA EN evol_conc","OK"),IF(INDEX(evol_conc!$H:$H,$Q493)&lt;&gt;$F493,"FIRMA DISTINTA EN evol_conc ("&amp;IF(INDEX(evol_conc!$H:$H,$Q493)="","vacía",DAY(INDEX(evol_conc!$H:$H,$Q493))&amp;"/"&amp;MONTH(INDEX(evol_conc!$H:$H,$Q493))&amp;"/"&amp;YEAR(INDEX(evol_conc!$H:$H,$Q493)))&amp;")",IF(INDEX(evol_conc!$G:$G,$Q493)&lt;&gt;$E493,"INGRESO DISTINTO EN evol_conc ("&amp;IF(INDEX(evol_conc!$G:$G,$Q493)="","vacía",DAY(INDEX(evol_conc!$G:$G,$Q493))&amp;"/"&amp;MONTH(INDEX(evol_conc!$G:$G,$Q493))&amp;"/"&amp;YEAR(INDEX(evol_conc!$G:$G,$Q493)))&amp;")","OK"))))))))</f>
        <v/>
      </c>
      <c r="Q493" t="str">
        <f ca="1">IF($N493="","",IFERROR(MATCH($N493,evol_conc!$P:$P,0),0))</f>
        <v/>
      </c>
    </row>
    <row r="494" spans="12:17" ht="18" hidden="1" customHeight="1" x14ac:dyDescent="0.25">
      <c r="L494" s="53" t="str">
        <f t="shared" si="14"/>
        <v/>
      </c>
      <c r="M494" s="19" t="str">
        <f t="shared" si="15"/>
        <v/>
      </c>
      <c r="N494" t="str">
        <f ca="1">IF(TRIM(SUBSTITUTE($B494,CHAR(160)," "))="","",IFERROR(IF(ISNUMBER(SEARCH("INC",$B494)),"INC",IF(ISNUMBER(SEARCH("OPI",$B494)),"OPI",IF(ISNUMBER(SEARCH("DP",$B494)),"DP","CONC")))&amp;" "&amp;TEXT(LOOKUP(9.99E+307,--MID(SUBSTITUTE($B494,CHAR(160)," "),SUMPRODUCT(MIN(FIND({0,1,2,3,4,5,6,7,8,9},SUBSTITUTE($B494,CHAR(160)," ")&amp;"0123456789"))),ROW(INDIRECT("1:6")))),"0"),"SIN NUMERO"))</f>
        <v/>
      </c>
      <c r="O494" t="str">
        <f ca="1">IF($N494="","",IF(LEFT(UPPER($P494),9)="VERIFICAR","VERIFICAR",IF(AND($H494&lt;&gt;"",COUNTIFS($N$2:$N$1000,$N494,$H$2:$H$1000,$H494)&gt;1),"DUPLICADA",IF(TRIM(IF($A494="","tipo ","")&amp;IF($F494="","fecha de firma ","")&amp;IF($G494="","decisión ","")&amp;IF($H494="","N° resolución ","")&amp;IF($I494="","N° dictamen",""))&lt;&gt;"","INCOMPLETA: "&amp;TRIM(IF($A494="","tipo ","")&amp;IF($F494="","fecha de firma ","")&amp;IF($G494="","decisión ","")&amp;IF($H494="","N° resolución ","")&amp;IF($I494="","N° dictamen","")),IF(LEFT($N494,4)&lt;&gt;"CONC","OK",IF(N($Q494)=0,IF(AND(ISNUMBER($E494),$E494&gt;=DATE(2024,1,1)),"FALTA EN evol_conc","OK"),IF(INDEX(evol_conc!$H:$H,$Q494)&lt;&gt;$F494,"FIRMA DISTINTA EN evol_conc ("&amp;IF(INDEX(evol_conc!$H:$H,$Q494)="","vacía",DAY(INDEX(evol_conc!$H:$H,$Q494))&amp;"/"&amp;MONTH(INDEX(evol_conc!$H:$H,$Q494))&amp;"/"&amp;YEAR(INDEX(evol_conc!$H:$H,$Q494)))&amp;")",IF(INDEX(evol_conc!$G:$G,$Q494)&lt;&gt;$E494,"INGRESO DISTINTO EN evol_conc ("&amp;IF(INDEX(evol_conc!$G:$G,$Q494)="","vacía",DAY(INDEX(evol_conc!$G:$G,$Q494))&amp;"/"&amp;MONTH(INDEX(evol_conc!$G:$G,$Q494))&amp;"/"&amp;YEAR(INDEX(evol_conc!$G:$G,$Q494)))&amp;")","OK"))))))))</f>
        <v/>
      </c>
      <c r="Q494" t="str">
        <f ca="1">IF($N494="","",IFERROR(MATCH($N494,evol_conc!$P:$P,0),0))</f>
        <v/>
      </c>
    </row>
    <row r="495" spans="12:17" ht="18" hidden="1" customHeight="1" x14ac:dyDescent="0.25">
      <c r="L495" s="53" t="str">
        <f t="shared" si="14"/>
        <v/>
      </c>
      <c r="M495" s="19" t="str">
        <f t="shared" si="15"/>
        <v/>
      </c>
      <c r="N495" t="str">
        <f ca="1">IF(TRIM(SUBSTITUTE($B495,CHAR(160)," "))="","",IFERROR(IF(ISNUMBER(SEARCH("INC",$B495)),"INC",IF(ISNUMBER(SEARCH("OPI",$B495)),"OPI",IF(ISNUMBER(SEARCH("DP",$B495)),"DP","CONC")))&amp;" "&amp;TEXT(LOOKUP(9.99E+307,--MID(SUBSTITUTE($B495,CHAR(160)," "),SUMPRODUCT(MIN(FIND({0,1,2,3,4,5,6,7,8,9},SUBSTITUTE($B495,CHAR(160)," ")&amp;"0123456789"))),ROW(INDIRECT("1:6")))),"0"),"SIN NUMERO"))</f>
        <v/>
      </c>
      <c r="O495" t="str">
        <f ca="1">IF($N495="","",IF(LEFT(UPPER($P495),9)="VERIFICAR","VERIFICAR",IF(AND($H495&lt;&gt;"",COUNTIFS($N$2:$N$1000,$N495,$H$2:$H$1000,$H495)&gt;1),"DUPLICADA",IF(TRIM(IF($A495="","tipo ","")&amp;IF($F495="","fecha de firma ","")&amp;IF($G495="","decisión ","")&amp;IF($H495="","N° resolución ","")&amp;IF($I495="","N° dictamen",""))&lt;&gt;"","INCOMPLETA: "&amp;TRIM(IF($A495="","tipo ","")&amp;IF($F495="","fecha de firma ","")&amp;IF($G495="","decisión ","")&amp;IF($H495="","N° resolución ","")&amp;IF($I495="","N° dictamen","")),IF(LEFT($N495,4)&lt;&gt;"CONC","OK",IF(N($Q495)=0,IF(AND(ISNUMBER($E495),$E495&gt;=DATE(2024,1,1)),"FALTA EN evol_conc","OK"),IF(INDEX(evol_conc!$H:$H,$Q495)&lt;&gt;$F495,"FIRMA DISTINTA EN evol_conc ("&amp;IF(INDEX(evol_conc!$H:$H,$Q495)="","vacía",DAY(INDEX(evol_conc!$H:$H,$Q495))&amp;"/"&amp;MONTH(INDEX(evol_conc!$H:$H,$Q495))&amp;"/"&amp;YEAR(INDEX(evol_conc!$H:$H,$Q495)))&amp;")",IF(INDEX(evol_conc!$G:$G,$Q495)&lt;&gt;$E495,"INGRESO DISTINTO EN evol_conc ("&amp;IF(INDEX(evol_conc!$G:$G,$Q495)="","vacía",DAY(INDEX(evol_conc!$G:$G,$Q495))&amp;"/"&amp;MONTH(INDEX(evol_conc!$G:$G,$Q495))&amp;"/"&amp;YEAR(INDEX(evol_conc!$G:$G,$Q495)))&amp;")","OK"))))))))</f>
        <v/>
      </c>
      <c r="Q495" t="str">
        <f ca="1">IF($N495="","",IFERROR(MATCH($N495,evol_conc!$P:$P,0),0))</f>
        <v/>
      </c>
    </row>
    <row r="496" spans="12:17" ht="18" hidden="1" customHeight="1" x14ac:dyDescent="0.25">
      <c r="L496" s="53" t="str">
        <f t="shared" si="14"/>
        <v/>
      </c>
      <c r="M496" s="19" t="str">
        <f t="shared" si="15"/>
        <v/>
      </c>
      <c r="N496" t="str">
        <f ca="1">IF(TRIM(SUBSTITUTE($B496,CHAR(160)," "))="","",IFERROR(IF(ISNUMBER(SEARCH("INC",$B496)),"INC",IF(ISNUMBER(SEARCH("OPI",$B496)),"OPI",IF(ISNUMBER(SEARCH("DP",$B496)),"DP","CONC")))&amp;" "&amp;TEXT(LOOKUP(9.99E+307,--MID(SUBSTITUTE($B496,CHAR(160)," "),SUMPRODUCT(MIN(FIND({0,1,2,3,4,5,6,7,8,9},SUBSTITUTE($B496,CHAR(160)," ")&amp;"0123456789"))),ROW(INDIRECT("1:6")))),"0"),"SIN NUMERO"))</f>
        <v/>
      </c>
      <c r="O496" t="str">
        <f ca="1">IF($N496="","",IF(LEFT(UPPER($P496),9)="VERIFICAR","VERIFICAR",IF(AND($H496&lt;&gt;"",COUNTIFS($N$2:$N$1000,$N496,$H$2:$H$1000,$H496)&gt;1),"DUPLICADA",IF(TRIM(IF($A496="","tipo ","")&amp;IF($F496="","fecha de firma ","")&amp;IF($G496="","decisión ","")&amp;IF($H496="","N° resolución ","")&amp;IF($I496="","N° dictamen",""))&lt;&gt;"","INCOMPLETA: "&amp;TRIM(IF($A496="","tipo ","")&amp;IF($F496="","fecha de firma ","")&amp;IF($G496="","decisión ","")&amp;IF($H496="","N° resolución ","")&amp;IF($I496="","N° dictamen","")),IF(LEFT($N496,4)&lt;&gt;"CONC","OK",IF(N($Q496)=0,IF(AND(ISNUMBER($E496),$E496&gt;=DATE(2024,1,1)),"FALTA EN evol_conc","OK"),IF(INDEX(evol_conc!$H:$H,$Q496)&lt;&gt;$F496,"FIRMA DISTINTA EN evol_conc ("&amp;IF(INDEX(evol_conc!$H:$H,$Q496)="","vacía",DAY(INDEX(evol_conc!$H:$H,$Q496))&amp;"/"&amp;MONTH(INDEX(evol_conc!$H:$H,$Q496))&amp;"/"&amp;YEAR(INDEX(evol_conc!$H:$H,$Q496)))&amp;")",IF(INDEX(evol_conc!$G:$G,$Q496)&lt;&gt;$E496,"INGRESO DISTINTO EN evol_conc ("&amp;IF(INDEX(evol_conc!$G:$G,$Q496)="","vacía",DAY(INDEX(evol_conc!$G:$G,$Q496))&amp;"/"&amp;MONTH(INDEX(evol_conc!$G:$G,$Q496))&amp;"/"&amp;YEAR(INDEX(evol_conc!$G:$G,$Q496)))&amp;")","OK"))))))))</f>
        <v/>
      </c>
      <c r="Q496" t="str">
        <f ca="1">IF($N496="","",IFERROR(MATCH($N496,evol_conc!$P:$P,0),0))</f>
        <v/>
      </c>
    </row>
    <row r="497" spans="12:17" ht="18" hidden="1" customHeight="1" x14ac:dyDescent="0.25">
      <c r="L497" s="53" t="str">
        <f t="shared" si="14"/>
        <v/>
      </c>
      <c r="M497" s="19" t="str">
        <f t="shared" si="15"/>
        <v/>
      </c>
      <c r="N497" t="str">
        <f ca="1">IF(TRIM(SUBSTITUTE($B497,CHAR(160)," "))="","",IFERROR(IF(ISNUMBER(SEARCH("INC",$B497)),"INC",IF(ISNUMBER(SEARCH("OPI",$B497)),"OPI",IF(ISNUMBER(SEARCH("DP",$B497)),"DP","CONC")))&amp;" "&amp;TEXT(LOOKUP(9.99E+307,--MID(SUBSTITUTE($B497,CHAR(160)," "),SUMPRODUCT(MIN(FIND({0,1,2,3,4,5,6,7,8,9},SUBSTITUTE($B497,CHAR(160)," ")&amp;"0123456789"))),ROW(INDIRECT("1:6")))),"0"),"SIN NUMERO"))</f>
        <v/>
      </c>
      <c r="O497" t="str">
        <f ca="1">IF($N497="","",IF(LEFT(UPPER($P497),9)="VERIFICAR","VERIFICAR",IF(AND($H497&lt;&gt;"",COUNTIFS($N$2:$N$1000,$N497,$H$2:$H$1000,$H497)&gt;1),"DUPLICADA",IF(TRIM(IF($A497="","tipo ","")&amp;IF($F497="","fecha de firma ","")&amp;IF($G497="","decisión ","")&amp;IF($H497="","N° resolución ","")&amp;IF($I497="","N° dictamen",""))&lt;&gt;"","INCOMPLETA: "&amp;TRIM(IF($A497="","tipo ","")&amp;IF($F497="","fecha de firma ","")&amp;IF($G497="","decisión ","")&amp;IF($H497="","N° resolución ","")&amp;IF($I497="","N° dictamen","")),IF(LEFT($N497,4)&lt;&gt;"CONC","OK",IF(N($Q497)=0,IF(AND(ISNUMBER($E497),$E497&gt;=DATE(2024,1,1)),"FALTA EN evol_conc","OK"),IF(INDEX(evol_conc!$H:$H,$Q497)&lt;&gt;$F497,"FIRMA DISTINTA EN evol_conc ("&amp;IF(INDEX(evol_conc!$H:$H,$Q497)="","vacía",DAY(INDEX(evol_conc!$H:$H,$Q497))&amp;"/"&amp;MONTH(INDEX(evol_conc!$H:$H,$Q497))&amp;"/"&amp;YEAR(INDEX(evol_conc!$H:$H,$Q497)))&amp;")",IF(INDEX(evol_conc!$G:$G,$Q497)&lt;&gt;$E497,"INGRESO DISTINTO EN evol_conc ("&amp;IF(INDEX(evol_conc!$G:$G,$Q497)="","vacía",DAY(INDEX(evol_conc!$G:$G,$Q497))&amp;"/"&amp;MONTH(INDEX(evol_conc!$G:$G,$Q497))&amp;"/"&amp;YEAR(INDEX(evol_conc!$G:$G,$Q497)))&amp;")","OK"))))))))</f>
        <v/>
      </c>
      <c r="Q497" t="str">
        <f ca="1">IF($N497="","",IFERROR(MATCH($N497,evol_conc!$P:$P,0),0))</f>
        <v/>
      </c>
    </row>
    <row r="498" spans="12:17" ht="18" hidden="1" customHeight="1" x14ac:dyDescent="0.25">
      <c r="L498" s="53" t="str">
        <f t="shared" si="14"/>
        <v/>
      </c>
      <c r="M498" s="19" t="str">
        <f t="shared" si="15"/>
        <v/>
      </c>
      <c r="N498" t="str">
        <f ca="1">IF(TRIM(SUBSTITUTE($B498,CHAR(160)," "))="","",IFERROR(IF(ISNUMBER(SEARCH("INC",$B498)),"INC",IF(ISNUMBER(SEARCH("OPI",$B498)),"OPI",IF(ISNUMBER(SEARCH("DP",$B498)),"DP","CONC")))&amp;" "&amp;TEXT(LOOKUP(9.99E+307,--MID(SUBSTITUTE($B498,CHAR(160)," "),SUMPRODUCT(MIN(FIND({0,1,2,3,4,5,6,7,8,9},SUBSTITUTE($B498,CHAR(160)," ")&amp;"0123456789"))),ROW(INDIRECT("1:6")))),"0"),"SIN NUMERO"))</f>
        <v/>
      </c>
      <c r="O498" t="str">
        <f ca="1">IF($N498="","",IF(LEFT(UPPER($P498),9)="VERIFICAR","VERIFICAR",IF(AND($H498&lt;&gt;"",COUNTIFS($N$2:$N$1000,$N498,$H$2:$H$1000,$H498)&gt;1),"DUPLICADA",IF(TRIM(IF($A498="","tipo ","")&amp;IF($F498="","fecha de firma ","")&amp;IF($G498="","decisión ","")&amp;IF($H498="","N° resolución ","")&amp;IF($I498="","N° dictamen",""))&lt;&gt;"","INCOMPLETA: "&amp;TRIM(IF($A498="","tipo ","")&amp;IF($F498="","fecha de firma ","")&amp;IF($G498="","decisión ","")&amp;IF($H498="","N° resolución ","")&amp;IF($I498="","N° dictamen","")),IF(LEFT($N498,4)&lt;&gt;"CONC","OK",IF(N($Q498)=0,IF(AND(ISNUMBER($E498),$E498&gt;=DATE(2024,1,1)),"FALTA EN evol_conc","OK"),IF(INDEX(evol_conc!$H:$H,$Q498)&lt;&gt;$F498,"FIRMA DISTINTA EN evol_conc ("&amp;IF(INDEX(evol_conc!$H:$H,$Q498)="","vacía",DAY(INDEX(evol_conc!$H:$H,$Q498))&amp;"/"&amp;MONTH(INDEX(evol_conc!$H:$H,$Q498))&amp;"/"&amp;YEAR(INDEX(evol_conc!$H:$H,$Q498)))&amp;")",IF(INDEX(evol_conc!$G:$G,$Q498)&lt;&gt;$E498,"INGRESO DISTINTO EN evol_conc ("&amp;IF(INDEX(evol_conc!$G:$G,$Q498)="","vacía",DAY(INDEX(evol_conc!$G:$G,$Q498))&amp;"/"&amp;MONTH(INDEX(evol_conc!$G:$G,$Q498))&amp;"/"&amp;YEAR(INDEX(evol_conc!$G:$G,$Q498)))&amp;")","OK"))))))))</f>
        <v/>
      </c>
      <c r="Q498" t="str">
        <f ca="1">IF($N498="","",IFERROR(MATCH($N498,evol_conc!$P:$P,0),0))</f>
        <v/>
      </c>
    </row>
    <row r="499" spans="12:17" ht="18" hidden="1" customHeight="1" x14ac:dyDescent="0.25">
      <c r="L499" s="53" t="str">
        <f t="shared" si="14"/>
        <v/>
      </c>
      <c r="M499" s="19" t="str">
        <f t="shared" si="15"/>
        <v/>
      </c>
      <c r="N499" t="str">
        <f ca="1">IF(TRIM(SUBSTITUTE($B499,CHAR(160)," "))="","",IFERROR(IF(ISNUMBER(SEARCH("INC",$B499)),"INC",IF(ISNUMBER(SEARCH("OPI",$B499)),"OPI",IF(ISNUMBER(SEARCH("DP",$B499)),"DP","CONC")))&amp;" "&amp;TEXT(LOOKUP(9.99E+307,--MID(SUBSTITUTE($B499,CHAR(160)," "),SUMPRODUCT(MIN(FIND({0,1,2,3,4,5,6,7,8,9},SUBSTITUTE($B499,CHAR(160)," ")&amp;"0123456789"))),ROW(INDIRECT("1:6")))),"0"),"SIN NUMERO"))</f>
        <v/>
      </c>
      <c r="O499" t="str">
        <f ca="1">IF($N499="","",IF(LEFT(UPPER($P499),9)="VERIFICAR","VERIFICAR",IF(AND($H499&lt;&gt;"",COUNTIFS($N$2:$N$1000,$N499,$H$2:$H$1000,$H499)&gt;1),"DUPLICADA",IF(TRIM(IF($A499="","tipo ","")&amp;IF($F499="","fecha de firma ","")&amp;IF($G499="","decisión ","")&amp;IF($H499="","N° resolución ","")&amp;IF($I499="","N° dictamen",""))&lt;&gt;"","INCOMPLETA: "&amp;TRIM(IF($A499="","tipo ","")&amp;IF($F499="","fecha de firma ","")&amp;IF($G499="","decisión ","")&amp;IF($H499="","N° resolución ","")&amp;IF($I499="","N° dictamen","")),IF(LEFT($N499,4)&lt;&gt;"CONC","OK",IF(N($Q499)=0,IF(AND(ISNUMBER($E499),$E499&gt;=DATE(2024,1,1)),"FALTA EN evol_conc","OK"),IF(INDEX(evol_conc!$H:$H,$Q499)&lt;&gt;$F499,"FIRMA DISTINTA EN evol_conc ("&amp;IF(INDEX(evol_conc!$H:$H,$Q499)="","vacía",DAY(INDEX(evol_conc!$H:$H,$Q499))&amp;"/"&amp;MONTH(INDEX(evol_conc!$H:$H,$Q499))&amp;"/"&amp;YEAR(INDEX(evol_conc!$H:$H,$Q499)))&amp;")",IF(INDEX(evol_conc!$G:$G,$Q499)&lt;&gt;$E499,"INGRESO DISTINTO EN evol_conc ("&amp;IF(INDEX(evol_conc!$G:$G,$Q499)="","vacía",DAY(INDEX(evol_conc!$G:$G,$Q499))&amp;"/"&amp;MONTH(INDEX(evol_conc!$G:$G,$Q499))&amp;"/"&amp;YEAR(INDEX(evol_conc!$G:$G,$Q499)))&amp;")","OK"))))))))</f>
        <v/>
      </c>
      <c r="Q499" t="str">
        <f ca="1">IF($N499="","",IFERROR(MATCH($N499,evol_conc!$P:$P,0),0))</f>
        <v/>
      </c>
    </row>
    <row r="500" spans="12:17" ht="18" hidden="1" customHeight="1" x14ac:dyDescent="0.25">
      <c r="L500" s="53" t="str">
        <f t="shared" si="14"/>
        <v/>
      </c>
      <c r="M500" s="19" t="str">
        <f t="shared" si="15"/>
        <v/>
      </c>
      <c r="N500" t="str">
        <f ca="1">IF(TRIM(SUBSTITUTE($B500,CHAR(160)," "))="","",IFERROR(IF(ISNUMBER(SEARCH("INC",$B500)),"INC",IF(ISNUMBER(SEARCH("OPI",$B500)),"OPI",IF(ISNUMBER(SEARCH("DP",$B500)),"DP","CONC")))&amp;" "&amp;TEXT(LOOKUP(9.99E+307,--MID(SUBSTITUTE($B500,CHAR(160)," "),SUMPRODUCT(MIN(FIND({0,1,2,3,4,5,6,7,8,9},SUBSTITUTE($B500,CHAR(160)," ")&amp;"0123456789"))),ROW(INDIRECT("1:6")))),"0"),"SIN NUMERO"))</f>
        <v/>
      </c>
      <c r="O500" t="str">
        <f ca="1">IF($N500="","",IF(LEFT(UPPER($P500),9)="VERIFICAR","VERIFICAR",IF(AND($H500&lt;&gt;"",COUNTIFS($N$2:$N$1000,$N500,$H$2:$H$1000,$H500)&gt;1),"DUPLICADA",IF(TRIM(IF($A500="","tipo ","")&amp;IF($F500="","fecha de firma ","")&amp;IF($G500="","decisión ","")&amp;IF($H500="","N° resolución ","")&amp;IF($I500="","N° dictamen",""))&lt;&gt;"","INCOMPLETA: "&amp;TRIM(IF($A500="","tipo ","")&amp;IF($F500="","fecha de firma ","")&amp;IF($G500="","decisión ","")&amp;IF($H500="","N° resolución ","")&amp;IF($I500="","N° dictamen","")),IF(LEFT($N500,4)&lt;&gt;"CONC","OK",IF(N($Q500)=0,IF(AND(ISNUMBER($E500),$E500&gt;=DATE(2024,1,1)),"FALTA EN evol_conc","OK"),IF(INDEX(evol_conc!$H:$H,$Q500)&lt;&gt;$F500,"FIRMA DISTINTA EN evol_conc ("&amp;IF(INDEX(evol_conc!$H:$H,$Q500)="","vacía",DAY(INDEX(evol_conc!$H:$H,$Q500))&amp;"/"&amp;MONTH(INDEX(evol_conc!$H:$H,$Q500))&amp;"/"&amp;YEAR(INDEX(evol_conc!$H:$H,$Q500)))&amp;")",IF(INDEX(evol_conc!$G:$G,$Q500)&lt;&gt;$E500,"INGRESO DISTINTO EN evol_conc ("&amp;IF(INDEX(evol_conc!$G:$G,$Q500)="","vacía",DAY(INDEX(evol_conc!$G:$G,$Q500))&amp;"/"&amp;MONTH(INDEX(evol_conc!$G:$G,$Q500))&amp;"/"&amp;YEAR(INDEX(evol_conc!$G:$G,$Q500)))&amp;")","OK"))))))))</f>
        <v/>
      </c>
      <c r="Q500" t="str">
        <f ca="1">IF($N500="","",IFERROR(MATCH($N500,evol_conc!$P:$P,0),0))</f>
        <v/>
      </c>
    </row>
    <row r="501" spans="12:17" ht="18" hidden="1" customHeight="1" x14ac:dyDescent="0.25">
      <c r="L501" s="53" t="str">
        <f t="shared" si="14"/>
        <v/>
      </c>
      <c r="M501" s="19" t="str">
        <f t="shared" si="15"/>
        <v/>
      </c>
      <c r="N501" t="str">
        <f ca="1">IF(TRIM(SUBSTITUTE($B501,CHAR(160)," "))="","",IFERROR(IF(ISNUMBER(SEARCH("INC",$B501)),"INC",IF(ISNUMBER(SEARCH("OPI",$B501)),"OPI",IF(ISNUMBER(SEARCH("DP",$B501)),"DP","CONC")))&amp;" "&amp;TEXT(LOOKUP(9.99E+307,--MID(SUBSTITUTE($B501,CHAR(160)," "),SUMPRODUCT(MIN(FIND({0,1,2,3,4,5,6,7,8,9},SUBSTITUTE($B501,CHAR(160)," ")&amp;"0123456789"))),ROW(INDIRECT("1:6")))),"0"),"SIN NUMERO"))</f>
        <v/>
      </c>
      <c r="O501" t="str">
        <f ca="1">IF($N501="","",IF(LEFT(UPPER($P501),9)="VERIFICAR","VERIFICAR",IF(AND($H501&lt;&gt;"",COUNTIFS($N$2:$N$1000,$N501,$H$2:$H$1000,$H501)&gt;1),"DUPLICADA",IF(TRIM(IF($A501="","tipo ","")&amp;IF($F501="","fecha de firma ","")&amp;IF($G501="","decisión ","")&amp;IF($H501="","N° resolución ","")&amp;IF($I501="","N° dictamen",""))&lt;&gt;"","INCOMPLETA: "&amp;TRIM(IF($A501="","tipo ","")&amp;IF($F501="","fecha de firma ","")&amp;IF($G501="","decisión ","")&amp;IF($H501="","N° resolución ","")&amp;IF($I501="","N° dictamen","")),IF(LEFT($N501,4)&lt;&gt;"CONC","OK",IF(N($Q501)=0,IF(AND(ISNUMBER($E501),$E501&gt;=DATE(2024,1,1)),"FALTA EN evol_conc","OK"),IF(INDEX(evol_conc!$H:$H,$Q501)&lt;&gt;$F501,"FIRMA DISTINTA EN evol_conc ("&amp;IF(INDEX(evol_conc!$H:$H,$Q501)="","vacía",DAY(INDEX(evol_conc!$H:$H,$Q501))&amp;"/"&amp;MONTH(INDEX(evol_conc!$H:$H,$Q501))&amp;"/"&amp;YEAR(INDEX(evol_conc!$H:$H,$Q501)))&amp;")",IF(INDEX(evol_conc!$G:$G,$Q501)&lt;&gt;$E501,"INGRESO DISTINTO EN evol_conc ("&amp;IF(INDEX(evol_conc!$G:$G,$Q501)="","vacía",DAY(INDEX(evol_conc!$G:$G,$Q501))&amp;"/"&amp;MONTH(INDEX(evol_conc!$G:$G,$Q501))&amp;"/"&amp;YEAR(INDEX(evol_conc!$G:$G,$Q501)))&amp;")","OK"))))))))</f>
        <v/>
      </c>
      <c r="Q501" t="str">
        <f ca="1">IF($N501="","",IFERROR(MATCH($N501,evol_conc!$P:$P,0),0))</f>
        <v/>
      </c>
    </row>
    <row r="502" spans="12:17" ht="18" hidden="1" customHeight="1" x14ac:dyDescent="0.25">
      <c r="L502" s="53" t="str">
        <f t="shared" si="14"/>
        <v/>
      </c>
      <c r="M502" s="19" t="str">
        <f t="shared" si="15"/>
        <v/>
      </c>
      <c r="N502" t="str">
        <f ca="1">IF(TRIM(SUBSTITUTE($B502,CHAR(160)," "))="","",IFERROR(IF(ISNUMBER(SEARCH("INC",$B502)),"INC",IF(ISNUMBER(SEARCH("OPI",$B502)),"OPI",IF(ISNUMBER(SEARCH("DP",$B502)),"DP","CONC")))&amp;" "&amp;TEXT(LOOKUP(9.99E+307,--MID(SUBSTITUTE($B502,CHAR(160)," "),SUMPRODUCT(MIN(FIND({0,1,2,3,4,5,6,7,8,9},SUBSTITUTE($B502,CHAR(160)," ")&amp;"0123456789"))),ROW(INDIRECT("1:6")))),"0"),"SIN NUMERO"))</f>
        <v/>
      </c>
      <c r="O502" t="str">
        <f ca="1">IF($N502="","",IF(LEFT(UPPER($P502),9)="VERIFICAR","VERIFICAR",IF(AND($H502&lt;&gt;"",COUNTIFS($N$2:$N$1000,$N502,$H$2:$H$1000,$H502)&gt;1),"DUPLICADA",IF(TRIM(IF($A502="","tipo ","")&amp;IF($F502="","fecha de firma ","")&amp;IF($G502="","decisión ","")&amp;IF($H502="","N° resolución ","")&amp;IF($I502="","N° dictamen",""))&lt;&gt;"","INCOMPLETA: "&amp;TRIM(IF($A502="","tipo ","")&amp;IF($F502="","fecha de firma ","")&amp;IF($G502="","decisión ","")&amp;IF($H502="","N° resolución ","")&amp;IF($I502="","N° dictamen","")),IF(LEFT($N502,4)&lt;&gt;"CONC","OK",IF(N($Q502)=0,IF(AND(ISNUMBER($E502),$E502&gt;=DATE(2024,1,1)),"FALTA EN evol_conc","OK"),IF(INDEX(evol_conc!$H:$H,$Q502)&lt;&gt;$F502,"FIRMA DISTINTA EN evol_conc ("&amp;IF(INDEX(evol_conc!$H:$H,$Q502)="","vacía",DAY(INDEX(evol_conc!$H:$H,$Q502))&amp;"/"&amp;MONTH(INDEX(evol_conc!$H:$H,$Q502))&amp;"/"&amp;YEAR(INDEX(evol_conc!$H:$H,$Q502)))&amp;")",IF(INDEX(evol_conc!$G:$G,$Q502)&lt;&gt;$E502,"INGRESO DISTINTO EN evol_conc ("&amp;IF(INDEX(evol_conc!$G:$G,$Q502)="","vacía",DAY(INDEX(evol_conc!$G:$G,$Q502))&amp;"/"&amp;MONTH(INDEX(evol_conc!$G:$G,$Q502))&amp;"/"&amp;YEAR(INDEX(evol_conc!$G:$G,$Q502)))&amp;")","OK"))))))))</f>
        <v/>
      </c>
      <c r="Q502" t="str">
        <f ca="1">IF($N502="","",IFERROR(MATCH($N502,evol_conc!$P:$P,0),0))</f>
        <v/>
      </c>
    </row>
    <row r="503" spans="12:17" ht="18" hidden="1" customHeight="1" x14ac:dyDescent="0.25">
      <c r="L503" s="53" t="str">
        <f t="shared" si="14"/>
        <v/>
      </c>
      <c r="M503" s="19" t="str">
        <f t="shared" si="15"/>
        <v/>
      </c>
      <c r="N503" t="str">
        <f ca="1">IF(TRIM(SUBSTITUTE($B503,CHAR(160)," "))="","",IFERROR(IF(ISNUMBER(SEARCH("INC",$B503)),"INC",IF(ISNUMBER(SEARCH("OPI",$B503)),"OPI",IF(ISNUMBER(SEARCH("DP",$B503)),"DP","CONC")))&amp;" "&amp;TEXT(LOOKUP(9.99E+307,--MID(SUBSTITUTE($B503,CHAR(160)," "),SUMPRODUCT(MIN(FIND({0,1,2,3,4,5,6,7,8,9},SUBSTITUTE($B503,CHAR(160)," ")&amp;"0123456789"))),ROW(INDIRECT("1:6")))),"0"),"SIN NUMERO"))</f>
        <v/>
      </c>
      <c r="O503" t="str">
        <f ca="1">IF($N503="","",IF(LEFT(UPPER($P503),9)="VERIFICAR","VERIFICAR",IF(AND($H503&lt;&gt;"",COUNTIFS($N$2:$N$1000,$N503,$H$2:$H$1000,$H503)&gt;1),"DUPLICADA",IF(TRIM(IF($A503="","tipo ","")&amp;IF($F503="","fecha de firma ","")&amp;IF($G503="","decisión ","")&amp;IF($H503="","N° resolución ","")&amp;IF($I503="","N° dictamen",""))&lt;&gt;"","INCOMPLETA: "&amp;TRIM(IF($A503="","tipo ","")&amp;IF($F503="","fecha de firma ","")&amp;IF($G503="","decisión ","")&amp;IF($H503="","N° resolución ","")&amp;IF($I503="","N° dictamen","")),IF(LEFT($N503,4)&lt;&gt;"CONC","OK",IF(N($Q503)=0,IF(AND(ISNUMBER($E503),$E503&gt;=DATE(2024,1,1)),"FALTA EN evol_conc","OK"),IF(INDEX(evol_conc!$H:$H,$Q503)&lt;&gt;$F503,"FIRMA DISTINTA EN evol_conc ("&amp;IF(INDEX(evol_conc!$H:$H,$Q503)="","vacía",DAY(INDEX(evol_conc!$H:$H,$Q503))&amp;"/"&amp;MONTH(INDEX(evol_conc!$H:$H,$Q503))&amp;"/"&amp;YEAR(INDEX(evol_conc!$H:$H,$Q503)))&amp;")",IF(INDEX(evol_conc!$G:$G,$Q503)&lt;&gt;$E503,"INGRESO DISTINTO EN evol_conc ("&amp;IF(INDEX(evol_conc!$G:$G,$Q503)="","vacía",DAY(INDEX(evol_conc!$G:$G,$Q503))&amp;"/"&amp;MONTH(INDEX(evol_conc!$G:$G,$Q503))&amp;"/"&amp;YEAR(INDEX(evol_conc!$G:$G,$Q503)))&amp;")","OK"))))))))</f>
        <v/>
      </c>
      <c r="Q503" t="str">
        <f ca="1">IF($N503="","",IFERROR(MATCH($N503,evol_conc!$P:$P,0),0))</f>
        <v/>
      </c>
    </row>
    <row r="504" spans="12:17" ht="18" hidden="1" customHeight="1" x14ac:dyDescent="0.25">
      <c r="L504" s="53" t="str">
        <f t="shared" si="14"/>
        <v/>
      </c>
      <c r="M504" s="19" t="str">
        <f t="shared" si="15"/>
        <v/>
      </c>
      <c r="N504" t="str">
        <f ca="1">IF(TRIM(SUBSTITUTE($B504,CHAR(160)," "))="","",IFERROR(IF(ISNUMBER(SEARCH("INC",$B504)),"INC",IF(ISNUMBER(SEARCH("OPI",$B504)),"OPI",IF(ISNUMBER(SEARCH("DP",$B504)),"DP","CONC")))&amp;" "&amp;TEXT(LOOKUP(9.99E+307,--MID(SUBSTITUTE($B504,CHAR(160)," "),SUMPRODUCT(MIN(FIND({0,1,2,3,4,5,6,7,8,9},SUBSTITUTE($B504,CHAR(160)," ")&amp;"0123456789"))),ROW(INDIRECT("1:6")))),"0"),"SIN NUMERO"))</f>
        <v/>
      </c>
      <c r="O504" t="str">
        <f ca="1">IF($N504="","",IF(LEFT(UPPER($P504),9)="VERIFICAR","VERIFICAR",IF(AND($H504&lt;&gt;"",COUNTIFS($N$2:$N$1000,$N504,$H$2:$H$1000,$H504)&gt;1),"DUPLICADA",IF(TRIM(IF($A504="","tipo ","")&amp;IF($F504="","fecha de firma ","")&amp;IF($G504="","decisión ","")&amp;IF($H504="","N° resolución ","")&amp;IF($I504="","N° dictamen",""))&lt;&gt;"","INCOMPLETA: "&amp;TRIM(IF($A504="","tipo ","")&amp;IF($F504="","fecha de firma ","")&amp;IF($G504="","decisión ","")&amp;IF($H504="","N° resolución ","")&amp;IF($I504="","N° dictamen","")),IF(LEFT($N504,4)&lt;&gt;"CONC","OK",IF(N($Q504)=0,IF(AND(ISNUMBER($E504),$E504&gt;=DATE(2024,1,1)),"FALTA EN evol_conc","OK"),IF(INDEX(evol_conc!$H:$H,$Q504)&lt;&gt;$F504,"FIRMA DISTINTA EN evol_conc ("&amp;IF(INDEX(evol_conc!$H:$H,$Q504)="","vacía",DAY(INDEX(evol_conc!$H:$H,$Q504))&amp;"/"&amp;MONTH(INDEX(evol_conc!$H:$H,$Q504))&amp;"/"&amp;YEAR(INDEX(evol_conc!$H:$H,$Q504)))&amp;")",IF(INDEX(evol_conc!$G:$G,$Q504)&lt;&gt;$E504,"INGRESO DISTINTO EN evol_conc ("&amp;IF(INDEX(evol_conc!$G:$G,$Q504)="","vacía",DAY(INDEX(evol_conc!$G:$G,$Q504))&amp;"/"&amp;MONTH(INDEX(evol_conc!$G:$G,$Q504))&amp;"/"&amp;YEAR(INDEX(evol_conc!$G:$G,$Q504)))&amp;")","OK"))))))))</f>
        <v/>
      </c>
      <c r="Q504" t="str">
        <f ca="1">IF($N504="","",IFERROR(MATCH($N504,evol_conc!$P:$P,0),0))</f>
        <v/>
      </c>
    </row>
    <row r="505" spans="12:17" ht="18" hidden="1" customHeight="1" x14ac:dyDescent="0.25">
      <c r="L505" s="53" t="str">
        <f t="shared" si="14"/>
        <v/>
      </c>
      <c r="M505" s="19" t="str">
        <f t="shared" si="15"/>
        <v/>
      </c>
      <c r="N505" t="str">
        <f ca="1">IF(TRIM(SUBSTITUTE($B505,CHAR(160)," "))="","",IFERROR(IF(ISNUMBER(SEARCH("INC",$B505)),"INC",IF(ISNUMBER(SEARCH("OPI",$B505)),"OPI",IF(ISNUMBER(SEARCH("DP",$B505)),"DP","CONC")))&amp;" "&amp;TEXT(LOOKUP(9.99E+307,--MID(SUBSTITUTE($B505,CHAR(160)," "),SUMPRODUCT(MIN(FIND({0,1,2,3,4,5,6,7,8,9},SUBSTITUTE($B505,CHAR(160)," ")&amp;"0123456789"))),ROW(INDIRECT("1:6")))),"0"),"SIN NUMERO"))</f>
        <v/>
      </c>
      <c r="O505" t="str">
        <f ca="1">IF($N505="","",IF(LEFT(UPPER($P505),9)="VERIFICAR","VERIFICAR",IF(AND($H505&lt;&gt;"",COUNTIFS($N$2:$N$1000,$N505,$H$2:$H$1000,$H505)&gt;1),"DUPLICADA",IF(TRIM(IF($A505="","tipo ","")&amp;IF($F505="","fecha de firma ","")&amp;IF($G505="","decisión ","")&amp;IF($H505="","N° resolución ","")&amp;IF($I505="","N° dictamen",""))&lt;&gt;"","INCOMPLETA: "&amp;TRIM(IF($A505="","tipo ","")&amp;IF($F505="","fecha de firma ","")&amp;IF($G505="","decisión ","")&amp;IF($H505="","N° resolución ","")&amp;IF($I505="","N° dictamen","")),IF(LEFT($N505,4)&lt;&gt;"CONC","OK",IF(N($Q505)=0,IF(AND(ISNUMBER($E505),$E505&gt;=DATE(2024,1,1)),"FALTA EN evol_conc","OK"),IF(INDEX(evol_conc!$H:$H,$Q505)&lt;&gt;$F505,"FIRMA DISTINTA EN evol_conc ("&amp;IF(INDEX(evol_conc!$H:$H,$Q505)="","vacía",DAY(INDEX(evol_conc!$H:$H,$Q505))&amp;"/"&amp;MONTH(INDEX(evol_conc!$H:$H,$Q505))&amp;"/"&amp;YEAR(INDEX(evol_conc!$H:$H,$Q505)))&amp;")",IF(INDEX(evol_conc!$G:$G,$Q505)&lt;&gt;$E505,"INGRESO DISTINTO EN evol_conc ("&amp;IF(INDEX(evol_conc!$G:$G,$Q505)="","vacía",DAY(INDEX(evol_conc!$G:$G,$Q505))&amp;"/"&amp;MONTH(INDEX(evol_conc!$G:$G,$Q505))&amp;"/"&amp;YEAR(INDEX(evol_conc!$G:$G,$Q505)))&amp;")","OK"))))))))</f>
        <v/>
      </c>
      <c r="Q505" t="str">
        <f ca="1">IF($N505="","",IFERROR(MATCH($N505,evol_conc!$P:$P,0),0))</f>
        <v/>
      </c>
    </row>
    <row r="506" spans="12:17" ht="18" hidden="1" customHeight="1" x14ac:dyDescent="0.25">
      <c r="L506" s="53" t="str">
        <f t="shared" si="14"/>
        <v/>
      </c>
      <c r="M506" s="19" t="str">
        <f t="shared" si="15"/>
        <v/>
      </c>
      <c r="N506" t="str">
        <f ca="1">IF(TRIM(SUBSTITUTE($B506,CHAR(160)," "))="","",IFERROR(IF(ISNUMBER(SEARCH("INC",$B506)),"INC",IF(ISNUMBER(SEARCH("OPI",$B506)),"OPI",IF(ISNUMBER(SEARCH("DP",$B506)),"DP","CONC")))&amp;" "&amp;TEXT(LOOKUP(9.99E+307,--MID(SUBSTITUTE($B506,CHAR(160)," "),SUMPRODUCT(MIN(FIND({0,1,2,3,4,5,6,7,8,9},SUBSTITUTE($B506,CHAR(160)," ")&amp;"0123456789"))),ROW(INDIRECT("1:6")))),"0"),"SIN NUMERO"))</f>
        <v/>
      </c>
      <c r="O506" t="str">
        <f ca="1">IF($N506="","",IF(LEFT(UPPER($P506),9)="VERIFICAR","VERIFICAR",IF(AND($H506&lt;&gt;"",COUNTIFS($N$2:$N$1000,$N506,$H$2:$H$1000,$H506)&gt;1),"DUPLICADA",IF(TRIM(IF($A506="","tipo ","")&amp;IF($F506="","fecha de firma ","")&amp;IF($G506="","decisión ","")&amp;IF($H506="","N° resolución ","")&amp;IF($I506="","N° dictamen",""))&lt;&gt;"","INCOMPLETA: "&amp;TRIM(IF($A506="","tipo ","")&amp;IF($F506="","fecha de firma ","")&amp;IF($G506="","decisión ","")&amp;IF($H506="","N° resolución ","")&amp;IF($I506="","N° dictamen","")),IF(LEFT($N506,4)&lt;&gt;"CONC","OK",IF(N($Q506)=0,IF(AND(ISNUMBER($E506),$E506&gt;=DATE(2024,1,1)),"FALTA EN evol_conc","OK"),IF(INDEX(evol_conc!$H:$H,$Q506)&lt;&gt;$F506,"FIRMA DISTINTA EN evol_conc ("&amp;IF(INDEX(evol_conc!$H:$H,$Q506)="","vacía",DAY(INDEX(evol_conc!$H:$H,$Q506))&amp;"/"&amp;MONTH(INDEX(evol_conc!$H:$H,$Q506))&amp;"/"&amp;YEAR(INDEX(evol_conc!$H:$H,$Q506)))&amp;")",IF(INDEX(evol_conc!$G:$G,$Q506)&lt;&gt;$E506,"INGRESO DISTINTO EN evol_conc ("&amp;IF(INDEX(evol_conc!$G:$G,$Q506)="","vacía",DAY(INDEX(evol_conc!$G:$G,$Q506))&amp;"/"&amp;MONTH(INDEX(evol_conc!$G:$G,$Q506))&amp;"/"&amp;YEAR(INDEX(evol_conc!$G:$G,$Q506)))&amp;")","OK"))))))))</f>
        <v/>
      </c>
      <c r="Q506" t="str">
        <f ca="1">IF($N506="","",IFERROR(MATCH($N506,evol_conc!$P:$P,0),0))</f>
        <v/>
      </c>
    </row>
    <row r="507" spans="12:17" ht="18" hidden="1" customHeight="1" x14ac:dyDescent="0.25">
      <c r="L507" s="53" t="str">
        <f t="shared" si="14"/>
        <v/>
      </c>
      <c r="M507" s="19" t="str">
        <f t="shared" si="15"/>
        <v/>
      </c>
      <c r="N507" t="str">
        <f ca="1">IF(TRIM(SUBSTITUTE($B507,CHAR(160)," "))="","",IFERROR(IF(ISNUMBER(SEARCH("INC",$B507)),"INC",IF(ISNUMBER(SEARCH("OPI",$B507)),"OPI",IF(ISNUMBER(SEARCH("DP",$B507)),"DP","CONC")))&amp;" "&amp;TEXT(LOOKUP(9.99E+307,--MID(SUBSTITUTE($B507,CHAR(160)," "),SUMPRODUCT(MIN(FIND({0,1,2,3,4,5,6,7,8,9},SUBSTITUTE($B507,CHAR(160)," ")&amp;"0123456789"))),ROW(INDIRECT("1:6")))),"0"),"SIN NUMERO"))</f>
        <v/>
      </c>
      <c r="O507" t="str">
        <f ca="1">IF($N507="","",IF(LEFT(UPPER($P507),9)="VERIFICAR","VERIFICAR",IF(AND($H507&lt;&gt;"",COUNTIFS($N$2:$N$1000,$N507,$H$2:$H$1000,$H507)&gt;1),"DUPLICADA",IF(TRIM(IF($A507="","tipo ","")&amp;IF($F507="","fecha de firma ","")&amp;IF($G507="","decisión ","")&amp;IF($H507="","N° resolución ","")&amp;IF($I507="","N° dictamen",""))&lt;&gt;"","INCOMPLETA: "&amp;TRIM(IF($A507="","tipo ","")&amp;IF($F507="","fecha de firma ","")&amp;IF($G507="","decisión ","")&amp;IF($H507="","N° resolución ","")&amp;IF($I507="","N° dictamen","")),IF(LEFT($N507,4)&lt;&gt;"CONC","OK",IF(N($Q507)=0,IF(AND(ISNUMBER($E507),$E507&gt;=DATE(2024,1,1)),"FALTA EN evol_conc","OK"),IF(INDEX(evol_conc!$H:$H,$Q507)&lt;&gt;$F507,"FIRMA DISTINTA EN evol_conc ("&amp;IF(INDEX(evol_conc!$H:$H,$Q507)="","vacía",DAY(INDEX(evol_conc!$H:$H,$Q507))&amp;"/"&amp;MONTH(INDEX(evol_conc!$H:$H,$Q507))&amp;"/"&amp;YEAR(INDEX(evol_conc!$H:$H,$Q507)))&amp;")",IF(INDEX(evol_conc!$G:$G,$Q507)&lt;&gt;$E507,"INGRESO DISTINTO EN evol_conc ("&amp;IF(INDEX(evol_conc!$G:$G,$Q507)="","vacía",DAY(INDEX(evol_conc!$G:$G,$Q507))&amp;"/"&amp;MONTH(INDEX(evol_conc!$G:$G,$Q507))&amp;"/"&amp;YEAR(INDEX(evol_conc!$G:$G,$Q507)))&amp;")","OK"))))))))</f>
        <v/>
      </c>
      <c r="Q507" t="str">
        <f ca="1">IF($N507="","",IFERROR(MATCH($N507,evol_conc!$P:$P,0),0))</f>
        <v/>
      </c>
    </row>
    <row r="508" spans="12:17" ht="18" hidden="1" customHeight="1" x14ac:dyDescent="0.25">
      <c r="L508" s="53" t="str">
        <f t="shared" si="14"/>
        <v/>
      </c>
      <c r="M508" s="19" t="str">
        <f t="shared" si="15"/>
        <v/>
      </c>
      <c r="N508" t="str">
        <f ca="1">IF(TRIM(SUBSTITUTE($B508,CHAR(160)," "))="","",IFERROR(IF(ISNUMBER(SEARCH("INC",$B508)),"INC",IF(ISNUMBER(SEARCH("OPI",$B508)),"OPI",IF(ISNUMBER(SEARCH("DP",$B508)),"DP","CONC")))&amp;" "&amp;TEXT(LOOKUP(9.99E+307,--MID(SUBSTITUTE($B508,CHAR(160)," "),SUMPRODUCT(MIN(FIND({0,1,2,3,4,5,6,7,8,9},SUBSTITUTE($B508,CHAR(160)," ")&amp;"0123456789"))),ROW(INDIRECT("1:6")))),"0"),"SIN NUMERO"))</f>
        <v/>
      </c>
      <c r="O508" t="str">
        <f ca="1">IF($N508="","",IF(LEFT(UPPER($P508),9)="VERIFICAR","VERIFICAR",IF(AND($H508&lt;&gt;"",COUNTIFS($N$2:$N$1000,$N508,$H$2:$H$1000,$H508)&gt;1),"DUPLICADA",IF(TRIM(IF($A508="","tipo ","")&amp;IF($F508="","fecha de firma ","")&amp;IF($G508="","decisión ","")&amp;IF($H508="","N° resolución ","")&amp;IF($I508="","N° dictamen",""))&lt;&gt;"","INCOMPLETA: "&amp;TRIM(IF($A508="","tipo ","")&amp;IF($F508="","fecha de firma ","")&amp;IF($G508="","decisión ","")&amp;IF($H508="","N° resolución ","")&amp;IF($I508="","N° dictamen","")),IF(LEFT($N508,4)&lt;&gt;"CONC","OK",IF(N($Q508)=0,IF(AND(ISNUMBER($E508),$E508&gt;=DATE(2024,1,1)),"FALTA EN evol_conc","OK"),IF(INDEX(evol_conc!$H:$H,$Q508)&lt;&gt;$F508,"FIRMA DISTINTA EN evol_conc ("&amp;IF(INDEX(evol_conc!$H:$H,$Q508)="","vacía",DAY(INDEX(evol_conc!$H:$H,$Q508))&amp;"/"&amp;MONTH(INDEX(evol_conc!$H:$H,$Q508))&amp;"/"&amp;YEAR(INDEX(evol_conc!$H:$H,$Q508)))&amp;")",IF(INDEX(evol_conc!$G:$G,$Q508)&lt;&gt;$E508,"INGRESO DISTINTO EN evol_conc ("&amp;IF(INDEX(evol_conc!$G:$G,$Q508)="","vacía",DAY(INDEX(evol_conc!$G:$G,$Q508))&amp;"/"&amp;MONTH(INDEX(evol_conc!$G:$G,$Q508))&amp;"/"&amp;YEAR(INDEX(evol_conc!$G:$G,$Q508)))&amp;")","OK"))))))))</f>
        <v/>
      </c>
      <c r="Q508" t="str">
        <f ca="1">IF($N508="","",IFERROR(MATCH($N508,evol_conc!$P:$P,0),0))</f>
        <v/>
      </c>
    </row>
    <row r="509" spans="12:17" ht="18" hidden="1" customHeight="1" x14ac:dyDescent="0.25">
      <c r="L509" s="53" t="str">
        <f t="shared" si="14"/>
        <v/>
      </c>
      <c r="M509" s="19" t="str">
        <f t="shared" si="15"/>
        <v/>
      </c>
      <c r="N509" t="str">
        <f ca="1">IF(TRIM(SUBSTITUTE($B509,CHAR(160)," "))="","",IFERROR(IF(ISNUMBER(SEARCH("INC",$B509)),"INC",IF(ISNUMBER(SEARCH("OPI",$B509)),"OPI",IF(ISNUMBER(SEARCH("DP",$B509)),"DP","CONC")))&amp;" "&amp;TEXT(LOOKUP(9.99E+307,--MID(SUBSTITUTE($B509,CHAR(160)," "),SUMPRODUCT(MIN(FIND({0,1,2,3,4,5,6,7,8,9},SUBSTITUTE($B509,CHAR(160)," ")&amp;"0123456789"))),ROW(INDIRECT("1:6")))),"0"),"SIN NUMERO"))</f>
        <v/>
      </c>
      <c r="O509" t="str">
        <f ca="1">IF($N509="","",IF(LEFT(UPPER($P509),9)="VERIFICAR","VERIFICAR",IF(AND($H509&lt;&gt;"",COUNTIFS($N$2:$N$1000,$N509,$H$2:$H$1000,$H509)&gt;1),"DUPLICADA",IF(TRIM(IF($A509="","tipo ","")&amp;IF($F509="","fecha de firma ","")&amp;IF($G509="","decisión ","")&amp;IF($H509="","N° resolución ","")&amp;IF($I509="","N° dictamen",""))&lt;&gt;"","INCOMPLETA: "&amp;TRIM(IF($A509="","tipo ","")&amp;IF($F509="","fecha de firma ","")&amp;IF($G509="","decisión ","")&amp;IF($H509="","N° resolución ","")&amp;IF($I509="","N° dictamen","")),IF(LEFT($N509,4)&lt;&gt;"CONC","OK",IF(N($Q509)=0,IF(AND(ISNUMBER($E509),$E509&gt;=DATE(2024,1,1)),"FALTA EN evol_conc","OK"),IF(INDEX(evol_conc!$H:$H,$Q509)&lt;&gt;$F509,"FIRMA DISTINTA EN evol_conc ("&amp;IF(INDEX(evol_conc!$H:$H,$Q509)="","vacía",DAY(INDEX(evol_conc!$H:$H,$Q509))&amp;"/"&amp;MONTH(INDEX(evol_conc!$H:$H,$Q509))&amp;"/"&amp;YEAR(INDEX(evol_conc!$H:$H,$Q509)))&amp;")",IF(INDEX(evol_conc!$G:$G,$Q509)&lt;&gt;$E509,"INGRESO DISTINTO EN evol_conc ("&amp;IF(INDEX(evol_conc!$G:$G,$Q509)="","vacía",DAY(INDEX(evol_conc!$G:$G,$Q509))&amp;"/"&amp;MONTH(INDEX(evol_conc!$G:$G,$Q509))&amp;"/"&amp;YEAR(INDEX(evol_conc!$G:$G,$Q509)))&amp;")","OK"))))))))</f>
        <v/>
      </c>
      <c r="Q509" t="str">
        <f ca="1">IF($N509="","",IFERROR(MATCH($N509,evol_conc!$P:$P,0),0))</f>
        <v/>
      </c>
    </row>
    <row r="510" spans="12:17" ht="18" hidden="1" customHeight="1" x14ac:dyDescent="0.25">
      <c r="L510" s="53" t="str">
        <f t="shared" si="14"/>
        <v/>
      </c>
      <c r="M510" s="19" t="str">
        <f t="shared" si="15"/>
        <v/>
      </c>
      <c r="N510" t="str">
        <f ca="1">IF(TRIM(SUBSTITUTE($B510,CHAR(160)," "))="","",IFERROR(IF(ISNUMBER(SEARCH("INC",$B510)),"INC",IF(ISNUMBER(SEARCH("OPI",$B510)),"OPI",IF(ISNUMBER(SEARCH("DP",$B510)),"DP","CONC")))&amp;" "&amp;TEXT(LOOKUP(9.99E+307,--MID(SUBSTITUTE($B510,CHAR(160)," "),SUMPRODUCT(MIN(FIND({0,1,2,3,4,5,6,7,8,9},SUBSTITUTE($B510,CHAR(160)," ")&amp;"0123456789"))),ROW(INDIRECT("1:6")))),"0"),"SIN NUMERO"))</f>
        <v/>
      </c>
      <c r="O510" t="str">
        <f ca="1">IF($N510="","",IF(LEFT(UPPER($P510),9)="VERIFICAR","VERIFICAR",IF(AND($H510&lt;&gt;"",COUNTIFS($N$2:$N$1000,$N510,$H$2:$H$1000,$H510)&gt;1),"DUPLICADA",IF(TRIM(IF($A510="","tipo ","")&amp;IF($F510="","fecha de firma ","")&amp;IF($G510="","decisión ","")&amp;IF($H510="","N° resolución ","")&amp;IF($I510="","N° dictamen",""))&lt;&gt;"","INCOMPLETA: "&amp;TRIM(IF($A510="","tipo ","")&amp;IF($F510="","fecha de firma ","")&amp;IF($G510="","decisión ","")&amp;IF($H510="","N° resolución ","")&amp;IF($I510="","N° dictamen","")),IF(LEFT($N510,4)&lt;&gt;"CONC","OK",IF(N($Q510)=0,IF(AND(ISNUMBER($E510),$E510&gt;=DATE(2024,1,1)),"FALTA EN evol_conc","OK"),IF(INDEX(evol_conc!$H:$H,$Q510)&lt;&gt;$F510,"FIRMA DISTINTA EN evol_conc ("&amp;IF(INDEX(evol_conc!$H:$H,$Q510)="","vacía",DAY(INDEX(evol_conc!$H:$H,$Q510))&amp;"/"&amp;MONTH(INDEX(evol_conc!$H:$H,$Q510))&amp;"/"&amp;YEAR(INDEX(evol_conc!$H:$H,$Q510)))&amp;")",IF(INDEX(evol_conc!$G:$G,$Q510)&lt;&gt;$E510,"INGRESO DISTINTO EN evol_conc ("&amp;IF(INDEX(evol_conc!$G:$G,$Q510)="","vacía",DAY(INDEX(evol_conc!$G:$G,$Q510))&amp;"/"&amp;MONTH(INDEX(evol_conc!$G:$G,$Q510))&amp;"/"&amp;YEAR(INDEX(evol_conc!$G:$G,$Q510)))&amp;")","OK"))))))))</f>
        <v/>
      </c>
      <c r="Q510" t="str">
        <f ca="1">IF($N510="","",IFERROR(MATCH($N510,evol_conc!$P:$P,0),0))</f>
        <v/>
      </c>
    </row>
    <row r="511" spans="12:17" ht="18" hidden="1" customHeight="1" x14ac:dyDescent="0.25">
      <c r="L511" s="53" t="str">
        <f t="shared" si="14"/>
        <v/>
      </c>
      <c r="M511" s="19" t="str">
        <f t="shared" si="15"/>
        <v/>
      </c>
      <c r="N511" t="str">
        <f ca="1">IF(TRIM(SUBSTITUTE($B511,CHAR(160)," "))="","",IFERROR(IF(ISNUMBER(SEARCH("INC",$B511)),"INC",IF(ISNUMBER(SEARCH("OPI",$B511)),"OPI",IF(ISNUMBER(SEARCH("DP",$B511)),"DP","CONC")))&amp;" "&amp;TEXT(LOOKUP(9.99E+307,--MID(SUBSTITUTE($B511,CHAR(160)," "),SUMPRODUCT(MIN(FIND({0,1,2,3,4,5,6,7,8,9},SUBSTITUTE($B511,CHAR(160)," ")&amp;"0123456789"))),ROW(INDIRECT("1:6")))),"0"),"SIN NUMERO"))</f>
        <v/>
      </c>
      <c r="O511" t="str">
        <f ca="1">IF($N511="","",IF(LEFT(UPPER($P511),9)="VERIFICAR","VERIFICAR",IF(AND($H511&lt;&gt;"",COUNTIFS($N$2:$N$1000,$N511,$H$2:$H$1000,$H511)&gt;1),"DUPLICADA",IF(TRIM(IF($A511="","tipo ","")&amp;IF($F511="","fecha de firma ","")&amp;IF($G511="","decisión ","")&amp;IF($H511="","N° resolución ","")&amp;IF($I511="","N° dictamen",""))&lt;&gt;"","INCOMPLETA: "&amp;TRIM(IF($A511="","tipo ","")&amp;IF($F511="","fecha de firma ","")&amp;IF($G511="","decisión ","")&amp;IF($H511="","N° resolución ","")&amp;IF($I511="","N° dictamen","")),IF(LEFT($N511,4)&lt;&gt;"CONC","OK",IF(N($Q511)=0,IF(AND(ISNUMBER($E511),$E511&gt;=DATE(2024,1,1)),"FALTA EN evol_conc","OK"),IF(INDEX(evol_conc!$H:$H,$Q511)&lt;&gt;$F511,"FIRMA DISTINTA EN evol_conc ("&amp;IF(INDEX(evol_conc!$H:$H,$Q511)="","vacía",DAY(INDEX(evol_conc!$H:$H,$Q511))&amp;"/"&amp;MONTH(INDEX(evol_conc!$H:$H,$Q511))&amp;"/"&amp;YEAR(INDEX(evol_conc!$H:$H,$Q511)))&amp;")",IF(INDEX(evol_conc!$G:$G,$Q511)&lt;&gt;$E511,"INGRESO DISTINTO EN evol_conc ("&amp;IF(INDEX(evol_conc!$G:$G,$Q511)="","vacía",DAY(INDEX(evol_conc!$G:$G,$Q511))&amp;"/"&amp;MONTH(INDEX(evol_conc!$G:$G,$Q511))&amp;"/"&amp;YEAR(INDEX(evol_conc!$G:$G,$Q511)))&amp;")","OK"))))))))</f>
        <v/>
      </c>
      <c r="Q511" t="str">
        <f ca="1">IF($N511="","",IFERROR(MATCH($N511,evol_conc!$P:$P,0),0))</f>
        <v/>
      </c>
    </row>
    <row r="512" spans="12:17" ht="18" hidden="1" customHeight="1" x14ac:dyDescent="0.25">
      <c r="L512" s="53" t="str">
        <f t="shared" si="14"/>
        <v/>
      </c>
      <c r="M512" s="19" t="str">
        <f t="shared" si="15"/>
        <v/>
      </c>
      <c r="N512" t="str">
        <f ca="1">IF(TRIM(SUBSTITUTE($B512,CHAR(160)," "))="","",IFERROR(IF(ISNUMBER(SEARCH("INC",$B512)),"INC",IF(ISNUMBER(SEARCH("OPI",$B512)),"OPI",IF(ISNUMBER(SEARCH("DP",$B512)),"DP","CONC")))&amp;" "&amp;TEXT(LOOKUP(9.99E+307,--MID(SUBSTITUTE($B512,CHAR(160)," "),SUMPRODUCT(MIN(FIND({0,1,2,3,4,5,6,7,8,9},SUBSTITUTE($B512,CHAR(160)," ")&amp;"0123456789"))),ROW(INDIRECT("1:6")))),"0"),"SIN NUMERO"))</f>
        <v/>
      </c>
      <c r="O512" t="str">
        <f ca="1">IF($N512="","",IF(LEFT(UPPER($P512),9)="VERIFICAR","VERIFICAR",IF(AND($H512&lt;&gt;"",COUNTIFS($N$2:$N$1000,$N512,$H$2:$H$1000,$H512)&gt;1),"DUPLICADA",IF(TRIM(IF($A512="","tipo ","")&amp;IF($F512="","fecha de firma ","")&amp;IF($G512="","decisión ","")&amp;IF($H512="","N° resolución ","")&amp;IF($I512="","N° dictamen",""))&lt;&gt;"","INCOMPLETA: "&amp;TRIM(IF($A512="","tipo ","")&amp;IF($F512="","fecha de firma ","")&amp;IF($G512="","decisión ","")&amp;IF($H512="","N° resolución ","")&amp;IF($I512="","N° dictamen","")),IF(LEFT($N512,4)&lt;&gt;"CONC","OK",IF(N($Q512)=0,IF(AND(ISNUMBER($E512),$E512&gt;=DATE(2024,1,1)),"FALTA EN evol_conc","OK"),IF(INDEX(evol_conc!$H:$H,$Q512)&lt;&gt;$F512,"FIRMA DISTINTA EN evol_conc ("&amp;IF(INDEX(evol_conc!$H:$H,$Q512)="","vacía",DAY(INDEX(evol_conc!$H:$H,$Q512))&amp;"/"&amp;MONTH(INDEX(evol_conc!$H:$H,$Q512))&amp;"/"&amp;YEAR(INDEX(evol_conc!$H:$H,$Q512)))&amp;")",IF(INDEX(evol_conc!$G:$G,$Q512)&lt;&gt;$E512,"INGRESO DISTINTO EN evol_conc ("&amp;IF(INDEX(evol_conc!$G:$G,$Q512)="","vacía",DAY(INDEX(evol_conc!$G:$G,$Q512))&amp;"/"&amp;MONTH(INDEX(evol_conc!$G:$G,$Q512))&amp;"/"&amp;YEAR(INDEX(evol_conc!$G:$G,$Q512)))&amp;")","OK"))))))))</f>
        <v/>
      </c>
      <c r="Q512" t="str">
        <f ca="1">IF($N512="","",IFERROR(MATCH($N512,evol_conc!$P:$P,0),0))</f>
        <v/>
      </c>
    </row>
    <row r="513" spans="12:17" ht="18" hidden="1" customHeight="1" x14ac:dyDescent="0.25">
      <c r="L513" s="53" t="str">
        <f t="shared" si="14"/>
        <v/>
      </c>
      <c r="M513" s="19" t="str">
        <f t="shared" si="15"/>
        <v/>
      </c>
      <c r="N513" t="str">
        <f ca="1">IF(TRIM(SUBSTITUTE($B513,CHAR(160)," "))="","",IFERROR(IF(ISNUMBER(SEARCH("INC",$B513)),"INC",IF(ISNUMBER(SEARCH("OPI",$B513)),"OPI",IF(ISNUMBER(SEARCH("DP",$B513)),"DP","CONC")))&amp;" "&amp;TEXT(LOOKUP(9.99E+307,--MID(SUBSTITUTE($B513,CHAR(160)," "),SUMPRODUCT(MIN(FIND({0,1,2,3,4,5,6,7,8,9},SUBSTITUTE($B513,CHAR(160)," ")&amp;"0123456789"))),ROW(INDIRECT("1:6")))),"0"),"SIN NUMERO"))</f>
        <v/>
      </c>
      <c r="O513" t="str">
        <f ca="1">IF($N513="","",IF(LEFT(UPPER($P513),9)="VERIFICAR","VERIFICAR",IF(AND($H513&lt;&gt;"",COUNTIFS($N$2:$N$1000,$N513,$H$2:$H$1000,$H513)&gt;1),"DUPLICADA",IF(TRIM(IF($A513="","tipo ","")&amp;IF($F513="","fecha de firma ","")&amp;IF($G513="","decisión ","")&amp;IF($H513="","N° resolución ","")&amp;IF($I513="","N° dictamen",""))&lt;&gt;"","INCOMPLETA: "&amp;TRIM(IF($A513="","tipo ","")&amp;IF($F513="","fecha de firma ","")&amp;IF($G513="","decisión ","")&amp;IF($H513="","N° resolución ","")&amp;IF($I513="","N° dictamen","")),IF(LEFT($N513,4)&lt;&gt;"CONC","OK",IF(N($Q513)=0,IF(AND(ISNUMBER($E513),$E513&gt;=DATE(2024,1,1)),"FALTA EN evol_conc","OK"),IF(INDEX(evol_conc!$H:$H,$Q513)&lt;&gt;$F513,"FIRMA DISTINTA EN evol_conc ("&amp;IF(INDEX(evol_conc!$H:$H,$Q513)="","vacía",DAY(INDEX(evol_conc!$H:$H,$Q513))&amp;"/"&amp;MONTH(INDEX(evol_conc!$H:$H,$Q513))&amp;"/"&amp;YEAR(INDEX(evol_conc!$H:$H,$Q513)))&amp;")",IF(INDEX(evol_conc!$G:$G,$Q513)&lt;&gt;$E513,"INGRESO DISTINTO EN evol_conc ("&amp;IF(INDEX(evol_conc!$G:$G,$Q513)="","vacía",DAY(INDEX(evol_conc!$G:$G,$Q513))&amp;"/"&amp;MONTH(INDEX(evol_conc!$G:$G,$Q513))&amp;"/"&amp;YEAR(INDEX(evol_conc!$G:$G,$Q513)))&amp;")","OK"))))))))</f>
        <v/>
      </c>
      <c r="Q513" t="str">
        <f ca="1">IF($N513="","",IFERROR(MATCH($N513,evol_conc!$P:$P,0),0))</f>
        <v/>
      </c>
    </row>
    <row r="514" spans="12:17" ht="18" hidden="1" customHeight="1" x14ac:dyDescent="0.25">
      <c r="L514" s="53" t="str">
        <f t="shared" ref="L514:L577" si="16">IF(OR($E514="",$F514=""),"",($F514-$E514)/30)</f>
        <v/>
      </c>
      <c r="M514" s="19" t="str">
        <f t="shared" ref="M514:M577" si="17">IF(OR($E514="",$F514=""),"",$F514-$E514)</f>
        <v/>
      </c>
      <c r="N514" t="str">
        <f ca="1">IF(TRIM(SUBSTITUTE($B514,CHAR(160)," "))="","",IFERROR(IF(ISNUMBER(SEARCH("INC",$B514)),"INC",IF(ISNUMBER(SEARCH("OPI",$B514)),"OPI",IF(ISNUMBER(SEARCH("DP",$B514)),"DP","CONC")))&amp;" "&amp;TEXT(LOOKUP(9.99E+307,--MID(SUBSTITUTE($B514,CHAR(160)," "),SUMPRODUCT(MIN(FIND({0,1,2,3,4,5,6,7,8,9},SUBSTITUTE($B514,CHAR(160)," ")&amp;"0123456789"))),ROW(INDIRECT("1:6")))),"0"),"SIN NUMERO"))</f>
        <v/>
      </c>
      <c r="O514" t="str">
        <f ca="1">IF($N514="","",IF(LEFT(UPPER($P514),9)="VERIFICAR","VERIFICAR",IF(AND($H514&lt;&gt;"",COUNTIFS($N$2:$N$1000,$N514,$H$2:$H$1000,$H514)&gt;1),"DUPLICADA",IF(TRIM(IF($A514="","tipo ","")&amp;IF($F514="","fecha de firma ","")&amp;IF($G514="","decisión ","")&amp;IF($H514="","N° resolución ","")&amp;IF($I514="","N° dictamen",""))&lt;&gt;"","INCOMPLETA: "&amp;TRIM(IF($A514="","tipo ","")&amp;IF($F514="","fecha de firma ","")&amp;IF($G514="","decisión ","")&amp;IF($H514="","N° resolución ","")&amp;IF($I514="","N° dictamen","")),IF(LEFT($N514,4)&lt;&gt;"CONC","OK",IF(N($Q514)=0,IF(AND(ISNUMBER($E514),$E514&gt;=DATE(2024,1,1)),"FALTA EN evol_conc","OK"),IF(INDEX(evol_conc!$H:$H,$Q514)&lt;&gt;$F514,"FIRMA DISTINTA EN evol_conc ("&amp;IF(INDEX(evol_conc!$H:$H,$Q514)="","vacía",DAY(INDEX(evol_conc!$H:$H,$Q514))&amp;"/"&amp;MONTH(INDEX(evol_conc!$H:$H,$Q514))&amp;"/"&amp;YEAR(INDEX(evol_conc!$H:$H,$Q514)))&amp;")",IF(INDEX(evol_conc!$G:$G,$Q514)&lt;&gt;$E514,"INGRESO DISTINTO EN evol_conc ("&amp;IF(INDEX(evol_conc!$G:$G,$Q514)="","vacía",DAY(INDEX(evol_conc!$G:$G,$Q514))&amp;"/"&amp;MONTH(INDEX(evol_conc!$G:$G,$Q514))&amp;"/"&amp;YEAR(INDEX(evol_conc!$G:$G,$Q514)))&amp;")","OK"))))))))</f>
        <v/>
      </c>
      <c r="Q514" t="str">
        <f ca="1">IF($N514="","",IFERROR(MATCH($N514,evol_conc!$P:$P,0),0))</f>
        <v/>
      </c>
    </row>
    <row r="515" spans="12:17" ht="18" hidden="1" customHeight="1" x14ac:dyDescent="0.25">
      <c r="L515" s="53" t="str">
        <f t="shared" si="16"/>
        <v/>
      </c>
      <c r="M515" s="19" t="str">
        <f t="shared" si="17"/>
        <v/>
      </c>
      <c r="N515" t="str">
        <f ca="1">IF(TRIM(SUBSTITUTE($B515,CHAR(160)," "))="","",IFERROR(IF(ISNUMBER(SEARCH("INC",$B515)),"INC",IF(ISNUMBER(SEARCH("OPI",$B515)),"OPI",IF(ISNUMBER(SEARCH("DP",$B515)),"DP","CONC")))&amp;" "&amp;TEXT(LOOKUP(9.99E+307,--MID(SUBSTITUTE($B515,CHAR(160)," "),SUMPRODUCT(MIN(FIND({0,1,2,3,4,5,6,7,8,9},SUBSTITUTE($B515,CHAR(160)," ")&amp;"0123456789"))),ROW(INDIRECT("1:6")))),"0"),"SIN NUMERO"))</f>
        <v/>
      </c>
      <c r="O515" t="str">
        <f ca="1">IF($N515="","",IF(LEFT(UPPER($P515),9)="VERIFICAR","VERIFICAR",IF(AND($H515&lt;&gt;"",COUNTIFS($N$2:$N$1000,$N515,$H$2:$H$1000,$H515)&gt;1),"DUPLICADA",IF(TRIM(IF($A515="","tipo ","")&amp;IF($F515="","fecha de firma ","")&amp;IF($G515="","decisión ","")&amp;IF($H515="","N° resolución ","")&amp;IF($I515="","N° dictamen",""))&lt;&gt;"","INCOMPLETA: "&amp;TRIM(IF($A515="","tipo ","")&amp;IF($F515="","fecha de firma ","")&amp;IF($G515="","decisión ","")&amp;IF($H515="","N° resolución ","")&amp;IF($I515="","N° dictamen","")),IF(LEFT($N515,4)&lt;&gt;"CONC","OK",IF(N($Q515)=0,IF(AND(ISNUMBER($E515),$E515&gt;=DATE(2024,1,1)),"FALTA EN evol_conc","OK"),IF(INDEX(evol_conc!$H:$H,$Q515)&lt;&gt;$F515,"FIRMA DISTINTA EN evol_conc ("&amp;IF(INDEX(evol_conc!$H:$H,$Q515)="","vacía",DAY(INDEX(evol_conc!$H:$H,$Q515))&amp;"/"&amp;MONTH(INDEX(evol_conc!$H:$H,$Q515))&amp;"/"&amp;YEAR(INDEX(evol_conc!$H:$H,$Q515)))&amp;")",IF(INDEX(evol_conc!$G:$G,$Q515)&lt;&gt;$E515,"INGRESO DISTINTO EN evol_conc ("&amp;IF(INDEX(evol_conc!$G:$G,$Q515)="","vacía",DAY(INDEX(evol_conc!$G:$G,$Q515))&amp;"/"&amp;MONTH(INDEX(evol_conc!$G:$G,$Q515))&amp;"/"&amp;YEAR(INDEX(evol_conc!$G:$G,$Q515)))&amp;")","OK"))))))))</f>
        <v/>
      </c>
      <c r="Q515" t="str">
        <f ca="1">IF($N515="","",IFERROR(MATCH($N515,evol_conc!$P:$P,0),0))</f>
        <v/>
      </c>
    </row>
    <row r="516" spans="12:17" ht="18" hidden="1" customHeight="1" x14ac:dyDescent="0.25">
      <c r="L516" s="53" t="str">
        <f t="shared" si="16"/>
        <v/>
      </c>
      <c r="M516" s="19" t="str">
        <f t="shared" si="17"/>
        <v/>
      </c>
      <c r="N516" t="str">
        <f ca="1">IF(TRIM(SUBSTITUTE($B516,CHAR(160)," "))="","",IFERROR(IF(ISNUMBER(SEARCH("INC",$B516)),"INC",IF(ISNUMBER(SEARCH("OPI",$B516)),"OPI",IF(ISNUMBER(SEARCH("DP",$B516)),"DP","CONC")))&amp;" "&amp;TEXT(LOOKUP(9.99E+307,--MID(SUBSTITUTE($B516,CHAR(160)," "),SUMPRODUCT(MIN(FIND({0,1,2,3,4,5,6,7,8,9},SUBSTITUTE($B516,CHAR(160)," ")&amp;"0123456789"))),ROW(INDIRECT("1:6")))),"0"),"SIN NUMERO"))</f>
        <v/>
      </c>
      <c r="O516" t="str">
        <f ca="1">IF($N516="","",IF(LEFT(UPPER($P516),9)="VERIFICAR","VERIFICAR",IF(AND($H516&lt;&gt;"",COUNTIFS($N$2:$N$1000,$N516,$H$2:$H$1000,$H516)&gt;1),"DUPLICADA",IF(TRIM(IF($A516="","tipo ","")&amp;IF($F516="","fecha de firma ","")&amp;IF($G516="","decisión ","")&amp;IF($H516="","N° resolución ","")&amp;IF($I516="","N° dictamen",""))&lt;&gt;"","INCOMPLETA: "&amp;TRIM(IF($A516="","tipo ","")&amp;IF($F516="","fecha de firma ","")&amp;IF($G516="","decisión ","")&amp;IF($H516="","N° resolución ","")&amp;IF($I516="","N° dictamen","")),IF(LEFT($N516,4)&lt;&gt;"CONC","OK",IF(N($Q516)=0,IF(AND(ISNUMBER($E516),$E516&gt;=DATE(2024,1,1)),"FALTA EN evol_conc","OK"),IF(INDEX(evol_conc!$H:$H,$Q516)&lt;&gt;$F516,"FIRMA DISTINTA EN evol_conc ("&amp;IF(INDEX(evol_conc!$H:$H,$Q516)="","vacía",DAY(INDEX(evol_conc!$H:$H,$Q516))&amp;"/"&amp;MONTH(INDEX(evol_conc!$H:$H,$Q516))&amp;"/"&amp;YEAR(INDEX(evol_conc!$H:$H,$Q516)))&amp;")",IF(INDEX(evol_conc!$G:$G,$Q516)&lt;&gt;$E516,"INGRESO DISTINTO EN evol_conc ("&amp;IF(INDEX(evol_conc!$G:$G,$Q516)="","vacía",DAY(INDEX(evol_conc!$G:$G,$Q516))&amp;"/"&amp;MONTH(INDEX(evol_conc!$G:$G,$Q516))&amp;"/"&amp;YEAR(INDEX(evol_conc!$G:$G,$Q516)))&amp;")","OK"))))))))</f>
        <v/>
      </c>
      <c r="Q516" t="str">
        <f ca="1">IF($N516="","",IFERROR(MATCH($N516,evol_conc!$P:$P,0),0))</f>
        <v/>
      </c>
    </row>
    <row r="517" spans="12:17" ht="18" hidden="1" customHeight="1" x14ac:dyDescent="0.25">
      <c r="L517" s="53" t="str">
        <f t="shared" si="16"/>
        <v/>
      </c>
      <c r="M517" s="19" t="str">
        <f t="shared" si="17"/>
        <v/>
      </c>
      <c r="N517" t="str">
        <f ca="1">IF(TRIM(SUBSTITUTE($B517,CHAR(160)," "))="","",IFERROR(IF(ISNUMBER(SEARCH("INC",$B517)),"INC",IF(ISNUMBER(SEARCH("OPI",$B517)),"OPI",IF(ISNUMBER(SEARCH("DP",$B517)),"DP","CONC")))&amp;" "&amp;TEXT(LOOKUP(9.99E+307,--MID(SUBSTITUTE($B517,CHAR(160)," "),SUMPRODUCT(MIN(FIND({0,1,2,3,4,5,6,7,8,9},SUBSTITUTE($B517,CHAR(160)," ")&amp;"0123456789"))),ROW(INDIRECT("1:6")))),"0"),"SIN NUMERO"))</f>
        <v/>
      </c>
      <c r="O517" t="str">
        <f ca="1">IF($N517="","",IF(LEFT(UPPER($P517),9)="VERIFICAR","VERIFICAR",IF(AND($H517&lt;&gt;"",COUNTIFS($N$2:$N$1000,$N517,$H$2:$H$1000,$H517)&gt;1),"DUPLICADA",IF(TRIM(IF($A517="","tipo ","")&amp;IF($F517="","fecha de firma ","")&amp;IF($G517="","decisión ","")&amp;IF($H517="","N° resolución ","")&amp;IF($I517="","N° dictamen",""))&lt;&gt;"","INCOMPLETA: "&amp;TRIM(IF($A517="","tipo ","")&amp;IF($F517="","fecha de firma ","")&amp;IF($G517="","decisión ","")&amp;IF($H517="","N° resolución ","")&amp;IF($I517="","N° dictamen","")),IF(LEFT($N517,4)&lt;&gt;"CONC","OK",IF(N($Q517)=0,IF(AND(ISNUMBER($E517),$E517&gt;=DATE(2024,1,1)),"FALTA EN evol_conc","OK"),IF(INDEX(evol_conc!$H:$H,$Q517)&lt;&gt;$F517,"FIRMA DISTINTA EN evol_conc ("&amp;IF(INDEX(evol_conc!$H:$H,$Q517)="","vacía",DAY(INDEX(evol_conc!$H:$H,$Q517))&amp;"/"&amp;MONTH(INDEX(evol_conc!$H:$H,$Q517))&amp;"/"&amp;YEAR(INDEX(evol_conc!$H:$H,$Q517)))&amp;")",IF(INDEX(evol_conc!$G:$G,$Q517)&lt;&gt;$E517,"INGRESO DISTINTO EN evol_conc ("&amp;IF(INDEX(evol_conc!$G:$G,$Q517)="","vacía",DAY(INDEX(evol_conc!$G:$G,$Q517))&amp;"/"&amp;MONTH(INDEX(evol_conc!$G:$G,$Q517))&amp;"/"&amp;YEAR(INDEX(evol_conc!$G:$G,$Q517)))&amp;")","OK"))))))))</f>
        <v/>
      </c>
      <c r="Q517" t="str">
        <f ca="1">IF($N517="","",IFERROR(MATCH($N517,evol_conc!$P:$P,0),0))</f>
        <v/>
      </c>
    </row>
    <row r="518" spans="12:17" ht="18" hidden="1" customHeight="1" x14ac:dyDescent="0.25">
      <c r="L518" s="53" t="str">
        <f t="shared" si="16"/>
        <v/>
      </c>
      <c r="M518" s="19" t="str">
        <f t="shared" si="17"/>
        <v/>
      </c>
      <c r="N518" t="str">
        <f ca="1">IF(TRIM(SUBSTITUTE($B518,CHAR(160)," "))="","",IFERROR(IF(ISNUMBER(SEARCH("INC",$B518)),"INC",IF(ISNUMBER(SEARCH("OPI",$B518)),"OPI",IF(ISNUMBER(SEARCH("DP",$B518)),"DP","CONC")))&amp;" "&amp;TEXT(LOOKUP(9.99E+307,--MID(SUBSTITUTE($B518,CHAR(160)," "),SUMPRODUCT(MIN(FIND({0,1,2,3,4,5,6,7,8,9},SUBSTITUTE($B518,CHAR(160)," ")&amp;"0123456789"))),ROW(INDIRECT("1:6")))),"0"),"SIN NUMERO"))</f>
        <v/>
      </c>
      <c r="O518" t="str">
        <f ca="1">IF($N518="","",IF(LEFT(UPPER($P518),9)="VERIFICAR","VERIFICAR",IF(AND($H518&lt;&gt;"",COUNTIFS($N$2:$N$1000,$N518,$H$2:$H$1000,$H518)&gt;1),"DUPLICADA",IF(TRIM(IF($A518="","tipo ","")&amp;IF($F518="","fecha de firma ","")&amp;IF($G518="","decisión ","")&amp;IF($H518="","N° resolución ","")&amp;IF($I518="","N° dictamen",""))&lt;&gt;"","INCOMPLETA: "&amp;TRIM(IF($A518="","tipo ","")&amp;IF($F518="","fecha de firma ","")&amp;IF($G518="","decisión ","")&amp;IF($H518="","N° resolución ","")&amp;IF($I518="","N° dictamen","")),IF(LEFT($N518,4)&lt;&gt;"CONC","OK",IF(N($Q518)=0,IF(AND(ISNUMBER($E518),$E518&gt;=DATE(2024,1,1)),"FALTA EN evol_conc","OK"),IF(INDEX(evol_conc!$H:$H,$Q518)&lt;&gt;$F518,"FIRMA DISTINTA EN evol_conc ("&amp;IF(INDEX(evol_conc!$H:$H,$Q518)="","vacía",DAY(INDEX(evol_conc!$H:$H,$Q518))&amp;"/"&amp;MONTH(INDEX(evol_conc!$H:$H,$Q518))&amp;"/"&amp;YEAR(INDEX(evol_conc!$H:$H,$Q518)))&amp;")",IF(INDEX(evol_conc!$G:$G,$Q518)&lt;&gt;$E518,"INGRESO DISTINTO EN evol_conc ("&amp;IF(INDEX(evol_conc!$G:$G,$Q518)="","vacía",DAY(INDEX(evol_conc!$G:$G,$Q518))&amp;"/"&amp;MONTH(INDEX(evol_conc!$G:$G,$Q518))&amp;"/"&amp;YEAR(INDEX(evol_conc!$G:$G,$Q518)))&amp;")","OK"))))))))</f>
        <v/>
      </c>
      <c r="Q518" t="str">
        <f ca="1">IF($N518="","",IFERROR(MATCH($N518,evol_conc!$P:$P,0),0))</f>
        <v/>
      </c>
    </row>
    <row r="519" spans="12:17" ht="18" hidden="1" customHeight="1" x14ac:dyDescent="0.25">
      <c r="L519" s="53" t="str">
        <f t="shared" si="16"/>
        <v/>
      </c>
      <c r="M519" s="19" t="str">
        <f t="shared" si="17"/>
        <v/>
      </c>
      <c r="N519" t="str">
        <f ca="1">IF(TRIM(SUBSTITUTE($B519,CHAR(160)," "))="","",IFERROR(IF(ISNUMBER(SEARCH("INC",$B519)),"INC",IF(ISNUMBER(SEARCH("OPI",$B519)),"OPI",IF(ISNUMBER(SEARCH("DP",$B519)),"DP","CONC")))&amp;" "&amp;TEXT(LOOKUP(9.99E+307,--MID(SUBSTITUTE($B519,CHAR(160)," "),SUMPRODUCT(MIN(FIND({0,1,2,3,4,5,6,7,8,9},SUBSTITUTE($B519,CHAR(160)," ")&amp;"0123456789"))),ROW(INDIRECT("1:6")))),"0"),"SIN NUMERO"))</f>
        <v/>
      </c>
      <c r="O519" t="str">
        <f ca="1">IF($N519="","",IF(LEFT(UPPER($P519),9)="VERIFICAR","VERIFICAR",IF(AND($H519&lt;&gt;"",COUNTIFS($N$2:$N$1000,$N519,$H$2:$H$1000,$H519)&gt;1),"DUPLICADA",IF(TRIM(IF($A519="","tipo ","")&amp;IF($F519="","fecha de firma ","")&amp;IF($G519="","decisión ","")&amp;IF($H519="","N° resolución ","")&amp;IF($I519="","N° dictamen",""))&lt;&gt;"","INCOMPLETA: "&amp;TRIM(IF($A519="","tipo ","")&amp;IF($F519="","fecha de firma ","")&amp;IF($G519="","decisión ","")&amp;IF($H519="","N° resolución ","")&amp;IF($I519="","N° dictamen","")),IF(LEFT($N519,4)&lt;&gt;"CONC","OK",IF(N($Q519)=0,IF(AND(ISNUMBER($E519),$E519&gt;=DATE(2024,1,1)),"FALTA EN evol_conc","OK"),IF(INDEX(evol_conc!$H:$H,$Q519)&lt;&gt;$F519,"FIRMA DISTINTA EN evol_conc ("&amp;IF(INDEX(evol_conc!$H:$H,$Q519)="","vacía",DAY(INDEX(evol_conc!$H:$H,$Q519))&amp;"/"&amp;MONTH(INDEX(evol_conc!$H:$H,$Q519))&amp;"/"&amp;YEAR(INDEX(evol_conc!$H:$H,$Q519)))&amp;")",IF(INDEX(evol_conc!$G:$G,$Q519)&lt;&gt;$E519,"INGRESO DISTINTO EN evol_conc ("&amp;IF(INDEX(evol_conc!$G:$G,$Q519)="","vacía",DAY(INDEX(evol_conc!$G:$G,$Q519))&amp;"/"&amp;MONTH(INDEX(evol_conc!$G:$G,$Q519))&amp;"/"&amp;YEAR(INDEX(evol_conc!$G:$G,$Q519)))&amp;")","OK"))))))))</f>
        <v/>
      </c>
      <c r="Q519" t="str">
        <f ca="1">IF($N519="","",IFERROR(MATCH($N519,evol_conc!$P:$P,0),0))</f>
        <v/>
      </c>
    </row>
    <row r="520" spans="12:17" ht="18" hidden="1" customHeight="1" x14ac:dyDescent="0.25">
      <c r="L520" s="53" t="str">
        <f t="shared" si="16"/>
        <v/>
      </c>
      <c r="M520" s="19" t="str">
        <f t="shared" si="17"/>
        <v/>
      </c>
      <c r="N520" t="str">
        <f ca="1">IF(TRIM(SUBSTITUTE($B520,CHAR(160)," "))="","",IFERROR(IF(ISNUMBER(SEARCH("INC",$B520)),"INC",IF(ISNUMBER(SEARCH("OPI",$B520)),"OPI",IF(ISNUMBER(SEARCH("DP",$B520)),"DP","CONC")))&amp;" "&amp;TEXT(LOOKUP(9.99E+307,--MID(SUBSTITUTE($B520,CHAR(160)," "),SUMPRODUCT(MIN(FIND({0,1,2,3,4,5,6,7,8,9},SUBSTITUTE($B520,CHAR(160)," ")&amp;"0123456789"))),ROW(INDIRECT("1:6")))),"0"),"SIN NUMERO"))</f>
        <v/>
      </c>
      <c r="O520" t="str">
        <f ca="1">IF($N520="","",IF(LEFT(UPPER($P520),9)="VERIFICAR","VERIFICAR",IF(AND($H520&lt;&gt;"",COUNTIFS($N$2:$N$1000,$N520,$H$2:$H$1000,$H520)&gt;1),"DUPLICADA",IF(TRIM(IF($A520="","tipo ","")&amp;IF($F520="","fecha de firma ","")&amp;IF($G520="","decisión ","")&amp;IF($H520="","N° resolución ","")&amp;IF($I520="","N° dictamen",""))&lt;&gt;"","INCOMPLETA: "&amp;TRIM(IF($A520="","tipo ","")&amp;IF($F520="","fecha de firma ","")&amp;IF($G520="","decisión ","")&amp;IF($H520="","N° resolución ","")&amp;IF($I520="","N° dictamen","")),IF(LEFT($N520,4)&lt;&gt;"CONC","OK",IF(N($Q520)=0,IF(AND(ISNUMBER($E520),$E520&gt;=DATE(2024,1,1)),"FALTA EN evol_conc","OK"),IF(INDEX(evol_conc!$H:$H,$Q520)&lt;&gt;$F520,"FIRMA DISTINTA EN evol_conc ("&amp;IF(INDEX(evol_conc!$H:$H,$Q520)="","vacía",DAY(INDEX(evol_conc!$H:$H,$Q520))&amp;"/"&amp;MONTH(INDEX(evol_conc!$H:$H,$Q520))&amp;"/"&amp;YEAR(INDEX(evol_conc!$H:$H,$Q520)))&amp;")",IF(INDEX(evol_conc!$G:$G,$Q520)&lt;&gt;$E520,"INGRESO DISTINTO EN evol_conc ("&amp;IF(INDEX(evol_conc!$G:$G,$Q520)="","vacía",DAY(INDEX(evol_conc!$G:$G,$Q520))&amp;"/"&amp;MONTH(INDEX(evol_conc!$G:$G,$Q520))&amp;"/"&amp;YEAR(INDEX(evol_conc!$G:$G,$Q520)))&amp;")","OK"))))))))</f>
        <v/>
      </c>
      <c r="Q520" t="str">
        <f ca="1">IF($N520="","",IFERROR(MATCH($N520,evol_conc!$P:$P,0),0))</f>
        <v/>
      </c>
    </row>
    <row r="521" spans="12:17" ht="18" hidden="1" customHeight="1" x14ac:dyDescent="0.25">
      <c r="L521" s="53" t="str">
        <f t="shared" si="16"/>
        <v/>
      </c>
      <c r="M521" s="19" t="str">
        <f t="shared" si="17"/>
        <v/>
      </c>
      <c r="N521" t="str">
        <f ca="1">IF(TRIM(SUBSTITUTE($B521,CHAR(160)," "))="","",IFERROR(IF(ISNUMBER(SEARCH("INC",$B521)),"INC",IF(ISNUMBER(SEARCH("OPI",$B521)),"OPI",IF(ISNUMBER(SEARCH("DP",$B521)),"DP","CONC")))&amp;" "&amp;TEXT(LOOKUP(9.99E+307,--MID(SUBSTITUTE($B521,CHAR(160)," "),SUMPRODUCT(MIN(FIND({0,1,2,3,4,5,6,7,8,9},SUBSTITUTE($B521,CHAR(160)," ")&amp;"0123456789"))),ROW(INDIRECT("1:6")))),"0"),"SIN NUMERO"))</f>
        <v/>
      </c>
      <c r="O521" t="str">
        <f ca="1">IF($N521="","",IF(LEFT(UPPER($P521),9)="VERIFICAR","VERIFICAR",IF(AND($H521&lt;&gt;"",COUNTIFS($N$2:$N$1000,$N521,$H$2:$H$1000,$H521)&gt;1),"DUPLICADA",IF(TRIM(IF($A521="","tipo ","")&amp;IF($F521="","fecha de firma ","")&amp;IF($G521="","decisión ","")&amp;IF($H521="","N° resolución ","")&amp;IF($I521="","N° dictamen",""))&lt;&gt;"","INCOMPLETA: "&amp;TRIM(IF($A521="","tipo ","")&amp;IF($F521="","fecha de firma ","")&amp;IF($G521="","decisión ","")&amp;IF($H521="","N° resolución ","")&amp;IF($I521="","N° dictamen","")),IF(LEFT($N521,4)&lt;&gt;"CONC","OK",IF(N($Q521)=0,IF(AND(ISNUMBER($E521),$E521&gt;=DATE(2024,1,1)),"FALTA EN evol_conc","OK"),IF(INDEX(evol_conc!$H:$H,$Q521)&lt;&gt;$F521,"FIRMA DISTINTA EN evol_conc ("&amp;IF(INDEX(evol_conc!$H:$H,$Q521)="","vacía",DAY(INDEX(evol_conc!$H:$H,$Q521))&amp;"/"&amp;MONTH(INDEX(evol_conc!$H:$H,$Q521))&amp;"/"&amp;YEAR(INDEX(evol_conc!$H:$H,$Q521)))&amp;")",IF(INDEX(evol_conc!$G:$G,$Q521)&lt;&gt;$E521,"INGRESO DISTINTO EN evol_conc ("&amp;IF(INDEX(evol_conc!$G:$G,$Q521)="","vacía",DAY(INDEX(evol_conc!$G:$G,$Q521))&amp;"/"&amp;MONTH(INDEX(evol_conc!$G:$G,$Q521))&amp;"/"&amp;YEAR(INDEX(evol_conc!$G:$G,$Q521)))&amp;")","OK"))))))))</f>
        <v/>
      </c>
      <c r="Q521" t="str">
        <f ca="1">IF($N521="","",IFERROR(MATCH($N521,evol_conc!$P:$P,0),0))</f>
        <v/>
      </c>
    </row>
    <row r="522" spans="12:17" ht="18" hidden="1" customHeight="1" x14ac:dyDescent="0.25">
      <c r="L522" s="53" t="str">
        <f t="shared" si="16"/>
        <v/>
      </c>
      <c r="M522" s="19" t="str">
        <f t="shared" si="17"/>
        <v/>
      </c>
      <c r="N522" t="str">
        <f ca="1">IF(TRIM(SUBSTITUTE($B522,CHAR(160)," "))="","",IFERROR(IF(ISNUMBER(SEARCH("INC",$B522)),"INC",IF(ISNUMBER(SEARCH("OPI",$B522)),"OPI",IF(ISNUMBER(SEARCH("DP",$B522)),"DP","CONC")))&amp;" "&amp;TEXT(LOOKUP(9.99E+307,--MID(SUBSTITUTE($B522,CHAR(160)," "),SUMPRODUCT(MIN(FIND({0,1,2,3,4,5,6,7,8,9},SUBSTITUTE($B522,CHAR(160)," ")&amp;"0123456789"))),ROW(INDIRECT("1:6")))),"0"),"SIN NUMERO"))</f>
        <v/>
      </c>
      <c r="O522" t="str">
        <f ca="1">IF($N522="","",IF(LEFT(UPPER($P522),9)="VERIFICAR","VERIFICAR",IF(AND($H522&lt;&gt;"",COUNTIFS($N$2:$N$1000,$N522,$H$2:$H$1000,$H522)&gt;1),"DUPLICADA",IF(TRIM(IF($A522="","tipo ","")&amp;IF($F522="","fecha de firma ","")&amp;IF($G522="","decisión ","")&amp;IF($H522="","N° resolución ","")&amp;IF($I522="","N° dictamen",""))&lt;&gt;"","INCOMPLETA: "&amp;TRIM(IF($A522="","tipo ","")&amp;IF($F522="","fecha de firma ","")&amp;IF($G522="","decisión ","")&amp;IF($H522="","N° resolución ","")&amp;IF($I522="","N° dictamen","")),IF(LEFT($N522,4)&lt;&gt;"CONC","OK",IF(N($Q522)=0,IF(AND(ISNUMBER($E522),$E522&gt;=DATE(2024,1,1)),"FALTA EN evol_conc","OK"),IF(INDEX(evol_conc!$H:$H,$Q522)&lt;&gt;$F522,"FIRMA DISTINTA EN evol_conc ("&amp;IF(INDEX(evol_conc!$H:$H,$Q522)="","vacía",DAY(INDEX(evol_conc!$H:$H,$Q522))&amp;"/"&amp;MONTH(INDEX(evol_conc!$H:$H,$Q522))&amp;"/"&amp;YEAR(INDEX(evol_conc!$H:$H,$Q522)))&amp;")",IF(INDEX(evol_conc!$G:$G,$Q522)&lt;&gt;$E522,"INGRESO DISTINTO EN evol_conc ("&amp;IF(INDEX(evol_conc!$G:$G,$Q522)="","vacía",DAY(INDEX(evol_conc!$G:$G,$Q522))&amp;"/"&amp;MONTH(INDEX(evol_conc!$G:$G,$Q522))&amp;"/"&amp;YEAR(INDEX(evol_conc!$G:$G,$Q522)))&amp;")","OK"))))))))</f>
        <v/>
      </c>
      <c r="Q522" t="str">
        <f ca="1">IF($N522="","",IFERROR(MATCH($N522,evol_conc!$P:$P,0),0))</f>
        <v/>
      </c>
    </row>
    <row r="523" spans="12:17" ht="18" hidden="1" customHeight="1" x14ac:dyDescent="0.25">
      <c r="L523" s="53" t="str">
        <f t="shared" si="16"/>
        <v/>
      </c>
      <c r="M523" s="19" t="str">
        <f t="shared" si="17"/>
        <v/>
      </c>
      <c r="N523" t="str">
        <f ca="1">IF(TRIM(SUBSTITUTE($B523,CHAR(160)," "))="","",IFERROR(IF(ISNUMBER(SEARCH("INC",$B523)),"INC",IF(ISNUMBER(SEARCH("OPI",$B523)),"OPI",IF(ISNUMBER(SEARCH("DP",$B523)),"DP","CONC")))&amp;" "&amp;TEXT(LOOKUP(9.99E+307,--MID(SUBSTITUTE($B523,CHAR(160)," "),SUMPRODUCT(MIN(FIND({0,1,2,3,4,5,6,7,8,9},SUBSTITUTE($B523,CHAR(160)," ")&amp;"0123456789"))),ROW(INDIRECT("1:6")))),"0"),"SIN NUMERO"))</f>
        <v/>
      </c>
      <c r="O523" t="str">
        <f ca="1">IF($N523="","",IF(LEFT(UPPER($P523),9)="VERIFICAR","VERIFICAR",IF(AND($H523&lt;&gt;"",COUNTIFS($N$2:$N$1000,$N523,$H$2:$H$1000,$H523)&gt;1),"DUPLICADA",IF(TRIM(IF($A523="","tipo ","")&amp;IF($F523="","fecha de firma ","")&amp;IF($G523="","decisión ","")&amp;IF($H523="","N° resolución ","")&amp;IF($I523="","N° dictamen",""))&lt;&gt;"","INCOMPLETA: "&amp;TRIM(IF($A523="","tipo ","")&amp;IF($F523="","fecha de firma ","")&amp;IF($G523="","decisión ","")&amp;IF($H523="","N° resolución ","")&amp;IF($I523="","N° dictamen","")),IF(LEFT($N523,4)&lt;&gt;"CONC","OK",IF(N($Q523)=0,IF(AND(ISNUMBER($E523),$E523&gt;=DATE(2024,1,1)),"FALTA EN evol_conc","OK"),IF(INDEX(evol_conc!$H:$H,$Q523)&lt;&gt;$F523,"FIRMA DISTINTA EN evol_conc ("&amp;IF(INDEX(evol_conc!$H:$H,$Q523)="","vacía",DAY(INDEX(evol_conc!$H:$H,$Q523))&amp;"/"&amp;MONTH(INDEX(evol_conc!$H:$H,$Q523))&amp;"/"&amp;YEAR(INDEX(evol_conc!$H:$H,$Q523)))&amp;")",IF(INDEX(evol_conc!$G:$G,$Q523)&lt;&gt;$E523,"INGRESO DISTINTO EN evol_conc ("&amp;IF(INDEX(evol_conc!$G:$G,$Q523)="","vacía",DAY(INDEX(evol_conc!$G:$G,$Q523))&amp;"/"&amp;MONTH(INDEX(evol_conc!$G:$G,$Q523))&amp;"/"&amp;YEAR(INDEX(evol_conc!$G:$G,$Q523)))&amp;")","OK"))))))))</f>
        <v/>
      </c>
      <c r="Q523" t="str">
        <f ca="1">IF($N523="","",IFERROR(MATCH($N523,evol_conc!$P:$P,0),0))</f>
        <v/>
      </c>
    </row>
    <row r="524" spans="12:17" ht="18" hidden="1" customHeight="1" x14ac:dyDescent="0.25">
      <c r="L524" s="53" t="str">
        <f t="shared" si="16"/>
        <v/>
      </c>
      <c r="M524" s="19" t="str">
        <f t="shared" si="17"/>
        <v/>
      </c>
      <c r="N524" t="str">
        <f ca="1">IF(TRIM(SUBSTITUTE($B524,CHAR(160)," "))="","",IFERROR(IF(ISNUMBER(SEARCH("INC",$B524)),"INC",IF(ISNUMBER(SEARCH("OPI",$B524)),"OPI",IF(ISNUMBER(SEARCH("DP",$B524)),"DP","CONC")))&amp;" "&amp;TEXT(LOOKUP(9.99E+307,--MID(SUBSTITUTE($B524,CHAR(160)," "),SUMPRODUCT(MIN(FIND({0,1,2,3,4,5,6,7,8,9},SUBSTITUTE($B524,CHAR(160)," ")&amp;"0123456789"))),ROW(INDIRECT("1:6")))),"0"),"SIN NUMERO"))</f>
        <v/>
      </c>
      <c r="O524" t="str">
        <f ca="1">IF($N524="","",IF(LEFT(UPPER($P524),9)="VERIFICAR","VERIFICAR",IF(AND($H524&lt;&gt;"",COUNTIFS($N$2:$N$1000,$N524,$H$2:$H$1000,$H524)&gt;1),"DUPLICADA",IF(TRIM(IF($A524="","tipo ","")&amp;IF($F524="","fecha de firma ","")&amp;IF($G524="","decisión ","")&amp;IF($H524="","N° resolución ","")&amp;IF($I524="","N° dictamen",""))&lt;&gt;"","INCOMPLETA: "&amp;TRIM(IF($A524="","tipo ","")&amp;IF($F524="","fecha de firma ","")&amp;IF($G524="","decisión ","")&amp;IF($H524="","N° resolución ","")&amp;IF($I524="","N° dictamen","")),IF(LEFT($N524,4)&lt;&gt;"CONC","OK",IF(N($Q524)=0,IF(AND(ISNUMBER($E524),$E524&gt;=DATE(2024,1,1)),"FALTA EN evol_conc","OK"),IF(INDEX(evol_conc!$H:$H,$Q524)&lt;&gt;$F524,"FIRMA DISTINTA EN evol_conc ("&amp;IF(INDEX(evol_conc!$H:$H,$Q524)="","vacía",DAY(INDEX(evol_conc!$H:$H,$Q524))&amp;"/"&amp;MONTH(INDEX(evol_conc!$H:$H,$Q524))&amp;"/"&amp;YEAR(INDEX(evol_conc!$H:$H,$Q524)))&amp;")",IF(INDEX(evol_conc!$G:$G,$Q524)&lt;&gt;$E524,"INGRESO DISTINTO EN evol_conc ("&amp;IF(INDEX(evol_conc!$G:$G,$Q524)="","vacía",DAY(INDEX(evol_conc!$G:$G,$Q524))&amp;"/"&amp;MONTH(INDEX(evol_conc!$G:$G,$Q524))&amp;"/"&amp;YEAR(INDEX(evol_conc!$G:$G,$Q524)))&amp;")","OK"))))))))</f>
        <v/>
      </c>
      <c r="Q524" t="str">
        <f ca="1">IF($N524="","",IFERROR(MATCH($N524,evol_conc!$P:$P,0),0))</f>
        <v/>
      </c>
    </row>
    <row r="525" spans="12:17" ht="18" hidden="1" customHeight="1" x14ac:dyDescent="0.25">
      <c r="L525" s="53" t="str">
        <f t="shared" si="16"/>
        <v/>
      </c>
      <c r="M525" s="19" t="str">
        <f t="shared" si="17"/>
        <v/>
      </c>
      <c r="N525" t="str">
        <f ca="1">IF(TRIM(SUBSTITUTE($B525,CHAR(160)," "))="","",IFERROR(IF(ISNUMBER(SEARCH("INC",$B525)),"INC",IF(ISNUMBER(SEARCH("OPI",$B525)),"OPI",IF(ISNUMBER(SEARCH("DP",$B525)),"DP","CONC")))&amp;" "&amp;TEXT(LOOKUP(9.99E+307,--MID(SUBSTITUTE($B525,CHAR(160)," "),SUMPRODUCT(MIN(FIND({0,1,2,3,4,5,6,7,8,9},SUBSTITUTE($B525,CHAR(160)," ")&amp;"0123456789"))),ROW(INDIRECT("1:6")))),"0"),"SIN NUMERO"))</f>
        <v/>
      </c>
      <c r="O525" t="str">
        <f ca="1">IF($N525="","",IF(LEFT(UPPER($P525),9)="VERIFICAR","VERIFICAR",IF(AND($H525&lt;&gt;"",COUNTIFS($N$2:$N$1000,$N525,$H$2:$H$1000,$H525)&gt;1),"DUPLICADA",IF(TRIM(IF($A525="","tipo ","")&amp;IF($F525="","fecha de firma ","")&amp;IF($G525="","decisión ","")&amp;IF($H525="","N° resolución ","")&amp;IF($I525="","N° dictamen",""))&lt;&gt;"","INCOMPLETA: "&amp;TRIM(IF($A525="","tipo ","")&amp;IF($F525="","fecha de firma ","")&amp;IF($G525="","decisión ","")&amp;IF($H525="","N° resolución ","")&amp;IF($I525="","N° dictamen","")),IF(LEFT($N525,4)&lt;&gt;"CONC","OK",IF(N($Q525)=0,IF(AND(ISNUMBER($E525),$E525&gt;=DATE(2024,1,1)),"FALTA EN evol_conc","OK"),IF(INDEX(evol_conc!$H:$H,$Q525)&lt;&gt;$F525,"FIRMA DISTINTA EN evol_conc ("&amp;IF(INDEX(evol_conc!$H:$H,$Q525)="","vacía",DAY(INDEX(evol_conc!$H:$H,$Q525))&amp;"/"&amp;MONTH(INDEX(evol_conc!$H:$H,$Q525))&amp;"/"&amp;YEAR(INDEX(evol_conc!$H:$H,$Q525)))&amp;")",IF(INDEX(evol_conc!$G:$G,$Q525)&lt;&gt;$E525,"INGRESO DISTINTO EN evol_conc ("&amp;IF(INDEX(evol_conc!$G:$G,$Q525)="","vacía",DAY(INDEX(evol_conc!$G:$G,$Q525))&amp;"/"&amp;MONTH(INDEX(evol_conc!$G:$G,$Q525))&amp;"/"&amp;YEAR(INDEX(evol_conc!$G:$G,$Q525)))&amp;")","OK"))))))))</f>
        <v/>
      </c>
      <c r="Q525" t="str">
        <f ca="1">IF($N525="","",IFERROR(MATCH($N525,evol_conc!$P:$P,0),0))</f>
        <v/>
      </c>
    </row>
    <row r="526" spans="12:17" ht="18" hidden="1" customHeight="1" x14ac:dyDescent="0.25">
      <c r="L526" s="53" t="str">
        <f t="shared" si="16"/>
        <v/>
      </c>
      <c r="M526" s="19" t="str">
        <f t="shared" si="17"/>
        <v/>
      </c>
      <c r="N526" t="str">
        <f ca="1">IF(TRIM(SUBSTITUTE($B526,CHAR(160)," "))="","",IFERROR(IF(ISNUMBER(SEARCH("INC",$B526)),"INC",IF(ISNUMBER(SEARCH("OPI",$B526)),"OPI",IF(ISNUMBER(SEARCH("DP",$B526)),"DP","CONC")))&amp;" "&amp;TEXT(LOOKUP(9.99E+307,--MID(SUBSTITUTE($B526,CHAR(160)," "),SUMPRODUCT(MIN(FIND({0,1,2,3,4,5,6,7,8,9},SUBSTITUTE($B526,CHAR(160)," ")&amp;"0123456789"))),ROW(INDIRECT("1:6")))),"0"),"SIN NUMERO"))</f>
        <v/>
      </c>
      <c r="O526" t="str">
        <f ca="1">IF($N526="","",IF(LEFT(UPPER($P526),9)="VERIFICAR","VERIFICAR",IF(AND($H526&lt;&gt;"",COUNTIFS($N$2:$N$1000,$N526,$H$2:$H$1000,$H526)&gt;1),"DUPLICADA",IF(TRIM(IF($A526="","tipo ","")&amp;IF($F526="","fecha de firma ","")&amp;IF($G526="","decisión ","")&amp;IF($H526="","N° resolución ","")&amp;IF($I526="","N° dictamen",""))&lt;&gt;"","INCOMPLETA: "&amp;TRIM(IF($A526="","tipo ","")&amp;IF($F526="","fecha de firma ","")&amp;IF($G526="","decisión ","")&amp;IF($H526="","N° resolución ","")&amp;IF($I526="","N° dictamen","")),IF(LEFT($N526,4)&lt;&gt;"CONC","OK",IF(N($Q526)=0,IF(AND(ISNUMBER($E526),$E526&gt;=DATE(2024,1,1)),"FALTA EN evol_conc","OK"),IF(INDEX(evol_conc!$H:$H,$Q526)&lt;&gt;$F526,"FIRMA DISTINTA EN evol_conc ("&amp;IF(INDEX(evol_conc!$H:$H,$Q526)="","vacía",DAY(INDEX(evol_conc!$H:$H,$Q526))&amp;"/"&amp;MONTH(INDEX(evol_conc!$H:$H,$Q526))&amp;"/"&amp;YEAR(INDEX(evol_conc!$H:$H,$Q526)))&amp;")",IF(INDEX(evol_conc!$G:$G,$Q526)&lt;&gt;$E526,"INGRESO DISTINTO EN evol_conc ("&amp;IF(INDEX(evol_conc!$G:$G,$Q526)="","vacía",DAY(INDEX(evol_conc!$G:$G,$Q526))&amp;"/"&amp;MONTH(INDEX(evol_conc!$G:$G,$Q526))&amp;"/"&amp;YEAR(INDEX(evol_conc!$G:$G,$Q526)))&amp;")","OK"))))))))</f>
        <v/>
      </c>
      <c r="Q526" t="str">
        <f ca="1">IF($N526="","",IFERROR(MATCH($N526,evol_conc!$P:$P,0),0))</f>
        <v/>
      </c>
    </row>
    <row r="527" spans="12:17" ht="18" hidden="1" customHeight="1" x14ac:dyDescent="0.25">
      <c r="L527" s="53" t="str">
        <f t="shared" si="16"/>
        <v/>
      </c>
      <c r="M527" s="19" t="str">
        <f t="shared" si="17"/>
        <v/>
      </c>
      <c r="N527" t="str">
        <f ca="1">IF(TRIM(SUBSTITUTE($B527,CHAR(160)," "))="","",IFERROR(IF(ISNUMBER(SEARCH("INC",$B527)),"INC",IF(ISNUMBER(SEARCH("OPI",$B527)),"OPI",IF(ISNUMBER(SEARCH("DP",$B527)),"DP","CONC")))&amp;" "&amp;TEXT(LOOKUP(9.99E+307,--MID(SUBSTITUTE($B527,CHAR(160)," "),SUMPRODUCT(MIN(FIND({0,1,2,3,4,5,6,7,8,9},SUBSTITUTE($B527,CHAR(160)," ")&amp;"0123456789"))),ROW(INDIRECT("1:6")))),"0"),"SIN NUMERO"))</f>
        <v/>
      </c>
      <c r="O527" t="str">
        <f ca="1">IF($N527="","",IF(LEFT(UPPER($P527),9)="VERIFICAR","VERIFICAR",IF(AND($H527&lt;&gt;"",COUNTIFS($N$2:$N$1000,$N527,$H$2:$H$1000,$H527)&gt;1),"DUPLICADA",IF(TRIM(IF($A527="","tipo ","")&amp;IF($F527="","fecha de firma ","")&amp;IF($G527="","decisión ","")&amp;IF($H527="","N° resolución ","")&amp;IF($I527="","N° dictamen",""))&lt;&gt;"","INCOMPLETA: "&amp;TRIM(IF($A527="","tipo ","")&amp;IF($F527="","fecha de firma ","")&amp;IF($G527="","decisión ","")&amp;IF($H527="","N° resolución ","")&amp;IF($I527="","N° dictamen","")),IF(LEFT($N527,4)&lt;&gt;"CONC","OK",IF(N($Q527)=0,IF(AND(ISNUMBER($E527),$E527&gt;=DATE(2024,1,1)),"FALTA EN evol_conc","OK"),IF(INDEX(evol_conc!$H:$H,$Q527)&lt;&gt;$F527,"FIRMA DISTINTA EN evol_conc ("&amp;IF(INDEX(evol_conc!$H:$H,$Q527)="","vacía",DAY(INDEX(evol_conc!$H:$H,$Q527))&amp;"/"&amp;MONTH(INDEX(evol_conc!$H:$H,$Q527))&amp;"/"&amp;YEAR(INDEX(evol_conc!$H:$H,$Q527)))&amp;")",IF(INDEX(evol_conc!$G:$G,$Q527)&lt;&gt;$E527,"INGRESO DISTINTO EN evol_conc ("&amp;IF(INDEX(evol_conc!$G:$G,$Q527)="","vacía",DAY(INDEX(evol_conc!$G:$G,$Q527))&amp;"/"&amp;MONTH(INDEX(evol_conc!$G:$G,$Q527))&amp;"/"&amp;YEAR(INDEX(evol_conc!$G:$G,$Q527)))&amp;")","OK"))))))))</f>
        <v/>
      </c>
      <c r="Q527" t="str">
        <f ca="1">IF($N527="","",IFERROR(MATCH($N527,evol_conc!$P:$P,0),0))</f>
        <v/>
      </c>
    </row>
    <row r="528" spans="12:17" ht="18" hidden="1" customHeight="1" x14ac:dyDescent="0.25">
      <c r="L528" s="53" t="str">
        <f t="shared" si="16"/>
        <v/>
      </c>
      <c r="M528" s="19" t="str">
        <f t="shared" si="17"/>
        <v/>
      </c>
      <c r="N528" t="str">
        <f ca="1">IF(TRIM(SUBSTITUTE($B528,CHAR(160)," "))="","",IFERROR(IF(ISNUMBER(SEARCH("INC",$B528)),"INC",IF(ISNUMBER(SEARCH("OPI",$B528)),"OPI",IF(ISNUMBER(SEARCH("DP",$B528)),"DP","CONC")))&amp;" "&amp;TEXT(LOOKUP(9.99E+307,--MID(SUBSTITUTE($B528,CHAR(160)," "),SUMPRODUCT(MIN(FIND({0,1,2,3,4,5,6,7,8,9},SUBSTITUTE($B528,CHAR(160)," ")&amp;"0123456789"))),ROW(INDIRECT("1:6")))),"0"),"SIN NUMERO"))</f>
        <v/>
      </c>
      <c r="O528" t="str">
        <f ca="1">IF($N528="","",IF(LEFT(UPPER($P528),9)="VERIFICAR","VERIFICAR",IF(AND($H528&lt;&gt;"",COUNTIFS($N$2:$N$1000,$N528,$H$2:$H$1000,$H528)&gt;1),"DUPLICADA",IF(TRIM(IF($A528="","tipo ","")&amp;IF($F528="","fecha de firma ","")&amp;IF($G528="","decisión ","")&amp;IF($H528="","N° resolución ","")&amp;IF($I528="","N° dictamen",""))&lt;&gt;"","INCOMPLETA: "&amp;TRIM(IF($A528="","tipo ","")&amp;IF($F528="","fecha de firma ","")&amp;IF($G528="","decisión ","")&amp;IF($H528="","N° resolución ","")&amp;IF($I528="","N° dictamen","")),IF(LEFT($N528,4)&lt;&gt;"CONC","OK",IF(N($Q528)=0,IF(AND(ISNUMBER($E528),$E528&gt;=DATE(2024,1,1)),"FALTA EN evol_conc","OK"),IF(INDEX(evol_conc!$H:$H,$Q528)&lt;&gt;$F528,"FIRMA DISTINTA EN evol_conc ("&amp;IF(INDEX(evol_conc!$H:$H,$Q528)="","vacía",DAY(INDEX(evol_conc!$H:$H,$Q528))&amp;"/"&amp;MONTH(INDEX(evol_conc!$H:$H,$Q528))&amp;"/"&amp;YEAR(INDEX(evol_conc!$H:$H,$Q528)))&amp;")",IF(INDEX(evol_conc!$G:$G,$Q528)&lt;&gt;$E528,"INGRESO DISTINTO EN evol_conc ("&amp;IF(INDEX(evol_conc!$G:$G,$Q528)="","vacía",DAY(INDEX(evol_conc!$G:$G,$Q528))&amp;"/"&amp;MONTH(INDEX(evol_conc!$G:$G,$Q528))&amp;"/"&amp;YEAR(INDEX(evol_conc!$G:$G,$Q528)))&amp;")","OK"))))))))</f>
        <v/>
      </c>
      <c r="Q528" t="str">
        <f ca="1">IF($N528="","",IFERROR(MATCH($N528,evol_conc!$P:$P,0),0))</f>
        <v/>
      </c>
    </row>
    <row r="529" spans="12:17" ht="18" hidden="1" customHeight="1" x14ac:dyDescent="0.25">
      <c r="L529" s="53" t="str">
        <f t="shared" si="16"/>
        <v/>
      </c>
      <c r="M529" s="19" t="str">
        <f t="shared" si="17"/>
        <v/>
      </c>
      <c r="N529" t="str">
        <f ca="1">IF(TRIM(SUBSTITUTE($B529,CHAR(160)," "))="","",IFERROR(IF(ISNUMBER(SEARCH("INC",$B529)),"INC",IF(ISNUMBER(SEARCH("OPI",$B529)),"OPI",IF(ISNUMBER(SEARCH("DP",$B529)),"DP","CONC")))&amp;" "&amp;TEXT(LOOKUP(9.99E+307,--MID(SUBSTITUTE($B529,CHAR(160)," "),SUMPRODUCT(MIN(FIND({0,1,2,3,4,5,6,7,8,9},SUBSTITUTE($B529,CHAR(160)," ")&amp;"0123456789"))),ROW(INDIRECT("1:6")))),"0"),"SIN NUMERO"))</f>
        <v/>
      </c>
      <c r="O529" t="str">
        <f ca="1">IF($N529="","",IF(LEFT(UPPER($P529),9)="VERIFICAR","VERIFICAR",IF(AND($H529&lt;&gt;"",COUNTIFS($N$2:$N$1000,$N529,$H$2:$H$1000,$H529)&gt;1),"DUPLICADA",IF(TRIM(IF($A529="","tipo ","")&amp;IF($F529="","fecha de firma ","")&amp;IF($G529="","decisión ","")&amp;IF($H529="","N° resolución ","")&amp;IF($I529="","N° dictamen",""))&lt;&gt;"","INCOMPLETA: "&amp;TRIM(IF($A529="","tipo ","")&amp;IF($F529="","fecha de firma ","")&amp;IF($G529="","decisión ","")&amp;IF($H529="","N° resolución ","")&amp;IF($I529="","N° dictamen","")),IF(LEFT($N529,4)&lt;&gt;"CONC","OK",IF(N($Q529)=0,IF(AND(ISNUMBER($E529),$E529&gt;=DATE(2024,1,1)),"FALTA EN evol_conc","OK"),IF(INDEX(evol_conc!$H:$H,$Q529)&lt;&gt;$F529,"FIRMA DISTINTA EN evol_conc ("&amp;IF(INDEX(evol_conc!$H:$H,$Q529)="","vacía",DAY(INDEX(evol_conc!$H:$H,$Q529))&amp;"/"&amp;MONTH(INDEX(evol_conc!$H:$H,$Q529))&amp;"/"&amp;YEAR(INDEX(evol_conc!$H:$H,$Q529)))&amp;")",IF(INDEX(evol_conc!$G:$G,$Q529)&lt;&gt;$E529,"INGRESO DISTINTO EN evol_conc ("&amp;IF(INDEX(evol_conc!$G:$G,$Q529)="","vacía",DAY(INDEX(evol_conc!$G:$G,$Q529))&amp;"/"&amp;MONTH(INDEX(evol_conc!$G:$G,$Q529))&amp;"/"&amp;YEAR(INDEX(evol_conc!$G:$G,$Q529)))&amp;")","OK"))))))))</f>
        <v/>
      </c>
      <c r="Q529" t="str">
        <f ca="1">IF($N529="","",IFERROR(MATCH($N529,evol_conc!$P:$P,0),0))</f>
        <v/>
      </c>
    </row>
    <row r="530" spans="12:17" ht="18" hidden="1" customHeight="1" x14ac:dyDescent="0.25">
      <c r="L530" s="53" t="str">
        <f t="shared" si="16"/>
        <v/>
      </c>
      <c r="M530" s="19" t="str">
        <f t="shared" si="17"/>
        <v/>
      </c>
      <c r="N530" t="str">
        <f ca="1">IF(TRIM(SUBSTITUTE($B530,CHAR(160)," "))="","",IFERROR(IF(ISNUMBER(SEARCH("INC",$B530)),"INC",IF(ISNUMBER(SEARCH("OPI",$B530)),"OPI",IF(ISNUMBER(SEARCH("DP",$B530)),"DP","CONC")))&amp;" "&amp;TEXT(LOOKUP(9.99E+307,--MID(SUBSTITUTE($B530,CHAR(160)," "),SUMPRODUCT(MIN(FIND({0,1,2,3,4,5,6,7,8,9},SUBSTITUTE($B530,CHAR(160)," ")&amp;"0123456789"))),ROW(INDIRECT("1:6")))),"0"),"SIN NUMERO"))</f>
        <v/>
      </c>
      <c r="O530" t="str">
        <f ca="1">IF($N530="","",IF(LEFT(UPPER($P530),9)="VERIFICAR","VERIFICAR",IF(AND($H530&lt;&gt;"",COUNTIFS($N$2:$N$1000,$N530,$H$2:$H$1000,$H530)&gt;1),"DUPLICADA",IF(TRIM(IF($A530="","tipo ","")&amp;IF($F530="","fecha de firma ","")&amp;IF($G530="","decisión ","")&amp;IF($H530="","N° resolución ","")&amp;IF($I530="","N° dictamen",""))&lt;&gt;"","INCOMPLETA: "&amp;TRIM(IF($A530="","tipo ","")&amp;IF($F530="","fecha de firma ","")&amp;IF($G530="","decisión ","")&amp;IF($H530="","N° resolución ","")&amp;IF($I530="","N° dictamen","")),IF(LEFT($N530,4)&lt;&gt;"CONC","OK",IF(N($Q530)=0,IF(AND(ISNUMBER($E530),$E530&gt;=DATE(2024,1,1)),"FALTA EN evol_conc","OK"),IF(INDEX(evol_conc!$H:$H,$Q530)&lt;&gt;$F530,"FIRMA DISTINTA EN evol_conc ("&amp;IF(INDEX(evol_conc!$H:$H,$Q530)="","vacía",DAY(INDEX(evol_conc!$H:$H,$Q530))&amp;"/"&amp;MONTH(INDEX(evol_conc!$H:$H,$Q530))&amp;"/"&amp;YEAR(INDEX(evol_conc!$H:$H,$Q530)))&amp;")",IF(INDEX(evol_conc!$G:$G,$Q530)&lt;&gt;$E530,"INGRESO DISTINTO EN evol_conc ("&amp;IF(INDEX(evol_conc!$G:$G,$Q530)="","vacía",DAY(INDEX(evol_conc!$G:$G,$Q530))&amp;"/"&amp;MONTH(INDEX(evol_conc!$G:$G,$Q530))&amp;"/"&amp;YEAR(INDEX(evol_conc!$G:$G,$Q530)))&amp;")","OK"))))))))</f>
        <v/>
      </c>
      <c r="Q530" t="str">
        <f ca="1">IF($N530="","",IFERROR(MATCH($N530,evol_conc!$P:$P,0),0))</f>
        <v/>
      </c>
    </row>
    <row r="531" spans="12:17" ht="18" hidden="1" customHeight="1" x14ac:dyDescent="0.25">
      <c r="L531" s="53" t="str">
        <f t="shared" si="16"/>
        <v/>
      </c>
      <c r="M531" s="19" t="str">
        <f t="shared" si="17"/>
        <v/>
      </c>
      <c r="N531" t="str">
        <f ca="1">IF(TRIM(SUBSTITUTE($B531,CHAR(160)," "))="","",IFERROR(IF(ISNUMBER(SEARCH("INC",$B531)),"INC",IF(ISNUMBER(SEARCH("OPI",$B531)),"OPI",IF(ISNUMBER(SEARCH("DP",$B531)),"DP","CONC")))&amp;" "&amp;TEXT(LOOKUP(9.99E+307,--MID(SUBSTITUTE($B531,CHAR(160)," "),SUMPRODUCT(MIN(FIND({0,1,2,3,4,5,6,7,8,9},SUBSTITUTE($B531,CHAR(160)," ")&amp;"0123456789"))),ROW(INDIRECT("1:6")))),"0"),"SIN NUMERO"))</f>
        <v/>
      </c>
      <c r="O531" t="str">
        <f ca="1">IF($N531="","",IF(LEFT(UPPER($P531),9)="VERIFICAR","VERIFICAR",IF(AND($H531&lt;&gt;"",COUNTIFS($N$2:$N$1000,$N531,$H$2:$H$1000,$H531)&gt;1),"DUPLICADA",IF(TRIM(IF($A531="","tipo ","")&amp;IF($F531="","fecha de firma ","")&amp;IF($G531="","decisión ","")&amp;IF($H531="","N° resolución ","")&amp;IF($I531="","N° dictamen",""))&lt;&gt;"","INCOMPLETA: "&amp;TRIM(IF($A531="","tipo ","")&amp;IF($F531="","fecha de firma ","")&amp;IF($G531="","decisión ","")&amp;IF($H531="","N° resolución ","")&amp;IF($I531="","N° dictamen","")),IF(LEFT($N531,4)&lt;&gt;"CONC","OK",IF(N($Q531)=0,IF(AND(ISNUMBER($E531),$E531&gt;=DATE(2024,1,1)),"FALTA EN evol_conc","OK"),IF(INDEX(evol_conc!$H:$H,$Q531)&lt;&gt;$F531,"FIRMA DISTINTA EN evol_conc ("&amp;IF(INDEX(evol_conc!$H:$H,$Q531)="","vacía",DAY(INDEX(evol_conc!$H:$H,$Q531))&amp;"/"&amp;MONTH(INDEX(evol_conc!$H:$H,$Q531))&amp;"/"&amp;YEAR(INDEX(evol_conc!$H:$H,$Q531)))&amp;")",IF(INDEX(evol_conc!$G:$G,$Q531)&lt;&gt;$E531,"INGRESO DISTINTO EN evol_conc ("&amp;IF(INDEX(evol_conc!$G:$G,$Q531)="","vacía",DAY(INDEX(evol_conc!$G:$G,$Q531))&amp;"/"&amp;MONTH(INDEX(evol_conc!$G:$G,$Q531))&amp;"/"&amp;YEAR(INDEX(evol_conc!$G:$G,$Q531)))&amp;")","OK"))))))))</f>
        <v/>
      </c>
      <c r="Q531" t="str">
        <f ca="1">IF($N531="","",IFERROR(MATCH($N531,evol_conc!$P:$P,0),0))</f>
        <v/>
      </c>
    </row>
    <row r="532" spans="12:17" ht="18" hidden="1" customHeight="1" x14ac:dyDescent="0.25">
      <c r="L532" s="53" t="str">
        <f t="shared" si="16"/>
        <v/>
      </c>
      <c r="M532" s="19" t="str">
        <f t="shared" si="17"/>
        <v/>
      </c>
      <c r="N532" t="str">
        <f ca="1">IF(TRIM(SUBSTITUTE($B532,CHAR(160)," "))="","",IFERROR(IF(ISNUMBER(SEARCH("INC",$B532)),"INC",IF(ISNUMBER(SEARCH("OPI",$B532)),"OPI",IF(ISNUMBER(SEARCH("DP",$B532)),"DP","CONC")))&amp;" "&amp;TEXT(LOOKUP(9.99E+307,--MID(SUBSTITUTE($B532,CHAR(160)," "),SUMPRODUCT(MIN(FIND({0,1,2,3,4,5,6,7,8,9},SUBSTITUTE($B532,CHAR(160)," ")&amp;"0123456789"))),ROW(INDIRECT("1:6")))),"0"),"SIN NUMERO"))</f>
        <v/>
      </c>
      <c r="O532" t="str">
        <f ca="1">IF($N532="","",IF(LEFT(UPPER($P532),9)="VERIFICAR","VERIFICAR",IF(AND($H532&lt;&gt;"",COUNTIFS($N$2:$N$1000,$N532,$H$2:$H$1000,$H532)&gt;1),"DUPLICADA",IF(TRIM(IF($A532="","tipo ","")&amp;IF($F532="","fecha de firma ","")&amp;IF($G532="","decisión ","")&amp;IF($H532="","N° resolución ","")&amp;IF($I532="","N° dictamen",""))&lt;&gt;"","INCOMPLETA: "&amp;TRIM(IF($A532="","tipo ","")&amp;IF($F532="","fecha de firma ","")&amp;IF($G532="","decisión ","")&amp;IF($H532="","N° resolución ","")&amp;IF($I532="","N° dictamen","")),IF(LEFT($N532,4)&lt;&gt;"CONC","OK",IF(N($Q532)=0,IF(AND(ISNUMBER($E532),$E532&gt;=DATE(2024,1,1)),"FALTA EN evol_conc","OK"),IF(INDEX(evol_conc!$H:$H,$Q532)&lt;&gt;$F532,"FIRMA DISTINTA EN evol_conc ("&amp;IF(INDEX(evol_conc!$H:$H,$Q532)="","vacía",DAY(INDEX(evol_conc!$H:$H,$Q532))&amp;"/"&amp;MONTH(INDEX(evol_conc!$H:$H,$Q532))&amp;"/"&amp;YEAR(INDEX(evol_conc!$H:$H,$Q532)))&amp;")",IF(INDEX(evol_conc!$G:$G,$Q532)&lt;&gt;$E532,"INGRESO DISTINTO EN evol_conc ("&amp;IF(INDEX(evol_conc!$G:$G,$Q532)="","vacía",DAY(INDEX(evol_conc!$G:$G,$Q532))&amp;"/"&amp;MONTH(INDEX(evol_conc!$G:$G,$Q532))&amp;"/"&amp;YEAR(INDEX(evol_conc!$G:$G,$Q532)))&amp;")","OK"))))))))</f>
        <v/>
      </c>
      <c r="Q532" t="str">
        <f ca="1">IF($N532="","",IFERROR(MATCH($N532,evol_conc!$P:$P,0),0))</f>
        <v/>
      </c>
    </row>
    <row r="533" spans="12:17" ht="18" hidden="1" customHeight="1" x14ac:dyDescent="0.25">
      <c r="L533" s="53" t="str">
        <f t="shared" si="16"/>
        <v/>
      </c>
      <c r="M533" s="19" t="str">
        <f t="shared" si="17"/>
        <v/>
      </c>
      <c r="N533" t="str">
        <f ca="1">IF(TRIM(SUBSTITUTE($B533,CHAR(160)," "))="","",IFERROR(IF(ISNUMBER(SEARCH("INC",$B533)),"INC",IF(ISNUMBER(SEARCH("OPI",$B533)),"OPI",IF(ISNUMBER(SEARCH("DP",$B533)),"DP","CONC")))&amp;" "&amp;TEXT(LOOKUP(9.99E+307,--MID(SUBSTITUTE($B533,CHAR(160)," "),SUMPRODUCT(MIN(FIND({0,1,2,3,4,5,6,7,8,9},SUBSTITUTE($B533,CHAR(160)," ")&amp;"0123456789"))),ROW(INDIRECT("1:6")))),"0"),"SIN NUMERO"))</f>
        <v/>
      </c>
      <c r="O533" t="str">
        <f ca="1">IF($N533="","",IF(LEFT(UPPER($P533),9)="VERIFICAR","VERIFICAR",IF(AND($H533&lt;&gt;"",COUNTIFS($N$2:$N$1000,$N533,$H$2:$H$1000,$H533)&gt;1),"DUPLICADA",IF(TRIM(IF($A533="","tipo ","")&amp;IF($F533="","fecha de firma ","")&amp;IF($G533="","decisión ","")&amp;IF($H533="","N° resolución ","")&amp;IF($I533="","N° dictamen",""))&lt;&gt;"","INCOMPLETA: "&amp;TRIM(IF($A533="","tipo ","")&amp;IF($F533="","fecha de firma ","")&amp;IF($G533="","decisión ","")&amp;IF($H533="","N° resolución ","")&amp;IF($I533="","N° dictamen","")),IF(LEFT($N533,4)&lt;&gt;"CONC","OK",IF(N($Q533)=0,IF(AND(ISNUMBER($E533),$E533&gt;=DATE(2024,1,1)),"FALTA EN evol_conc","OK"),IF(INDEX(evol_conc!$H:$H,$Q533)&lt;&gt;$F533,"FIRMA DISTINTA EN evol_conc ("&amp;IF(INDEX(evol_conc!$H:$H,$Q533)="","vacía",DAY(INDEX(evol_conc!$H:$H,$Q533))&amp;"/"&amp;MONTH(INDEX(evol_conc!$H:$H,$Q533))&amp;"/"&amp;YEAR(INDEX(evol_conc!$H:$H,$Q533)))&amp;")",IF(INDEX(evol_conc!$G:$G,$Q533)&lt;&gt;$E533,"INGRESO DISTINTO EN evol_conc ("&amp;IF(INDEX(evol_conc!$G:$G,$Q533)="","vacía",DAY(INDEX(evol_conc!$G:$G,$Q533))&amp;"/"&amp;MONTH(INDEX(evol_conc!$G:$G,$Q533))&amp;"/"&amp;YEAR(INDEX(evol_conc!$G:$G,$Q533)))&amp;")","OK"))))))))</f>
        <v/>
      </c>
      <c r="Q533" t="str">
        <f ca="1">IF($N533="","",IFERROR(MATCH($N533,evol_conc!$P:$P,0),0))</f>
        <v/>
      </c>
    </row>
    <row r="534" spans="12:17" ht="18" hidden="1" customHeight="1" x14ac:dyDescent="0.25">
      <c r="L534" s="53" t="str">
        <f t="shared" si="16"/>
        <v/>
      </c>
      <c r="M534" s="19" t="str">
        <f t="shared" si="17"/>
        <v/>
      </c>
      <c r="N534" t="str">
        <f ca="1">IF(TRIM(SUBSTITUTE($B534,CHAR(160)," "))="","",IFERROR(IF(ISNUMBER(SEARCH("INC",$B534)),"INC",IF(ISNUMBER(SEARCH("OPI",$B534)),"OPI",IF(ISNUMBER(SEARCH("DP",$B534)),"DP","CONC")))&amp;" "&amp;TEXT(LOOKUP(9.99E+307,--MID(SUBSTITUTE($B534,CHAR(160)," "),SUMPRODUCT(MIN(FIND({0,1,2,3,4,5,6,7,8,9},SUBSTITUTE($B534,CHAR(160)," ")&amp;"0123456789"))),ROW(INDIRECT("1:6")))),"0"),"SIN NUMERO"))</f>
        <v/>
      </c>
      <c r="O534" t="str">
        <f ca="1">IF($N534="","",IF(LEFT(UPPER($P534),9)="VERIFICAR","VERIFICAR",IF(AND($H534&lt;&gt;"",COUNTIFS($N$2:$N$1000,$N534,$H$2:$H$1000,$H534)&gt;1),"DUPLICADA",IF(TRIM(IF($A534="","tipo ","")&amp;IF($F534="","fecha de firma ","")&amp;IF($G534="","decisión ","")&amp;IF($H534="","N° resolución ","")&amp;IF($I534="","N° dictamen",""))&lt;&gt;"","INCOMPLETA: "&amp;TRIM(IF($A534="","tipo ","")&amp;IF($F534="","fecha de firma ","")&amp;IF($G534="","decisión ","")&amp;IF($H534="","N° resolución ","")&amp;IF($I534="","N° dictamen","")),IF(LEFT($N534,4)&lt;&gt;"CONC","OK",IF(N($Q534)=0,IF(AND(ISNUMBER($E534),$E534&gt;=DATE(2024,1,1)),"FALTA EN evol_conc","OK"),IF(INDEX(evol_conc!$H:$H,$Q534)&lt;&gt;$F534,"FIRMA DISTINTA EN evol_conc ("&amp;IF(INDEX(evol_conc!$H:$H,$Q534)="","vacía",DAY(INDEX(evol_conc!$H:$H,$Q534))&amp;"/"&amp;MONTH(INDEX(evol_conc!$H:$H,$Q534))&amp;"/"&amp;YEAR(INDEX(evol_conc!$H:$H,$Q534)))&amp;")",IF(INDEX(evol_conc!$G:$G,$Q534)&lt;&gt;$E534,"INGRESO DISTINTO EN evol_conc ("&amp;IF(INDEX(evol_conc!$G:$G,$Q534)="","vacía",DAY(INDEX(evol_conc!$G:$G,$Q534))&amp;"/"&amp;MONTH(INDEX(evol_conc!$G:$G,$Q534))&amp;"/"&amp;YEAR(INDEX(evol_conc!$G:$G,$Q534)))&amp;")","OK"))))))))</f>
        <v/>
      </c>
      <c r="Q534" t="str">
        <f ca="1">IF($N534="","",IFERROR(MATCH($N534,evol_conc!$P:$P,0),0))</f>
        <v/>
      </c>
    </row>
    <row r="535" spans="12:17" ht="18" hidden="1" customHeight="1" x14ac:dyDescent="0.25">
      <c r="L535" s="53" t="str">
        <f t="shared" si="16"/>
        <v/>
      </c>
      <c r="M535" s="19" t="str">
        <f t="shared" si="17"/>
        <v/>
      </c>
      <c r="N535" t="str">
        <f ca="1">IF(TRIM(SUBSTITUTE($B535,CHAR(160)," "))="","",IFERROR(IF(ISNUMBER(SEARCH("INC",$B535)),"INC",IF(ISNUMBER(SEARCH("OPI",$B535)),"OPI",IF(ISNUMBER(SEARCH("DP",$B535)),"DP","CONC")))&amp;" "&amp;TEXT(LOOKUP(9.99E+307,--MID(SUBSTITUTE($B535,CHAR(160)," "),SUMPRODUCT(MIN(FIND({0,1,2,3,4,5,6,7,8,9},SUBSTITUTE($B535,CHAR(160)," ")&amp;"0123456789"))),ROW(INDIRECT("1:6")))),"0"),"SIN NUMERO"))</f>
        <v/>
      </c>
      <c r="O535" t="str">
        <f ca="1">IF($N535="","",IF(LEFT(UPPER($P535),9)="VERIFICAR","VERIFICAR",IF(AND($H535&lt;&gt;"",COUNTIFS($N$2:$N$1000,$N535,$H$2:$H$1000,$H535)&gt;1),"DUPLICADA",IF(TRIM(IF($A535="","tipo ","")&amp;IF($F535="","fecha de firma ","")&amp;IF($G535="","decisión ","")&amp;IF($H535="","N° resolución ","")&amp;IF($I535="","N° dictamen",""))&lt;&gt;"","INCOMPLETA: "&amp;TRIM(IF($A535="","tipo ","")&amp;IF($F535="","fecha de firma ","")&amp;IF($G535="","decisión ","")&amp;IF($H535="","N° resolución ","")&amp;IF($I535="","N° dictamen","")),IF(LEFT($N535,4)&lt;&gt;"CONC","OK",IF(N($Q535)=0,IF(AND(ISNUMBER($E535),$E535&gt;=DATE(2024,1,1)),"FALTA EN evol_conc","OK"),IF(INDEX(evol_conc!$H:$H,$Q535)&lt;&gt;$F535,"FIRMA DISTINTA EN evol_conc ("&amp;IF(INDEX(evol_conc!$H:$H,$Q535)="","vacía",DAY(INDEX(evol_conc!$H:$H,$Q535))&amp;"/"&amp;MONTH(INDEX(evol_conc!$H:$H,$Q535))&amp;"/"&amp;YEAR(INDEX(evol_conc!$H:$H,$Q535)))&amp;")",IF(INDEX(evol_conc!$G:$G,$Q535)&lt;&gt;$E535,"INGRESO DISTINTO EN evol_conc ("&amp;IF(INDEX(evol_conc!$G:$G,$Q535)="","vacía",DAY(INDEX(evol_conc!$G:$G,$Q535))&amp;"/"&amp;MONTH(INDEX(evol_conc!$G:$G,$Q535))&amp;"/"&amp;YEAR(INDEX(evol_conc!$G:$G,$Q535)))&amp;")","OK"))))))))</f>
        <v/>
      </c>
      <c r="Q535" t="str">
        <f ca="1">IF($N535="","",IFERROR(MATCH($N535,evol_conc!$P:$P,0),0))</f>
        <v/>
      </c>
    </row>
    <row r="536" spans="12:17" ht="18" hidden="1" customHeight="1" x14ac:dyDescent="0.25">
      <c r="L536" s="53" t="str">
        <f t="shared" si="16"/>
        <v/>
      </c>
      <c r="M536" s="19" t="str">
        <f t="shared" si="17"/>
        <v/>
      </c>
      <c r="N536" t="str">
        <f ca="1">IF(TRIM(SUBSTITUTE($B536,CHAR(160)," "))="","",IFERROR(IF(ISNUMBER(SEARCH("INC",$B536)),"INC",IF(ISNUMBER(SEARCH("OPI",$B536)),"OPI",IF(ISNUMBER(SEARCH("DP",$B536)),"DP","CONC")))&amp;" "&amp;TEXT(LOOKUP(9.99E+307,--MID(SUBSTITUTE($B536,CHAR(160)," "),SUMPRODUCT(MIN(FIND({0,1,2,3,4,5,6,7,8,9},SUBSTITUTE($B536,CHAR(160)," ")&amp;"0123456789"))),ROW(INDIRECT("1:6")))),"0"),"SIN NUMERO"))</f>
        <v/>
      </c>
      <c r="O536" t="str">
        <f ca="1">IF($N536="","",IF(LEFT(UPPER($P536),9)="VERIFICAR","VERIFICAR",IF(AND($H536&lt;&gt;"",COUNTIFS($N$2:$N$1000,$N536,$H$2:$H$1000,$H536)&gt;1),"DUPLICADA",IF(TRIM(IF($A536="","tipo ","")&amp;IF($F536="","fecha de firma ","")&amp;IF($G536="","decisión ","")&amp;IF($H536="","N° resolución ","")&amp;IF($I536="","N° dictamen",""))&lt;&gt;"","INCOMPLETA: "&amp;TRIM(IF($A536="","tipo ","")&amp;IF($F536="","fecha de firma ","")&amp;IF($G536="","decisión ","")&amp;IF($H536="","N° resolución ","")&amp;IF($I536="","N° dictamen","")),IF(LEFT($N536,4)&lt;&gt;"CONC","OK",IF(N($Q536)=0,IF(AND(ISNUMBER($E536),$E536&gt;=DATE(2024,1,1)),"FALTA EN evol_conc","OK"),IF(INDEX(evol_conc!$H:$H,$Q536)&lt;&gt;$F536,"FIRMA DISTINTA EN evol_conc ("&amp;IF(INDEX(evol_conc!$H:$H,$Q536)="","vacía",DAY(INDEX(evol_conc!$H:$H,$Q536))&amp;"/"&amp;MONTH(INDEX(evol_conc!$H:$H,$Q536))&amp;"/"&amp;YEAR(INDEX(evol_conc!$H:$H,$Q536)))&amp;")",IF(INDEX(evol_conc!$G:$G,$Q536)&lt;&gt;$E536,"INGRESO DISTINTO EN evol_conc ("&amp;IF(INDEX(evol_conc!$G:$G,$Q536)="","vacía",DAY(INDEX(evol_conc!$G:$G,$Q536))&amp;"/"&amp;MONTH(INDEX(evol_conc!$G:$G,$Q536))&amp;"/"&amp;YEAR(INDEX(evol_conc!$G:$G,$Q536)))&amp;")","OK"))))))))</f>
        <v/>
      </c>
      <c r="Q536" t="str">
        <f ca="1">IF($N536="","",IFERROR(MATCH($N536,evol_conc!$P:$P,0),0))</f>
        <v/>
      </c>
    </row>
    <row r="537" spans="12:17" ht="18" hidden="1" customHeight="1" x14ac:dyDescent="0.25">
      <c r="L537" s="53" t="str">
        <f t="shared" si="16"/>
        <v/>
      </c>
      <c r="M537" s="19" t="str">
        <f t="shared" si="17"/>
        <v/>
      </c>
      <c r="N537" t="str">
        <f ca="1">IF(TRIM(SUBSTITUTE($B537,CHAR(160)," "))="","",IFERROR(IF(ISNUMBER(SEARCH("INC",$B537)),"INC",IF(ISNUMBER(SEARCH("OPI",$B537)),"OPI",IF(ISNUMBER(SEARCH("DP",$B537)),"DP","CONC")))&amp;" "&amp;TEXT(LOOKUP(9.99E+307,--MID(SUBSTITUTE($B537,CHAR(160)," "),SUMPRODUCT(MIN(FIND({0,1,2,3,4,5,6,7,8,9},SUBSTITUTE($B537,CHAR(160)," ")&amp;"0123456789"))),ROW(INDIRECT("1:6")))),"0"),"SIN NUMERO"))</f>
        <v/>
      </c>
      <c r="O537" t="str">
        <f ca="1">IF($N537="","",IF(LEFT(UPPER($P537),9)="VERIFICAR","VERIFICAR",IF(AND($H537&lt;&gt;"",COUNTIFS($N$2:$N$1000,$N537,$H$2:$H$1000,$H537)&gt;1),"DUPLICADA",IF(TRIM(IF($A537="","tipo ","")&amp;IF($F537="","fecha de firma ","")&amp;IF($G537="","decisión ","")&amp;IF($H537="","N° resolución ","")&amp;IF($I537="","N° dictamen",""))&lt;&gt;"","INCOMPLETA: "&amp;TRIM(IF($A537="","tipo ","")&amp;IF($F537="","fecha de firma ","")&amp;IF($G537="","decisión ","")&amp;IF($H537="","N° resolución ","")&amp;IF($I537="","N° dictamen","")),IF(LEFT($N537,4)&lt;&gt;"CONC","OK",IF(N($Q537)=0,IF(AND(ISNUMBER($E537),$E537&gt;=DATE(2024,1,1)),"FALTA EN evol_conc","OK"),IF(INDEX(evol_conc!$H:$H,$Q537)&lt;&gt;$F537,"FIRMA DISTINTA EN evol_conc ("&amp;IF(INDEX(evol_conc!$H:$H,$Q537)="","vacía",DAY(INDEX(evol_conc!$H:$H,$Q537))&amp;"/"&amp;MONTH(INDEX(evol_conc!$H:$H,$Q537))&amp;"/"&amp;YEAR(INDEX(evol_conc!$H:$H,$Q537)))&amp;")",IF(INDEX(evol_conc!$G:$G,$Q537)&lt;&gt;$E537,"INGRESO DISTINTO EN evol_conc ("&amp;IF(INDEX(evol_conc!$G:$G,$Q537)="","vacía",DAY(INDEX(evol_conc!$G:$G,$Q537))&amp;"/"&amp;MONTH(INDEX(evol_conc!$G:$G,$Q537))&amp;"/"&amp;YEAR(INDEX(evol_conc!$G:$G,$Q537)))&amp;")","OK"))))))))</f>
        <v/>
      </c>
      <c r="Q537" t="str">
        <f ca="1">IF($N537="","",IFERROR(MATCH($N537,evol_conc!$P:$P,0),0))</f>
        <v/>
      </c>
    </row>
    <row r="538" spans="12:17" ht="18" hidden="1" customHeight="1" x14ac:dyDescent="0.25">
      <c r="L538" s="53" t="str">
        <f t="shared" si="16"/>
        <v/>
      </c>
      <c r="M538" s="19" t="str">
        <f t="shared" si="17"/>
        <v/>
      </c>
      <c r="N538" t="str">
        <f ca="1">IF(TRIM(SUBSTITUTE($B538,CHAR(160)," "))="","",IFERROR(IF(ISNUMBER(SEARCH("INC",$B538)),"INC",IF(ISNUMBER(SEARCH("OPI",$B538)),"OPI",IF(ISNUMBER(SEARCH("DP",$B538)),"DP","CONC")))&amp;" "&amp;TEXT(LOOKUP(9.99E+307,--MID(SUBSTITUTE($B538,CHAR(160)," "),SUMPRODUCT(MIN(FIND({0,1,2,3,4,5,6,7,8,9},SUBSTITUTE($B538,CHAR(160)," ")&amp;"0123456789"))),ROW(INDIRECT("1:6")))),"0"),"SIN NUMERO"))</f>
        <v/>
      </c>
      <c r="O538" t="str">
        <f ca="1">IF($N538="","",IF(LEFT(UPPER($P538),9)="VERIFICAR","VERIFICAR",IF(AND($H538&lt;&gt;"",COUNTIFS($N$2:$N$1000,$N538,$H$2:$H$1000,$H538)&gt;1),"DUPLICADA",IF(TRIM(IF($A538="","tipo ","")&amp;IF($F538="","fecha de firma ","")&amp;IF($G538="","decisión ","")&amp;IF($H538="","N° resolución ","")&amp;IF($I538="","N° dictamen",""))&lt;&gt;"","INCOMPLETA: "&amp;TRIM(IF($A538="","tipo ","")&amp;IF($F538="","fecha de firma ","")&amp;IF($G538="","decisión ","")&amp;IF($H538="","N° resolución ","")&amp;IF($I538="","N° dictamen","")),IF(LEFT($N538,4)&lt;&gt;"CONC","OK",IF(N($Q538)=0,IF(AND(ISNUMBER($E538),$E538&gt;=DATE(2024,1,1)),"FALTA EN evol_conc","OK"),IF(INDEX(evol_conc!$H:$H,$Q538)&lt;&gt;$F538,"FIRMA DISTINTA EN evol_conc ("&amp;IF(INDEX(evol_conc!$H:$H,$Q538)="","vacía",DAY(INDEX(evol_conc!$H:$H,$Q538))&amp;"/"&amp;MONTH(INDEX(evol_conc!$H:$H,$Q538))&amp;"/"&amp;YEAR(INDEX(evol_conc!$H:$H,$Q538)))&amp;")",IF(INDEX(evol_conc!$G:$G,$Q538)&lt;&gt;$E538,"INGRESO DISTINTO EN evol_conc ("&amp;IF(INDEX(evol_conc!$G:$G,$Q538)="","vacía",DAY(INDEX(evol_conc!$G:$G,$Q538))&amp;"/"&amp;MONTH(INDEX(evol_conc!$G:$G,$Q538))&amp;"/"&amp;YEAR(INDEX(evol_conc!$G:$G,$Q538)))&amp;")","OK"))))))))</f>
        <v/>
      </c>
      <c r="Q538" t="str">
        <f ca="1">IF($N538="","",IFERROR(MATCH($N538,evol_conc!$P:$P,0),0))</f>
        <v/>
      </c>
    </row>
    <row r="539" spans="12:17" ht="18" hidden="1" customHeight="1" x14ac:dyDescent="0.25">
      <c r="L539" s="53" t="str">
        <f t="shared" si="16"/>
        <v/>
      </c>
      <c r="M539" s="19" t="str">
        <f t="shared" si="17"/>
        <v/>
      </c>
      <c r="N539" t="str">
        <f ca="1">IF(TRIM(SUBSTITUTE($B539,CHAR(160)," "))="","",IFERROR(IF(ISNUMBER(SEARCH("INC",$B539)),"INC",IF(ISNUMBER(SEARCH("OPI",$B539)),"OPI",IF(ISNUMBER(SEARCH("DP",$B539)),"DP","CONC")))&amp;" "&amp;TEXT(LOOKUP(9.99E+307,--MID(SUBSTITUTE($B539,CHAR(160)," "),SUMPRODUCT(MIN(FIND({0,1,2,3,4,5,6,7,8,9},SUBSTITUTE($B539,CHAR(160)," ")&amp;"0123456789"))),ROW(INDIRECT("1:6")))),"0"),"SIN NUMERO"))</f>
        <v/>
      </c>
      <c r="O539" t="str">
        <f ca="1">IF($N539="","",IF(LEFT(UPPER($P539),9)="VERIFICAR","VERIFICAR",IF(AND($H539&lt;&gt;"",COUNTIFS($N$2:$N$1000,$N539,$H$2:$H$1000,$H539)&gt;1),"DUPLICADA",IF(TRIM(IF($A539="","tipo ","")&amp;IF($F539="","fecha de firma ","")&amp;IF($G539="","decisión ","")&amp;IF($H539="","N° resolución ","")&amp;IF($I539="","N° dictamen",""))&lt;&gt;"","INCOMPLETA: "&amp;TRIM(IF($A539="","tipo ","")&amp;IF($F539="","fecha de firma ","")&amp;IF($G539="","decisión ","")&amp;IF($H539="","N° resolución ","")&amp;IF($I539="","N° dictamen","")),IF(LEFT($N539,4)&lt;&gt;"CONC","OK",IF(N($Q539)=0,IF(AND(ISNUMBER($E539),$E539&gt;=DATE(2024,1,1)),"FALTA EN evol_conc","OK"),IF(INDEX(evol_conc!$H:$H,$Q539)&lt;&gt;$F539,"FIRMA DISTINTA EN evol_conc ("&amp;IF(INDEX(evol_conc!$H:$H,$Q539)="","vacía",DAY(INDEX(evol_conc!$H:$H,$Q539))&amp;"/"&amp;MONTH(INDEX(evol_conc!$H:$H,$Q539))&amp;"/"&amp;YEAR(INDEX(evol_conc!$H:$H,$Q539)))&amp;")",IF(INDEX(evol_conc!$G:$G,$Q539)&lt;&gt;$E539,"INGRESO DISTINTO EN evol_conc ("&amp;IF(INDEX(evol_conc!$G:$G,$Q539)="","vacía",DAY(INDEX(evol_conc!$G:$G,$Q539))&amp;"/"&amp;MONTH(INDEX(evol_conc!$G:$G,$Q539))&amp;"/"&amp;YEAR(INDEX(evol_conc!$G:$G,$Q539)))&amp;")","OK"))))))))</f>
        <v/>
      </c>
      <c r="Q539" t="str">
        <f ca="1">IF($N539="","",IFERROR(MATCH($N539,evol_conc!$P:$P,0),0))</f>
        <v/>
      </c>
    </row>
    <row r="540" spans="12:17" ht="18" hidden="1" customHeight="1" x14ac:dyDescent="0.25">
      <c r="L540" s="53" t="str">
        <f t="shared" si="16"/>
        <v/>
      </c>
      <c r="M540" s="19" t="str">
        <f t="shared" si="17"/>
        <v/>
      </c>
      <c r="N540" t="str">
        <f ca="1">IF(TRIM(SUBSTITUTE($B540,CHAR(160)," "))="","",IFERROR(IF(ISNUMBER(SEARCH("INC",$B540)),"INC",IF(ISNUMBER(SEARCH("OPI",$B540)),"OPI",IF(ISNUMBER(SEARCH("DP",$B540)),"DP","CONC")))&amp;" "&amp;TEXT(LOOKUP(9.99E+307,--MID(SUBSTITUTE($B540,CHAR(160)," "),SUMPRODUCT(MIN(FIND({0,1,2,3,4,5,6,7,8,9},SUBSTITUTE($B540,CHAR(160)," ")&amp;"0123456789"))),ROW(INDIRECT("1:6")))),"0"),"SIN NUMERO"))</f>
        <v/>
      </c>
      <c r="O540" t="str">
        <f ca="1">IF($N540="","",IF(LEFT(UPPER($P540),9)="VERIFICAR","VERIFICAR",IF(AND($H540&lt;&gt;"",COUNTIFS($N$2:$N$1000,$N540,$H$2:$H$1000,$H540)&gt;1),"DUPLICADA",IF(TRIM(IF($A540="","tipo ","")&amp;IF($F540="","fecha de firma ","")&amp;IF($G540="","decisión ","")&amp;IF($H540="","N° resolución ","")&amp;IF($I540="","N° dictamen",""))&lt;&gt;"","INCOMPLETA: "&amp;TRIM(IF($A540="","tipo ","")&amp;IF($F540="","fecha de firma ","")&amp;IF($G540="","decisión ","")&amp;IF($H540="","N° resolución ","")&amp;IF($I540="","N° dictamen","")),IF(LEFT($N540,4)&lt;&gt;"CONC","OK",IF(N($Q540)=0,IF(AND(ISNUMBER($E540),$E540&gt;=DATE(2024,1,1)),"FALTA EN evol_conc","OK"),IF(INDEX(evol_conc!$H:$H,$Q540)&lt;&gt;$F540,"FIRMA DISTINTA EN evol_conc ("&amp;IF(INDEX(evol_conc!$H:$H,$Q540)="","vacía",DAY(INDEX(evol_conc!$H:$H,$Q540))&amp;"/"&amp;MONTH(INDEX(evol_conc!$H:$H,$Q540))&amp;"/"&amp;YEAR(INDEX(evol_conc!$H:$H,$Q540)))&amp;")",IF(INDEX(evol_conc!$G:$G,$Q540)&lt;&gt;$E540,"INGRESO DISTINTO EN evol_conc ("&amp;IF(INDEX(evol_conc!$G:$G,$Q540)="","vacía",DAY(INDEX(evol_conc!$G:$G,$Q540))&amp;"/"&amp;MONTH(INDEX(evol_conc!$G:$G,$Q540))&amp;"/"&amp;YEAR(INDEX(evol_conc!$G:$G,$Q540)))&amp;")","OK"))))))))</f>
        <v/>
      </c>
      <c r="Q540" t="str">
        <f ca="1">IF($N540="","",IFERROR(MATCH($N540,evol_conc!$P:$P,0),0))</f>
        <v/>
      </c>
    </row>
    <row r="541" spans="12:17" ht="18" hidden="1" customHeight="1" x14ac:dyDescent="0.25">
      <c r="L541" s="53" t="str">
        <f t="shared" si="16"/>
        <v/>
      </c>
      <c r="M541" s="19" t="str">
        <f t="shared" si="17"/>
        <v/>
      </c>
      <c r="N541" t="str">
        <f ca="1">IF(TRIM(SUBSTITUTE($B541,CHAR(160)," "))="","",IFERROR(IF(ISNUMBER(SEARCH("INC",$B541)),"INC",IF(ISNUMBER(SEARCH("OPI",$B541)),"OPI",IF(ISNUMBER(SEARCH("DP",$B541)),"DP","CONC")))&amp;" "&amp;TEXT(LOOKUP(9.99E+307,--MID(SUBSTITUTE($B541,CHAR(160)," "),SUMPRODUCT(MIN(FIND({0,1,2,3,4,5,6,7,8,9},SUBSTITUTE($B541,CHAR(160)," ")&amp;"0123456789"))),ROW(INDIRECT("1:6")))),"0"),"SIN NUMERO"))</f>
        <v/>
      </c>
      <c r="O541" t="str">
        <f ca="1">IF($N541="","",IF(LEFT(UPPER($P541),9)="VERIFICAR","VERIFICAR",IF(AND($H541&lt;&gt;"",COUNTIFS($N$2:$N$1000,$N541,$H$2:$H$1000,$H541)&gt;1),"DUPLICADA",IF(TRIM(IF($A541="","tipo ","")&amp;IF($F541="","fecha de firma ","")&amp;IF($G541="","decisión ","")&amp;IF($H541="","N° resolución ","")&amp;IF($I541="","N° dictamen",""))&lt;&gt;"","INCOMPLETA: "&amp;TRIM(IF($A541="","tipo ","")&amp;IF($F541="","fecha de firma ","")&amp;IF($G541="","decisión ","")&amp;IF($H541="","N° resolución ","")&amp;IF($I541="","N° dictamen","")),IF(LEFT($N541,4)&lt;&gt;"CONC","OK",IF(N($Q541)=0,IF(AND(ISNUMBER($E541),$E541&gt;=DATE(2024,1,1)),"FALTA EN evol_conc","OK"),IF(INDEX(evol_conc!$H:$H,$Q541)&lt;&gt;$F541,"FIRMA DISTINTA EN evol_conc ("&amp;IF(INDEX(evol_conc!$H:$H,$Q541)="","vacía",DAY(INDEX(evol_conc!$H:$H,$Q541))&amp;"/"&amp;MONTH(INDEX(evol_conc!$H:$H,$Q541))&amp;"/"&amp;YEAR(INDEX(evol_conc!$H:$H,$Q541)))&amp;")",IF(INDEX(evol_conc!$G:$G,$Q541)&lt;&gt;$E541,"INGRESO DISTINTO EN evol_conc ("&amp;IF(INDEX(evol_conc!$G:$G,$Q541)="","vacía",DAY(INDEX(evol_conc!$G:$G,$Q541))&amp;"/"&amp;MONTH(INDEX(evol_conc!$G:$G,$Q541))&amp;"/"&amp;YEAR(INDEX(evol_conc!$G:$G,$Q541)))&amp;")","OK"))))))))</f>
        <v/>
      </c>
      <c r="Q541" t="str">
        <f ca="1">IF($N541="","",IFERROR(MATCH($N541,evol_conc!$P:$P,0),0))</f>
        <v/>
      </c>
    </row>
    <row r="542" spans="12:17" ht="18" hidden="1" customHeight="1" x14ac:dyDescent="0.25">
      <c r="L542" s="53" t="str">
        <f t="shared" si="16"/>
        <v/>
      </c>
      <c r="M542" s="19" t="str">
        <f t="shared" si="17"/>
        <v/>
      </c>
      <c r="N542" t="str">
        <f ca="1">IF(TRIM(SUBSTITUTE($B542,CHAR(160)," "))="","",IFERROR(IF(ISNUMBER(SEARCH("INC",$B542)),"INC",IF(ISNUMBER(SEARCH("OPI",$B542)),"OPI",IF(ISNUMBER(SEARCH("DP",$B542)),"DP","CONC")))&amp;" "&amp;TEXT(LOOKUP(9.99E+307,--MID(SUBSTITUTE($B542,CHAR(160)," "),SUMPRODUCT(MIN(FIND({0,1,2,3,4,5,6,7,8,9},SUBSTITUTE($B542,CHAR(160)," ")&amp;"0123456789"))),ROW(INDIRECT("1:6")))),"0"),"SIN NUMERO"))</f>
        <v/>
      </c>
      <c r="O542" t="str">
        <f ca="1">IF($N542="","",IF(LEFT(UPPER($P542),9)="VERIFICAR","VERIFICAR",IF(AND($H542&lt;&gt;"",COUNTIFS($N$2:$N$1000,$N542,$H$2:$H$1000,$H542)&gt;1),"DUPLICADA",IF(TRIM(IF($A542="","tipo ","")&amp;IF($F542="","fecha de firma ","")&amp;IF($G542="","decisión ","")&amp;IF($H542="","N° resolución ","")&amp;IF($I542="","N° dictamen",""))&lt;&gt;"","INCOMPLETA: "&amp;TRIM(IF($A542="","tipo ","")&amp;IF($F542="","fecha de firma ","")&amp;IF($G542="","decisión ","")&amp;IF($H542="","N° resolución ","")&amp;IF($I542="","N° dictamen","")),IF(LEFT($N542,4)&lt;&gt;"CONC","OK",IF(N($Q542)=0,IF(AND(ISNUMBER($E542),$E542&gt;=DATE(2024,1,1)),"FALTA EN evol_conc","OK"),IF(INDEX(evol_conc!$H:$H,$Q542)&lt;&gt;$F542,"FIRMA DISTINTA EN evol_conc ("&amp;IF(INDEX(evol_conc!$H:$H,$Q542)="","vacía",DAY(INDEX(evol_conc!$H:$H,$Q542))&amp;"/"&amp;MONTH(INDEX(evol_conc!$H:$H,$Q542))&amp;"/"&amp;YEAR(INDEX(evol_conc!$H:$H,$Q542)))&amp;")",IF(INDEX(evol_conc!$G:$G,$Q542)&lt;&gt;$E542,"INGRESO DISTINTO EN evol_conc ("&amp;IF(INDEX(evol_conc!$G:$G,$Q542)="","vacía",DAY(INDEX(evol_conc!$G:$G,$Q542))&amp;"/"&amp;MONTH(INDEX(evol_conc!$G:$G,$Q542))&amp;"/"&amp;YEAR(INDEX(evol_conc!$G:$G,$Q542)))&amp;")","OK"))))))))</f>
        <v/>
      </c>
      <c r="Q542" t="str">
        <f ca="1">IF($N542="","",IFERROR(MATCH($N542,evol_conc!$P:$P,0),0))</f>
        <v/>
      </c>
    </row>
    <row r="543" spans="12:17" ht="18" hidden="1" customHeight="1" x14ac:dyDescent="0.25">
      <c r="L543" s="53" t="str">
        <f t="shared" si="16"/>
        <v/>
      </c>
      <c r="M543" s="19" t="str">
        <f t="shared" si="17"/>
        <v/>
      </c>
      <c r="N543" t="str">
        <f ca="1">IF(TRIM(SUBSTITUTE($B543,CHAR(160)," "))="","",IFERROR(IF(ISNUMBER(SEARCH("INC",$B543)),"INC",IF(ISNUMBER(SEARCH("OPI",$B543)),"OPI",IF(ISNUMBER(SEARCH("DP",$B543)),"DP","CONC")))&amp;" "&amp;TEXT(LOOKUP(9.99E+307,--MID(SUBSTITUTE($B543,CHAR(160)," "),SUMPRODUCT(MIN(FIND({0,1,2,3,4,5,6,7,8,9},SUBSTITUTE($B543,CHAR(160)," ")&amp;"0123456789"))),ROW(INDIRECT("1:6")))),"0"),"SIN NUMERO"))</f>
        <v/>
      </c>
      <c r="O543" t="str">
        <f ca="1">IF($N543="","",IF(LEFT(UPPER($P543),9)="VERIFICAR","VERIFICAR",IF(AND($H543&lt;&gt;"",COUNTIFS($N$2:$N$1000,$N543,$H$2:$H$1000,$H543)&gt;1),"DUPLICADA",IF(TRIM(IF($A543="","tipo ","")&amp;IF($F543="","fecha de firma ","")&amp;IF($G543="","decisión ","")&amp;IF($H543="","N° resolución ","")&amp;IF($I543="","N° dictamen",""))&lt;&gt;"","INCOMPLETA: "&amp;TRIM(IF($A543="","tipo ","")&amp;IF($F543="","fecha de firma ","")&amp;IF($G543="","decisión ","")&amp;IF($H543="","N° resolución ","")&amp;IF($I543="","N° dictamen","")),IF(LEFT($N543,4)&lt;&gt;"CONC","OK",IF(N($Q543)=0,IF(AND(ISNUMBER($E543),$E543&gt;=DATE(2024,1,1)),"FALTA EN evol_conc","OK"),IF(INDEX(evol_conc!$H:$H,$Q543)&lt;&gt;$F543,"FIRMA DISTINTA EN evol_conc ("&amp;IF(INDEX(evol_conc!$H:$H,$Q543)="","vacía",DAY(INDEX(evol_conc!$H:$H,$Q543))&amp;"/"&amp;MONTH(INDEX(evol_conc!$H:$H,$Q543))&amp;"/"&amp;YEAR(INDEX(evol_conc!$H:$H,$Q543)))&amp;")",IF(INDEX(evol_conc!$G:$G,$Q543)&lt;&gt;$E543,"INGRESO DISTINTO EN evol_conc ("&amp;IF(INDEX(evol_conc!$G:$G,$Q543)="","vacía",DAY(INDEX(evol_conc!$G:$G,$Q543))&amp;"/"&amp;MONTH(INDEX(evol_conc!$G:$G,$Q543))&amp;"/"&amp;YEAR(INDEX(evol_conc!$G:$G,$Q543)))&amp;")","OK"))))))))</f>
        <v/>
      </c>
      <c r="Q543" t="str">
        <f ca="1">IF($N543="","",IFERROR(MATCH($N543,evol_conc!$P:$P,0),0))</f>
        <v/>
      </c>
    </row>
    <row r="544" spans="12:17" ht="18" hidden="1" customHeight="1" x14ac:dyDescent="0.25">
      <c r="L544" s="53" t="str">
        <f t="shared" si="16"/>
        <v/>
      </c>
      <c r="M544" s="19" t="str">
        <f t="shared" si="17"/>
        <v/>
      </c>
      <c r="N544" t="str">
        <f ca="1">IF(TRIM(SUBSTITUTE($B544,CHAR(160)," "))="","",IFERROR(IF(ISNUMBER(SEARCH("INC",$B544)),"INC",IF(ISNUMBER(SEARCH("OPI",$B544)),"OPI",IF(ISNUMBER(SEARCH("DP",$B544)),"DP","CONC")))&amp;" "&amp;TEXT(LOOKUP(9.99E+307,--MID(SUBSTITUTE($B544,CHAR(160)," "),SUMPRODUCT(MIN(FIND({0,1,2,3,4,5,6,7,8,9},SUBSTITUTE($B544,CHAR(160)," ")&amp;"0123456789"))),ROW(INDIRECT("1:6")))),"0"),"SIN NUMERO"))</f>
        <v/>
      </c>
      <c r="O544" t="str">
        <f ca="1">IF($N544="","",IF(LEFT(UPPER($P544),9)="VERIFICAR","VERIFICAR",IF(AND($H544&lt;&gt;"",COUNTIFS($N$2:$N$1000,$N544,$H$2:$H$1000,$H544)&gt;1),"DUPLICADA",IF(TRIM(IF($A544="","tipo ","")&amp;IF($F544="","fecha de firma ","")&amp;IF($G544="","decisión ","")&amp;IF($H544="","N° resolución ","")&amp;IF($I544="","N° dictamen",""))&lt;&gt;"","INCOMPLETA: "&amp;TRIM(IF($A544="","tipo ","")&amp;IF($F544="","fecha de firma ","")&amp;IF($G544="","decisión ","")&amp;IF($H544="","N° resolución ","")&amp;IF($I544="","N° dictamen","")),IF(LEFT($N544,4)&lt;&gt;"CONC","OK",IF(N($Q544)=0,IF(AND(ISNUMBER($E544),$E544&gt;=DATE(2024,1,1)),"FALTA EN evol_conc","OK"),IF(INDEX(evol_conc!$H:$H,$Q544)&lt;&gt;$F544,"FIRMA DISTINTA EN evol_conc ("&amp;IF(INDEX(evol_conc!$H:$H,$Q544)="","vacía",DAY(INDEX(evol_conc!$H:$H,$Q544))&amp;"/"&amp;MONTH(INDEX(evol_conc!$H:$H,$Q544))&amp;"/"&amp;YEAR(INDEX(evol_conc!$H:$H,$Q544)))&amp;")",IF(INDEX(evol_conc!$G:$G,$Q544)&lt;&gt;$E544,"INGRESO DISTINTO EN evol_conc ("&amp;IF(INDEX(evol_conc!$G:$G,$Q544)="","vacía",DAY(INDEX(evol_conc!$G:$G,$Q544))&amp;"/"&amp;MONTH(INDEX(evol_conc!$G:$G,$Q544))&amp;"/"&amp;YEAR(INDEX(evol_conc!$G:$G,$Q544)))&amp;")","OK"))))))))</f>
        <v/>
      </c>
      <c r="Q544" t="str">
        <f ca="1">IF($N544="","",IFERROR(MATCH($N544,evol_conc!$P:$P,0),0))</f>
        <v/>
      </c>
    </row>
    <row r="545" spans="12:17" ht="18" hidden="1" customHeight="1" x14ac:dyDescent="0.25">
      <c r="L545" s="53" t="str">
        <f t="shared" si="16"/>
        <v/>
      </c>
      <c r="M545" s="19" t="str">
        <f t="shared" si="17"/>
        <v/>
      </c>
      <c r="N545" t="str">
        <f ca="1">IF(TRIM(SUBSTITUTE($B545,CHAR(160)," "))="","",IFERROR(IF(ISNUMBER(SEARCH("INC",$B545)),"INC",IF(ISNUMBER(SEARCH("OPI",$B545)),"OPI",IF(ISNUMBER(SEARCH("DP",$B545)),"DP","CONC")))&amp;" "&amp;TEXT(LOOKUP(9.99E+307,--MID(SUBSTITUTE($B545,CHAR(160)," "),SUMPRODUCT(MIN(FIND({0,1,2,3,4,5,6,7,8,9},SUBSTITUTE($B545,CHAR(160)," ")&amp;"0123456789"))),ROW(INDIRECT("1:6")))),"0"),"SIN NUMERO"))</f>
        <v/>
      </c>
      <c r="O545" t="str">
        <f ca="1">IF($N545="","",IF(LEFT(UPPER($P545),9)="VERIFICAR","VERIFICAR",IF(AND($H545&lt;&gt;"",COUNTIFS($N$2:$N$1000,$N545,$H$2:$H$1000,$H545)&gt;1),"DUPLICADA",IF(TRIM(IF($A545="","tipo ","")&amp;IF($F545="","fecha de firma ","")&amp;IF($G545="","decisión ","")&amp;IF($H545="","N° resolución ","")&amp;IF($I545="","N° dictamen",""))&lt;&gt;"","INCOMPLETA: "&amp;TRIM(IF($A545="","tipo ","")&amp;IF($F545="","fecha de firma ","")&amp;IF($G545="","decisión ","")&amp;IF($H545="","N° resolución ","")&amp;IF($I545="","N° dictamen","")),IF(LEFT($N545,4)&lt;&gt;"CONC","OK",IF(N($Q545)=0,IF(AND(ISNUMBER($E545),$E545&gt;=DATE(2024,1,1)),"FALTA EN evol_conc","OK"),IF(INDEX(evol_conc!$H:$H,$Q545)&lt;&gt;$F545,"FIRMA DISTINTA EN evol_conc ("&amp;IF(INDEX(evol_conc!$H:$H,$Q545)="","vacía",DAY(INDEX(evol_conc!$H:$H,$Q545))&amp;"/"&amp;MONTH(INDEX(evol_conc!$H:$H,$Q545))&amp;"/"&amp;YEAR(INDEX(evol_conc!$H:$H,$Q545)))&amp;")",IF(INDEX(evol_conc!$G:$G,$Q545)&lt;&gt;$E545,"INGRESO DISTINTO EN evol_conc ("&amp;IF(INDEX(evol_conc!$G:$G,$Q545)="","vacía",DAY(INDEX(evol_conc!$G:$G,$Q545))&amp;"/"&amp;MONTH(INDEX(evol_conc!$G:$G,$Q545))&amp;"/"&amp;YEAR(INDEX(evol_conc!$G:$G,$Q545)))&amp;")","OK"))))))))</f>
        <v/>
      </c>
      <c r="Q545" t="str">
        <f ca="1">IF($N545="","",IFERROR(MATCH($N545,evol_conc!$P:$P,0),0))</f>
        <v/>
      </c>
    </row>
    <row r="546" spans="12:17" ht="18" hidden="1" customHeight="1" x14ac:dyDescent="0.25">
      <c r="L546" s="53" t="str">
        <f t="shared" si="16"/>
        <v/>
      </c>
      <c r="M546" s="19" t="str">
        <f t="shared" si="17"/>
        <v/>
      </c>
      <c r="N546" t="str">
        <f ca="1">IF(TRIM(SUBSTITUTE($B546,CHAR(160)," "))="","",IFERROR(IF(ISNUMBER(SEARCH("INC",$B546)),"INC",IF(ISNUMBER(SEARCH("OPI",$B546)),"OPI",IF(ISNUMBER(SEARCH("DP",$B546)),"DP","CONC")))&amp;" "&amp;TEXT(LOOKUP(9.99E+307,--MID(SUBSTITUTE($B546,CHAR(160)," "),SUMPRODUCT(MIN(FIND({0,1,2,3,4,5,6,7,8,9},SUBSTITUTE($B546,CHAR(160)," ")&amp;"0123456789"))),ROW(INDIRECT("1:6")))),"0"),"SIN NUMERO"))</f>
        <v/>
      </c>
      <c r="O546" t="str">
        <f ca="1">IF($N546="","",IF(LEFT(UPPER($P546),9)="VERIFICAR","VERIFICAR",IF(AND($H546&lt;&gt;"",COUNTIFS($N$2:$N$1000,$N546,$H$2:$H$1000,$H546)&gt;1),"DUPLICADA",IF(TRIM(IF($A546="","tipo ","")&amp;IF($F546="","fecha de firma ","")&amp;IF($G546="","decisión ","")&amp;IF($H546="","N° resolución ","")&amp;IF($I546="","N° dictamen",""))&lt;&gt;"","INCOMPLETA: "&amp;TRIM(IF($A546="","tipo ","")&amp;IF($F546="","fecha de firma ","")&amp;IF($G546="","decisión ","")&amp;IF($H546="","N° resolución ","")&amp;IF($I546="","N° dictamen","")),IF(LEFT($N546,4)&lt;&gt;"CONC","OK",IF(N($Q546)=0,IF(AND(ISNUMBER($E546),$E546&gt;=DATE(2024,1,1)),"FALTA EN evol_conc","OK"),IF(INDEX(evol_conc!$H:$H,$Q546)&lt;&gt;$F546,"FIRMA DISTINTA EN evol_conc ("&amp;IF(INDEX(evol_conc!$H:$H,$Q546)="","vacía",DAY(INDEX(evol_conc!$H:$H,$Q546))&amp;"/"&amp;MONTH(INDEX(evol_conc!$H:$H,$Q546))&amp;"/"&amp;YEAR(INDEX(evol_conc!$H:$H,$Q546)))&amp;")",IF(INDEX(evol_conc!$G:$G,$Q546)&lt;&gt;$E546,"INGRESO DISTINTO EN evol_conc ("&amp;IF(INDEX(evol_conc!$G:$G,$Q546)="","vacía",DAY(INDEX(evol_conc!$G:$G,$Q546))&amp;"/"&amp;MONTH(INDEX(evol_conc!$G:$G,$Q546))&amp;"/"&amp;YEAR(INDEX(evol_conc!$G:$G,$Q546)))&amp;")","OK"))))))))</f>
        <v/>
      </c>
      <c r="Q546" t="str">
        <f ca="1">IF($N546="","",IFERROR(MATCH($N546,evol_conc!$P:$P,0),0))</f>
        <v/>
      </c>
    </row>
    <row r="547" spans="12:17" ht="18" hidden="1" customHeight="1" x14ac:dyDescent="0.25">
      <c r="L547" s="53" t="str">
        <f t="shared" si="16"/>
        <v/>
      </c>
      <c r="M547" s="19" t="str">
        <f t="shared" si="17"/>
        <v/>
      </c>
      <c r="N547" t="str">
        <f ca="1">IF(TRIM(SUBSTITUTE($B547,CHAR(160)," "))="","",IFERROR(IF(ISNUMBER(SEARCH("INC",$B547)),"INC",IF(ISNUMBER(SEARCH("OPI",$B547)),"OPI",IF(ISNUMBER(SEARCH("DP",$B547)),"DP","CONC")))&amp;" "&amp;TEXT(LOOKUP(9.99E+307,--MID(SUBSTITUTE($B547,CHAR(160)," "),SUMPRODUCT(MIN(FIND({0,1,2,3,4,5,6,7,8,9},SUBSTITUTE($B547,CHAR(160)," ")&amp;"0123456789"))),ROW(INDIRECT("1:6")))),"0"),"SIN NUMERO"))</f>
        <v/>
      </c>
      <c r="O547" t="str">
        <f ca="1">IF($N547="","",IF(LEFT(UPPER($P547),9)="VERIFICAR","VERIFICAR",IF(AND($H547&lt;&gt;"",COUNTIFS($N$2:$N$1000,$N547,$H$2:$H$1000,$H547)&gt;1),"DUPLICADA",IF(TRIM(IF($A547="","tipo ","")&amp;IF($F547="","fecha de firma ","")&amp;IF($G547="","decisión ","")&amp;IF($H547="","N° resolución ","")&amp;IF($I547="","N° dictamen",""))&lt;&gt;"","INCOMPLETA: "&amp;TRIM(IF($A547="","tipo ","")&amp;IF($F547="","fecha de firma ","")&amp;IF($G547="","decisión ","")&amp;IF($H547="","N° resolución ","")&amp;IF($I547="","N° dictamen","")),IF(LEFT($N547,4)&lt;&gt;"CONC","OK",IF(N($Q547)=0,IF(AND(ISNUMBER($E547),$E547&gt;=DATE(2024,1,1)),"FALTA EN evol_conc","OK"),IF(INDEX(evol_conc!$H:$H,$Q547)&lt;&gt;$F547,"FIRMA DISTINTA EN evol_conc ("&amp;IF(INDEX(evol_conc!$H:$H,$Q547)="","vacía",DAY(INDEX(evol_conc!$H:$H,$Q547))&amp;"/"&amp;MONTH(INDEX(evol_conc!$H:$H,$Q547))&amp;"/"&amp;YEAR(INDEX(evol_conc!$H:$H,$Q547)))&amp;")",IF(INDEX(evol_conc!$G:$G,$Q547)&lt;&gt;$E547,"INGRESO DISTINTO EN evol_conc ("&amp;IF(INDEX(evol_conc!$G:$G,$Q547)="","vacía",DAY(INDEX(evol_conc!$G:$G,$Q547))&amp;"/"&amp;MONTH(INDEX(evol_conc!$G:$G,$Q547))&amp;"/"&amp;YEAR(INDEX(evol_conc!$G:$G,$Q547)))&amp;")","OK"))))))))</f>
        <v/>
      </c>
      <c r="Q547" t="str">
        <f ca="1">IF($N547="","",IFERROR(MATCH($N547,evol_conc!$P:$P,0),0))</f>
        <v/>
      </c>
    </row>
    <row r="548" spans="12:17" ht="18" hidden="1" customHeight="1" x14ac:dyDescent="0.25">
      <c r="L548" s="53" t="str">
        <f t="shared" si="16"/>
        <v/>
      </c>
      <c r="M548" s="19" t="str">
        <f t="shared" si="17"/>
        <v/>
      </c>
      <c r="N548" t="str">
        <f ca="1">IF(TRIM(SUBSTITUTE($B548,CHAR(160)," "))="","",IFERROR(IF(ISNUMBER(SEARCH("INC",$B548)),"INC",IF(ISNUMBER(SEARCH("OPI",$B548)),"OPI",IF(ISNUMBER(SEARCH("DP",$B548)),"DP","CONC")))&amp;" "&amp;TEXT(LOOKUP(9.99E+307,--MID(SUBSTITUTE($B548,CHAR(160)," "),SUMPRODUCT(MIN(FIND({0,1,2,3,4,5,6,7,8,9},SUBSTITUTE($B548,CHAR(160)," ")&amp;"0123456789"))),ROW(INDIRECT("1:6")))),"0"),"SIN NUMERO"))</f>
        <v/>
      </c>
      <c r="O548" t="str">
        <f ca="1">IF($N548="","",IF(LEFT(UPPER($P548),9)="VERIFICAR","VERIFICAR",IF(AND($H548&lt;&gt;"",COUNTIFS($N$2:$N$1000,$N548,$H$2:$H$1000,$H548)&gt;1),"DUPLICADA",IF(TRIM(IF($A548="","tipo ","")&amp;IF($F548="","fecha de firma ","")&amp;IF($G548="","decisión ","")&amp;IF($H548="","N° resolución ","")&amp;IF($I548="","N° dictamen",""))&lt;&gt;"","INCOMPLETA: "&amp;TRIM(IF($A548="","tipo ","")&amp;IF($F548="","fecha de firma ","")&amp;IF($G548="","decisión ","")&amp;IF($H548="","N° resolución ","")&amp;IF($I548="","N° dictamen","")),IF(LEFT($N548,4)&lt;&gt;"CONC","OK",IF(N($Q548)=0,IF(AND(ISNUMBER($E548),$E548&gt;=DATE(2024,1,1)),"FALTA EN evol_conc","OK"),IF(INDEX(evol_conc!$H:$H,$Q548)&lt;&gt;$F548,"FIRMA DISTINTA EN evol_conc ("&amp;IF(INDEX(evol_conc!$H:$H,$Q548)="","vacía",DAY(INDEX(evol_conc!$H:$H,$Q548))&amp;"/"&amp;MONTH(INDEX(evol_conc!$H:$H,$Q548))&amp;"/"&amp;YEAR(INDEX(evol_conc!$H:$H,$Q548)))&amp;")",IF(INDEX(evol_conc!$G:$G,$Q548)&lt;&gt;$E548,"INGRESO DISTINTO EN evol_conc ("&amp;IF(INDEX(evol_conc!$G:$G,$Q548)="","vacía",DAY(INDEX(evol_conc!$G:$G,$Q548))&amp;"/"&amp;MONTH(INDEX(evol_conc!$G:$G,$Q548))&amp;"/"&amp;YEAR(INDEX(evol_conc!$G:$G,$Q548)))&amp;")","OK"))))))))</f>
        <v/>
      </c>
      <c r="Q548" t="str">
        <f ca="1">IF($N548="","",IFERROR(MATCH($N548,evol_conc!$P:$P,0),0))</f>
        <v/>
      </c>
    </row>
    <row r="549" spans="12:17" ht="18" hidden="1" customHeight="1" x14ac:dyDescent="0.25">
      <c r="L549" s="53" t="str">
        <f t="shared" si="16"/>
        <v/>
      </c>
      <c r="M549" s="19" t="str">
        <f t="shared" si="17"/>
        <v/>
      </c>
      <c r="N549" t="str">
        <f ca="1">IF(TRIM(SUBSTITUTE($B549,CHAR(160)," "))="","",IFERROR(IF(ISNUMBER(SEARCH("INC",$B549)),"INC",IF(ISNUMBER(SEARCH("OPI",$B549)),"OPI",IF(ISNUMBER(SEARCH("DP",$B549)),"DP","CONC")))&amp;" "&amp;TEXT(LOOKUP(9.99E+307,--MID(SUBSTITUTE($B549,CHAR(160)," "),SUMPRODUCT(MIN(FIND({0,1,2,3,4,5,6,7,8,9},SUBSTITUTE($B549,CHAR(160)," ")&amp;"0123456789"))),ROW(INDIRECT("1:6")))),"0"),"SIN NUMERO"))</f>
        <v/>
      </c>
      <c r="O549" t="str">
        <f ca="1">IF($N549="","",IF(LEFT(UPPER($P549),9)="VERIFICAR","VERIFICAR",IF(AND($H549&lt;&gt;"",COUNTIFS($N$2:$N$1000,$N549,$H$2:$H$1000,$H549)&gt;1),"DUPLICADA",IF(TRIM(IF($A549="","tipo ","")&amp;IF($F549="","fecha de firma ","")&amp;IF($G549="","decisión ","")&amp;IF($H549="","N° resolución ","")&amp;IF($I549="","N° dictamen",""))&lt;&gt;"","INCOMPLETA: "&amp;TRIM(IF($A549="","tipo ","")&amp;IF($F549="","fecha de firma ","")&amp;IF($G549="","decisión ","")&amp;IF($H549="","N° resolución ","")&amp;IF($I549="","N° dictamen","")),IF(LEFT($N549,4)&lt;&gt;"CONC","OK",IF(N($Q549)=0,IF(AND(ISNUMBER($E549),$E549&gt;=DATE(2024,1,1)),"FALTA EN evol_conc","OK"),IF(INDEX(evol_conc!$H:$H,$Q549)&lt;&gt;$F549,"FIRMA DISTINTA EN evol_conc ("&amp;IF(INDEX(evol_conc!$H:$H,$Q549)="","vacía",DAY(INDEX(evol_conc!$H:$H,$Q549))&amp;"/"&amp;MONTH(INDEX(evol_conc!$H:$H,$Q549))&amp;"/"&amp;YEAR(INDEX(evol_conc!$H:$H,$Q549)))&amp;")",IF(INDEX(evol_conc!$G:$G,$Q549)&lt;&gt;$E549,"INGRESO DISTINTO EN evol_conc ("&amp;IF(INDEX(evol_conc!$G:$G,$Q549)="","vacía",DAY(INDEX(evol_conc!$G:$G,$Q549))&amp;"/"&amp;MONTH(INDEX(evol_conc!$G:$G,$Q549))&amp;"/"&amp;YEAR(INDEX(evol_conc!$G:$G,$Q549)))&amp;")","OK"))))))))</f>
        <v/>
      </c>
      <c r="Q549" t="str">
        <f ca="1">IF($N549="","",IFERROR(MATCH($N549,evol_conc!$P:$P,0),0))</f>
        <v/>
      </c>
    </row>
    <row r="550" spans="12:17" ht="18" hidden="1" customHeight="1" x14ac:dyDescent="0.25">
      <c r="L550" s="53" t="str">
        <f t="shared" si="16"/>
        <v/>
      </c>
      <c r="M550" s="19" t="str">
        <f t="shared" si="17"/>
        <v/>
      </c>
      <c r="N550" t="str">
        <f ca="1">IF(TRIM(SUBSTITUTE($B550,CHAR(160)," "))="","",IFERROR(IF(ISNUMBER(SEARCH("INC",$B550)),"INC",IF(ISNUMBER(SEARCH("OPI",$B550)),"OPI",IF(ISNUMBER(SEARCH("DP",$B550)),"DP","CONC")))&amp;" "&amp;TEXT(LOOKUP(9.99E+307,--MID(SUBSTITUTE($B550,CHAR(160)," "),SUMPRODUCT(MIN(FIND({0,1,2,3,4,5,6,7,8,9},SUBSTITUTE($B550,CHAR(160)," ")&amp;"0123456789"))),ROW(INDIRECT("1:6")))),"0"),"SIN NUMERO"))</f>
        <v/>
      </c>
      <c r="O550" t="str">
        <f ca="1">IF($N550="","",IF(LEFT(UPPER($P550),9)="VERIFICAR","VERIFICAR",IF(AND($H550&lt;&gt;"",COUNTIFS($N$2:$N$1000,$N550,$H$2:$H$1000,$H550)&gt;1),"DUPLICADA",IF(TRIM(IF($A550="","tipo ","")&amp;IF($F550="","fecha de firma ","")&amp;IF($G550="","decisión ","")&amp;IF($H550="","N° resolución ","")&amp;IF($I550="","N° dictamen",""))&lt;&gt;"","INCOMPLETA: "&amp;TRIM(IF($A550="","tipo ","")&amp;IF($F550="","fecha de firma ","")&amp;IF($G550="","decisión ","")&amp;IF($H550="","N° resolución ","")&amp;IF($I550="","N° dictamen","")),IF(LEFT($N550,4)&lt;&gt;"CONC","OK",IF(N($Q550)=0,IF(AND(ISNUMBER($E550),$E550&gt;=DATE(2024,1,1)),"FALTA EN evol_conc","OK"),IF(INDEX(evol_conc!$H:$H,$Q550)&lt;&gt;$F550,"FIRMA DISTINTA EN evol_conc ("&amp;IF(INDEX(evol_conc!$H:$H,$Q550)="","vacía",DAY(INDEX(evol_conc!$H:$H,$Q550))&amp;"/"&amp;MONTH(INDEX(evol_conc!$H:$H,$Q550))&amp;"/"&amp;YEAR(INDEX(evol_conc!$H:$H,$Q550)))&amp;")",IF(INDEX(evol_conc!$G:$G,$Q550)&lt;&gt;$E550,"INGRESO DISTINTO EN evol_conc ("&amp;IF(INDEX(evol_conc!$G:$G,$Q550)="","vacía",DAY(INDEX(evol_conc!$G:$G,$Q550))&amp;"/"&amp;MONTH(INDEX(evol_conc!$G:$G,$Q550))&amp;"/"&amp;YEAR(INDEX(evol_conc!$G:$G,$Q550)))&amp;")","OK"))))))))</f>
        <v/>
      </c>
      <c r="Q550" t="str">
        <f ca="1">IF($N550="","",IFERROR(MATCH($N550,evol_conc!$P:$P,0),0))</f>
        <v/>
      </c>
    </row>
    <row r="551" spans="12:17" ht="18" hidden="1" customHeight="1" x14ac:dyDescent="0.25">
      <c r="L551" s="53" t="str">
        <f t="shared" si="16"/>
        <v/>
      </c>
      <c r="M551" s="19" t="str">
        <f t="shared" si="17"/>
        <v/>
      </c>
      <c r="N551" t="str">
        <f ca="1">IF(TRIM(SUBSTITUTE($B551,CHAR(160)," "))="","",IFERROR(IF(ISNUMBER(SEARCH("INC",$B551)),"INC",IF(ISNUMBER(SEARCH("OPI",$B551)),"OPI",IF(ISNUMBER(SEARCH("DP",$B551)),"DP","CONC")))&amp;" "&amp;TEXT(LOOKUP(9.99E+307,--MID(SUBSTITUTE($B551,CHAR(160)," "),SUMPRODUCT(MIN(FIND({0,1,2,3,4,5,6,7,8,9},SUBSTITUTE($B551,CHAR(160)," ")&amp;"0123456789"))),ROW(INDIRECT("1:6")))),"0"),"SIN NUMERO"))</f>
        <v/>
      </c>
      <c r="O551" t="str">
        <f ca="1">IF($N551="","",IF(LEFT(UPPER($P551),9)="VERIFICAR","VERIFICAR",IF(AND($H551&lt;&gt;"",COUNTIFS($N$2:$N$1000,$N551,$H$2:$H$1000,$H551)&gt;1),"DUPLICADA",IF(TRIM(IF($A551="","tipo ","")&amp;IF($F551="","fecha de firma ","")&amp;IF($G551="","decisión ","")&amp;IF($H551="","N° resolución ","")&amp;IF($I551="","N° dictamen",""))&lt;&gt;"","INCOMPLETA: "&amp;TRIM(IF($A551="","tipo ","")&amp;IF($F551="","fecha de firma ","")&amp;IF($G551="","decisión ","")&amp;IF($H551="","N° resolución ","")&amp;IF($I551="","N° dictamen","")),IF(LEFT($N551,4)&lt;&gt;"CONC","OK",IF(N($Q551)=0,IF(AND(ISNUMBER($E551),$E551&gt;=DATE(2024,1,1)),"FALTA EN evol_conc","OK"),IF(INDEX(evol_conc!$H:$H,$Q551)&lt;&gt;$F551,"FIRMA DISTINTA EN evol_conc ("&amp;IF(INDEX(evol_conc!$H:$H,$Q551)="","vacía",DAY(INDEX(evol_conc!$H:$H,$Q551))&amp;"/"&amp;MONTH(INDEX(evol_conc!$H:$H,$Q551))&amp;"/"&amp;YEAR(INDEX(evol_conc!$H:$H,$Q551)))&amp;")",IF(INDEX(evol_conc!$G:$G,$Q551)&lt;&gt;$E551,"INGRESO DISTINTO EN evol_conc ("&amp;IF(INDEX(evol_conc!$G:$G,$Q551)="","vacía",DAY(INDEX(evol_conc!$G:$G,$Q551))&amp;"/"&amp;MONTH(INDEX(evol_conc!$G:$G,$Q551))&amp;"/"&amp;YEAR(INDEX(evol_conc!$G:$G,$Q551)))&amp;")","OK"))))))))</f>
        <v/>
      </c>
      <c r="Q551" t="str">
        <f ca="1">IF($N551="","",IFERROR(MATCH($N551,evol_conc!$P:$P,0),0))</f>
        <v/>
      </c>
    </row>
    <row r="552" spans="12:17" ht="18" hidden="1" customHeight="1" x14ac:dyDescent="0.25">
      <c r="L552" s="53" t="str">
        <f t="shared" si="16"/>
        <v/>
      </c>
      <c r="M552" s="19" t="str">
        <f t="shared" si="17"/>
        <v/>
      </c>
      <c r="N552" t="str">
        <f ca="1">IF(TRIM(SUBSTITUTE($B552,CHAR(160)," "))="","",IFERROR(IF(ISNUMBER(SEARCH("INC",$B552)),"INC",IF(ISNUMBER(SEARCH("OPI",$B552)),"OPI",IF(ISNUMBER(SEARCH("DP",$B552)),"DP","CONC")))&amp;" "&amp;TEXT(LOOKUP(9.99E+307,--MID(SUBSTITUTE($B552,CHAR(160)," "),SUMPRODUCT(MIN(FIND({0,1,2,3,4,5,6,7,8,9},SUBSTITUTE($B552,CHAR(160)," ")&amp;"0123456789"))),ROW(INDIRECT("1:6")))),"0"),"SIN NUMERO"))</f>
        <v/>
      </c>
      <c r="O552" t="str">
        <f ca="1">IF($N552="","",IF(LEFT(UPPER($P552),9)="VERIFICAR","VERIFICAR",IF(AND($H552&lt;&gt;"",COUNTIFS($N$2:$N$1000,$N552,$H$2:$H$1000,$H552)&gt;1),"DUPLICADA",IF(TRIM(IF($A552="","tipo ","")&amp;IF($F552="","fecha de firma ","")&amp;IF($G552="","decisión ","")&amp;IF($H552="","N° resolución ","")&amp;IF($I552="","N° dictamen",""))&lt;&gt;"","INCOMPLETA: "&amp;TRIM(IF($A552="","tipo ","")&amp;IF($F552="","fecha de firma ","")&amp;IF($G552="","decisión ","")&amp;IF($H552="","N° resolución ","")&amp;IF($I552="","N° dictamen","")),IF(LEFT($N552,4)&lt;&gt;"CONC","OK",IF(N($Q552)=0,IF(AND(ISNUMBER($E552),$E552&gt;=DATE(2024,1,1)),"FALTA EN evol_conc","OK"),IF(INDEX(evol_conc!$H:$H,$Q552)&lt;&gt;$F552,"FIRMA DISTINTA EN evol_conc ("&amp;IF(INDEX(evol_conc!$H:$H,$Q552)="","vacía",DAY(INDEX(evol_conc!$H:$H,$Q552))&amp;"/"&amp;MONTH(INDEX(evol_conc!$H:$H,$Q552))&amp;"/"&amp;YEAR(INDEX(evol_conc!$H:$H,$Q552)))&amp;")",IF(INDEX(evol_conc!$G:$G,$Q552)&lt;&gt;$E552,"INGRESO DISTINTO EN evol_conc ("&amp;IF(INDEX(evol_conc!$G:$G,$Q552)="","vacía",DAY(INDEX(evol_conc!$G:$G,$Q552))&amp;"/"&amp;MONTH(INDEX(evol_conc!$G:$G,$Q552))&amp;"/"&amp;YEAR(INDEX(evol_conc!$G:$G,$Q552)))&amp;")","OK"))))))))</f>
        <v/>
      </c>
      <c r="Q552" t="str">
        <f ca="1">IF($N552="","",IFERROR(MATCH($N552,evol_conc!$P:$P,0),0))</f>
        <v/>
      </c>
    </row>
    <row r="553" spans="12:17" ht="18" hidden="1" customHeight="1" x14ac:dyDescent="0.25">
      <c r="L553" s="53" t="str">
        <f t="shared" si="16"/>
        <v/>
      </c>
      <c r="M553" s="19" t="str">
        <f t="shared" si="17"/>
        <v/>
      </c>
      <c r="N553" t="str">
        <f ca="1">IF(TRIM(SUBSTITUTE($B553,CHAR(160)," "))="","",IFERROR(IF(ISNUMBER(SEARCH("INC",$B553)),"INC",IF(ISNUMBER(SEARCH("OPI",$B553)),"OPI",IF(ISNUMBER(SEARCH("DP",$B553)),"DP","CONC")))&amp;" "&amp;TEXT(LOOKUP(9.99E+307,--MID(SUBSTITUTE($B553,CHAR(160)," "),SUMPRODUCT(MIN(FIND({0,1,2,3,4,5,6,7,8,9},SUBSTITUTE($B553,CHAR(160)," ")&amp;"0123456789"))),ROW(INDIRECT("1:6")))),"0"),"SIN NUMERO"))</f>
        <v/>
      </c>
      <c r="O553" t="str">
        <f ca="1">IF($N553="","",IF(LEFT(UPPER($P553),9)="VERIFICAR","VERIFICAR",IF(AND($H553&lt;&gt;"",COUNTIFS($N$2:$N$1000,$N553,$H$2:$H$1000,$H553)&gt;1),"DUPLICADA",IF(TRIM(IF($A553="","tipo ","")&amp;IF($F553="","fecha de firma ","")&amp;IF($G553="","decisión ","")&amp;IF($H553="","N° resolución ","")&amp;IF($I553="","N° dictamen",""))&lt;&gt;"","INCOMPLETA: "&amp;TRIM(IF($A553="","tipo ","")&amp;IF($F553="","fecha de firma ","")&amp;IF($G553="","decisión ","")&amp;IF($H553="","N° resolución ","")&amp;IF($I553="","N° dictamen","")),IF(LEFT($N553,4)&lt;&gt;"CONC","OK",IF(N($Q553)=0,IF(AND(ISNUMBER($E553),$E553&gt;=DATE(2024,1,1)),"FALTA EN evol_conc","OK"),IF(INDEX(evol_conc!$H:$H,$Q553)&lt;&gt;$F553,"FIRMA DISTINTA EN evol_conc ("&amp;IF(INDEX(evol_conc!$H:$H,$Q553)="","vacía",DAY(INDEX(evol_conc!$H:$H,$Q553))&amp;"/"&amp;MONTH(INDEX(evol_conc!$H:$H,$Q553))&amp;"/"&amp;YEAR(INDEX(evol_conc!$H:$H,$Q553)))&amp;")",IF(INDEX(evol_conc!$G:$G,$Q553)&lt;&gt;$E553,"INGRESO DISTINTO EN evol_conc ("&amp;IF(INDEX(evol_conc!$G:$G,$Q553)="","vacía",DAY(INDEX(evol_conc!$G:$G,$Q553))&amp;"/"&amp;MONTH(INDEX(evol_conc!$G:$G,$Q553))&amp;"/"&amp;YEAR(INDEX(evol_conc!$G:$G,$Q553)))&amp;")","OK"))))))))</f>
        <v/>
      </c>
      <c r="Q553" t="str">
        <f ca="1">IF($N553="","",IFERROR(MATCH($N553,evol_conc!$P:$P,0),0))</f>
        <v/>
      </c>
    </row>
    <row r="554" spans="12:17" ht="18" hidden="1" customHeight="1" x14ac:dyDescent="0.25">
      <c r="L554" s="53" t="str">
        <f t="shared" si="16"/>
        <v/>
      </c>
      <c r="M554" s="19" t="str">
        <f t="shared" si="17"/>
        <v/>
      </c>
      <c r="N554" t="str">
        <f ca="1">IF(TRIM(SUBSTITUTE($B554,CHAR(160)," "))="","",IFERROR(IF(ISNUMBER(SEARCH("INC",$B554)),"INC",IF(ISNUMBER(SEARCH("OPI",$B554)),"OPI",IF(ISNUMBER(SEARCH("DP",$B554)),"DP","CONC")))&amp;" "&amp;TEXT(LOOKUP(9.99E+307,--MID(SUBSTITUTE($B554,CHAR(160)," "),SUMPRODUCT(MIN(FIND({0,1,2,3,4,5,6,7,8,9},SUBSTITUTE($B554,CHAR(160)," ")&amp;"0123456789"))),ROW(INDIRECT("1:6")))),"0"),"SIN NUMERO"))</f>
        <v/>
      </c>
      <c r="O554" t="str">
        <f ca="1">IF($N554="","",IF(LEFT(UPPER($P554),9)="VERIFICAR","VERIFICAR",IF(AND($H554&lt;&gt;"",COUNTIFS($N$2:$N$1000,$N554,$H$2:$H$1000,$H554)&gt;1),"DUPLICADA",IF(TRIM(IF($A554="","tipo ","")&amp;IF($F554="","fecha de firma ","")&amp;IF($G554="","decisión ","")&amp;IF($H554="","N° resolución ","")&amp;IF($I554="","N° dictamen",""))&lt;&gt;"","INCOMPLETA: "&amp;TRIM(IF($A554="","tipo ","")&amp;IF($F554="","fecha de firma ","")&amp;IF($G554="","decisión ","")&amp;IF($H554="","N° resolución ","")&amp;IF($I554="","N° dictamen","")),IF(LEFT($N554,4)&lt;&gt;"CONC","OK",IF(N($Q554)=0,IF(AND(ISNUMBER($E554),$E554&gt;=DATE(2024,1,1)),"FALTA EN evol_conc","OK"),IF(INDEX(evol_conc!$H:$H,$Q554)&lt;&gt;$F554,"FIRMA DISTINTA EN evol_conc ("&amp;IF(INDEX(evol_conc!$H:$H,$Q554)="","vacía",DAY(INDEX(evol_conc!$H:$H,$Q554))&amp;"/"&amp;MONTH(INDEX(evol_conc!$H:$H,$Q554))&amp;"/"&amp;YEAR(INDEX(evol_conc!$H:$H,$Q554)))&amp;")",IF(INDEX(evol_conc!$G:$G,$Q554)&lt;&gt;$E554,"INGRESO DISTINTO EN evol_conc ("&amp;IF(INDEX(evol_conc!$G:$G,$Q554)="","vacía",DAY(INDEX(evol_conc!$G:$G,$Q554))&amp;"/"&amp;MONTH(INDEX(evol_conc!$G:$G,$Q554))&amp;"/"&amp;YEAR(INDEX(evol_conc!$G:$G,$Q554)))&amp;")","OK"))))))))</f>
        <v/>
      </c>
      <c r="Q554" t="str">
        <f ca="1">IF($N554="","",IFERROR(MATCH($N554,evol_conc!$P:$P,0),0))</f>
        <v/>
      </c>
    </row>
    <row r="555" spans="12:17" ht="18" hidden="1" customHeight="1" x14ac:dyDescent="0.25">
      <c r="L555" s="53" t="str">
        <f t="shared" si="16"/>
        <v/>
      </c>
      <c r="M555" s="19" t="str">
        <f t="shared" si="17"/>
        <v/>
      </c>
      <c r="N555" t="str">
        <f ca="1">IF(TRIM(SUBSTITUTE($B555,CHAR(160)," "))="","",IFERROR(IF(ISNUMBER(SEARCH("INC",$B555)),"INC",IF(ISNUMBER(SEARCH("OPI",$B555)),"OPI",IF(ISNUMBER(SEARCH("DP",$B555)),"DP","CONC")))&amp;" "&amp;TEXT(LOOKUP(9.99E+307,--MID(SUBSTITUTE($B555,CHAR(160)," "),SUMPRODUCT(MIN(FIND({0,1,2,3,4,5,6,7,8,9},SUBSTITUTE($B555,CHAR(160)," ")&amp;"0123456789"))),ROW(INDIRECT("1:6")))),"0"),"SIN NUMERO"))</f>
        <v/>
      </c>
      <c r="O555" t="str">
        <f ca="1">IF($N555="","",IF(LEFT(UPPER($P555),9)="VERIFICAR","VERIFICAR",IF(AND($H555&lt;&gt;"",COUNTIFS($N$2:$N$1000,$N555,$H$2:$H$1000,$H555)&gt;1),"DUPLICADA",IF(TRIM(IF($A555="","tipo ","")&amp;IF($F555="","fecha de firma ","")&amp;IF($G555="","decisión ","")&amp;IF($H555="","N° resolución ","")&amp;IF($I555="","N° dictamen",""))&lt;&gt;"","INCOMPLETA: "&amp;TRIM(IF($A555="","tipo ","")&amp;IF($F555="","fecha de firma ","")&amp;IF($G555="","decisión ","")&amp;IF($H555="","N° resolución ","")&amp;IF($I555="","N° dictamen","")),IF(LEFT($N555,4)&lt;&gt;"CONC","OK",IF(N($Q555)=0,IF(AND(ISNUMBER($E555),$E555&gt;=DATE(2024,1,1)),"FALTA EN evol_conc","OK"),IF(INDEX(evol_conc!$H:$H,$Q555)&lt;&gt;$F555,"FIRMA DISTINTA EN evol_conc ("&amp;IF(INDEX(evol_conc!$H:$H,$Q555)="","vacía",DAY(INDEX(evol_conc!$H:$H,$Q555))&amp;"/"&amp;MONTH(INDEX(evol_conc!$H:$H,$Q555))&amp;"/"&amp;YEAR(INDEX(evol_conc!$H:$H,$Q555)))&amp;")",IF(INDEX(evol_conc!$G:$G,$Q555)&lt;&gt;$E555,"INGRESO DISTINTO EN evol_conc ("&amp;IF(INDEX(evol_conc!$G:$G,$Q555)="","vacía",DAY(INDEX(evol_conc!$G:$G,$Q555))&amp;"/"&amp;MONTH(INDEX(evol_conc!$G:$G,$Q555))&amp;"/"&amp;YEAR(INDEX(evol_conc!$G:$G,$Q555)))&amp;")","OK"))))))))</f>
        <v/>
      </c>
      <c r="Q555" t="str">
        <f ca="1">IF($N555="","",IFERROR(MATCH($N555,evol_conc!$P:$P,0),0))</f>
        <v/>
      </c>
    </row>
    <row r="556" spans="12:17" ht="18" hidden="1" customHeight="1" x14ac:dyDescent="0.25">
      <c r="L556" s="53" t="str">
        <f t="shared" si="16"/>
        <v/>
      </c>
      <c r="M556" s="19" t="str">
        <f t="shared" si="17"/>
        <v/>
      </c>
      <c r="N556" t="str">
        <f ca="1">IF(TRIM(SUBSTITUTE($B556,CHAR(160)," "))="","",IFERROR(IF(ISNUMBER(SEARCH("INC",$B556)),"INC",IF(ISNUMBER(SEARCH("OPI",$B556)),"OPI",IF(ISNUMBER(SEARCH("DP",$B556)),"DP","CONC")))&amp;" "&amp;TEXT(LOOKUP(9.99E+307,--MID(SUBSTITUTE($B556,CHAR(160)," "),SUMPRODUCT(MIN(FIND({0,1,2,3,4,5,6,7,8,9},SUBSTITUTE($B556,CHAR(160)," ")&amp;"0123456789"))),ROW(INDIRECT("1:6")))),"0"),"SIN NUMERO"))</f>
        <v/>
      </c>
      <c r="O556" t="str">
        <f ca="1">IF($N556="","",IF(LEFT(UPPER($P556),9)="VERIFICAR","VERIFICAR",IF(AND($H556&lt;&gt;"",COUNTIFS($N$2:$N$1000,$N556,$H$2:$H$1000,$H556)&gt;1),"DUPLICADA",IF(TRIM(IF($A556="","tipo ","")&amp;IF($F556="","fecha de firma ","")&amp;IF($G556="","decisión ","")&amp;IF($H556="","N° resolución ","")&amp;IF($I556="","N° dictamen",""))&lt;&gt;"","INCOMPLETA: "&amp;TRIM(IF($A556="","tipo ","")&amp;IF($F556="","fecha de firma ","")&amp;IF($G556="","decisión ","")&amp;IF($H556="","N° resolución ","")&amp;IF($I556="","N° dictamen","")),IF(LEFT($N556,4)&lt;&gt;"CONC","OK",IF(N($Q556)=0,IF(AND(ISNUMBER($E556),$E556&gt;=DATE(2024,1,1)),"FALTA EN evol_conc","OK"),IF(INDEX(evol_conc!$H:$H,$Q556)&lt;&gt;$F556,"FIRMA DISTINTA EN evol_conc ("&amp;IF(INDEX(evol_conc!$H:$H,$Q556)="","vacía",DAY(INDEX(evol_conc!$H:$H,$Q556))&amp;"/"&amp;MONTH(INDEX(evol_conc!$H:$H,$Q556))&amp;"/"&amp;YEAR(INDEX(evol_conc!$H:$H,$Q556)))&amp;")",IF(INDEX(evol_conc!$G:$G,$Q556)&lt;&gt;$E556,"INGRESO DISTINTO EN evol_conc ("&amp;IF(INDEX(evol_conc!$G:$G,$Q556)="","vacía",DAY(INDEX(evol_conc!$G:$G,$Q556))&amp;"/"&amp;MONTH(INDEX(evol_conc!$G:$G,$Q556))&amp;"/"&amp;YEAR(INDEX(evol_conc!$G:$G,$Q556)))&amp;")","OK"))))))))</f>
        <v/>
      </c>
      <c r="Q556" t="str">
        <f ca="1">IF($N556="","",IFERROR(MATCH($N556,evol_conc!$P:$P,0),0))</f>
        <v/>
      </c>
    </row>
    <row r="557" spans="12:17" ht="18" hidden="1" customHeight="1" x14ac:dyDescent="0.25">
      <c r="L557" s="53" t="str">
        <f t="shared" si="16"/>
        <v/>
      </c>
      <c r="M557" s="19" t="str">
        <f t="shared" si="17"/>
        <v/>
      </c>
      <c r="N557" t="str">
        <f ca="1">IF(TRIM(SUBSTITUTE($B557,CHAR(160)," "))="","",IFERROR(IF(ISNUMBER(SEARCH("INC",$B557)),"INC",IF(ISNUMBER(SEARCH("OPI",$B557)),"OPI",IF(ISNUMBER(SEARCH("DP",$B557)),"DP","CONC")))&amp;" "&amp;TEXT(LOOKUP(9.99E+307,--MID(SUBSTITUTE($B557,CHAR(160)," "),SUMPRODUCT(MIN(FIND({0,1,2,3,4,5,6,7,8,9},SUBSTITUTE($B557,CHAR(160)," ")&amp;"0123456789"))),ROW(INDIRECT("1:6")))),"0"),"SIN NUMERO"))</f>
        <v/>
      </c>
      <c r="O557" t="str">
        <f ca="1">IF($N557="","",IF(LEFT(UPPER($P557),9)="VERIFICAR","VERIFICAR",IF(AND($H557&lt;&gt;"",COUNTIFS($N$2:$N$1000,$N557,$H$2:$H$1000,$H557)&gt;1),"DUPLICADA",IF(TRIM(IF($A557="","tipo ","")&amp;IF($F557="","fecha de firma ","")&amp;IF($G557="","decisión ","")&amp;IF($H557="","N° resolución ","")&amp;IF($I557="","N° dictamen",""))&lt;&gt;"","INCOMPLETA: "&amp;TRIM(IF($A557="","tipo ","")&amp;IF($F557="","fecha de firma ","")&amp;IF($G557="","decisión ","")&amp;IF($H557="","N° resolución ","")&amp;IF($I557="","N° dictamen","")),IF(LEFT($N557,4)&lt;&gt;"CONC","OK",IF(N($Q557)=0,IF(AND(ISNUMBER($E557),$E557&gt;=DATE(2024,1,1)),"FALTA EN evol_conc","OK"),IF(INDEX(evol_conc!$H:$H,$Q557)&lt;&gt;$F557,"FIRMA DISTINTA EN evol_conc ("&amp;IF(INDEX(evol_conc!$H:$H,$Q557)="","vacía",DAY(INDEX(evol_conc!$H:$H,$Q557))&amp;"/"&amp;MONTH(INDEX(evol_conc!$H:$H,$Q557))&amp;"/"&amp;YEAR(INDEX(evol_conc!$H:$H,$Q557)))&amp;")",IF(INDEX(evol_conc!$G:$G,$Q557)&lt;&gt;$E557,"INGRESO DISTINTO EN evol_conc ("&amp;IF(INDEX(evol_conc!$G:$G,$Q557)="","vacía",DAY(INDEX(evol_conc!$G:$G,$Q557))&amp;"/"&amp;MONTH(INDEX(evol_conc!$G:$G,$Q557))&amp;"/"&amp;YEAR(INDEX(evol_conc!$G:$G,$Q557)))&amp;")","OK"))))))))</f>
        <v/>
      </c>
      <c r="Q557" t="str">
        <f ca="1">IF($N557="","",IFERROR(MATCH($N557,evol_conc!$P:$P,0),0))</f>
        <v/>
      </c>
    </row>
    <row r="558" spans="12:17" ht="18" hidden="1" customHeight="1" x14ac:dyDescent="0.25">
      <c r="L558" s="53" t="str">
        <f t="shared" si="16"/>
        <v/>
      </c>
      <c r="M558" s="19" t="str">
        <f t="shared" si="17"/>
        <v/>
      </c>
      <c r="N558" t="str">
        <f ca="1">IF(TRIM(SUBSTITUTE($B558,CHAR(160)," "))="","",IFERROR(IF(ISNUMBER(SEARCH("INC",$B558)),"INC",IF(ISNUMBER(SEARCH("OPI",$B558)),"OPI",IF(ISNUMBER(SEARCH("DP",$B558)),"DP","CONC")))&amp;" "&amp;TEXT(LOOKUP(9.99E+307,--MID(SUBSTITUTE($B558,CHAR(160)," "),SUMPRODUCT(MIN(FIND({0,1,2,3,4,5,6,7,8,9},SUBSTITUTE($B558,CHAR(160)," ")&amp;"0123456789"))),ROW(INDIRECT("1:6")))),"0"),"SIN NUMERO"))</f>
        <v/>
      </c>
      <c r="O558" t="str">
        <f ca="1">IF($N558="","",IF(LEFT(UPPER($P558),9)="VERIFICAR","VERIFICAR",IF(AND($H558&lt;&gt;"",COUNTIFS($N$2:$N$1000,$N558,$H$2:$H$1000,$H558)&gt;1),"DUPLICADA",IF(TRIM(IF($A558="","tipo ","")&amp;IF($F558="","fecha de firma ","")&amp;IF($G558="","decisión ","")&amp;IF($H558="","N° resolución ","")&amp;IF($I558="","N° dictamen",""))&lt;&gt;"","INCOMPLETA: "&amp;TRIM(IF($A558="","tipo ","")&amp;IF($F558="","fecha de firma ","")&amp;IF($G558="","decisión ","")&amp;IF($H558="","N° resolución ","")&amp;IF($I558="","N° dictamen","")),IF(LEFT($N558,4)&lt;&gt;"CONC","OK",IF(N($Q558)=0,IF(AND(ISNUMBER($E558),$E558&gt;=DATE(2024,1,1)),"FALTA EN evol_conc","OK"),IF(INDEX(evol_conc!$H:$H,$Q558)&lt;&gt;$F558,"FIRMA DISTINTA EN evol_conc ("&amp;IF(INDEX(evol_conc!$H:$H,$Q558)="","vacía",DAY(INDEX(evol_conc!$H:$H,$Q558))&amp;"/"&amp;MONTH(INDEX(evol_conc!$H:$H,$Q558))&amp;"/"&amp;YEAR(INDEX(evol_conc!$H:$H,$Q558)))&amp;")",IF(INDEX(evol_conc!$G:$G,$Q558)&lt;&gt;$E558,"INGRESO DISTINTO EN evol_conc ("&amp;IF(INDEX(evol_conc!$G:$G,$Q558)="","vacía",DAY(INDEX(evol_conc!$G:$G,$Q558))&amp;"/"&amp;MONTH(INDEX(evol_conc!$G:$G,$Q558))&amp;"/"&amp;YEAR(INDEX(evol_conc!$G:$G,$Q558)))&amp;")","OK"))))))))</f>
        <v/>
      </c>
      <c r="Q558" t="str">
        <f ca="1">IF($N558="","",IFERROR(MATCH($N558,evol_conc!$P:$P,0),0))</f>
        <v/>
      </c>
    </row>
    <row r="559" spans="12:17" ht="18" hidden="1" customHeight="1" x14ac:dyDescent="0.25">
      <c r="L559" s="53" t="str">
        <f t="shared" si="16"/>
        <v/>
      </c>
      <c r="M559" s="19" t="str">
        <f t="shared" si="17"/>
        <v/>
      </c>
      <c r="N559" t="str">
        <f ca="1">IF(TRIM(SUBSTITUTE($B559,CHAR(160)," "))="","",IFERROR(IF(ISNUMBER(SEARCH("INC",$B559)),"INC",IF(ISNUMBER(SEARCH("OPI",$B559)),"OPI",IF(ISNUMBER(SEARCH("DP",$B559)),"DP","CONC")))&amp;" "&amp;TEXT(LOOKUP(9.99E+307,--MID(SUBSTITUTE($B559,CHAR(160)," "),SUMPRODUCT(MIN(FIND({0,1,2,3,4,5,6,7,8,9},SUBSTITUTE($B559,CHAR(160)," ")&amp;"0123456789"))),ROW(INDIRECT("1:6")))),"0"),"SIN NUMERO"))</f>
        <v/>
      </c>
      <c r="O559" t="str">
        <f ca="1">IF($N559="","",IF(LEFT(UPPER($P559),9)="VERIFICAR","VERIFICAR",IF(AND($H559&lt;&gt;"",COUNTIFS($N$2:$N$1000,$N559,$H$2:$H$1000,$H559)&gt;1),"DUPLICADA",IF(TRIM(IF($A559="","tipo ","")&amp;IF($F559="","fecha de firma ","")&amp;IF($G559="","decisión ","")&amp;IF($H559="","N° resolución ","")&amp;IF($I559="","N° dictamen",""))&lt;&gt;"","INCOMPLETA: "&amp;TRIM(IF($A559="","tipo ","")&amp;IF($F559="","fecha de firma ","")&amp;IF($G559="","decisión ","")&amp;IF($H559="","N° resolución ","")&amp;IF($I559="","N° dictamen","")),IF(LEFT($N559,4)&lt;&gt;"CONC","OK",IF(N($Q559)=0,IF(AND(ISNUMBER($E559),$E559&gt;=DATE(2024,1,1)),"FALTA EN evol_conc","OK"),IF(INDEX(evol_conc!$H:$H,$Q559)&lt;&gt;$F559,"FIRMA DISTINTA EN evol_conc ("&amp;IF(INDEX(evol_conc!$H:$H,$Q559)="","vacía",DAY(INDEX(evol_conc!$H:$H,$Q559))&amp;"/"&amp;MONTH(INDEX(evol_conc!$H:$H,$Q559))&amp;"/"&amp;YEAR(INDEX(evol_conc!$H:$H,$Q559)))&amp;")",IF(INDEX(evol_conc!$G:$G,$Q559)&lt;&gt;$E559,"INGRESO DISTINTO EN evol_conc ("&amp;IF(INDEX(evol_conc!$G:$G,$Q559)="","vacía",DAY(INDEX(evol_conc!$G:$G,$Q559))&amp;"/"&amp;MONTH(INDEX(evol_conc!$G:$G,$Q559))&amp;"/"&amp;YEAR(INDEX(evol_conc!$G:$G,$Q559)))&amp;")","OK"))))))))</f>
        <v/>
      </c>
      <c r="Q559" t="str">
        <f ca="1">IF($N559="","",IFERROR(MATCH($N559,evol_conc!$P:$P,0),0))</f>
        <v/>
      </c>
    </row>
    <row r="560" spans="12:17" ht="18" hidden="1" customHeight="1" x14ac:dyDescent="0.25">
      <c r="L560" s="53" t="str">
        <f t="shared" si="16"/>
        <v/>
      </c>
      <c r="M560" s="19" t="str">
        <f t="shared" si="17"/>
        <v/>
      </c>
      <c r="N560" t="str">
        <f ca="1">IF(TRIM(SUBSTITUTE($B560,CHAR(160)," "))="","",IFERROR(IF(ISNUMBER(SEARCH("INC",$B560)),"INC",IF(ISNUMBER(SEARCH("OPI",$B560)),"OPI",IF(ISNUMBER(SEARCH("DP",$B560)),"DP","CONC")))&amp;" "&amp;TEXT(LOOKUP(9.99E+307,--MID(SUBSTITUTE($B560,CHAR(160)," "),SUMPRODUCT(MIN(FIND({0,1,2,3,4,5,6,7,8,9},SUBSTITUTE($B560,CHAR(160)," ")&amp;"0123456789"))),ROW(INDIRECT("1:6")))),"0"),"SIN NUMERO"))</f>
        <v/>
      </c>
      <c r="O560" t="str">
        <f ca="1">IF($N560="","",IF(LEFT(UPPER($P560),9)="VERIFICAR","VERIFICAR",IF(AND($H560&lt;&gt;"",COUNTIFS($N$2:$N$1000,$N560,$H$2:$H$1000,$H560)&gt;1),"DUPLICADA",IF(TRIM(IF($A560="","tipo ","")&amp;IF($F560="","fecha de firma ","")&amp;IF($G560="","decisión ","")&amp;IF($H560="","N° resolución ","")&amp;IF($I560="","N° dictamen",""))&lt;&gt;"","INCOMPLETA: "&amp;TRIM(IF($A560="","tipo ","")&amp;IF($F560="","fecha de firma ","")&amp;IF($G560="","decisión ","")&amp;IF($H560="","N° resolución ","")&amp;IF($I560="","N° dictamen","")),IF(LEFT($N560,4)&lt;&gt;"CONC","OK",IF(N($Q560)=0,IF(AND(ISNUMBER($E560),$E560&gt;=DATE(2024,1,1)),"FALTA EN evol_conc","OK"),IF(INDEX(evol_conc!$H:$H,$Q560)&lt;&gt;$F560,"FIRMA DISTINTA EN evol_conc ("&amp;IF(INDEX(evol_conc!$H:$H,$Q560)="","vacía",DAY(INDEX(evol_conc!$H:$H,$Q560))&amp;"/"&amp;MONTH(INDEX(evol_conc!$H:$H,$Q560))&amp;"/"&amp;YEAR(INDEX(evol_conc!$H:$H,$Q560)))&amp;")",IF(INDEX(evol_conc!$G:$G,$Q560)&lt;&gt;$E560,"INGRESO DISTINTO EN evol_conc ("&amp;IF(INDEX(evol_conc!$G:$G,$Q560)="","vacía",DAY(INDEX(evol_conc!$G:$G,$Q560))&amp;"/"&amp;MONTH(INDEX(evol_conc!$G:$G,$Q560))&amp;"/"&amp;YEAR(INDEX(evol_conc!$G:$G,$Q560)))&amp;")","OK"))))))))</f>
        <v/>
      </c>
      <c r="Q560" t="str">
        <f ca="1">IF($N560="","",IFERROR(MATCH($N560,evol_conc!$P:$P,0),0))</f>
        <v/>
      </c>
    </row>
    <row r="561" spans="12:17" ht="18" hidden="1" customHeight="1" x14ac:dyDescent="0.25">
      <c r="L561" s="53" t="str">
        <f t="shared" si="16"/>
        <v/>
      </c>
      <c r="M561" s="19" t="str">
        <f t="shared" si="17"/>
        <v/>
      </c>
      <c r="N561" t="str">
        <f ca="1">IF(TRIM(SUBSTITUTE($B561,CHAR(160)," "))="","",IFERROR(IF(ISNUMBER(SEARCH("INC",$B561)),"INC",IF(ISNUMBER(SEARCH("OPI",$B561)),"OPI",IF(ISNUMBER(SEARCH("DP",$B561)),"DP","CONC")))&amp;" "&amp;TEXT(LOOKUP(9.99E+307,--MID(SUBSTITUTE($B561,CHAR(160)," "),SUMPRODUCT(MIN(FIND({0,1,2,3,4,5,6,7,8,9},SUBSTITUTE($B561,CHAR(160)," ")&amp;"0123456789"))),ROW(INDIRECT("1:6")))),"0"),"SIN NUMERO"))</f>
        <v/>
      </c>
      <c r="O561" t="str">
        <f ca="1">IF($N561="","",IF(LEFT(UPPER($P561),9)="VERIFICAR","VERIFICAR",IF(AND($H561&lt;&gt;"",COUNTIFS($N$2:$N$1000,$N561,$H$2:$H$1000,$H561)&gt;1),"DUPLICADA",IF(TRIM(IF($A561="","tipo ","")&amp;IF($F561="","fecha de firma ","")&amp;IF($G561="","decisión ","")&amp;IF($H561="","N° resolución ","")&amp;IF($I561="","N° dictamen",""))&lt;&gt;"","INCOMPLETA: "&amp;TRIM(IF($A561="","tipo ","")&amp;IF($F561="","fecha de firma ","")&amp;IF($G561="","decisión ","")&amp;IF($H561="","N° resolución ","")&amp;IF($I561="","N° dictamen","")),IF(LEFT($N561,4)&lt;&gt;"CONC","OK",IF(N($Q561)=0,IF(AND(ISNUMBER($E561),$E561&gt;=DATE(2024,1,1)),"FALTA EN evol_conc","OK"),IF(INDEX(evol_conc!$H:$H,$Q561)&lt;&gt;$F561,"FIRMA DISTINTA EN evol_conc ("&amp;IF(INDEX(evol_conc!$H:$H,$Q561)="","vacía",DAY(INDEX(evol_conc!$H:$H,$Q561))&amp;"/"&amp;MONTH(INDEX(evol_conc!$H:$H,$Q561))&amp;"/"&amp;YEAR(INDEX(evol_conc!$H:$H,$Q561)))&amp;")",IF(INDEX(evol_conc!$G:$G,$Q561)&lt;&gt;$E561,"INGRESO DISTINTO EN evol_conc ("&amp;IF(INDEX(evol_conc!$G:$G,$Q561)="","vacía",DAY(INDEX(evol_conc!$G:$G,$Q561))&amp;"/"&amp;MONTH(INDEX(evol_conc!$G:$G,$Q561))&amp;"/"&amp;YEAR(INDEX(evol_conc!$G:$G,$Q561)))&amp;")","OK"))))))))</f>
        <v/>
      </c>
      <c r="Q561" t="str">
        <f ca="1">IF($N561="","",IFERROR(MATCH($N561,evol_conc!$P:$P,0),0))</f>
        <v/>
      </c>
    </row>
    <row r="562" spans="12:17" ht="18" hidden="1" customHeight="1" x14ac:dyDescent="0.25">
      <c r="L562" s="53" t="str">
        <f t="shared" si="16"/>
        <v/>
      </c>
      <c r="M562" s="19" t="str">
        <f t="shared" si="17"/>
        <v/>
      </c>
      <c r="N562" t="str">
        <f ca="1">IF(TRIM(SUBSTITUTE($B562,CHAR(160)," "))="","",IFERROR(IF(ISNUMBER(SEARCH("INC",$B562)),"INC",IF(ISNUMBER(SEARCH("OPI",$B562)),"OPI",IF(ISNUMBER(SEARCH("DP",$B562)),"DP","CONC")))&amp;" "&amp;TEXT(LOOKUP(9.99E+307,--MID(SUBSTITUTE($B562,CHAR(160)," "),SUMPRODUCT(MIN(FIND({0,1,2,3,4,5,6,7,8,9},SUBSTITUTE($B562,CHAR(160)," ")&amp;"0123456789"))),ROW(INDIRECT("1:6")))),"0"),"SIN NUMERO"))</f>
        <v/>
      </c>
      <c r="O562" t="str">
        <f ca="1">IF($N562="","",IF(LEFT(UPPER($P562),9)="VERIFICAR","VERIFICAR",IF(AND($H562&lt;&gt;"",COUNTIFS($N$2:$N$1000,$N562,$H$2:$H$1000,$H562)&gt;1),"DUPLICADA",IF(TRIM(IF($A562="","tipo ","")&amp;IF($F562="","fecha de firma ","")&amp;IF($G562="","decisión ","")&amp;IF($H562="","N° resolución ","")&amp;IF($I562="","N° dictamen",""))&lt;&gt;"","INCOMPLETA: "&amp;TRIM(IF($A562="","tipo ","")&amp;IF($F562="","fecha de firma ","")&amp;IF($G562="","decisión ","")&amp;IF($H562="","N° resolución ","")&amp;IF($I562="","N° dictamen","")),IF(LEFT($N562,4)&lt;&gt;"CONC","OK",IF(N($Q562)=0,IF(AND(ISNUMBER($E562),$E562&gt;=DATE(2024,1,1)),"FALTA EN evol_conc","OK"),IF(INDEX(evol_conc!$H:$H,$Q562)&lt;&gt;$F562,"FIRMA DISTINTA EN evol_conc ("&amp;IF(INDEX(evol_conc!$H:$H,$Q562)="","vacía",DAY(INDEX(evol_conc!$H:$H,$Q562))&amp;"/"&amp;MONTH(INDEX(evol_conc!$H:$H,$Q562))&amp;"/"&amp;YEAR(INDEX(evol_conc!$H:$H,$Q562)))&amp;")",IF(INDEX(evol_conc!$G:$G,$Q562)&lt;&gt;$E562,"INGRESO DISTINTO EN evol_conc ("&amp;IF(INDEX(evol_conc!$G:$G,$Q562)="","vacía",DAY(INDEX(evol_conc!$G:$G,$Q562))&amp;"/"&amp;MONTH(INDEX(evol_conc!$G:$G,$Q562))&amp;"/"&amp;YEAR(INDEX(evol_conc!$G:$G,$Q562)))&amp;")","OK"))))))))</f>
        <v/>
      </c>
      <c r="Q562" t="str">
        <f ca="1">IF($N562="","",IFERROR(MATCH($N562,evol_conc!$P:$P,0),0))</f>
        <v/>
      </c>
    </row>
    <row r="563" spans="12:17" ht="18" hidden="1" customHeight="1" x14ac:dyDescent="0.25">
      <c r="L563" s="53" t="str">
        <f t="shared" si="16"/>
        <v/>
      </c>
      <c r="M563" s="19" t="str">
        <f t="shared" si="17"/>
        <v/>
      </c>
      <c r="N563" t="str">
        <f ca="1">IF(TRIM(SUBSTITUTE($B563,CHAR(160)," "))="","",IFERROR(IF(ISNUMBER(SEARCH("INC",$B563)),"INC",IF(ISNUMBER(SEARCH("OPI",$B563)),"OPI",IF(ISNUMBER(SEARCH("DP",$B563)),"DP","CONC")))&amp;" "&amp;TEXT(LOOKUP(9.99E+307,--MID(SUBSTITUTE($B563,CHAR(160)," "),SUMPRODUCT(MIN(FIND({0,1,2,3,4,5,6,7,8,9},SUBSTITUTE($B563,CHAR(160)," ")&amp;"0123456789"))),ROW(INDIRECT("1:6")))),"0"),"SIN NUMERO"))</f>
        <v/>
      </c>
      <c r="O563" t="str">
        <f ca="1">IF($N563="","",IF(LEFT(UPPER($P563),9)="VERIFICAR","VERIFICAR",IF(AND($H563&lt;&gt;"",COUNTIFS($N$2:$N$1000,$N563,$H$2:$H$1000,$H563)&gt;1),"DUPLICADA",IF(TRIM(IF($A563="","tipo ","")&amp;IF($F563="","fecha de firma ","")&amp;IF($G563="","decisión ","")&amp;IF($H563="","N° resolución ","")&amp;IF($I563="","N° dictamen",""))&lt;&gt;"","INCOMPLETA: "&amp;TRIM(IF($A563="","tipo ","")&amp;IF($F563="","fecha de firma ","")&amp;IF($G563="","decisión ","")&amp;IF($H563="","N° resolución ","")&amp;IF($I563="","N° dictamen","")),IF(LEFT($N563,4)&lt;&gt;"CONC","OK",IF(N($Q563)=0,IF(AND(ISNUMBER($E563),$E563&gt;=DATE(2024,1,1)),"FALTA EN evol_conc","OK"),IF(INDEX(evol_conc!$H:$H,$Q563)&lt;&gt;$F563,"FIRMA DISTINTA EN evol_conc ("&amp;IF(INDEX(evol_conc!$H:$H,$Q563)="","vacía",DAY(INDEX(evol_conc!$H:$H,$Q563))&amp;"/"&amp;MONTH(INDEX(evol_conc!$H:$H,$Q563))&amp;"/"&amp;YEAR(INDEX(evol_conc!$H:$H,$Q563)))&amp;")",IF(INDEX(evol_conc!$G:$G,$Q563)&lt;&gt;$E563,"INGRESO DISTINTO EN evol_conc ("&amp;IF(INDEX(evol_conc!$G:$G,$Q563)="","vacía",DAY(INDEX(evol_conc!$G:$G,$Q563))&amp;"/"&amp;MONTH(INDEX(evol_conc!$G:$G,$Q563))&amp;"/"&amp;YEAR(INDEX(evol_conc!$G:$G,$Q563)))&amp;")","OK"))))))))</f>
        <v/>
      </c>
      <c r="Q563" t="str">
        <f ca="1">IF($N563="","",IFERROR(MATCH($N563,evol_conc!$P:$P,0),0))</f>
        <v/>
      </c>
    </row>
    <row r="564" spans="12:17" ht="18" hidden="1" customHeight="1" x14ac:dyDescent="0.25">
      <c r="L564" s="53" t="str">
        <f t="shared" si="16"/>
        <v/>
      </c>
      <c r="M564" s="19" t="str">
        <f t="shared" si="17"/>
        <v/>
      </c>
      <c r="N564" t="str">
        <f ca="1">IF(TRIM(SUBSTITUTE($B564,CHAR(160)," "))="","",IFERROR(IF(ISNUMBER(SEARCH("INC",$B564)),"INC",IF(ISNUMBER(SEARCH("OPI",$B564)),"OPI",IF(ISNUMBER(SEARCH("DP",$B564)),"DP","CONC")))&amp;" "&amp;TEXT(LOOKUP(9.99E+307,--MID(SUBSTITUTE($B564,CHAR(160)," "),SUMPRODUCT(MIN(FIND({0,1,2,3,4,5,6,7,8,9},SUBSTITUTE($B564,CHAR(160)," ")&amp;"0123456789"))),ROW(INDIRECT("1:6")))),"0"),"SIN NUMERO"))</f>
        <v/>
      </c>
      <c r="O564" t="str">
        <f ca="1">IF($N564="","",IF(LEFT(UPPER($P564),9)="VERIFICAR","VERIFICAR",IF(AND($H564&lt;&gt;"",COUNTIFS($N$2:$N$1000,$N564,$H$2:$H$1000,$H564)&gt;1),"DUPLICADA",IF(TRIM(IF($A564="","tipo ","")&amp;IF($F564="","fecha de firma ","")&amp;IF($G564="","decisión ","")&amp;IF($H564="","N° resolución ","")&amp;IF($I564="","N° dictamen",""))&lt;&gt;"","INCOMPLETA: "&amp;TRIM(IF($A564="","tipo ","")&amp;IF($F564="","fecha de firma ","")&amp;IF($G564="","decisión ","")&amp;IF($H564="","N° resolución ","")&amp;IF($I564="","N° dictamen","")),IF(LEFT($N564,4)&lt;&gt;"CONC","OK",IF(N($Q564)=0,IF(AND(ISNUMBER($E564),$E564&gt;=DATE(2024,1,1)),"FALTA EN evol_conc","OK"),IF(INDEX(evol_conc!$H:$H,$Q564)&lt;&gt;$F564,"FIRMA DISTINTA EN evol_conc ("&amp;IF(INDEX(evol_conc!$H:$H,$Q564)="","vacía",DAY(INDEX(evol_conc!$H:$H,$Q564))&amp;"/"&amp;MONTH(INDEX(evol_conc!$H:$H,$Q564))&amp;"/"&amp;YEAR(INDEX(evol_conc!$H:$H,$Q564)))&amp;")",IF(INDEX(evol_conc!$G:$G,$Q564)&lt;&gt;$E564,"INGRESO DISTINTO EN evol_conc ("&amp;IF(INDEX(evol_conc!$G:$G,$Q564)="","vacía",DAY(INDEX(evol_conc!$G:$G,$Q564))&amp;"/"&amp;MONTH(INDEX(evol_conc!$G:$G,$Q564))&amp;"/"&amp;YEAR(INDEX(evol_conc!$G:$G,$Q564)))&amp;")","OK"))))))))</f>
        <v/>
      </c>
      <c r="Q564" t="str">
        <f ca="1">IF($N564="","",IFERROR(MATCH($N564,evol_conc!$P:$P,0),0))</f>
        <v/>
      </c>
    </row>
    <row r="565" spans="12:17" ht="18" hidden="1" customHeight="1" x14ac:dyDescent="0.25">
      <c r="L565" s="53" t="str">
        <f t="shared" si="16"/>
        <v/>
      </c>
      <c r="M565" s="19" t="str">
        <f t="shared" si="17"/>
        <v/>
      </c>
      <c r="N565" t="str">
        <f ca="1">IF(TRIM(SUBSTITUTE($B565,CHAR(160)," "))="","",IFERROR(IF(ISNUMBER(SEARCH("INC",$B565)),"INC",IF(ISNUMBER(SEARCH("OPI",$B565)),"OPI",IF(ISNUMBER(SEARCH("DP",$B565)),"DP","CONC")))&amp;" "&amp;TEXT(LOOKUP(9.99E+307,--MID(SUBSTITUTE($B565,CHAR(160)," "),SUMPRODUCT(MIN(FIND({0,1,2,3,4,5,6,7,8,9},SUBSTITUTE($B565,CHAR(160)," ")&amp;"0123456789"))),ROW(INDIRECT("1:6")))),"0"),"SIN NUMERO"))</f>
        <v/>
      </c>
      <c r="O565" t="str">
        <f ca="1">IF($N565="","",IF(LEFT(UPPER($P565),9)="VERIFICAR","VERIFICAR",IF(AND($H565&lt;&gt;"",COUNTIFS($N$2:$N$1000,$N565,$H$2:$H$1000,$H565)&gt;1),"DUPLICADA",IF(TRIM(IF($A565="","tipo ","")&amp;IF($F565="","fecha de firma ","")&amp;IF($G565="","decisión ","")&amp;IF($H565="","N° resolución ","")&amp;IF($I565="","N° dictamen",""))&lt;&gt;"","INCOMPLETA: "&amp;TRIM(IF($A565="","tipo ","")&amp;IF($F565="","fecha de firma ","")&amp;IF($G565="","decisión ","")&amp;IF($H565="","N° resolución ","")&amp;IF($I565="","N° dictamen","")),IF(LEFT($N565,4)&lt;&gt;"CONC","OK",IF(N($Q565)=0,IF(AND(ISNUMBER($E565),$E565&gt;=DATE(2024,1,1)),"FALTA EN evol_conc","OK"),IF(INDEX(evol_conc!$H:$H,$Q565)&lt;&gt;$F565,"FIRMA DISTINTA EN evol_conc ("&amp;IF(INDEX(evol_conc!$H:$H,$Q565)="","vacía",DAY(INDEX(evol_conc!$H:$H,$Q565))&amp;"/"&amp;MONTH(INDEX(evol_conc!$H:$H,$Q565))&amp;"/"&amp;YEAR(INDEX(evol_conc!$H:$H,$Q565)))&amp;")",IF(INDEX(evol_conc!$G:$G,$Q565)&lt;&gt;$E565,"INGRESO DISTINTO EN evol_conc ("&amp;IF(INDEX(evol_conc!$G:$G,$Q565)="","vacía",DAY(INDEX(evol_conc!$G:$G,$Q565))&amp;"/"&amp;MONTH(INDEX(evol_conc!$G:$G,$Q565))&amp;"/"&amp;YEAR(INDEX(evol_conc!$G:$G,$Q565)))&amp;")","OK"))))))))</f>
        <v/>
      </c>
      <c r="Q565" t="str">
        <f ca="1">IF($N565="","",IFERROR(MATCH($N565,evol_conc!$P:$P,0),0))</f>
        <v/>
      </c>
    </row>
    <row r="566" spans="12:17" ht="18" hidden="1" customHeight="1" x14ac:dyDescent="0.25">
      <c r="L566" s="53" t="str">
        <f t="shared" si="16"/>
        <v/>
      </c>
      <c r="M566" s="19" t="str">
        <f t="shared" si="17"/>
        <v/>
      </c>
      <c r="N566" t="str">
        <f ca="1">IF(TRIM(SUBSTITUTE($B566,CHAR(160)," "))="","",IFERROR(IF(ISNUMBER(SEARCH("INC",$B566)),"INC",IF(ISNUMBER(SEARCH("OPI",$B566)),"OPI",IF(ISNUMBER(SEARCH("DP",$B566)),"DP","CONC")))&amp;" "&amp;TEXT(LOOKUP(9.99E+307,--MID(SUBSTITUTE($B566,CHAR(160)," "),SUMPRODUCT(MIN(FIND({0,1,2,3,4,5,6,7,8,9},SUBSTITUTE($B566,CHAR(160)," ")&amp;"0123456789"))),ROW(INDIRECT("1:6")))),"0"),"SIN NUMERO"))</f>
        <v/>
      </c>
      <c r="O566" t="str">
        <f ca="1">IF($N566="","",IF(LEFT(UPPER($P566),9)="VERIFICAR","VERIFICAR",IF(AND($H566&lt;&gt;"",COUNTIFS($N$2:$N$1000,$N566,$H$2:$H$1000,$H566)&gt;1),"DUPLICADA",IF(TRIM(IF($A566="","tipo ","")&amp;IF($F566="","fecha de firma ","")&amp;IF($G566="","decisión ","")&amp;IF($H566="","N° resolución ","")&amp;IF($I566="","N° dictamen",""))&lt;&gt;"","INCOMPLETA: "&amp;TRIM(IF($A566="","tipo ","")&amp;IF($F566="","fecha de firma ","")&amp;IF($G566="","decisión ","")&amp;IF($H566="","N° resolución ","")&amp;IF($I566="","N° dictamen","")),IF(LEFT($N566,4)&lt;&gt;"CONC","OK",IF(N($Q566)=0,IF(AND(ISNUMBER($E566),$E566&gt;=DATE(2024,1,1)),"FALTA EN evol_conc","OK"),IF(INDEX(evol_conc!$H:$H,$Q566)&lt;&gt;$F566,"FIRMA DISTINTA EN evol_conc ("&amp;IF(INDEX(evol_conc!$H:$H,$Q566)="","vacía",DAY(INDEX(evol_conc!$H:$H,$Q566))&amp;"/"&amp;MONTH(INDEX(evol_conc!$H:$H,$Q566))&amp;"/"&amp;YEAR(INDEX(evol_conc!$H:$H,$Q566)))&amp;")",IF(INDEX(evol_conc!$G:$G,$Q566)&lt;&gt;$E566,"INGRESO DISTINTO EN evol_conc ("&amp;IF(INDEX(evol_conc!$G:$G,$Q566)="","vacía",DAY(INDEX(evol_conc!$G:$G,$Q566))&amp;"/"&amp;MONTH(INDEX(evol_conc!$G:$G,$Q566))&amp;"/"&amp;YEAR(INDEX(evol_conc!$G:$G,$Q566)))&amp;")","OK"))))))))</f>
        <v/>
      </c>
      <c r="Q566" t="str">
        <f ca="1">IF($N566="","",IFERROR(MATCH($N566,evol_conc!$P:$P,0),0))</f>
        <v/>
      </c>
    </row>
    <row r="567" spans="12:17" ht="18" hidden="1" customHeight="1" x14ac:dyDescent="0.25">
      <c r="L567" s="53" t="str">
        <f t="shared" si="16"/>
        <v/>
      </c>
      <c r="M567" s="19" t="str">
        <f t="shared" si="17"/>
        <v/>
      </c>
      <c r="N567" t="str">
        <f ca="1">IF(TRIM(SUBSTITUTE($B567,CHAR(160)," "))="","",IFERROR(IF(ISNUMBER(SEARCH("INC",$B567)),"INC",IF(ISNUMBER(SEARCH("OPI",$B567)),"OPI",IF(ISNUMBER(SEARCH("DP",$B567)),"DP","CONC")))&amp;" "&amp;TEXT(LOOKUP(9.99E+307,--MID(SUBSTITUTE($B567,CHAR(160)," "),SUMPRODUCT(MIN(FIND({0,1,2,3,4,5,6,7,8,9},SUBSTITUTE($B567,CHAR(160)," ")&amp;"0123456789"))),ROW(INDIRECT("1:6")))),"0"),"SIN NUMERO"))</f>
        <v/>
      </c>
      <c r="O567" t="str">
        <f ca="1">IF($N567="","",IF(LEFT(UPPER($P567),9)="VERIFICAR","VERIFICAR",IF(AND($H567&lt;&gt;"",COUNTIFS($N$2:$N$1000,$N567,$H$2:$H$1000,$H567)&gt;1),"DUPLICADA",IF(TRIM(IF($A567="","tipo ","")&amp;IF($F567="","fecha de firma ","")&amp;IF($G567="","decisión ","")&amp;IF($H567="","N° resolución ","")&amp;IF($I567="","N° dictamen",""))&lt;&gt;"","INCOMPLETA: "&amp;TRIM(IF($A567="","tipo ","")&amp;IF($F567="","fecha de firma ","")&amp;IF($G567="","decisión ","")&amp;IF($H567="","N° resolución ","")&amp;IF($I567="","N° dictamen","")),IF(LEFT($N567,4)&lt;&gt;"CONC","OK",IF(N($Q567)=0,IF(AND(ISNUMBER($E567),$E567&gt;=DATE(2024,1,1)),"FALTA EN evol_conc","OK"),IF(INDEX(evol_conc!$H:$H,$Q567)&lt;&gt;$F567,"FIRMA DISTINTA EN evol_conc ("&amp;IF(INDEX(evol_conc!$H:$H,$Q567)="","vacía",DAY(INDEX(evol_conc!$H:$H,$Q567))&amp;"/"&amp;MONTH(INDEX(evol_conc!$H:$H,$Q567))&amp;"/"&amp;YEAR(INDEX(evol_conc!$H:$H,$Q567)))&amp;")",IF(INDEX(evol_conc!$G:$G,$Q567)&lt;&gt;$E567,"INGRESO DISTINTO EN evol_conc ("&amp;IF(INDEX(evol_conc!$G:$G,$Q567)="","vacía",DAY(INDEX(evol_conc!$G:$G,$Q567))&amp;"/"&amp;MONTH(INDEX(evol_conc!$G:$G,$Q567))&amp;"/"&amp;YEAR(INDEX(evol_conc!$G:$G,$Q567)))&amp;")","OK"))))))))</f>
        <v/>
      </c>
      <c r="Q567" t="str">
        <f ca="1">IF($N567="","",IFERROR(MATCH($N567,evol_conc!$P:$P,0),0))</f>
        <v/>
      </c>
    </row>
    <row r="568" spans="12:17" ht="18" hidden="1" customHeight="1" x14ac:dyDescent="0.25">
      <c r="L568" s="53" t="str">
        <f t="shared" si="16"/>
        <v/>
      </c>
      <c r="M568" s="19" t="str">
        <f t="shared" si="17"/>
        <v/>
      </c>
      <c r="N568" t="str">
        <f ca="1">IF(TRIM(SUBSTITUTE($B568,CHAR(160)," "))="","",IFERROR(IF(ISNUMBER(SEARCH("INC",$B568)),"INC",IF(ISNUMBER(SEARCH("OPI",$B568)),"OPI",IF(ISNUMBER(SEARCH("DP",$B568)),"DP","CONC")))&amp;" "&amp;TEXT(LOOKUP(9.99E+307,--MID(SUBSTITUTE($B568,CHAR(160)," "),SUMPRODUCT(MIN(FIND({0,1,2,3,4,5,6,7,8,9},SUBSTITUTE($B568,CHAR(160)," ")&amp;"0123456789"))),ROW(INDIRECT("1:6")))),"0"),"SIN NUMERO"))</f>
        <v/>
      </c>
      <c r="O568" t="str">
        <f ca="1">IF($N568="","",IF(LEFT(UPPER($P568),9)="VERIFICAR","VERIFICAR",IF(AND($H568&lt;&gt;"",COUNTIFS($N$2:$N$1000,$N568,$H$2:$H$1000,$H568)&gt;1),"DUPLICADA",IF(TRIM(IF($A568="","tipo ","")&amp;IF($F568="","fecha de firma ","")&amp;IF($G568="","decisión ","")&amp;IF($H568="","N° resolución ","")&amp;IF($I568="","N° dictamen",""))&lt;&gt;"","INCOMPLETA: "&amp;TRIM(IF($A568="","tipo ","")&amp;IF($F568="","fecha de firma ","")&amp;IF($G568="","decisión ","")&amp;IF($H568="","N° resolución ","")&amp;IF($I568="","N° dictamen","")),IF(LEFT($N568,4)&lt;&gt;"CONC","OK",IF(N($Q568)=0,IF(AND(ISNUMBER($E568),$E568&gt;=DATE(2024,1,1)),"FALTA EN evol_conc","OK"),IF(INDEX(evol_conc!$H:$H,$Q568)&lt;&gt;$F568,"FIRMA DISTINTA EN evol_conc ("&amp;IF(INDEX(evol_conc!$H:$H,$Q568)="","vacía",DAY(INDEX(evol_conc!$H:$H,$Q568))&amp;"/"&amp;MONTH(INDEX(evol_conc!$H:$H,$Q568))&amp;"/"&amp;YEAR(INDEX(evol_conc!$H:$H,$Q568)))&amp;")",IF(INDEX(evol_conc!$G:$G,$Q568)&lt;&gt;$E568,"INGRESO DISTINTO EN evol_conc ("&amp;IF(INDEX(evol_conc!$G:$G,$Q568)="","vacía",DAY(INDEX(evol_conc!$G:$G,$Q568))&amp;"/"&amp;MONTH(INDEX(evol_conc!$G:$G,$Q568))&amp;"/"&amp;YEAR(INDEX(evol_conc!$G:$G,$Q568)))&amp;")","OK"))))))))</f>
        <v/>
      </c>
      <c r="Q568" t="str">
        <f ca="1">IF($N568="","",IFERROR(MATCH($N568,evol_conc!$P:$P,0),0))</f>
        <v/>
      </c>
    </row>
    <row r="569" spans="12:17" ht="18" hidden="1" customHeight="1" x14ac:dyDescent="0.25">
      <c r="L569" s="53" t="str">
        <f t="shared" si="16"/>
        <v/>
      </c>
      <c r="M569" s="19" t="str">
        <f t="shared" si="17"/>
        <v/>
      </c>
      <c r="N569" t="str">
        <f ca="1">IF(TRIM(SUBSTITUTE($B569,CHAR(160)," "))="","",IFERROR(IF(ISNUMBER(SEARCH("INC",$B569)),"INC",IF(ISNUMBER(SEARCH("OPI",$B569)),"OPI",IF(ISNUMBER(SEARCH("DP",$B569)),"DP","CONC")))&amp;" "&amp;TEXT(LOOKUP(9.99E+307,--MID(SUBSTITUTE($B569,CHAR(160)," "),SUMPRODUCT(MIN(FIND({0,1,2,3,4,5,6,7,8,9},SUBSTITUTE($B569,CHAR(160)," ")&amp;"0123456789"))),ROW(INDIRECT("1:6")))),"0"),"SIN NUMERO"))</f>
        <v/>
      </c>
      <c r="O569" t="str">
        <f ca="1">IF($N569="","",IF(LEFT(UPPER($P569),9)="VERIFICAR","VERIFICAR",IF(AND($H569&lt;&gt;"",COUNTIFS($N$2:$N$1000,$N569,$H$2:$H$1000,$H569)&gt;1),"DUPLICADA",IF(TRIM(IF($A569="","tipo ","")&amp;IF($F569="","fecha de firma ","")&amp;IF($G569="","decisión ","")&amp;IF($H569="","N° resolución ","")&amp;IF($I569="","N° dictamen",""))&lt;&gt;"","INCOMPLETA: "&amp;TRIM(IF($A569="","tipo ","")&amp;IF($F569="","fecha de firma ","")&amp;IF($G569="","decisión ","")&amp;IF($H569="","N° resolución ","")&amp;IF($I569="","N° dictamen","")),IF(LEFT($N569,4)&lt;&gt;"CONC","OK",IF(N($Q569)=0,IF(AND(ISNUMBER($E569),$E569&gt;=DATE(2024,1,1)),"FALTA EN evol_conc","OK"),IF(INDEX(evol_conc!$H:$H,$Q569)&lt;&gt;$F569,"FIRMA DISTINTA EN evol_conc ("&amp;IF(INDEX(evol_conc!$H:$H,$Q569)="","vacía",DAY(INDEX(evol_conc!$H:$H,$Q569))&amp;"/"&amp;MONTH(INDEX(evol_conc!$H:$H,$Q569))&amp;"/"&amp;YEAR(INDEX(evol_conc!$H:$H,$Q569)))&amp;")",IF(INDEX(evol_conc!$G:$G,$Q569)&lt;&gt;$E569,"INGRESO DISTINTO EN evol_conc ("&amp;IF(INDEX(evol_conc!$G:$G,$Q569)="","vacía",DAY(INDEX(evol_conc!$G:$G,$Q569))&amp;"/"&amp;MONTH(INDEX(evol_conc!$G:$G,$Q569))&amp;"/"&amp;YEAR(INDEX(evol_conc!$G:$G,$Q569)))&amp;")","OK"))))))))</f>
        <v/>
      </c>
      <c r="Q569" t="str">
        <f ca="1">IF($N569="","",IFERROR(MATCH($N569,evol_conc!$P:$P,0),0))</f>
        <v/>
      </c>
    </row>
    <row r="570" spans="12:17" ht="18" hidden="1" customHeight="1" x14ac:dyDescent="0.25">
      <c r="L570" s="53" t="str">
        <f t="shared" si="16"/>
        <v/>
      </c>
      <c r="M570" s="19" t="str">
        <f t="shared" si="17"/>
        <v/>
      </c>
      <c r="N570" t="str">
        <f ca="1">IF(TRIM(SUBSTITUTE($B570,CHAR(160)," "))="","",IFERROR(IF(ISNUMBER(SEARCH("INC",$B570)),"INC",IF(ISNUMBER(SEARCH("OPI",$B570)),"OPI",IF(ISNUMBER(SEARCH("DP",$B570)),"DP","CONC")))&amp;" "&amp;TEXT(LOOKUP(9.99E+307,--MID(SUBSTITUTE($B570,CHAR(160)," "),SUMPRODUCT(MIN(FIND({0,1,2,3,4,5,6,7,8,9},SUBSTITUTE($B570,CHAR(160)," ")&amp;"0123456789"))),ROW(INDIRECT("1:6")))),"0"),"SIN NUMERO"))</f>
        <v/>
      </c>
      <c r="O570" t="str">
        <f ca="1">IF($N570="","",IF(LEFT(UPPER($P570),9)="VERIFICAR","VERIFICAR",IF(AND($H570&lt;&gt;"",COUNTIFS($N$2:$N$1000,$N570,$H$2:$H$1000,$H570)&gt;1),"DUPLICADA",IF(TRIM(IF($A570="","tipo ","")&amp;IF($F570="","fecha de firma ","")&amp;IF($G570="","decisión ","")&amp;IF($H570="","N° resolución ","")&amp;IF($I570="","N° dictamen",""))&lt;&gt;"","INCOMPLETA: "&amp;TRIM(IF($A570="","tipo ","")&amp;IF($F570="","fecha de firma ","")&amp;IF($G570="","decisión ","")&amp;IF($H570="","N° resolución ","")&amp;IF($I570="","N° dictamen","")),IF(LEFT($N570,4)&lt;&gt;"CONC","OK",IF(N($Q570)=0,IF(AND(ISNUMBER($E570),$E570&gt;=DATE(2024,1,1)),"FALTA EN evol_conc","OK"),IF(INDEX(evol_conc!$H:$H,$Q570)&lt;&gt;$F570,"FIRMA DISTINTA EN evol_conc ("&amp;IF(INDEX(evol_conc!$H:$H,$Q570)="","vacía",DAY(INDEX(evol_conc!$H:$H,$Q570))&amp;"/"&amp;MONTH(INDEX(evol_conc!$H:$H,$Q570))&amp;"/"&amp;YEAR(INDEX(evol_conc!$H:$H,$Q570)))&amp;")",IF(INDEX(evol_conc!$G:$G,$Q570)&lt;&gt;$E570,"INGRESO DISTINTO EN evol_conc ("&amp;IF(INDEX(evol_conc!$G:$G,$Q570)="","vacía",DAY(INDEX(evol_conc!$G:$G,$Q570))&amp;"/"&amp;MONTH(INDEX(evol_conc!$G:$G,$Q570))&amp;"/"&amp;YEAR(INDEX(evol_conc!$G:$G,$Q570)))&amp;")","OK"))))))))</f>
        <v/>
      </c>
      <c r="Q570" t="str">
        <f ca="1">IF($N570="","",IFERROR(MATCH($N570,evol_conc!$P:$P,0),0))</f>
        <v/>
      </c>
    </row>
    <row r="571" spans="12:17" ht="18" hidden="1" customHeight="1" x14ac:dyDescent="0.25">
      <c r="L571" s="53" t="str">
        <f t="shared" si="16"/>
        <v/>
      </c>
      <c r="M571" s="19" t="str">
        <f t="shared" si="17"/>
        <v/>
      </c>
      <c r="N571" t="str">
        <f ca="1">IF(TRIM(SUBSTITUTE($B571,CHAR(160)," "))="","",IFERROR(IF(ISNUMBER(SEARCH("INC",$B571)),"INC",IF(ISNUMBER(SEARCH("OPI",$B571)),"OPI",IF(ISNUMBER(SEARCH("DP",$B571)),"DP","CONC")))&amp;" "&amp;TEXT(LOOKUP(9.99E+307,--MID(SUBSTITUTE($B571,CHAR(160)," "),SUMPRODUCT(MIN(FIND({0,1,2,3,4,5,6,7,8,9},SUBSTITUTE($B571,CHAR(160)," ")&amp;"0123456789"))),ROW(INDIRECT("1:6")))),"0"),"SIN NUMERO"))</f>
        <v/>
      </c>
      <c r="O571" t="str">
        <f ca="1">IF($N571="","",IF(LEFT(UPPER($P571),9)="VERIFICAR","VERIFICAR",IF(AND($H571&lt;&gt;"",COUNTIFS($N$2:$N$1000,$N571,$H$2:$H$1000,$H571)&gt;1),"DUPLICADA",IF(TRIM(IF($A571="","tipo ","")&amp;IF($F571="","fecha de firma ","")&amp;IF($G571="","decisión ","")&amp;IF($H571="","N° resolución ","")&amp;IF($I571="","N° dictamen",""))&lt;&gt;"","INCOMPLETA: "&amp;TRIM(IF($A571="","tipo ","")&amp;IF($F571="","fecha de firma ","")&amp;IF($G571="","decisión ","")&amp;IF($H571="","N° resolución ","")&amp;IF($I571="","N° dictamen","")),IF(LEFT($N571,4)&lt;&gt;"CONC","OK",IF(N($Q571)=0,IF(AND(ISNUMBER($E571),$E571&gt;=DATE(2024,1,1)),"FALTA EN evol_conc","OK"),IF(INDEX(evol_conc!$H:$H,$Q571)&lt;&gt;$F571,"FIRMA DISTINTA EN evol_conc ("&amp;IF(INDEX(evol_conc!$H:$H,$Q571)="","vacía",DAY(INDEX(evol_conc!$H:$H,$Q571))&amp;"/"&amp;MONTH(INDEX(evol_conc!$H:$H,$Q571))&amp;"/"&amp;YEAR(INDEX(evol_conc!$H:$H,$Q571)))&amp;")",IF(INDEX(evol_conc!$G:$G,$Q571)&lt;&gt;$E571,"INGRESO DISTINTO EN evol_conc ("&amp;IF(INDEX(evol_conc!$G:$G,$Q571)="","vacía",DAY(INDEX(evol_conc!$G:$G,$Q571))&amp;"/"&amp;MONTH(INDEX(evol_conc!$G:$G,$Q571))&amp;"/"&amp;YEAR(INDEX(evol_conc!$G:$G,$Q571)))&amp;")","OK"))))))))</f>
        <v/>
      </c>
      <c r="Q571" t="str">
        <f ca="1">IF($N571="","",IFERROR(MATCH($N571,evol_conc!$P:$P,0),0))</f>
        <v/>
      </c>
    </row>
    <row r="572" spans="12:17" ht="18" hidden="1" customHeight="1" x14ac:dyDescent="0.25">
      <c r="L572" s="53" t="str">
        <f t="shared" si="16"/>
        <v/>
      </c>
      <c r="M572" s="19" t="str">
        <f t="shared" si="17"/>
        <v/>
      </c>
      <c r="N572" t="str">
        <f ca="1">IF(TRIM(SUBSTITUTE($B572,CHAR(160)," "))="","",IFERROR(IF(ISNUMBER(SEARCH("INC",$B572)),"INC",IF(ISNUMBER(SEARCH("OPI",$B572)),"OPI",IF(ISNUMBER(SEARCH("DP",$B572)),"DP","CONC")))&amp;" "&amp;TEXT(LOOKUP(9.99E+307,--MID(SUBSTITUTE($B572,CHAR(160)," "),SUMPRODUCT(MIN(FIND({0,1,2,3,4,5,6,7,8,9},SUBSTITUTE($B572,CHAR(160)," ")&amp;"0123456789"))),ROW(INDIRECT("1:6")))),"0"),"SIN NUMERO"))</f>
        <v/>
      </c>
      <c r="O572" t="str">
        <f ca="1">IF($N572="","",IF(LEFT(UPPER($P572),9)="VERIFICAR","VERIFICAR",IF(AND($H572&lt;&gt;"",COUNTIFS($N$2:$N$1000,$N572,$H$2:$H$1000,$H572)&gt;1),"DUPLICADA",IF(TRIM(IF($A572="","tipo ","")&amp;IF($F572="","fecha de firma ","")&amp;IF($G572="","decisión ","")&amp;IF($H572="","N° resolución ","")&amp;IF($I572="","N° dictamen",""))&lt;&gt;"","INCOMPLETA: "&amp;TRIM(IF($A572="","tipo ","")&amp;IF($F572="","fecha de firma ","")&amp;IF($G572="","decisión ","")&amp;IF($H572="","N° resolución ","")&amp;IF($I572="","N° dictamen","")),IF(LEFT($N572,4)&lt;&gt;"CONC","OK",IF(N($Q572)=0,IF(AND(ISNUMBER($E572),$E572&gt;=DATE(2024,1,1)),"FALTA EN evol_conc","OK"),IF(INDEX(evol_conc!$H:$H,$Q572)&lt;&gt;$F572,"FIRMA DISTINTA EN evol_conc ("&amp;IF(INDEX(evol_conc!$H:$H,$Q572)="","vacía",DAY(INDEX(evol_conc!$H:$H,$Q572))&amp;"/"&amp;MONTH(INDEX(evol_conc!$H:$H,$Q572))&amp;"/"&amp;YEAR(INDEX(evol_conc!$H:$H,$Q572)))&amp;")",IF(INDEX(evol_conc!$G:$G,$Q572)&lt;&gt;$E572,"INGRESO DISTINTO EN evol_conc ("&amp;IF(INDEX(evol_conc!$G:$G,$Q572)="","vacía",DAY(INDEX(evol_conc!$G:$G,$Q572))&amp;"/"&amp;MONTH(INDEX(evol_conc!$G:$G,$Q572))&amp;"/"&amp;YEAR(INDEX(evol_conc!$G:$G,$Q572)))&amp;")","OK"))))))))</f>
        <v/>
      </c>
      <c r="Q572" t="str">
        <f ca="1">IF($N572="","",IFERROR(MATCH($N572,evol_conc!$P:$P,0),0))</f>
        <v/>
      </c>
    </row>
    <row r="573" spans="12:17" ht="18" hidden="1" customHeight="1" x14ac:dyDescent="0.25">
      <c r="L573" s="53" t="str">
        <f t="shared" si="16"/>
        <v/>
      </c>
      <c r="M573" s="19" t="str">
        <f t="shared" si="17"/>
        <v/>
      </c>
      <c r="N573" t="str">
        <f ca="1">IF(TRIM(SUBSTITUTE($B573,CHAR(160)," "))="","",IFERROR(IF(ISNUMBER(SEARCH("INC",$B573)),"INC",IF(ISNUMBER(SEARCH("OPI",$B573)),"OPI",IF(ISNUMBER(SEARCH("DP",$B573)),"DP","CONC")))&amp;" "&amp;TEXT(LOOKUP(9.99E+307,--MID(SUBSTITUTE($B573,CHAR(160)," "),SUMPRODUCT(MIN(FIND({0,1,2,3,4,5,6,7,8,9},SUBSTITUTE($B573,CHAR(160)," ")&amp;"0123456789"))),ROW(INDIRECT("1:6")))),"0"),"SIN NUMERO"))</f>
        <v/>
      </c>
      <c r="O573" t="str">
        <f ca="1">IF($N573="","",IF(LEFT(UPPER($P573),9)="VERIFICAR","VERIFICAR",IF(AND($H573&lt;&gt;"",COUNTIFS($N$2:$N$1000,$N573,$H$2:$H$1000,$H573)&gt;1),"DUPLICADA",IF(TRIM(IF($A573="","tipo ","")&amp;IF($F573="","fecha de firma ","")&amp;IF($G573="","decisión ","")&amp;IF($H573="","N° resolución ","")&amp;IF($I573="","N° dictamen",""))&lt;&gt;"","INCOMPLETA: "&amp;TRIM(IF($A573="","tipo ","")&amp;IF($F573="","fecha de firma ","")&amp;IF($G573="","decisión ","")&amp;IF($H573="","N° resolución ","")&amp;IF($I573="","N° dictamen","")),IF(LEFT($N573,4)&lt;&gt;"CONC","OK",IF(N($Q573)=0,IF(AND(ISNUMBER($E573),$E573&gt;=DATE(2024,1,1)),"FALTA EN evol_conc","OK"),IF(INDEX(evol_conc!$H:$H,$Q573)&lt;&gt;$F573,"FIRMA DISTINTA EN evol_conc ("&amp;IF(INDEX(evol_conc!$H:$H,$Q573)="","vacía",DAY(INDEX(evol_conc!$H:$H,$Q573))&amp;"/"&amp;MONTH(INDEX(evol_conc!$H:$H,$Q573))&amp;"/"&amp;YEAR(INDEX(evol_conc!$H:$H,$Q573)))&amp;")",IF(INDEX(evol_conc!$G:$G,$Q573)&lt;&gt;$E573,"INGRESO DISTINTO EN evol_conc ("&amp;IF(INDEX(evol_conc!$G:$G,$Q573)="","vacía",DAY(INDEX(evol_conc!$G:$G,$Q573))&amp;"/"&amp;MONTH(INDEX(evol_conc!$G:$G,$Q573))&amp;"/"&amp;YEAR(INDEX(evol_conc!$G:$G,$Q573)))&amp;")","OK"))))))))</f>
        <v/>
      </c>
      <c r="Q573" t="str">
        <f ca="1">IF($N573="","",IFERROR(MATCH($N573,evol_conc!$P:$P,0),0))</f>
        <v/>
      </c>
    </row>
    <row r="574" spans="12:17" ht="18" hidden="1" customHeight="1" x14ac:dyDescent="0.25">
      <c r="L574" s="53" t="str">
        <f t="shared" si="16"/>
        <v/>
      </c>
      <c r="M574" s="19" t="str">
        <f t="shared" si="17"/>
        <v/>
      </c>
      <c r="N574" t="str">
        <f ca="1">IF(TRIM(SUBSTITUTE($B574,CHAR(160)," "))="","",IFERROR(IF(ISNUMBER(SEARCH("INC",$B574)),"INC",IF(ISNUMBER(SEARCH("OPI",$B574)),"OPI",IF(ISNUMBER(SEARCH("DP",$B574)),"DP","CONC")))&amp;" "&amp;TEXT(LOOKUP(9.99E+307,--MID(SUBSTITUTE($B574,CHAR(160)," "),SUMPRODUCT(MIN(FIND({0,1,2,3,4,5,6,7,8,9},SUBSTITUTE($B574,CHAR(160)," ")&amp;"0123456789"))),ROW(INDIRECT("1:6")))),"0"),"SIN NUMERO"))</f>
        <v/>
      </c>
      <c r="O574" t="str">
        <f ca="1">IF($N574="","",IF(LEFT(UPPER($P574),9)="VERIFICAR","VERIFICAR",IF(AND($H574&lt;&gt;"",COUNTIFS($N$2:$N$1000,$N574,$H$2:$H$1000,$H574)&gt;1),"DUPLICADA",IF(TRIM(IF($A574="","tipo ","")&amp;IF($F574="","fecha de firma ","")&amp;IF($G574="","decisión ","")&amp;IF($H574="","N° resolución ","")&amp;IF($I574="","N° dictamen",""))&lt;&gt;"","INCOMPLETA: "&amp;TRIM(IF($A574="","tipo ","")&amp;IF($F574="","fecha de firma ","")&amp;IF($G574="","decisión ","")&amp;IF($H574="","N° resolución ","")&amp;IF($I574="","N° dictamen","")),IF(LEFT($N574,4)&lt;&gt;"CONC","OK",IF(N($Q574)=0,IF(AND(ISNUMBER($E574),$E574&gt;=DATE(2024,1,1)),"FALTA EN evol_conc","OK"),IF(INDEX(evol_conc!$H:$H,$Q574)&lt;&gt;$F574,"FIRMA DISTINTA EN evol_conc ("&amp;IF(INDEX(evol_conc!$H:$H,$Q574)="","vacía",DAY(INDEX(evol_conc!$H:$H,$Q574))&amp;"/"&amp;MONTH(INDEX(evol_conc!$H:$H,$Q574))&amp;"/"&amp;YEAR(INDEX(evol_conc!$H:$H,$Q574)))&amp;")",IF(INDEX(evol_conc!$G:$G,$Q574)&lt;&gt;$E574,"INGRESO DISTINTO EN evol_conc ("&amp;IF(INDEX(evol_conc!$G:$G,$Q574)="","vacía",DAY(INDEX(evol_conc!$G:$G,$Q574))&amp;"/"&amp;MONTH(INDEX(evol_conc!$G:$G,$Q574))&amp;"/"&amp;YEAR(INDEX(evol_conc!$G:$G,$Q574)))&amp;")","OK"))))))))</f>
        <v/>
      </c>
      <c r="Q574" t="str">
        <f ca="1">IF($N574="","",IFERROR(MATCH($N574,evol_conc!$P:$P,0),0))</f>
        <v/>
      </c>
    </row>
    <row r="575" spans="12:17" ht="18" hidden="1" customHeight="1" x14ac:dyDescent="0.25">
      <c r="L575" s="53" t="str">
        <f t="shared" si="16"/>
        <v/>
      </c>
      <c r="M575" s="19" t="str">
        <f t="shared" si="17"/>
        <v/>
      </c>
      <c r="N575" t="str">
        <f ca="1">IF(TRIM(SUBSTITUTE($B575,CHAR(160)," "))="","",IFERROR(IF(ISNUMBER(SEARCH("INC",$B575)),"INC",IF(ISNUMBER(SEARCH("OPI",$B575)),"OPI",IF(ISNUMBER(SEARCH("DP",$B575)),"DP","CONC")))&amp;" "&amp;TEXT(LOOKUP(9.99E+307,--MID(SUBSTITUTE($B575,CHAR(160)," "),SUMPRODUCT(MIN(FIND({0,1,2,3,4,5,6,7,8,9},SUBSTITUTE($B575,CHAR(160)," ")&amp;"0123456789"))),ROW(INDIRECT("1:6")))),"0"),"SIN NUMERO"))</f>
        <v/>
      </c>
      <c r="O575" t="str">
        <f ca="1">IF($N575="","",IF(LEFT(UPPER($P575),9)="VERIFICAR","VERIFICAR",IF(AND($H575&lt;&gt;"",COUNTIFS($N$2:$N$1000,$N575,$H$2:$H$1000,$H575)&gt;1),"DUPLICADA",IF(TRIM(IF($A575="","tipo ","")&amp;IF($F575="","fecha de firma ","")&amp;IF($G575="","decisión ","")&amp;IF($H575="","N° resolución ","")&amp;IF($I575="","N° dictamen",""))&lt;&gt;"","INCOMPLETA: "&amp;TRIM(IF($A575="","tipo ","")&amp;IF($F575="","fecha de firma ","")&amp;IF($G575="","decisión ","")&amp;IF($H575="","N° resolución ","")&amp;IF($I575="","N° dictamen","")),IF(LEFT($N575,4)&lt;&gt;"CONC","OK",IF(N($Q575)=0,IF(AND(ISNUMBER($E575),$E575&gt;=DATE(2024,1,1)),"FALTA EN evol_conc","OK"),IF(INDEX(evol_conc!$H:$H,$Q575)&lt;&gt;$F575,"FIRMA DISTINTA EN evol_conc ("&amp;IF(INDEX(evol_conc!$H:$H,$Q575)="","vacía",DAY(INDEX(evol_conc!$H:$H,$Q575))&amp;"/"&amp;MONTH(INDEX(evol_conc!$H:$H,$Q575))&amp;"/"&amp;YEAR(INDEX(evol_conc!$H:$H,$Q575)))&amp;")",IF(INDEX(evol_conc!$G:$G,$Q575)&lt;&gt;$E575,"INGRESO DISTINTO EN evol_conc ("&amp;IF(INDEX(evol_conc!$G:$G,$Q575)="","vacía",DAY(INDEX(evol_conc!$G:$G,$Q575))&amp;"/"&amp;MONTH(INDEX(evol_conc!$G:$G,$Q575))&amp;"/"&amp;YEAR(INDEX(evol_conc!$G:$G,$Q575)))&amp;")","OK"))))))))</f>
        <v/>
      </c>
      <c r="Q575" t="str">
        <f ca="1">IF($N575="","",IFERROR(MATCH($N575,evol_conc!$P:$P,0),0))</f>
        <v/>
      </c>
    </row>
    <row r="576" spans="12:17" ht="18" hidden="1" customHeight="1" x14ac:dyDescent="0.25">
      <c r="L576" s="53" t="str">
        <f t="shared" si="16"/>
        <v/>
      </c>
      <c r="M576" s="19" t="str">
        <f t="shared" si="17"/>
        <v/>
      </c>
      <c r="N576" t="str">
        <f ca="1">IF(TRIM(SUBSTITUTE($B576,CHAR(160)," "))="","",IFERROR(IF(ISNUMBER(SEARCH("INC",$B576)),"INC",IF(ISNUMBER(SEARCH("OPI",$B576)),"OPI",IF(ISNUMBER(SEARCH("DP",$B576)),"DP","CONC")))&amp;" "&amp;TEXT(LOOKUP(9.99E+307,--MID(SUBSTITUTE($B576,CHAR(160)," "),SUMPRODUCT(MIN(FIND({0,1,2,3,4,5,6,7,8,9},SUBSTITUTE($B576,CHAR(160)," ")&amp;"0123456789"))),ROW(INDIRECT("1:6")))),"0"),"SIN NUMERO"))</f>
        <v/>
      </c>
      <c r="O576" t="str">
        <f ca="1">IF($N576="","",IF(LEFT(UPPER($P576),9)="VERIFICAR","VERIFICAR",IF(AND($H576&lt;&gt;"",COUNTIFS($N$2:$N$1000,$N576,$H$2:$H$1000,$H576)&gt;1),"DUPLICADA",IF(TRIM(IF($A576="","tipo ","")&amp;IF($F576="","fecha de firma ","")&amp;IF($G576="","decisión ","")&amp;IF($H576="","N° resolución ","")&amp;IF($I576="","N° dictamen",""))&lt;&gt;"","INCOMPLETA: "&amp;TRIM(IF($A576="","tipo ","")&amp;IF($F576="","fecha de firma ","")&amp;IF($G576="","decisión ","")&amp;IF($H576="","N° resolución ","")&amp;IF($I576="","N° dictamen","")),IF(LEFT($N576,4)&lt;&gt;"CONC","OK",IF(N($Q576)=0,IF(AND(ISNUMBER($E576),$E576&gt;=DATE(2024,1,1)),"FALTA EN evol_conc","OK"),IF(INDEX(evol_conc!$H:$H,$Q576)&lt;&gt;$F576,"FIRMA DISTINTA EN evol_conc ("&amp;IF(INDEX(evol_conc!$H:$H,$Q576)="","vacía",DAY(INDEX(evol_conc!$H:$H,$Q576))&amp;"/"&amp;MONTH(INDEX(evol_conc!$H:$H,$Q576))&amp;"/"&amp;YEAR(INDEX(evol_conc!$H:$H,$Q576)))&amp;")",IF(INDEX(evol_conc!$G:$G,$Q576)&lt;&gt;$E576,"INGRESO DISTINTO EN evol_conc ("&amp;IF(INDEX(evol_conc!$G:$G,$Q576)="","vacía",DAY(INDEX(evol_conc!$G:$G,$Q576))&amp;"/"&amp;MONTH(INDEX(evol_conc!$G:$G,$Q576))&amp;"/"&amp;YEAR(INDEX(evol_conc!$G:$G,$Q576)))&amp;")","OK"))))))))</f>
        <v/>
      </c>
      <c r="Q576" t="str">
        <f ca="1">IF($N576="","",IFERROR(MATCH($N576,evol_conc!$P:$P,0),0))</f>
        <v/>
      </c>
    </row>
    <row r="577" spans="12:17" ht="18" hidden="1" customHeight="1" x14ac:dyDescent="0.25">
      <c r="L577" s="53" t="str">
        <f t="shared" si="16"/>
        <v/>
      </c>
      <c r="M577" s="19" t="str">
        <f t="shared" si="17"/>
        <v/>
      </c>
      <c r="N577" t="str">
        <f ca="1">IF(TRIM(SUBSTITUTE($B577,CHAR(160)," "))="","",IFERROR(IF(ISNUMBER(SEARCH("INC",$B577)),"INC",IF(ISNUMBER(SEARCH("OPI",$B577)),"OPI",IF(ISNUMBER(SEARCH("DP",$B577)),"DP","CONC")))&amp;" "&amp;TEXT(LOOKUP(9.99E+307,--MID(SUBSTITUTE($B577,CHAR(160)," "),SUMPRODUCT(MIN(FIND({0,1,2,3,4,5,6,7,8,9},SUBSTITUTE($B577,CHAR(160)," ")&amp;"0123456789"))),ROW(INDIRECT("1:6")))),"0"),"SIN NUMERO"))</f>
        <v/>
      </c>
      <c r="O577" t="str">
        <f ca="1">IF($N577="","",IF(LEFT(UPPER($P577),9)="VERIFICAR","VERIFICAR",IF(AND($H577&lt;&gt;"",COUNTIFS($N$2:$N$1000,$N577,$H$2:$H$1000,$H577)&gt;1),"DUPLICADA",IF(TRIM(IF($A577="","tipo ","")&amp;IF($F577="","fecha de firma ","")&amp;IF($G577="","decisión ","")&amp;IF($H577="","N° resolución ","")&amp;IF($I577="","N° dictamen",""))&lt;&gt;"","INCOMPLETA: "&amp;TRIM(IF($A577="","tipo ","")&amp;IF($F577="","fecha de firma ","")&amp;IF($G577="","decisión ","")&amp;IF($H577="","N° resolución ","")&amp;IF($I577="","N° dictamen","")),IF(LEFT($N577,4)&lt;&gt;"CONC","OK",IF(N($Q577)=0,IF(AND(ISNUMBER($E577),$E577&gt;=DATE(2024,1,1)),"FALTA EN evol_conc","OK"),IF(INDEX(evol_conc!$H:$H,$Q577)&lt;&gt;$F577,"FIRMA DISTINTA EN evol_conc ("&amp;IF(INDEX(evol_conc!$H:$H,$Q577)="","vacía",DAY(INDEX(evol_conc!$H:$H,$Q577))&amp;"/"&amp;MONTH(INDEX(evol_conc!$H:$H,$Q577))&amp;"/"&amp;YEAR(INDEX(evol_conc!$H:$H,$Q577)))&amp;")",IF(INDEX(evol_conc!$G:$G,$Q577)&lt;&gt;$E577,"INGRESO DISTINTO EN evol_conc ("&amp;IF(INDEX(evol_conc!$G:$G,$Q577)="","vacía",DAY(INDEX(evol_conc!$G:$G,$Q577))&amp;"/"&amp;MONTH(INDEX(evol_conc!$G:$G,$Q577))&amp;"/"&amp;YEAR(INDEX(evol_conc!$G:$G,$Q577)))&amp;")","OK"))))))))</f>
        <v/>
      </c>
      <c r="Q577" t="str">
        <f ca="1">IF($N577="","",IFERROR(MATCH($N577,evol_conc!$P:$P,0),0))</f>
        <v/>
      </c>
    </row>
    <row r="578" spans="12:17" ht="18" hidden="1" customHeight="1" x14ac:dyDescent="0.25">
      <c r="L578" s="53" t="str">
        <f t="shared" ref="L578:L641" si="18">IF(OR($E578="",$F578=""),"",($F578-$E578)/30)</f>
        <v/>
      </c>
      <c r="M578" s="19" t="str">
        <f t="shared" ref="M578:M641" si="19">IF(OR($E578="",$F578=""),"",$F578-$E578)</f>
        <v/>
      </c>
      <c r="N578" t="str">
        <f ca="1">IF(TRIM(SUBSTITUTE($B578,CHAR(160)," "))="","",IFERROR(IF(ISNUMBER(SEARCH("INC",$B578)),"INC",IF(ISNUMBER(SEARCH("OPI",$B578)),"OPI",IF(ISNUMBER(SEARCH("DP",$B578)),"DP","CONC")))&amp;" "&amp;TEXT(LOOKUP(9.99E+307,--MID(SUBSTITUTE($B578,CHAR(160)," "),SUMPRODUCT(MIN(FIND({0,1,2,3,4,5,6,7,8,9},SUBSTITUTE($B578,CHAR(160)," ")&amp;"0123456789"))),ROW(INDIRECT("1:6")))),"0"),"SIN NUMERO"))</f>
        <v/>
      </c>
      <c r="O578" t="str">
        <f ca="1">IF($N578="","",IF(LEFT(UPPER($P578),9)="VERIFICAR","VERIFICAR",IF(AND($H578&lt;&gt;"",COUNTIFS($N$2:$N$1000,$N578,$H$2:$H$1000,$H578)&gt;1),"DUPLICADA",IF(TRIM(IF($A578="","tipo ","")&amp;IF($F578="","fecha de firma ","")&amp;IF($G578="","decisión ","")&amp;IF($H578="","N° resolución ","")&amp;IF($I578="","N° dictamen",""))&lt;&gt;"","INCOMPLETA: "&amp;TRIM(IF($A578="","tipo ","")&amp;IF($F578="","fecha de firma ","")&amp;IF($G578="","decisión ","")&amp;IF($H578="","N° resolución ","")&amp;IF($I578="","N° dictamen","")),IF(LEFT($N578,4)&lt;&gt;"CONC","OK",IF(N($Q578)=0,IF(AND(ISNUMBER($E578),$E578&gt;=DATE(2024,1,1)),"FALTA EN evol_conc","OK"),IF(INDEX(evol_conc!$H:$H,$Q578)&lt;&gt;$F578,"FIRMA DISTINTA EN evol_conc ("&amp;IF(INDEX(evol_conc!$H:$H,$Q578)="","vacía",DAY(INDEX(evol_conc!$H:$H,$Q578))&amp;"/"&amp;MONTH(INDEX(evol_conc!$H:$H,$Q578))&amp;"/"&amp;YEAR(INDEX(evol_conc!$H:$H,$Q578)))&amp;")",IF(INDEX(evol_conc!$G:$G,$Q578)&lt;&gt;$E578,"INGRESO DISTINTO EN evol_conc ("&amp;IF(INDEX(evol_conc!$G:$G,$Q578)="","vacía",DAY(INDEX(evol_conc!$G:$G,$Q578))&amp;"/"&amp;MONTH(INDEX(evol_conc!$G:$G,$Q578))&amp;"/"&amp;YEAR(INDEX(evol_conc!$G:$G,$Q578)))&amp;")","OK"))))))))</f>
        <v/>
      </c>
      <c r="Q578" t="str">
        <f ca="1">IF($N578="","",IFERROR(MATCH($N578,evol_conc!$P:$P,0),0))</f>
        <v/>
      </c>
    </row>
    <row r="579" spans="12:17" ht="18" hidden="1" customHeight="1" x14ac:dyDescent="0.25">
      <c r="L579" s="53" t="str">
        <f t="shared" si="18"/>
        <v/>
      </c>
      <c r="M579" s="19" t="str">
        <f t="shared" si="19"/>
        <v/>
      </c>
      <c r="N579" t="str">
        <f ca="1">IF(TRIM(SUBSTITUTE($B579,CHAR(160)," "))="","",IFERROR(IF(ISNUMBER(SEARCH("INC",$B579)),"INC",IF(ISNUMBER(SEARCH("OPI",$B579)),"OPI",IF(ISNUMBER(SEARCH("DP",$B579)),"DP","CONC")))&amp;" "&amp;TEXT(LOOKUP(9.99E+307,--MID(SUBSTITUTE($B579,CHAR(160)," "),SUMPRODUCT(MIN(FIND({0,1,2,3,4,5,6,7,8,9},SUBSTITUTE($B579,CHAR(160)," ")&amp;"0123456789"))),ROW(INDIRECT("1:6")))),"0"),"SIN NUMERO"))</f>
        <v/>
      </c>
      <c r="O579" t="str">
        <f ca="1">IF($N579="","",IF(LEFT(UPPER($P579),9)="VERIFICAR","VERIFICAR",IF(AND($H579&lt;&gt;"",COUNTIFS($N$2:$N$1000,$N579,$H$2:$H$1000,$H579)&gt;1),"DUPLICADA",IF(TRIM(IF($A579="","tipo ","")&amp;IF($F579="","fecha de firma ","")&amp;IF($G579="","decisión ","")&amp;IF($H579="","N° resolución ","")&amp;IF($I579="","N° dictamen",""))&lt;&gt;"","INCOMPLETA: "&amp;TRIM(IF($A579="","tipo ","")&amp;IF($F579="","fecha de firma ","")&amp;IF($G579="","decisión ","")&amp;IF($H579="","N° resolución ","")&amp;IF($I579="","N° dictamen","")),IF(LEFT($N579,4)&lt;&gt;"CONC","OK",IF(N($Q579)=0,IF(AND(ISNUMBER($E579),$E579&gt;=DATE(2024,1,1)),"FALTA EN evol_conc","OK"),IF(INDEX(evol_conc!$H:$H,$Q579)&lt;&gt;$F579,"FIRMA DISTINTA EN evol_conc ("&amp;IF(INDEX(evol_conc!$H:$H,$Q579)="","vacía",DAY(INDEX(evol_conc!$H:$H,$Q579))&amp;"/"&amp;MONTH(INDEX(evol_conc!$H:$H,$Q579))&amp;"/"&amp;YEAR(INDEX(evol_conc!$H:$H,$Q579)))&amp;")",IF(INDEX(evol_conc!$G:$G,$Q579)&lt;&gt;$E579,"INGRESO DISTINTO EN evol_conc ("&amp;IF(INDEX(evol_conc!$G:$G,$Q579)="","vacía",DAY(INDEX(evol_conc!$G:$G,$Q579))&amp;"/"&amp;MONTH(INDEX(evol_conc!$G:$G,$Q579))&amp;"/"&amp;YEAR(INDEX(evol_conc!$G:$G,$Q579)))&amp;")","OK"))))))))</f>
        <v/>
      </c>
      <c r="Q579" t="str">
        <f ca="1">IF($N579="","",IFERROR(MATCH($N579,evol_conc!$P:$P,0),0))</f>
        <v/>
      </c>
    </row>
    <row r="580" spans="12:17" ht="18" hidden="1" customHeight="1" x14ac:dyDescent="0.25">
      <c r="L580" s="53" t="str">
        <f t="shared" si="18"/>
        <v/>
      </c>
      <c r="M580" s="19" t="str">
        <f t="shared" si="19"/>
        <v/>
      </c>
      <c r="N580" t="str">
        <f ca="1">IF(TRIM(SUBSTITUTE($B580,CHAR(160)," "))="","",IFERROR(IF(ISNUMBER(SEARCH("INC",$B580)),"INC",IF(ISNUMBER(SEARCH("OPI",$B580)),"OPI",IF(ISNUMBER(SEARCH("DP",$B580)),"DP","CONC")))&amp;" "&amp;TEXT(LOOKUP(9.99E+307,--MID(SUBSTITUTE($B580,CHAR(160)," "),SUMPRODUCT(MIN(FIND({0,1,2,3,4,5,6,7,8,9},SUBSTITUTE($B580,CHAR(160)," ")&amp;"0123456789"))),ROW(INDIRECT("1:6")))),"0"),"SIN NUMERO"))</f>
        <v/>
      </c>
      <c r="O580" t="str">
        <f ca="1">IF($N580="","",IF(LEFT(UPPER($P580),9)="VERIFICAR","VERIFICAR",IF(AND($H580&lt;&gt;"",COUNTIFS($N$2:$N$1000,$N580,$H$2:$H$1000,$H580)&gt;1),"DUPLICADA",IF(TRIM(IF($A580="","tipo ","")&amp;IF($F580="","fecha de firma ","")&amp;IF($G580="","decisión ","")&amp;IF($H580="","N° resolución ","")&amp;IF($I580="","N° dictamen",""))&lt;&gt;"","INCOMPLETA: "&amp;TRIM(IF($A580="","tipo ","")&amp;IF($F580="","fecha de firma ","")&amp;IF($G580="","decisión ","")&amp;IF($H580="","N° resolución ","")&amp;IF($I580="","N° dictamen","")),IF(LEFT($N580,4)&lt;&gt;"CONC","OK",IF(N($Q580)=0,IF(AND(ISNUMBER($E580),$E580&gt;=DATE(2024,1,1)),"FALTA EN evol_conc","OK"),IF(INDEX(evol_conc!$H:$H,$Q580)&lt;&gt;$F580,"FIRMA DISTINTA EN evol_conc ("&amp;IF(INDEX(evol_conc!$H:$H,$Q580)="","vacía",DAY(INDEX(evol_conc!$H:$H,$Q580))&amp;"/"&amp;MONTH(INDEX(evol_conc!$H:$H,$Q580))&amp;"/"&amp;YEAR(INDEX(evol_conc!$H:$H,$Q580)))&amp;")",IF(INDEX(evol_conc!$G:$G,$Q580)&lt;&gt;$E580,"INGRESO DISTINTO EN evol_conc ("&amp;IF(INDEX(evol_conc!$G:$G,$Q580)="","vacía",DAY(INDEX(evol_conc!$G:$G,$Q580))&amp;"/"&amp;MONTH(INDEX(evol_conc!$G:$G,$Q580))&amp;"/"&amp;YEAR(INDEX(evol_conc!$G:$G,$Q580)))&amp;")","OK"))))))))</f>
        <v/>
      </c>
      <c r="Q580" t="str">
        <f ca="1">IF($N580="","",IFERROR(MATCH($N580,evol_conc!$P:$P,0),0))</f>
        <v/>
      </c>
    </row>
    <row r="581" spans="12:17" ht="18" hidden="1" customHeight="1" x14ac:dyDescent="0.25">
      <c r="L581" s="53" t="str">
        <f t="shared" si="18"/>
        <v/>
      </c>
      <c r="M581" s="19" t="str">
        <f t="shared" si="19"/>
        <v/>
      </c>
      <c r="N581" t="str">
        <f ca="1">IF(TRIM(SUBSTITUTE($B581,CHAR(160)," "))="","",IFERROR(IF(ISNUMBER(SEARCH("INC",$B581)),"INC",IF(ISNUMBER(SEARCH("OPI",$B581)),"OPI",IF(ISNUMBER(SEARCH("DP",$B581)),"DP","CONC")))&amp;" "&amp;TEXT(LOOKUP(9.99E+307,--MID(SUBSTITUTE($B581,CHAR(160)," "),SUMPRODUCT(MIN(FIND({0,1,2,3,4,5,6,7,8,9},SUBSTITUTE($B581,CHAR(160)," ")&amp;"0123456789"))),ROW(INDIRECT("1:6")))),"0"),"SIN NUMERO"))</f>
        <v/>
      </c>
      <c r="O581" t="str">
        <f ca="1">IF($N581="","",IF(LEFT(UPPER($P581),9)="VERIFICAR","VERIFICAR",IF(AND($H581&lt;&gt;"",COUNTIFS($N$2:$N$1000,$N581,$H$2:$H$1000,$H581)&gt;1),"DUPLICADA",IF(TRIM(IF($A581="","tipo ","")&amp;IF($F581="","fecha de firma ","")&amp;IF($G581="","decisión ","")&amp;IF($H581="","N° resolución ","")&amp;IF($I581="","N° dictamen",""))&lt;&gt;"","INCOMPLETA: "&amp;TRIM(IF($A581="","tipo ","")&amp;IF($F581="","fecha de firma ","")&amp;IF($G581="","decisión ","")&amp;IF($H581="","N° resolución ","")&amp;IF($I581="","N° dictamen","")),IF(LEFT($N581,4)&lt;&gt;"CONC","OK",IF(N($Q581)=0,IF(AND(ISNUMBER($E581),$E581&gt;=DATE(2024,1,1)),"FALTA EN evol_conc","OK"),IF(INDEX(evol_conc!$H:$H,$Q581)&lt;&gt;$F581,"FIRMA DISTINTA EN evol_conc ("&amp;IF(INDEX(evol_conc!$H:$H,$Q581)="","vacía",DAY(INDEX(evol_conc!$H:$H,$Q581))&amp;"/"&amp;MONTH(INDEX(evol_conc!$H:$H,$Q581))&amp;"/"&amp;YEAR(INDEX(evol_conc!$H:$H,$Q581)))&amp;")",IF(INDEX(evol_conc!$G:$G,$Q581)&lt;&gt;$E581,"INGRESO DISTINTO EN evol_conc ("&amp;IF(INDEX(evol_conc!$G:$G,$Q581)="","vacía",DAY(INDEX(evol_conc!$G:$G,$Q581))&amp;"/"&amp;MONTH(INDEX(evol_conc!$G:$G,$Q581))&amp;"/"&amp;YEAR(INDEX(evol_conc!$G:$G,$Q581)))&amp;")","OK"))))))))</f>
        <v/>
      </c>
      <c r="Q581" t="str">
        <f ca="1">IF($N581="","",IFERROR(MATCH($N581,evol_conc!$P:$P,0),0))</f>
        <v/>
      </c>
    </row>
    <row r="582" spans="12:17" ht="18" hidden="1" customHeight="1" x14ac:dyDescent="0.25">
      <c r="L582" s="53" t="str">
        <f t="shared" si="18"/>
        <v/>
      </c>
      <c r="M582" s="19" t="str">
        <f t="shared" si="19"/>
        <v/>
      </c>
      <c r="N582" t="str">
        <f ca="1">IF(TRIM(SUBSTITUTE($B582,CHAR(160)," "))="","",IFERROR(IF(ISNUMBER(SEARCH("INC",$B582)),"INC",IF(ISNUMBER(SEARCH("OPI",$B582)),"OPI",IF(ISNUMBER(SEARCH("DP",$B582)),"DP","CONC")))&amp;" "&amp;TEXT(LOOKUP(9.99E+307,--MID(SUBSTITUTE($B582,CHAR(160)," "),SUMPRODUCT(MIN(FIND({0,1,2,3,4,5,6,7,8,9},SUBSTITUTE($B582,CHAR(160)," ")&amp;"0123456789"))),ROW(INDIRECT("1:6")))),"0"),"SIN NUMERO"))</f>
        <v/>
      </c>
      <c r="O582" t="str">
        <f ca="1">IF($N582="","",IF(LEFT(UPPER($P582),9)="VERIFICAR","VERIFICAR",IF(AND($H582&lt;&gt;"",COUNTIFS($N$2:$N$1000,$N582,$H$2:$H$1000,$H582)&gt;1),"DUPLICADA",IF(TRIM(IF($A582="","tipo ","")&amp;IF($F582="","fecha de firma ","")&amp;IF($G582="","decisión ","")&amp;IF($H582="","N° resolución ","")&amp;IF($I582="","N° dictamen",""))&lt;&gt;"","INCOMPLETA: "&amp;TRIM(IF($A582="","tipo ","")&amp;IF($F582="","fecha de firma ","")&amp;IF($G582="","decisión ","")&amp;IF($H582="","N° resolución ","")&amp;IF($I582="","N° dictamen","")),IF(LEFT($N582,4)&lt;&gt;"CONC","OK",IF(N($Q582)=0,IF(AND(ISNUMBER($E582),$E582&gt;=DATE(2024,1,1)),"FALTA EN evol_conc","OK"),IF(INDEX(evol_conc!$H:$H,$Q582)&lt;&gt;$F582,"FIRMA DISTINTA EN evol_conc ("&amp;IF(INDEX(evol_conc!$H:$H,$Q582)="","vacía",DAY(INDEX(evol_conc!$H:$H,$Q582))&amp;"/"&amp;MONTH(INDEX(evol_conc!$H:$H,$Q582))&amp;"/"&amp;YEAR(INDEX(evol_conc!$H:$H,$Q582)))&amp;")",IF(INDEX(evol_conc!$G:$G,$Q582)&lt;&gt;$E582,"INGRESO DISTINTO EN evol_conc ("&amp;IF(INDEX(evol_conc!$G:$G,$Q582)="","vacía",DAY(INDEX(evol_conc!$G:$G,$Q582))&amp;"/"&amp;MONTH(INDEX(evol_conc!$G:$G,$Q582))&amp;"/"&amp;YEAR(INDEX(evol_conc!$G:$G,$Q582)))&amp;")","OK"))))))))</f>
        <v/>
      </c>
      <c r="Q582" t="str">
        <f ca="1">IF($N582="","",IFERROR(MATCH($N582,evol_conc!$P:$P,0),0))</f>
        <v/>
      </c>
    </row>
    <row r="583" spans="12:17" ht="18" hidden="1" customHeight="1" x14ac:dyDescent="0.25">
      <c r="L583" s="53" t="str">
        <f t="shared" si="18"/>
        <v/>
      </c>
      <c r="M583" s="19" t="str">
        <f t="shared" si="19"/>
        <v/>
      </c>
      <c r="N583" t="str">
        <f ca="1">IF(TRIM(SUBSTITUTE($B583,CHAR(160)," "))="","",IFERROR(IF(ISNUMBER(SEARCH("INC",$B583)),"INC",IF(ISNUMBER(SEARCH("OPI",$B583)),"OPI",IF(ISNUMBER(SEARCH("DP",$B583)),"DP","CONC")))&amp;" "&amp;TEXT(LOOKUP(9.99E+307,--MID(SUBSTITUTE($B583,CHAR(160)," "),SUMPRODUCT(MIN(FIND({0,1,2,3,4,5,6,7,8,9},SUBSTITUTE($B583,CHAR(160)," ")&amp;"0123456789"))),ROW(INDIRECT("1:6")))),"0"),"SIN NUMERO"))</f>
        <v/>
      </c>
      <c r="O583" t="str">
        <f ca="1">IF($N583="","",IF(LEFT(UPPER($P583),9)="VERIFICAR","VERIFICAR",IF(AND($H583&lt;&gt;"",COUNTIFS($N$2:$N$1000,$N583,$H$2:$H$1000,$H583)&gt;1),"DUPLICADA",IF(TRIM(IF($A583="","tipo ","")&amp;IF($F583="","fecha de firma ","")&amp;IF($G583="","decisión ","")&amp;IF($H583="","N° resolución ","")&amp;IF($I583="","N° dictamen",""))&lt;&gt;"","INCOMPLETA: "&amp;TRIM(IF($A583="","tipo ","")&amp;IF($F583="","fecha de firma ","")&amp;IF($G583="","decisión ","")&amp;IF($H583="","N° resolución ","")&amp;IF($I583="","N° dictamen","")),IF(LEFT($N583,4)&lt;&gt;"CONC","OK",IF(N($Q583)=0,IF(AND(ISNUMBER($E583),$E583&gt;=DATE(2024,1,1)),"FALTA EN evol_conc","OK"),IF(INDEX(evol_conc!$H:$H,$Q583)&lt;&gt;$F583,"FIRMA DISTINTA EN evol_conc ("&amp;IF(INDEX(evol_conc!$H:$H,$Q583)="","vacía",DAY(INDEX(evol_conc!$H:$H,$Q583))&amp;"/"&amp;MONTH(INDEX(evol_conc!$H:$H,$Q583))&amp;"/"&amp;YEAR(INDEX(evol_conc!$H:$H,$Q583)))&amp;")",IF(INDEX(evol_conc!$G:$G,$Q583)&lt;&gt;$E583,"INGRESO DISTINTO EN evol_conc ("&amp;IF(INDEX(evol_conc!$G:$G,$Q583)="","vacía",DAY(INDEX(evol_conc!$G:$G,$Q583))&amp;"/"&amp;MONTH(INDEX(evol_conc!$G:$G,$Q583))&amp;"/"&amp;YEAR(INDEX(evol_conc!$G:$G,$Q583)))&amp;")","OK"))))))))</f>
        <v/>
      </c>
      <c r="Q583" t="str">
        <f ca="1">IF($N583="","",IFERROR(MATCH($N583,evol_conc!$P:$P,0),0))</f>
        <v/>
      </c>
    </row>
    <row r="584" spans="12:17" ht="18" hidden="1" customHeight="1" x14ac:dyDescent="0.25">
      <c r="L584" s="53" t="str">
        <f t="shared" si="18"/>
        <v/>
      </c>
      <c r="M584" s="19" t="str">
        <f t="shared" si="19"/>
        <v/>
      </c>
      <c r="N584" t="str">
        <f ca="1">IF(TRIM(SUBSTITUTE($B584,CHAR(160)," "))="","",IFERROR(IF(ISNUMBER(SEARCH("INC",$B584)),"INC",IF(ISNUMBER(SEARCH("OPI",$B584)),"OPI",IF(ISNUMBER(SEARCH("DP",$B584)),"DP","CONC")))&amp;" "&amp;TEXT(LOOKUP(9.99E+307,--MID(SUBSTITUTE($B584,CHAR(160)," "),SUMPRODUCT(MIN(FIND({0,1,2,3,4,5,6,7,8,9},SUBSTITUTE($B584,CHAR(160)," ")&amp;"0123456789"))),ROW(INDIRECT("1:6")))),"0"),"SIN NUMERO"))</f>
        <v/>
      </c>
      <c r="O584" t="str">
        <f ca="1">IF($N584="","",IF(LEFT(UPPER($P584),9)="VERIFICAR","VERIFICAR",IF(AND($H584&lt;&gt;"",COUNTIFS($N$2:$N$1000,$N584,$H$2:$H$1000,$H584)&gt;1),"DUPLICADA",IF(TRIM(IF($A584="","tipo ","")&amp;IF($F584="","fecha de firma ","")&amp;IF($G584="","decisión ","")&amp;IF($H584="","N° resolución ","")&amp;IF($I584="","N° dictamen",""))&lt;&gt;"","INCOMPLETA: "&amp;TRIM(IF($A584="","tipo ","")&amp;IF($F584="","fecha de firma ","")&amp;IF($G584="","decisión ","")&amp;IF($H584="","N° resolución ","")&amp;IF($I584="","N° dictamen","")),IF(LEFT($N584,4)&lt;&gt;"CONC","OK",IF(N($Q584)=0,IF(AND(ISNUMBER($E584),$E584&gt;=DATE(2024,1,1)),"FALTA EN evol_conc","OK"),IF(INDEX(evol_conc!$H:$H,$Q584)&lt;&gt;$F584,"FIRMA DISTINTA EN evol_conc ("&amp;IF(INDEX(evol_conc!$H:$H,$Q584)="","vacía",DAY(INDEX(evol_conc!$H:$H,$Q584))&amp;"/"&amp;MONTH(INDEX(evol_conc!$H:$H,$Q584))&amp;"/"&amp;YEAR(INDEX(evol_conc!$H:$H,$Q584)))&amp;")",IF(INDEX(evol_conc!$G:$G,$Q584)&lt;&gt;$E584,"INGRESO DISTINTO EN evol_conc ("&amp;IF(INDEX(evol_conc!$G:$G,$Q584)="","vacía",DAY(INDEX(evol_conc!$G:$G,$Q584))&amp;"/"&amp;MONTH(INDEX(evol_conc!$G:$G,$Q584))&amp;"/"&amp;YEAR(INDEX(evol_conc!$G:$G,$Q584)))&amp;")","OK"))))))))</f>
        <v/>
      </c>
      <c r="Q584" t="str">
        <f ca="1">IF($N584="","",IFERROR(MATCH($N584,evol_conc!$P:$P,0),0))</f>
        <v/>
      </c>
    </row>
    <row r="585" spans="12:17" ht="18" hidden="1" customHeight="1" x14ac:dyDescent="0.25">
      <c r="L585" s="53" t="str">
        <f t="shared" si="18"/>
        <v/>
      </c>
      <c r="M585" s="19" t="str">
        <f t="shared" si="19"/>
        <v/>
      </c>
      <c r="N585" t="str">
        <f ca="1">IF(TRIM(SUBSTITUTE($B585,CHAR(160)," "))="","",IFERROR(IF(ISNUMBER(SEARCH("INC",$B585)),"INC",IF(ISNUMBER(SEARCH("OPI",$B585)),"OPI",IF(ISNUMBER(SEARCH("DP",$B585)),"DP","CONC")))&amp;" "&amp;TEXT(LOOKUP(9.99E+307,--MID(SUBSTITUTE($B585,CHAR(160)," "),SUMPRODUCT(MIN(FIND({0,1,2,3,4,5,6,7,8,9},SUBSTITUTE($B585,CHAR(160)," ")&amp;"0123456789"))),ROW(INDIRECT("1:6")))),"0"),"SIN NUMERO"))</f>
        <v/>
      </c>
      <c r="O585" t="str">
        <f ca="1">IF($N585="","",IF(LEFT(UPPER($P585),9)="VERIFICAR","VERIFICAR",IF(AND($H585&lt;&gt;"",COUNTIFS($N$2:$N$1000,$N585,$H$2:$H$1000,$H585)&gt;1),"DUPLICADA",IF(TRIM(IF($A585="","tipo ","")&amp;IF($F585="","fecha de firma ","")&amp;IF($G585="","decisión ","")&amp;IF($H585="","N° resolución ","")&amp;IF($I585="","N° dictamen",""))&lt;&gt;"","INCOMPLETA: "&amp;TRIM(IF($A585="","tipo ","")&amp;IF($F585="","fecha de firma ","")&amp;IF($G585="","decisión ","")&amp;IF($H585="","N° resolución ","")&amp;IF($I585="","N° dictamen","")),IF(LEFT($N585,4)&lt;&gt;"CONC","OK",IF(N($Q585)=0,IF(AND(ISNUMBER($E585),$E585&gt;=DATE(2024,1,1)),"FALTA EN evol_conc","OK"),IF(INDEX(evol_conc!$H:$H,$Q585)&lt;&gt;$F585,"FIRMA DISTINTA EN evol_conc ("&amp;IF(INDEX(evol_conc!$H:$H,$Q585)="","vacía",DAY(INDEX(evol_conc!$H:$H,$Q585))&amp;"/"&amp;MONTH(INDEX(evol_conc!$H:$H,$Q585))&amp;"/"&amp;YEAR(INDEX(evol_conc!$H:$H,$Q585)))&amp;")",IF(INDEX(evol_conc!$G:$G,$Q585)&lt;&gt;$E585,"INGRESO DISTINTO EN evol_conc ("&amp;IF(INDEX(evol_conc!$G:$G,$Q585)="","vacía",DAY(INDEX(evol_conc!$G:$G,$Q585))&amp;"/"&amp;MONTH(INDEX(evol_conc!$G:$G,$Q585))&amp;"/"&amp;YEAR(INDEX(evol_conc!$G:$G,$Q585)))&amp;")","OK"))))))))</f>
        <v/>
      </c>
      <c r="Q585" t="str">
        <f ca="1">IF($N585="","",IFERROR(MATCH($N585,evol_conc!$P:$P,0),0))</f>
        <v/>
      </c>
    </row>
    <row r="586" spans="12:17" ht="18" hidden="1" customHeight="1" x14ac:dyDescent="0.25">
      <c r="L586" s="53" t="str">
        <f t="shared" si="18"/>
        <v/>
      </c>
      <c r="M586" s="19" t="str">
        <f t="shared" si="19"/>
        <v/>
      </c>
      <c r="N586" t="str">
        <f ca="1">IF(TRIM(SUBSTITUTE($B586,CHAR(160)," "))="","",IFERROR(IF(ISNUMBER(SEARCH("INC",$B586)),"INC",IF(ISNUMBER(SEARCH("OPI",$B586)),"OPI",IF(ISNUMBER(SEARCH("DP",$B586)),"DP","CONC")))&amp;" "&amp;TEXT(LOOKUP(9.99E+307,--MID(SUBSTITUTE($B586,CHAR(160)," "),SUMPRODUCT(MIN(FIND({0,1,2,3,4,5,6,7,8,9},SUBSTITUTE($B586,CHAR(160)," ")&amp;"0123456789"))),ROW(INDIRECT("1:6")))),"0"),"SIN NUMERO"))</f>
        <v/>
      </c>
      <c r="O586" t="str">
        <f ca="1">IF($N586="","",IF(LEFT(UPPER($P586),9)="VERIFICAR","VERIFICAR",IF(AND($H586&lt;&gt;"",COUNTIFS($N$2:$N$1000,$N586,$H$2:$H$1000,$H586)&gt;1),"DUPLICADA",IF(TRIM(IF($A586="","tipo ","")&amp;IF($F586="","fecha de firma ","")&amp;IF($G586="","decisión ","")&amp;IF($H586="","N° resolución ","")&amp;IF($I586="","N° dictamen",""))&lt;&gt;"","INCOMPLETA: "&amp;TRIM(IF($A586="","tipo ","")&amp;IF($F586="","fecha de firma ","")&amp;IF($G586="","decisión ","")&amp;IF($H586="","N° resolución ","")&amp;IF($I586="","N° dictamen","")),IF(LEFT($N586,4)&lt;&gt;"CONC","OK",IF(N($Q586)=0,IF(AND(ISNUMBER($E586),$E586&gt;=DATE(2024,1,1)),"FALTA EN evol_conc","OK"),IF(INDEX(evol_conc!$H:$H,$Q586)&lt;&gt;$F586,"FIRMA DISTINTA EN evol_conc ("&amp;IF(INDEX(evol_conc!$H:$H,$Q586)="","vacía",DAY(INDEX(evol_conc!$H:$H,$Q586))&amp;"/"&amp;MONTH(INDEX(evol_conc!$H:$H,$Q586))&amp;"/"&amp;YEAR(INDEX(evol_conc!$H:$H,$Q586)))&amp;")",IF(INDEX(evol_conc!$G:$G,$Q586)&lt;&gt;$E586,"INGRESO DISTINTO EN evol_conc ("&amp;IF(INDEX(evol_conc!$G:$G,$Q586)="","vacía",DAY(INDEX(evol_conc!$G:$G,$Q586))&amp;"/"&amp;MONTH(INDEX(evol_conc!$G:$G,$Q586))&amp;"/"&amp;YEAR(INDEX(evol_conc!$G:$G,$Q586)))&amp;")","OK"))))))))</f>
        <v/>
      </c>
      <c r="Q586" t="str">
        <f ca="1">IF($N586="","",IFERROR(MATCH($N586,evol_conc!$P:$P,0),0))</f>
        <v/>
      </c>
    </row>
    <row r="587" spans="12:17" ht="18" hidden="1" customHeight="1" x14ac:dyDescent="0.25">
      <c r="L587" s="53" t="str">
        <f t="shared" si="18"/>
        <v/>
      </c>
      <c r="M587" s="19" t="str">
        <f t="shared" si="19"/>
        <v/>
      </c>
      <c r="N587" t="str">
        <f ca="1">IF(TRIM(SUBSTITUTE($B587,CHAR(160)," "))="","",IFERROR(IF(ISNUMBER(SEARCH("INC",$B587)),"INC",IF(ISNUMBER(SEARCH("OPI",$B587)),"OPI",IF(ISNUMBER(SEARCH("DP",$B587)),"DP","CONC")))&amp;" "&amp;TEXT(LOOKUP(9.99E+307,--MID(SUBSTITUTE($B587,CHAR(160)," "),SUMPRODUCT(MIN(FIND({0,1,2,3,4,5,6,7,8,9},SUBSTITUTE($B587,CHAR(160)," ")&amp;"0123456789"))),ROW(INDIRECT("1:6")))),"0"),"SIN NUMERO"))</f>
        <v/>
      </c>
      <c r="O587" t="str">
        <f ca="1">IF($N587="","",IF(LEFT(UPPER($P587),9)="VERIFICAR","VERIFICAR",IF(AND($H587&lt;&gt;"",COUNTIFS($N$2:$N$1000,$N587,$H$2:$H$1000,$H587)&gt;1),"DUPLICADA",IF(TRIM(IF($A587="","tipo ","")&amp;IF($F587="","fecha de firma ","")&amp;IF($G587="","decisión ","")&amp;IF($H587="","N° resolución ","")&amp;IF($I587="","N° dictamen",""))&lt;&gt;"","INCOMPLETA: "&amp;TRIM(IF($A587="","tipo ","")&amp;IF($F587="","fecha de firma ","")&amp;IF($G587="","decisión ","")&amp;IF($H587="","N° resolución ","")&amp;IF($I587="","N° dictamen","")),IF(LEFT($N587,4)&lt;&gt;"CONC","OK",IF(N($Q587)=0,IF(AND(ISNUMBER($E587),$E587&gt;=DATE(2024,1,1)),"FALTA EN evol_conc","OK"),IF(INDEX(evol_conc!$H:$H,$Q587)&lt;&gt;$F587,"FIRMA DISTINTA EN evol_conc ("&amp;IF(INDEX(evol_conc!$H:$H,$Q587)="","vacía",DAY(INDEX(evol_conc!$H:$H,$Q587))&amp;"/"&amp;MONTH(INDEX(evol_conc!$H:$H,$Q587))&amp;"/"&amp;YEAR(INDEX(evol_conc!$H:$H,$Q587)))&amp;")",IF(INDEX(evol_conc!$G:$G,$Q587)&lt;&gt;$E587,"INGRESO DISTINTO EN evol_conc ("&amp;IF(INDEX(evol_conc!$G:$G,$Q587)="","vacía",DAY(INDEX(evol_conc!$G:$G,$Q587))&amp;"/"&amp;MONTH(INDEX(evol_conc!$G:$G,$Q587))&amp;"/"&amp;YEAR(INDEX(evol_conc!$G:$G,$Q587)))&amp;")","OK"))))))))</f>
        <v/>
      </c>
      <c r="Q587" t="str">
        <f ca="1">IF($N587="","",IFERROR(MATCH($N587,evol_conc!$P:$P,0),0))</f>
        <v/>
      </c>
    </row>
    <row r="588" spans="12:17" ht="18" hidden="1" customHeight="1" x14ac:dyDescent="0.25">
      <c r="L588" s="53" t="str">
        <f t="shared" si="18"/>
        <v/>
      </c>
      <c r="M588" s="19" t="str">
        <f t="shared" si="19"/>
        <v/>
      </c>
      <c r="N588" t="str">
        <f ca="1">IF(TRIM(SUBSTITUTE($B588,CHAR(160)," "))="","",IFERROR(IF(ISNUMBER(SEARCH("INC",$B588)),"INC",IF(ISNUMBER(SEARCH("OPI",$B588)),"OPI",IF(ISNUMBER(SEARCH("DP",$B588)),"DP","CONC")))&amp;" "&amp;TEXT(LOOKUP(9.99E+307,--MID(SUBSTITUTE($B588,CHAR(160)," "),SUMPRODUCT(MIN(FIND({0,1,2,3,4,5,6,7,8,9},SUBSTITUTE($B588,CHAR(160)," ")&amp;"0123456789"))),ROW(INDIRECT("1:6")))),"0"),"SIN NUMERO"))</f>
        <v/>
      </c>
      <c r="O588" t="str">
        <f ca="1">IF($N588="","",IF(LEFT(UPPER($P588),9)="VERIFICAR","VERIFICAR",IF(AND($H588&lt;&gt;"",COUNTIFS($N$2:$N$1000,$N588,$H$2:$H$1000,$H588)&gt;1),"DUPLICADA",IF(TRIM(IF($A588="","tipo ","")&amp;IF($F588="","fecha de firma ","")&amp;IF($G588="","decisión ","")&amp;IF($H588="","N° resolución ","")&amp;IF($I588="","N° dictamen",""))&lt;&gt;"","INCOMPLETA: "&amp;TRIM(IF($A588="","tipo ","")&amp;IF($F588="","fecha de firma ","")&amp;IF($G588="","decisión ","")&amp;IF($H588="","N° resolución ","")&amp;IF($I588="","N° dictamen","")),IF(LEFT($N588,4)&lt;&gt;"CONC","OK",IF(N($Q588)=0,IF(AND(ISNUMBER($E588),$E588&gt;=DATE(2024,1,1)),"FALTA EN evol_conc","OK"),IF(INDEX(evol_conc!$H:$H,$Q588)&lt;&gt;$F588,"FIRMA DISTINTA EN evol_conc ("&amp;IF(INDEX(evol_conc!$H:$H,$Q588)="","vacía",DAY(INDEX(evol_conc!$H:$H,$Q588))&amp;"/"&amp;MONTH(INDEX(evol_conc!$H:$H,$Q588))&amp;"/"&amp;YEAR(INDEX(evol_conc!$H:$H,$Q588)))&amp;")",IF(INDEX(evol_conc!$G:$G,$Q588)&lt;&gt;$E588,"INGRESO DISTINTO EN evol_conc ("&amp;IF(INDEX(evol_conc!$G:$G,$Q588)="","vacía",DAY(INDEX(evol_conc!$G:$G,$Q588))&amp;"/"&amp;MONTH(INDEX(evol_conc!$G:$G,$Q588))&amp;"/"&amp;YEAR(INDEX(evol_conc!$G:$G,$Q588)))&amp;")","OK"))))))))</f>
        <v/>
      </c>
      <c r="Q588" t="str">
        <f ca="1">IF($N588="","",IFERROR(MATCH($N588,evol_conc!$P:$P,0),0))</f>
        <v/>
      </c>
    </row>
    <row r="589" spans="12:17" ht="18" hidden="1" customHeight="1" x14ac:dyDescent="0.25">
      <c r="L589" s="53" t="str">
        <f t="shared" si="18"/>
        <v/>
      </c>
      <c r="M589" s="19" t="str">
        <f t="shared" si="19"/>
        <v/>
      </c>
      <c r="N589" t="str">
        <f ca="1">IF(TRIM(SUBSTITUTE($B589,CHAR(160)," "))="","",IFERROR(IF(ISNUMBER(SEARCH("INC",$B589)),"INC",IF(ISNUMBER(SEARCH("OPI",$B589)),"OPI",IF(ISNUMBER(SEARCH("DP",$B589)),"DP","CONC")))&amp;" "&amp;TEXT(LOOKUP(9.99E+307,--MID(SUBSTITUTE($B589,CHAR(160)," "),SUMPRODUCT(MIN(FIND({0,1,2,3,4,5,6,7,8,9},SUBSTITUTE($B589,CHAR(160)," ")&amp;"0123456789"))),ROW(INDIRECT("1:6")))),"0"),"SIN NUMERO"))</f>
        <v/>
      </c>
      <c r="O589" t="str">
        <f ca="1">IF($N589="","",IF(LEFT(UPPER($P589),9)="VERIFICAR","VERIFICAR",IF(AND($H589&lt;&gt;"",COUNTIFS($N$2:$N$1000,$N589,$H$2:$H$1000,$H589)&gt;1),"DUPLICADA",IF(TRIM(IF($A589="","tipo ","")&amp;IF($F589="","fecha de firma ","")&amp;IF($G589="","decisión ","")&amp;IF($H589="","N° resolución ","")&amp;IF($I589="","N° dictamen",""))&lt;&gt;"","INCOMPLETA: "&amp;TRIM(IF($A589="","tipo ","")&amp;IF($F589="","fecha de firma ","")&amp;IF($G589="","decisión ","")&amp;IF($H589="","N° resolución ","")&amp;IF($I589="","N° dictamen","")),IF(LEFT($N589,4)&lt;&gt;"CONC","OK",IF(N($Q589)=0,IF(AND(ISNUMBER($E589),$E589&gt;=DATE(2024,1,1)),"FALTA EN evol_conc","OK"),IF(INDEX(evol_conc!$H:$H,$Q589)&lt;&gt;$F589,"FIRMA DISTINTA EN evol_conc ("&amp;IF(INDEX(evol_conc!$H:$H,$Q589)="","vacía",DAY(INDEX(evol_conc!$H:$H,$Q589))&amp;"/"&amp;MONTH(INDEX(evol_conc!$H:$H,$Q589))&amp;"/"&amp;YEAR(INDEX(evol_conc!$H:$H,$Q589)))&amp;")",IF(INDEX(evol_conc!$G:$G,$Q589)&lt;&gt;$E589,"INGRESO DISTINTO EN evol_conc ("&amp;IF(INDEX(evol_conc!$G:$G,$Q589)="","vacía",DAY(INDEX(evol_conc!$G:$G,$Q589))&amp;"/"&amp;MONTH(INDEX(evol_conc!$G:$G,$Q589))&amp;"/"&amp;YEAR(INDEX(evol_conc!$G:$G,$Q589)))&amp;")","OK"))))))))</f>
        <v/>
      </c>
      <c r="Q589" t="str">
        <f ca="1">IF($N589="","",IFERROR(MATCH($N589,evol_conc!$P:$P,0),0))</f>
        <v/>
      </c>
    </row>
    <row r="590" spans="12:17" ht="18" hidden="1" customHeight="1" x14ac:dyDescent="0.25">
      <c r="L590" s="53" t="str">
        <f t="shared" si="18"/>
        <v/>
      </c>
      <c r="M590" s="19" t="str">
        <f t="shared" si="19"/>
        <v/>
      </c>
      <c r="N590" t="str">
        <f ca="1">IF(TRIM(SUBSTITUTE($B590,CHAR(160)," "))="","",IFERROR(IF(ISNUMBER(SEARCH("INC",$B590)),"INC",IF(ISNUMBER(SEARCH("OPI",$B590)),"OPI",IF(ISNUMBER(SEARCH("DP",$B590)),"DP","CONC")))&amp;" "&amp;TEXT(LOOKUP(9.99E+307,--MID(SUBSTITUTE($B590,CHAR(160)," "),SUMPRODUCT(MIN(FIND({0,1,2,3,4,5,6,7,8,9},SUBSTITUTE($B590,CHAR(160)," ")&amp;"0123456789"))),ROW(INDIRECT("1:6")))),"0"),"SIN NUMERO"))</f>
        <v/>
      </c>
      <c r="O590" t="str">
        <f ca="1">IF($N590="","",IF(LEFT(UPPER($P590),9)="VERIFICAR","VERIFICAR",IF(AND($H590&lt;&gt;"",COUNTIFS($N$2:$N$1000,$N590,$H$2:$H$1000,$H590)&gt;1),"DUPLICADA",IF(TRIM(IF($A590="","tipo ","")&amp;IF($F590="","fecha de firma ","")&amp;IF($G590="","decisión ","")&amp;IF($H590="","N° resolución ","")&amp;IF($I590="","N° dictamen",""))&lt;&gt;"","INCOMPLETA: "&amp;TRIM(IF($A590="","tipo ","")&amp;IF($F590="","fecha de firma ","")&amp;IF($G590="","decisión ","")&amp;IF($H590="","N° resolución ","")&amp;IF($I590="","N° dictamen","")),IF(LEFT($N590,4)&lt;&gt;"CONC","OK",IF(N($Q590)=0,IF(AND(ISNUMBER($E590),$E590&gt;=DATE(2024,1,1)),"FALTA EN evol_conc","OK"),IF(INDEX(evol_conc!$H:$H,$Q590)&lt;&gt;$F590,"FIRMA DISTINTA EN evol_conc ("&amp;IF(INDEX(evol_conc!$H:$H,$Q590)="","vacía",DAY(INDEX(evol_conc!$H:$H,$Q590))&amp;"/"&amp;MONTH(INDEX(evol_conc!$H:$H,$Q590))&amp;"/"&amp;YEAR(INDEX(evol_conc!$H:$H,$Q590)))&amp;")",IF(INDEX(evol_conc!$G:$G,$Q590)&lt;&gt;$E590,"INGRESO DISTINTO EN evol_conc ("&amp;IF(INDEX(evol_conc!$G:$G,$Q590)="","vacía",DAY(INDEX(evol_conc!$G:$G,$Q590))&amp;"/"&amp;MONTH(INDEX(evol_conc!$G:$G,$Q590))&amp;"/"&amp;YEAR(INDEX(evol_conc!$G:$G,$Q590)))&amp;")","OK"))))))))</f>
        <v/>
      </c>
      <c r="Q590" t="str">
        <f ca="1">IF($N590="","",IFERROR(MATCH($N590,evol_conc!$P:$P,0),0))</f>
        <v/>
      </c>
    </row>
    <row r="591" spans="12:17" ht="18" hidden="1" customHeight="1" x14ac:dyDescent="0.25">
      <c r="L591" s="53" t="str">
        <f t="shared" si="18"/>
        <v/>
      </c>
      <c r="M591" s="19" t="str">
        <f t="shared" si="19"/>
        <v/>
      </c>
      <c r="N591" t="str">
        <f ca="1">IF(TRIM(SUBSTITUTE($B591,CHAR(160)," "))="","",IFERROR(IF(ISNUMBER(SEARCH("INC",$B591)),"INC",IF(ISNUMBER(SEARCH("OPI",$B591)),"OPI",IF(ISNUMBER(SEARCH("DP",$B591)),"DP","CONC")))&amp;" "&amp;TEXT(LOOKUP(9.99E+307,--MID(SUBSTITUTE($B591,CHAR(160)," "),SUMPRODUCT(MIN(FIND({0,1,2,3,4,5,6,7,8,9},SUBSTITUTE($B591,CHAR(160)," ")&amp;"0123456789"))),ROW(INDIRECT("1:6")))),"0"),"SIN NUMERO"))</f>
        <v/>
      </c>
      <c r="O591" t="str">
        <f ca="1">IF($N591="","",IF(LEFT(UPPER($P591),9)="VERIFICAR","VERIFICAR",IF(AND($H591&lt;&gt;"",COUNTIFS($N$2:$N$1000,$N591,$H$2:$H$1000,$H591)&gt;1),"DUPLICADA",IF(TRIM(IF($A591="","tipo ","")&amp;IF($F591="","fecha de firma ","")&amp;IF($G591="","decisión ","")&amp;IF($H591="","N° resolución ","")&amp;IF($I591="","N° dictamen",""))&lt;&gt;"","INCOMPLETA: "&amp;TRIM(IF($A591="","tipo ","")&amp;IF($F591="","fecha de firma ","")&amp;IF($G591="","decisión ","")&amp;IF($H591="","N° resolución ","")&amp;IF($I591="","N° dictamen","")),IF(LEFT($N591,4)&lt;&gt;"CONC","OK",IF(N($Q591)=0,IF(AND(ISNUMBER($E591),$E591&gt;=DATE(2024,1,1)),"FALTA EN evol_conc","OK"),IF(INDEX(evol_conc!$H:$H,$Q591)&lt;&gt;$F591,"FIRMA DISTINTA EN evol_conc ("&amp;IF(INDEX(evol_conc!$H:$H,$Q591)="","vacía",DAY(INDEX(evol_conc!$H:$H,$Q591))&amp;"/"&amp;MONTH(INDEX(evol_conc!$H:$H,$Q591))&amp;"/"&amp;YEAR(INDEX(evol_conc!$H:$H,$Q591)))&amp;")",IF(INDEX(evol_conc!$G:$G,$Q591)&lt;&gt;$E591,"INGRESO DISTINTO EN evol_conc ("&amp;IF(INDEX(evol_conc!$G:$G,$Q591)="","vacía",DAY(INDEX(evol_conc!$G:$G,$Q591))&amp;"/"&amp;MONTH(INDEX(evol_conc!$G:$G,$Q591))&amp;"/"&amp;YEAR(INDEX(evol_conc!$G:$G,$Q591)))&amp;")","OK"))))))))</f>
        <v/>
      </c>
      <c r="Q591" t="str">
        <f ca="1">IF($N591="","",IFERROR(MATCH($N591,evol_conc!$P:$P,0),0))</f>
        <v/>
      </c>
    </row>
    <row r="592" spans="12:17" ht="18" hidden="1" customHeight="1" x14ac:dyDescent="0.25">
      <c r="L592" s="53" t="str">
        <f t="shared" si="18"/>
        <v/>
      </c>
      <c r="M592" s="19" t="str">
        <f t="shared" si="19"/>
        <v/>
      </c>
      <c r="N592" t="str">
        <f ca="1">IF(TRIM(SUBSTITUTE($B592,CHAR(160)," "))="","",IFERROR(IF(ISNUMBER(SEARCH("INC",$B592)),"INC",IF(ISNUMBER(SEARCH("OPI",$B592)),"OPI",IF(ISNUMBER(SEARCH("DP",$B592)),"DP","CONC")))&amp;" "&amp;TEXT(LOOKUP(9.99E+307,--MID(SUBSTITUTE($B592,CHAR(160)," "),SUMPRODUCT(MIN(FIND({0,1,2,3,4,5,6,7,8,9},SUBSTITUTE($B592,CHAR(160)," ")&amp;"0123456789"))),ROW(INDIRECT("1:6")))),"0"),"SIN NUMERO"))</f>
        <v/>
      </c>
      <c r="O592" t="str">
        <f ca="1">IF($N592="","",IF(LEFT(UPPER($P592),9)="VERIFICAR","VERIFICAR",IF(AND($H592&lt;&gt;"",COUNTIFS($N$2:$N$1000,$N592,$H$2:$H$1000,$H592)&gt;1),"DUPLICADA",IF(TRIM(IF($A592="","tipo ","")&amp;IF($F592="","fecha de firma ","")&amp;IF($G592="","decisión ","")&amp;IF($H592="","N° resolución ","")&amp;IF($I592="","N° dictamen",""))&lt;&gt;"","INCOMPLETA: "&amp;TRIM(IF($A592="","tipo ","")&amp;IF($F592="","fecha de firma ","")&amp;IF($G592="","decisión ","")&amp;IF($H592="","N° resolución ","")&amp;IF($I592="","N° dictamen","")),IF(LEFT($N592,4)&lt;&gt;"CONC","OK",IF(N($Q592)=0,IF(AND(ISNUMBER($E592),$E592&gt;=DATE(2024,1,1)),"FALTA EN evol_conc","OK"),IF(INDEX(evol_conc!$H:$H,$Q592)&lt;&gt;$F592,"FIRMA DISTINTA EN evol_conc ("&amp;IF(INDEX(evol_conc!$H:$H,$Q592)="","vacía",DAY(INDEX(evol_conc!$H:$H,$Q592))&amp;"/"&amp;MONTH(INDEX(evol_conc!$H:$H,$Q592))&amp;"/"&amp;YEAR(INDEX(evol_conc!$H:$H,$Q592)))&amp;")",IF(INDEX(evol_conc!$G:$G,$Q592)&lt;&gt;$E592,"INGRESO DISTINTO EN evol_conc ("&amp;IF(INDEX(evol_conc!$G:$G,$Q592)="","vacía",DAY(INDEX(evol_conc!$G:$G,$Q592))&amp;"/"&amp;MONTH(INDEX(evol_conc!$G:$G,$Q592))&amp;"/"&amp;YEAR(INDEX(evol_conc!$G:$G,$Q592)))&amp;")","OK"))))))))</f>
        <v/>
      </c>
      <c r="Q592" t="str">
        <f ca="1">IF($N592="","",IFERROR(MATCH($N592,evol_conc!$P:$P,0),0))</f>
        <v/>
      </c>
    </row>
    <row r="593" spans="12:17" ht="18" hidden="1" customHeight="1" x14ac:dyDescent="0.25">
      <c r="L593" s="53" t="str">
        <f t="shared" si="18"/>
        <v/>
      </c>
      <c r="M593" s="19" t="str">
        <f t="shared" si="19"/>
        <v/>
      </c>
      <c r="N593" t="str">
        <f ca="1">IF(TRIM(SUBSTITUTE($B593,CHAR(160)," "))="","",IFERROR(IF(ISNUMBER(SEARCH("INC",$B593)),"INC",IF(ISNUMBER(SEARCH("OPI",$B593)),"OPI",IF(ISNUMBER(SEARCH("DP",$B593)),"DP","CONC")))&amp;" "&amp;TEXT(LOOKUP(9.99E+307,--MID(SUBSTITUTE($B593,CHAR(160)," "),SUMPRODUCT(MIN(FIND({0,1,2,3,4,5,6,7,8,9},SUBSTITUTE($B593,CHAR(160)," ")&amp;"0123456789"))),ROW(INDIRECT("1:6")))),"0"),"SIN NUMERO"))</f>
        <v/>
      </c>
      <c r="O593" t="str">
        <f ca="1">IF($N593="","",IF(LEFT(UPPER($P593),9)="VERIFICAR","VERIFICAR",IF(AND($H593&lt;&gt;"",COUNTIFS($N$2:$N$1000,$N593,$H$2:$H$1000,$H593)&gt;1),"DUPLICADA",IF(TRIM(IF($A593="","tipo ","")&amp;IF($F593="","fecha de firma ","")&amp;IF($G593="","decisión ","")&amp;IF($H593="","N° resolución ","")&amp;IF($I593="","N° dictamen",""))&lt;&gt;"","INCOMPLETA: "&amp;TRIM(IF($A593="","tipo ","")&amp;IF($F593="","fecha de firma ","")&amp;IF($G593="","decisión ","")&amp;IF($H593="","N° resolución ","")&amp;IF($I593="","N° dictamen","")),IF(LEFT($N593,4)&lt;&gt;"CONC","OK",IF(N($Q593)=0,IF(AND(ISNUMBER($E593),$E593&gt;=DATE(2024,1,1)),"FALTA EN evol_conc","OK"),IF(INDEX(evol_conc!$H:$H,$Q593)&lt;&gt;$F593,"FIRMA DISTINTA EN evol_conc ("&amp;IF(INDEX(evol_conc!$H:$H,$Q593)="","vacía",DAY(INDEX(evol_conc!$H:$H,$Q593))&amp;"/"&amp;MONTH(INDEX(evol_conc!$H:$H,$Q593))&amp;"/"&amp;YEAR(INDEX(evol_conc!$H:$H,$Q593)))&amp;")",IF(INDEX(evol_conc!$G:$G,$Q593)&lt;&gt;$E593,"INGRESO DISTINTO EN evol_conc ("&amp;IF(INDEX(evol_conc!$G:$G,$Q593)="","vacía",DAY(INDEX(evol_conc!$G:$G,$Q593))&amp;"/"&amp;MONTH(INDEX(evol_conc!$G:$G,$Q593))&amp;"/"&amp;YEAR(INDEX(evol_conc!$G:$G,$Q593)))&amp;")","OK"))))))))</f>
        <v/>
      </c>
      <c r="Q593" t="str">
        <f ca="1">IF($N593="","",IFERROR(MATCH($N593,evol_conc!$P:$P,0),0))</f>
        <v/>
      </c>
    </row>
    <row r="594" spans="12:17" ht="18" hidden="1" customHeight="1" x14ac:dyDescent="0.25">
      <c r="L594" s="53" t="str">
        <f t="shared" si="18"/>
        <v/>
      </c>
      <c r="M594" s="19" t="str">
        <f t="shared" si="19"/>
        <v/>
      </c>
      <c r="N594" t="str">
        <f ca="1">IF(TRIM(SUBSTITUTE($B594,CHAR(160)," "))="","",IFERROR(IF(ISNUMBER(SEARCH("INC",$B594)),"INC",IF(ISNUMBER(SEARCH("OPI",$B594)),"OPI",IF(ISNUMBER(SEARCH("DP",$B594)),"DP","CONC")))&amp;" "&amp;TEXT(LOOKUP(9.99E+307,--MID(SUBSTITUTE($B594,CHAR(160)," "),SUMPRODUCT(MIN(FIND({0,1,2,3,4,5,6,7,8,9},SUBSTITUTE($B594,CHAR(160)," ")&amp;"0123456789"))),ROW(INDIRECT("1:6")))),"0"),"SIN NUMERO"))</f>
        <v/>
      </c>
      <c r="O594" t="str">
        <f ca="1">IF($N594="","",IF(LEFT(UPPER($P594),9)="VERIFICAR","VERIFICAR",IF(AND($H594&lt;&gt;"",COUNTIFS($N$2:$N$1000,$N594,$H$2:$H$1000,$H594)&gt;1),"DUPLICADA",IF(TRIM(IF($A594="","tipo ","")&amp;IF($F594="","fecha de firma ","")&amp;IF($G594="","decisión ","")&amp;IF($H594="","N° resolución ","")&amp;IF($I594="","N° dictamen",""))&lt;&gt;"","INCOMPLETA: "&amp;TRIM(IF($A594="","tipo ","")&amp;IF($F594="","fecha de firma ","")&amp;IF($G594="","decisión ","")&amp;IF($H594="","N° resolución ","")&amp;IF($I594="","N° dictamen","")),IF(LEFT($N594,4)&lt;&gt;"CONC","OK",IF(N($Q594)=0,IF(AND(ISNUMBER($E594),$E594&gt;=DATE(2024,1,1)),"FALTA EN evol_conc","OK"),IF(INDEX(evol_conc!$H:$H,$Q594)&lt;&gt;$F594,"FIRMA DISTINTA EN evol_conc ("&amp;IF(INDEX(evol_conc!$H:$H,$Q594)="","vacía",DAY(INDEX(evol_conc!$H:$H,$Q594))&amp;"/"&amp;MONTH(INDEX(evol_conc!$H:$H,$Q594))&amp;"/"&amp;YEAR(INDEX(evol_conc!$H:$H,$Q594)))&amp;")",IF(INDEX(evol_conc!$G:$G,$Q594)&lt;&gt;$E594,"INGRESO DISTINTO EN evol_conc ("&amp;IF(INDEX(evol_conc!$G:$G,$Q594)="","vacía",DAY(INDEX(evol_conc!$G:$G,$Q594))&amp;"/"&amp;MONTH(INDEX(evol_conc!$G:$G,$Q594))&amp;"/"&amp;YEAR(INDEX(evol_conc!$G:$G,$Q594)))&amp;")","OK"))))))))</f>
        <v/>
      </c>
      <c r="Q594" t="str">
        <f ca="1">IF($N594="","",IFERROR(MATCH($N594,evol_conc!$P:$P,0),0))</f>
        <v/>
      </c>
    </row>
    <row r="595" spans="12:17" ht="18" hidden="1" customHeight="1" x14ac:dyDescent="0.25">
      <c r="L595" s="53" t="str">
        <f t="shared" si="18"/>
        <v/>
      </c>
      <c r="M595" s="19" t="str">
        <f t="shared" si="19"/>
        <v/>
      </c>
      <c r="N595" t="str">
        <f ca="1">IF(TRIM(SUBSTITUTE($B595,CHAR(160)," "))="","",IFERROR(IF(ISNUMBER(SEARCH("INC",$B595)),"INC",IF(ISNUMBER(SEARCH("OPI",$B595)),"OPI",IF(ISNUMBER(SEARCH("DP",$B595)),"DP","CONC")))&amp;" "&amp;TEXT(LOOKUP(9.99E+307,--MID(SUBSTITUTE($B595,CHAR(160)," "),SUMPRODUCT(MIN(FIND({0,1,2,3,4,5,6,7,8,9},SUBSTITUTE($B595,CHAR(160)," ")&amp;"0123456789"))),ROW(INDIRECT("1:6")))),"0"),"SIN NUMERO"))</f>
        <v/>
      </c>
      <c r="O595" t="str">
        <f ca="1">IF($N595="","",IF(LEFT(UPPER($P595),9)="VERIFICAR","VERIFICAR",IF(AND($H595&lt;&gt;"",COUNTIFS($N$2:$N$1000,$N595,$H$2:$H$1000,$H595)&gt;1),"DUPLICADA",IF(TRIM(IF($A595="","tipo ","")&amp;IF($F595="","fecha de firma ","")&amp;IF($G595="","decisión ","")&amp;IF($H595="","N° resolución ","")&amp;IF($I595="","N° dictamen",""))&lt;&gt;"","INCOMPLETA: "&amp;TRIM(IF($A595="","tipo ","")&amp;IF($F595="","fecha de firma ","")&amp;IF($G595="","decisión ","")&amp;IF($H595="","N° resolución ","")&amp;IF($I595="","N° dictamen","")),IF(LEFT($N595,4)&lt;&gt;"CONC","OK",IF(N($Q595)=0,IF(AND(ISNUMBER($E595),$E595&gt;=DATE(2024,1,1)),"FALTA EN evol_conc","OK"),IF(INDEX(evol_conc!$H:$H,$Q595)&lt;&gt;$F595,"FIRMA DISTINTA EN evol_conc ("&amp;IF(INDEX(evol_conc!$H:$H,$Q595)="","vacía",DAY(INDEX(evol_conc!$H:$H,$Q595))&amp;"/"&amp;MONTH(INDEX(evol_conc!$H:$H,$Q595))&amp;"/"&amp;YEAR(INDEX(evol_conc!$H:$H,$Q595)))&amp;")",IF(INDEX(evol_conc!$G:$G,$Q595)&lt;&gt;$E595,"INGRESO DISTINTO EN evol_conc ("&amp;IF(INDEX(evol_conc!$G:$G,$Q595)="","vacía",DAY(INDEX(evol_conc!$G:$G,$Q595))&amp;"/"&amp;MONTH(INDEX(evol_conc!$G:$G,$Q595))&amp;"/"&amp;YEAR(INDEX(evol_conc!$G:$G,$Q595)))&amp;")","OK"))))))))</f>
        <v/>
      </c>
      <c r="Q595" t="str">
        <f ca="1">IF($N595="","",IFERROR(MATCH($N595,evol_conc!$P:$P,0),0))</f>
        <v/>
      </c>
    </row>
    <row r="596" spans="12:17" ht="18" hidden="1" customHeight="1" x14ac:dyDescent="0.25">
      <c r="L596" s="53" t="str">
        <f t="shared" si="18"/>
        <v/>
      </c>
      <c r="M596" s="19" t="str">
        <f t="shared" si="19"/>
        <v/>
      </c>
      <c r="N596" t="str">
        <f ca="1">IF(TRIM(SUBSTITUTE($B596,CHAR(160)," "))="","",IFERROR(IF(ISNUMBER(SEARCH("INC",$B596)),"INC",IF(ISNUMBER(SEARCH("OPI",$B596)),"OPI",IF(ISNUMBER(SEARCH("DP",$B596)),"DP","CONC")))&amp;" "&amp;TEXT(LOOKUP(9.99E+307,--MID(SUBSTITUTE($B596,CHAR(160)," "),SUMPRODUCT(MIN(FIND({0,1,2,3,4,5,6,7,8,9},SUBSTITUTE($B596,CHAR(160)," ")&amp;"0123456789"))),ROW(INDIRECT("1:6")))),"0"),"SIN NUMERO"))</f>
        <v/>
      </c>
      <c r="O596" t="str">
        <f ca="1">IF($N596="","",IF(LEFT(UPPER($P596),9)="VERIFICAR","VERIFICAR",IF(AND($H596&lt;&gt;"",COUNTIFS($N$2:$N$1000,$N596,$H$2:$H$1000,$H596)&gt;1),"DUPLICADA",IF(TRIM(IF($A596="","tipo ","")&amp;IF($F596="","fecha de firma ","")&amp;IF($G596="","decisión ","")&amp;IF($H596="","N° resolución ","")&amp;IF($I596="","N° dictamen",""))&lt;&gt;"","INCOMPLETA: "&amp;TRIM(IF($A596="","tipo ","")&amp;IF($F596="","fecha de firma ","")&amp;IF($G596="","decisión ","")&amp;IF($H596="","N° resolución ","")&amp;IF($I596="","N° dictamen","")),IF(LEFT($N596,4)&lt;&gt;"CONC","OK",IF(N($Q596)=0,IF(AND(ISNUMBER($E596),$E596&gt;=DATE(2024,1,1)),"FALTA EN evol_conc","OK"),IF(INDEX(evol_conc!$H:$H,$Q596)&lt;&gt;$F596,"FIRMA DISTINTA EN evol_conc ("&amp;IF(INDEX(evol_conc!$H:$H,$Q596)="","vacía",DAY(INDEX(evol_conc!$H:$H,$Q596))&amp;"/"&amp;MONTH(INDEX(evol_conc!$H:$H,$Q596))&amp;"/"&amp;YEAR(INDEX(evol_conc!$H:$H,$Q596)))&amp;")",IF(INDEX(evol_conc!$G:$G,$Q596)&lt;&gt;$E596,"INGRESO DISTINTO EN evol_conc ("&amp;IF(INDEX(evol_conc!$G:$G,$Q596)="","vacía",DAY(INDEX(evol_conc!$G:$G,$Q596))&amp;"/"&amp;MONTH(INDEX(evol_conc!$G:$G,$Q596))&amp;"/"&amp;YEAR(INDEX(evol_conc!$G:$G,$Q596)))&amp;")","OK"))))))))</f>
        <v/>
      </c>
      <c r="Q596" t="str">
        <f ca="1">IF($N596="","",IFERROR(MATCH($N596,evol_conc!$P:$P,0),0))</f>
        <v/>
      </c>
    </row>
    <row r="597" spans="12:17" ht="18" hidden="1" customHeight="1" x14ac:dyDescent="0.25">
      <c r="L597" s="53" t="str">
        <f t="shared" si="18"/>
        <v/>
      </c>
      <c r="M597" s="19" t="str">
        <f t="shared" si="19"/>
        <v/>
      </c>
      <c r="N597" t="str">
        <f ca="1">IF(TRIM(SUBSTITUTE($B597,CHAR(160)," "))="","",IFERROR(IF(ISNUMBER(SEARCH("INC",$B597)),"INC",IF(ISNUMBER(SEARCH("OPI",$B597)),"OPI",IF(ISNUMBER(SEARCH("DP",$B597)),"DP","CONC")))&amp;" "&amp;TEXT(LOOKUP(9.99E+307,--MID(SUBSTITUTE($B597,CHAR(160)," "),SUMPRODUCT(MIN(FIND({0,1,2,3,4,5,6,7,8,9},SUBSTITUTE($B597,CHAR(160)," ")&amp;"0123456789"))),ROW(INDIRECT("1:6")))),"0"),"SIN NUMERO"))</f>
        <v/>
      </c>
      <c r="O597" t="str">
        <f ca="1">IF($N597="","",IF(LEFT(UPPER($P597),9)="VERIFICAR","VERIFICAR",IF(AND($H597&lt;&gt;"",COUNTIFS($N$2:$N$1000,$N597,$H$2:$H$1000,$H597)&gt;1),"DUPLICADA",IF(TRIM(IF($A597="","tipo ","")&amp;IF($F597="","fecha de firma ","")&amp;IF($G597="","decisión ","")&amp;IF($H597="","N° resolución ","")&amp;IF($I597="","N° dictamen",""))&lt;&gt;"","INCOMPLETA: "&amp;TRIM(IF($A597="","tipo ","")&amp;IF($F597="","fecha de firma ","")&amp;IF($G597="","decisión ","")&amp;IF($H597="","N° resolución ","")&amp;IF($I597="","N° dictamen","")),IF(LEFT($N597,4)&lt;&gt;"CONC","OK",IF(N($Q597)=0,IF(AND(ISNUMBER($E597),$E597&gt;=DATE(2024,1,1)),"FALTA EN evol_conc","OK"),IF(INDEX(evol_conc!$H:$H,$Q597)&lt;&gt;$F597,"FIRMA DISTINTA EN evol_conc ("&amp;IF(INDEX(evol_conc!$H:$H,$Q597)="","vacía",DAY(INDEX(evol_conc!$H:$H,$Q597))&amp;"/"&amp;MONTH(INDEX(evol_conc!$H:$H,$Q597))&amp;"/"&amp;YEAR(INDEX(evol_conc!$H:$H,$Q597)))&amp;")",IF(INDEX(evol_conc!$G:$G,$Q597)&lt;&gt;$E597,"INGRESO DISTINTO EN evol_conc ("&amp;IF(INDEX(evol_conc!$G:$G,$Q597)="","vacía",DAY(INDEX(evol_conc!$G:$G,$Q597))&amp;"/"&amp;MONTH(INDEX(evol_conc!$G:$G,$Q597))&amp;"/"&amp;YEAR(INDEX(evol_conc!$G:$G,$Q597)))&amp;")","OK"))))))))</f>
        <v/>
      </c>
      <c r="Q597" t="str">
        <f ca="1">IF($N597="","",IFERROR(MATCH($N597,evol_conc!$P:$P,0),0))</f>
        <v/>
      </c>
    </row>
    <row r="598" spans="12:17" ht="18" hidden="1" customHeight="1" x14ac:dyDescent="0.25">
      <c r="L598" s="53" t="str">
        <f t="shared" si="18"/>
        <v/>
      </c>
      <c r="M598" s="19" t="str">
        <f t="shared" si="19"/>
        <v/>
      </c>
      <c r="N598" t="str">
        <f ca="1">IF(TRIM(SUBSTITUTE($B598,CHAR(160)," "))="","",IFERROR(IF(ISNUMBER(SEARCH("INC",$B598)),"INC",IF(ISNUMBER(SEARCH("OPI",$B598)),"OPI",IF(ISNUMBER(SEARCH("DP",$B598)),"DP","CONC")))&amp;" "&amp;TEXT(LOOKUP(9.99E+307,--MID(SUBSTITUTE($B598,CHAR(160)," "),SUMPRODUCT(MIN(FIND({0,1,2,3,4,5,6,7,8,9},SUBSTITUTE($B598,CHAR(160)," ")&amp;"0123456789"))),ROW(INDIRECT("1:6")))),"0"),"SIN NUMERO"))</f>
        <v/>
      </c>
      <c r="O598" t="str">
        <f ca="1">IF($N598="","",IF(LEFT(UPPER($P598),9)="VERIFICAR","VERIFICAR",IF(AND($H598&lt;&gt;"",COUNTIFS($N$2:$N$1000,$N598,$H$2:$H$1000,$H598)&gt;1),"DUPLICADA",IF(TRIM(IF($A598="","tipo ","")&amp;IF($F598="","fecha de firma ","")&amp;IF($G598="","decisión ","")&amp;IF($H598="","N° resolución ","")&amp;IF($I598="","N° dictamen",""))&lt;&gt;"","INCOMPLETA: "&amp;TRIM(IF($A598="","tipo ","")&amp;IF($F598="","fecha de firma ","")&amp;IF($G598="","decisión ","")&amp;IF($H598="","N° resolución ","")&amp;IF($I598="","N° dictamen","")),IF(LEFT($N598,4)&lt;&gt;"CONC","OK",IF(N($Q598)=0,IF(AND(ISNUMBER($E598),$E598&gt;=DATE(2024,1,1)),"FALTA EN evol_conc","OK"),IF(INDEX(evol_conc!$H:$H,$Q598)&lt;&gt;$F598,"FIRMA DISTINTA EN evol_conc ("&amp;IF(INDEX(evol_conc!$H:$H,$Q598)="","vacía",DAY(INDEX(evol_conc!$H:$H,$Q598))&amp;"/"&amp;MONTH(INDEX(evol_conc!$H:$H,$Q598))&amp;"/"&amp;YEAR(INDEX(evol_conc!$H:$H,$Q598)))&amp;")",IF(INDEX(evol_conc!$G:$G,$Q598)&lt;&gt;$E598,"INGRESO DISTINTO EN evol_conc ("&amp;IF(INDEX(evol_conc!$G:$G,$Q598)="","vacía",DAY(INDEX(evol_conc!$G:$G,$Q598))&amp;"/"&amp;MONTH(INDEX(evol_conc!$G:$G,$Q598))&amp;"/"&amp;YEAR(INDEX(evol_conc!$G:$G,$Q598)))&amp;")","OK"))))))))</f>
        <v/>
      </c>
      <c r="Q598" t="str">
        <f ca="1">IF($N598="","",IFERROR(MATCH($N598,evol_conc!$P:$P,0),0))</f>
        <v/>
      </c>
    </row>
    <row r="599" spans="12:17" ht="18" hidden="1" customHeight="1" x14ac:dyDescent="0.25">
      <c r="L599" s="53" t="str">
        <f t="shared" si="18"/>
        <v/>
      </c>
      <c r="M599" s="19" t="str">
        <f t="shared" si="19"/>
        <v/>
      </c>
      <c r="N599" t="str">
        <f ca="1">IF(TRIM(SUBSTITUTE($B599,CHAR(160)," "))="","",IFERROR(IF(ISNUMBER(SEARCH("INC",$B599)),"INC",IF(ISNUMBER(SEARCH("OPI",$B599)),"OPI",IF(ISNUMBER(SEARCH("DP",$B599)),"DP","CONC")))&amp;" "&amp;TEXT(LOOKUP(9.99E+307,--MID(SUBSTITUTE($B599,CHAR(160)," "),SUMPRODUCT(MIN(FIND({0,1,2,3,4,5,6,7,8,9},SUBSTITUTE($B599,CHAR(160)," ")&amp;"0123456789"))),ROW(INDIRECT("1:6")))),"0"),"SIN NUMERO"))</f>
        <v/>
      </c>
      <c r="O599" t="str">
        <f ca="1">IF($N599="","",IF(LEFT(UPPER($P599),9)="VERIFICAR","VERIFICAR",IF(AND($H599&lt;&gt;"",COUNTIFS($N$2:$N$1000,$N599,$H$2:$H$1000,$H599)&gt;1),"DUPLICADA",IF(TRIM(IF($A599="","tipo ","")&amp;IF($F599="","fecha de firma ","")&amp;IF($G599="","decisión ","")&amp;IF($H599="","N° resolución ","")&amp;IF($I599="","N° dictamen",""))&lt;&gt;"","INCOMPLETA: "&amp;TRIM(IF($A599="","tipo ","")&amp;IF($F599="","fecha de firma ","")&amp;IF($G599="","decisión ","")&amp;IF($H599="","N° resolución ","")&amp;IF($I599="","N° dictamen","")),IF(LEFT($N599,4)&lt;&gt;"CONC","OK",IF(N($Q599)=0,IF(AND(ISNUMBER($E599),$E599&gt;=DATE(2024,1,1)),"FALTA EN evol_conc","OK"),IF(INDEX(evol_conc!$H:$H,$Q599)&lt;&gt;$F599,"FIRMA DISTINTA EN evol_conc ("&amp;IF(INDEX(evol_conc!$H:$H,$Q599)="","vacía",DAY(INDEX(evol_conc!$H:$H,$Q599))&amp;"/"&amp;MONTH(INDEX(evol_conc!$H:$H,$Q599))&amp;"/"&amp;YEAR(INDEX(evol_conc!$H:$H,$Q599)))&amp;")",IF(INDEX(evol_conc!$G:$G,$Q599)&lt;&gt;$E599,"INGRESO DISTINTO EN evol_conc ("&amp;IF(INDEX(evol_conc!$G:$G,$Q599)="","vacía",DAY(INDEX(evol_conc!$G:$G,$Q599))&amp;"/"&amp;MONTH(INDEX(evol_conc!$G:$G,$Q599))&amp;"/"&amp;YEAR(INDEX(evol_conc!$G:$G,$Q599)))&amp;")","OK"))))))))</f>
        <v/>
      </c>
      <c r="Q599" t="str">
        <f ca="1">IF($N599="","",IFERROR(MATCH($N599,evol_conc!$P:$P,0),0))</f>
        <v/>
      </c>
    </row>
    <row r="600" spans="12:17" ht="18" hidden="1" customHeight="1" x14ac:dyDescent="0.25">
      <c r="L600" s="53" t="str">
        <f t="shared" si="18"/>
        <v/>
      </c>
      <c r="M600" s="19" t="str">
        <f t="shared" si="19"/>
        <v/>
      </c>
      <c r="N600" t="str">
        <f ca="1">IF(TRIM(SUBSTITUTE($B600,CHAR(160)," "))="","",IFERROR(IF(ISNUMBER(SEARCH("INC",$B600)),"INC",IF(ISNUMBER(SEARCH("OPI",$B600)),"OPI",IF(ISNUMBER(SEARCH("DP",$B600)),"DP","CONC")))&amp;" "&amp;TEXT(LOOKUP(9.99E+307,--MID(SUBSTITUTE($B600,CHAR(160)," "),SUMPRODUCT(MIN(FIND({0,1,2,3,4,5,6,7,8,9},SUBSTITUTE($B600,CHAR(160)," ")&amp;"0123456789"))),ROW(INDIRECT("1:6")))),"0"),"SIN NUMERO"))</f>
        <v/>
      </c>
      <c r="O600" t="str">
        <f ca="1">IF($N600="","",IF(LEFT(UPPER($P600),9)="VERIFICAR","VERIFICAR",IF(AND($H600&lt;&gt;"",COUNTIFS($N$2:$N$1000,$N600,$H$2:$H$1000,$H600)&gt;1),"DUPLICADA",IF(TRIM(IF($A600="","tipo ","")&amp;IF($F600="","fecha de firma ","")&amp;IF($G600="","decisión ","")&amp;IF($H600="","N° resolución ","")&amp;IF($I600="","N° dictamen",""))&lt;&gt;"","INCOMPLETA: "&amp;TRIM(IF($A600="","tipo ","")&amp;IF($F600="","fecha de firma ","")&amp;IF($G600="","decisión ","")&amp;IF($H600="","N° resolución ","")&amp;IF($I600="","N° dictamen","")),IF(LEFT($N600,4)&lt;&gt;"CONC","OK",IF(N($Q600)=0,IF(AND(ISNUMBER($E600),$E600&gt;=DATE(2024,1,1)),"FALTA EN evol_conc","OK"),IF(INDEX(evol_conc!$H:$H,$Q600)&lt;&gt;$F600,"FIRMA DISTINTA EN evol_conc ("&amp;IF(INDEX(evol_conc!$H:$H,$Q600)="","vacía",DAY(INDEX(evol_conc!$H:$H,$Q600))&amp;"/"&amp;MONTH(INDEX(evol_conc!$H:$H,$Q600))&amp;"/"&amp;YEAR(INDEX(evol_conc!$H:$H,$Q600)))&amp;")",IF(INDEX(evol_conc!$G:$G,$Q600)&lt;&gt;$E600,"INGRESO DISTINTO EN evol_conc ("&amp;IF(INDEX(evol_conc!$G:$G,$Q600)="","vacía",DAY(INDEX(evol_conc!$G:$G,$Q600))&amp;"/"&amp;MONTH(INDEX(evol_conc!$G:$G,$Q600))&amp;"/"&amp;YEAR(INDEX(evol_conc!$G:$G,$Q600)))&amp;")","OK"))))))))</f>
        <v/>
      </c>
      <c r="Q600" t="str">
        <f ca="1">IF($N600="","",IFERROR(MATCH($N600,evol_conc!$P:$P,0),0))</f>
        <v/>
      </c>
    </row>
    <row r="601" spans="12:17" ht="18" hidden="1" customHeight="1" x14ac:dyDescent="0.25">
      <c r="L601" s="53" t="str">
        <f t="shared" si="18"/>
        <v/>
      </c>
      <c r="M601" s="19" t="str">
        <f t="shared" si="19"/>
        <v/>
      </c>
      <c r="N601" t="str">
        <f ca="1">IF(TRIM(SUBSTITUTE($B601,CHAR(160)," "))="","",IFERROR(IF(ISNUMBER(SEARCH("INC",$B601)),"INC",IF(ISNUMBER(SEARCH("OPI",$B601)),"OPI",IF(ISNUMBER(SEARCH("DP",$B601)),"DP","CONC")))&amp;" "&amp;TEXT(LOOKUP(9.99E+307,--MID(SUBSTITUTE($B601,CHAR(160)," "),SUMPRODUCT(MIN(FIND({0,1,2,3,4,5,6,7,8,9},SUBSTITUTE($B601,CHAR(160)," ")&amp;"0123456789"))),ROW(INDIRECT("1:6")))),"0"),"SIN NUMERO"))</f>
        <v/>
      </c>
      <c r="O601" t="str">
        <f ca="1">IF($N601="","",IF(LEFT(UPPER($P601),9)="VERIFICAR","VERIFICAR",IF(AND($H601&lt;&gt;"",COUNTIFS($N$2:$N$1000,$N601,$H$2:$H$1000,$H601)&gt;1),"DUPLICADA",IF(TRIM(IF($A601="","tipo ","")&amp;IF($F601="","fecha de firma ","")&amp;IF($G601="","decisión ","")&amp;IF($H601="","N° resolución ","")&amp;IF($I601="","N° dictamen",""))&lt;&gt;"","INCOMPLETA: "&amp;TRIM(IF($A601="","tipo ","")&amp;IF($F601="","fecha de firma ","")&amp;IF($G601="","decisión ","")&amp;IF($H601="","N° resolución ","")&amp;IF($I601="","N° dictamen","")),IF(LEFT($N601,4)&lt;&gt;"CONC","OK",IF(N($Q601)=0,IF(AND(ISNUMBER($E601),$E601&gt;=DATE(2024,1,1)),"FALTA EN evol_conc","OK"),IF(INDEX(evol_conc!$H:$H,$Q601)&lt;&gt;$F601,"FIRMA DISTINTA EN evol_conc ("&amp;IF(INDEX(evol_conc!$H:$H,$Q601)="","vacía",DAY(INDEX(evol_conc!$H:$H,$Q601))&amp;"/"&amp;MONTH(INDEX(evol_conc!$H:$H,$Q601))&amp;"/"&amp;YEAR(INDEX(evol_conc!$H:$H,$Q601)))&amp;")",IF(INDEX(evol_conc!$G:$G,$Q601)&lt;&gt;$E601,"INGRESO DISTINTO EN evol_conc ("&amp;IF(INDEX(evol_conc!$G:$G,$Q601)="","vacía",DAY(INDEX(evol_conc!$G:$G,$Q601))&amp;"/"&amp;MONTH(INDEX(evol_conc!$G:$G,$Q601))&amp;"/"&amp;YEAR(INDEX(evol_conc!$G:$G,$Q601)))&amp;")","OK"))))))))</f>
        <v/>
      </c>
      <c r="Q601" t="str">
        <f ca="1">IF($N601="","",IFERROR(MATCH($N601,evol_conc!$P:$P,0),0))</f>
        <v/>
      </c>
    </row>
    <row r="602" spans="12:17" ht="18" hidden="1" customHeight="1" x14ac:dyDescent="0.25">
      <c r="L602" s="53" t="str">
        <f t="shared" si="18"/>
        <v/>
      </c>
      <c r="M602" s="19" t="str">
        <f t="shared" si="19"/>
        <v/>
      </c>
      <c r="N602" t="str">
        <f ca="1">IF(TRIM(SUBSTITUTE($B602,CHAR(160)," "))="","",IFERROR(IF(ISNUMBER(SEARCH("INC",$B602)),"INC",IF(ISNUMBER(SEARCH("OPI",$B602)),"OPI",IF(ISNUMBER(SEARCH("DP",$B602)),"DP","CONC")))&amp;" "&amp;TEXT(LOOKUP(9.99E+307,--MID(SUBSTITUTE($B602,CHAR(160)," "),SUMPRODUCT(MIN(FIND({0,1,2,3,4,5,6,7,8,9},SUBSTITUTE($B602,CHAR(160)," ")&amp;"0123456789"))),ROW(INDIRECT("1:6")))),"0"),"SIN NUMERO"))</f>
        <v/>
      </c>
      <c r="O602" t="str">
        <f ca="1">IF($N602="","",IF(LEFT(UPPER($P602),9)="VERIFICAR","VERIFICAR",IF(AND($H602&lt;&gt;"",COUNTIFS($N$2:$N$1000,$N602,$H$2:$H$1000,$H602)&gt;1),"DUPLICADA",IF(TRIM(IF($A602="","tipo ","")&amp;IF($F602="","fecha de firma ","")&amp;IF($G602="","decisión ","")&amp;IF($H602="","N° resolución ","")&amp;IF($I602="","N° dictamen",""))&lt;&gt;"","INCOMPLETA: "&amp;TRIM(IF($A602="","tipo ","")&amp;IF($F602="","fecha de firma ","")&amp;IF($G602="","decisión ","")&amp;IF($H602="","N° resolución ","")&amp;IF($I602="","N° dictamen","")),IF(LEFT($N602,4)&lt;&gt;"CONC","OK",IF(N($Q602)=0,IF(AND(ISNUMBER($E602),$E602&gt;=DATE(2024,1,1)),"FALTA EN evol_conc","OK"),IF(INDEX(evol_conc!$H:$H,$Q602)&lt;&gt;$F602,"FIRMA DISTINTA EN evol_conc ("&amp;IF(INDEX(evol_conc!$H:$H,$Q602)="","vacía",DAY(INDEX(evol_conc!$H:$H,$Q602))&amp;"/"&amp;MONTH(INDEX(evol_conc!$H:$H,$Q602))&amp;"/"&amp;YEAR(INDEX(evol_conc!$H:$H,$Q602)))&amp;")",IF(INDEX(evol_conc!$G:$G,$Q602)&lt;&gt;$E602,"INGRESO DISTINTO EN evol_conc ("&amp;IF(INDEX(evol_conc!$G:$G,$Q602)="","vacía",DAY(INDEX(evol_conc!$G:$G,$Q602))&amp;"/"&amp;MONTH(INDEX(evol_conc!$G:$G,$Q602))&amp;"/"&amp;YEAR(INDEX(evol_conc!$G:$G,$Q602)))&amp;")","OK"))))))))</f>
        <v/>
      </c>
      <c r="Q602" t="str">
        <f ca="1">IF($N602="","",IFERROR(MATCH($N602,evol_conc!$P:$P,0),0))</f>
        <v/>
      </c>
    </row>
    <row r="603" spans="12:17" ht="18" hidden="1" customHeight="1" x14ac:dyDescent="0.25">
      <c r="L603" s="53" t="str">
        <f t="shared" si="18"/>
        <v/>
      </c>
      <c r="M603" s="19" t="str">
        <f t="shared" si="19"/>
        <v/>
      </c>
      <c r="N603" t="str">
        <f ca="1">IF(TRIM(SUBSTITUTE($B603,CHAR(160)," "))="","",IFERROR(IF(ISNUMBER(SEARCH("INC",$B603)),"INC",IF(ISNUMBER(SEARCH("OPI",$B603)),"OPI",IF(ISNUMBER(SEARCH("DP",$B603)),"DP","CONC")))&amp;" "&amp;TEXT(LOOKUP(9.99E+307,--MID(SUBSTITUTE($B603,CHAR(160)," "),SUMPRODUCT(MIN(FIND({0,1,2,3,4,5,6,7,8,9},SUBSTITUTE($B603,CHAR(160)," ")&amp;"0123456789"))),ROW(INDIRECT("1:6")))),"0"),"SIN NUMERO"))</f>
        <v/>
      </c>
      <c r="O603" t="str">
        <f ca="1">IF($N603="","",IF(LEFT(UPPER($P603),9)="VERIFICAR","VERIFICAR",IF(AND($H603&lt;&gt;"",COUNTIFS($N$2:$N$1000,$N603,$H$2:$H$1000,$H603)&gt;1),"DUPLICADA",IF(TRIM(IF($A603="","tipo ","")&amp;IF($F603="","fecha de firma ","")&amp;IF($G603="","decisión ","")&amp;IF($H603="","N° resolución ","")&amp;IF($I603="","N° dictamen",""))&lt;&gt;"","INCOMPLETA: "&amp;TRIM(IF($A603="","tipo ","")&amp;IF($F603="","fecha de firma ","")&amp;IF($G603="","decisión ","")&amp;IF($H603="","N° resolución ","")&amp;IF($I603="","N° dictamen","")),IF(LEFT($N603,4)&lt;&gt;"CONC","OK",IF(N($Q603)=0,IF(AND(ISNUMBER($E603),$E603&gt;=DATE(2024,1,1)),"FALTA EN evol_conc","OK"),IF(INDEX(evol_conc!$H:$H,$Q603)&lt;&gt;$F603,"FIRMA DISTINTA EN evol_conc ("&amp;IF(INDEX(evol_conc!$H:$H,$Q603)="","vacía",DAY(INDEX(evol_conc!$H:$H,$Q603))&amp;"/"&amp;MONTH(INDEX(evol_conc!$H:$H,$Q603))&amp;"/"&amp;YEAR(INDEX(evol_conc!$H:$H,$Q603)))&amp;")",IF(INDEX(evol_conc!$G:$G,$Q603)&lt;&gt;$E603,"INGRESO DISTINTO EN evol_conc ("&amp;IF(INDEX(evol_conc!$G:$G,$Q603)="","vacía",DAY(INDEX(evol_conc!$G:$G,$Q603))&amp;"/"&amp;MONTH(INDEX(evol_conc!$G:$G,$Q603))&amp;"/"&amp;YEAR(INDEX(evol_conc!$G:$G,$Q603)))&amp;")","OK"))))))))</f>
        <v/>
      </c>
      <c r="Q603" t="str">
        <f ca="1">IF($N603="","",IFERROR(MATCH($N603,evol_conc!$P:$P,0),0))</f>
        <v/>
      </c>
    </row>
    <row r="604" spans="12:17" ht="18" hidden="1" customHeight="1" x14ac:dyDescent="0.25">
      <c r="L604" s="53" t="str">
        <f t="shared" si="18"/>
        <v/>
      </c>
      <c r="M604" s="19" t="str">
        <f t="shared" si="19"/>
        <v/>
      </c>
      <c r="N604" t="str">
        <f ca="1">IF(TRIM(SUBSTITUTE($B604,CHAR(160)," "))="","",IFERROR(IF(ISNUMBER(SEARCH("INC",$B604)),"INC",IF(ISNUMBER(SEARCH("OPI",$B604)),"OPI",IF(ISNUMBER(SEARCH("DP",$B604)),"DP","CONC")))&amp;" "&amp;TEXT(LOOKUP(9.99E+307,--MID(SUBSTITUTE($B604,CHAR(160)," "),SUMPRODUCT(MIN(FIND({0,1,2,3,4,5,6,7,8,9},SUBSTITUTE($B604,CHAR(160)," ")&amp;"0123456789"))),ROW(INDIRECT("1:6")))),"0"),"SIN NUMERO"))</f>
        <v/>
      </c>
      <c r="O604" t="str">
        <f ca="1">IF($N604="","",IF(LEFT(UPPER($P604),9)="VERIFICAR","VERIFICAR",IF(AND($H604&lt;&gt;"",COUNTIFS($N$2:$N$1000,$N604,$H$2:$H$1000,$H604)&gt;1),"DUPLICADA",IF(TRIM(IF($A604="","tipo ","")&amp;IF($F604="","fecha de firma ","")&amp;IF($G604="","decisión ","")&amp;IF($H604="","N° resolución ","")&amp;IF($I604="","N° dictamen",""))&lt;&gt;"","INCOMPLETA: "&amp;TRIM(IF($A604="","tipo ","")&amp;IF($F604="","fecha de firma ","")&amp;IF($G604="","decisión ","")&amp;IF($H604="","N° resolución ","")&amp;IF($I604="","N° dictamen","")),IF(LEFT($N604,4)&lt;&gt;"CONC","OK",IF(N($Q604)=0,IF(AND(ISNUMBER($E604),$E604&gt;=DATE(2024,1,1)),"FALTA EN evol_conc","OK"),IF(INDEX(evol_conc!$H:$H,$Q604)&lt;&gt;$F604,"FIRMA DISTINTA EN evol_conc ("&amp;IF(INDEX(evol_conc!$H:$H,$Q604)="","vacía",DAY(INDEX(evol_conc!$H:$H,$Q604))&amp;"/"&amp;MONTH(INDEX(evol_conc!$H:$H,$Q604))&amp;"/"&amp;YEAR(INDEX(evol_conc!$H:$H,$Q604)))&amp;")",IF(INDEX(evol_conc!$G:$G,$Q604)&lt;&gt;$E604,"INGRESO DISTINTO EN evol_conc ("&amp;IF(INDEX(evol_conc!$G:$G,$Q604)="","vacía",DAY(INDEX(evol_conc!$G:$G,$Q604))&amp;"/"&amp;MONTH(INDEX(evol_conc!$G:$G,$Q604))&amp;"/"&amp;YEAR(INDEX(evol_conc!$G:$G,$Q604)))&amp;")","OK"))))))))</f>
        <v/>
      </c>
      <c r="Q604" t="str">
        <f ca="1">IF($N604="","",IFERROR(MATCH($N604,evol_conc!$P:$P,0),0))</f>
        <v/>
      </c>
    </row>
    <row r="605" spans="12:17" ht="18" hidden="1" customHeight="1" x14ac:dyDescent="0.25">
      <c r="L605" s="53" t="str">
        <f t="shared" si="18"/>
        <v/>
      </c>
      <c r="M605" s="19" t="str">
        <f t="shared" si="19"/>
        <v/>
      </c>
      <c r="N605" t="str">
        <f ca="1">IF(TRIM(SUBSTITUTE($B605,CHAR(160)," "))="","",IFERROR(IF(ISNUMBER(SEARCH("INC",$B605)),"INC",IF(ISNUMBER(SEARCH("OPI",$B605)),"OPI",IF(ISNUMBER(SEARCH("DP",$B605)),"DP","CONC")))&amp;" "&amp;TEXT(LOOKUP(9.99E+307,--MID(SUBSTITUTE($B605,CHAR(160)," "),SUMPRODUCT(MIN(FIND({0,1,2,3,4,5,6,7,8,9},SUBSTITUTE($B605,CHAR(160)," ")&amp;"0123456789"))),ROW(INDIRECT("1:6")))),"0"),"SIN NUMERO"))</f>
        <v/>
      </c>
      <c r="O605" t="str">
        <f ca="1">IF($N605="","",IF(LEFT(UPPER($P605),9)="VERIFICAR","VERIFICAR",IF(AND($H605&lt;&gt;"",COUNTIFS($N$2:$N$1000,$N605,$H$2:$H$1000,$H605)&gt;1),"DUPLICADA",IF(TRIM(IF($A605="","tipo ","")&amp;IF($F605="","fecha de firma ","")&amp;IF($G605="","decisión ","")&amp;IF($H605="","N° resolución ","")&amp;IF($I605="","N° dictamen",""))&lt;&gt;"","INCOMPLETA: "&amp;TRIM(IF($A605="","tipo ","")&amp;IF($F605="","fecha de firma ","")&amp;IF($G605="","decisión ","")&amp;IF($H605="","N° resolución ","")&amp;IF($I605="","N° dictamen","")),IF(LEFT($N605,4)&lt;&gt;"CONC","OK",IF(N($Q605)=0,IF(AND(ISNUMBER($E605),$E605&gt;=DATE(2024,1,1)),"FALTA EN evol_conc","OK"),IF(INDEX(evol_conc!$H:$H,$Q605)&lt;&gt;$F605,"FIRMA DISTINTA EN evol_conc ("&amp;IF(INDEX(evol_conc!$H:$H,$Q605)="","vacía",DAY(INDEX(evol_conc!$H:$H,$Q605))&amp;"/"&amp;MONTH(INDEX(evol_conc!$H:$H,$Q605))&amp;"/"&amp;YEAR(INDEX(evol_conc!$H:$H,$Q605)))&amp;")",IF(INDEX(evol_conc!$G:$G,$Q605)&lt;&gt;$E605,"INGRESO DISTINTO EN evol_conc ("&amp;IF(INDEX(evol_conc!$G:$G,$Q605)="","vacía",DAY(INDEX(evol_conc!$G:$G,$Q605))&amp;"/"&amp;MONTH(INDEX(evol_conc!$G:$G,$Q605))&amp;"/"&amp;YEAR(INDEX(evol_conc!$G:$G,$Q605)))&amp;")","OK"))))))))</f>
        <v/>
      </c>
      <c r="Q605" t="str">
        <f ca="1">IF($N605="","",IFERROR(MATCH($N605,evol_conc!$P:$P,0),0))</f>
        <v/>
      </c>
    </row>
    <row r="606" spans="12:17" ht="18" hidden="1" customHeight="1" x14ac:dyDescent="0.25">
      <c r="L606" s="53" t="str">
        <f t="shared" si="18"/>
        <v/>
      </c>
      <c r="M606" s="19" t="str">
        <f t="shared" si="19"/>
        <v/>
      </c>
      <c r="N606" t="str">
        <f ca="1">IF(TRIM(SUBSTITUTE($B606,CHAR(160)," "))="","",IFERROR(IF(ISNUMBER(SEARCH("INC",$B606)),"INC",IF(ISNUMBER(SEARCH("OPI",$B606)),"OPI",IF(ISNUMBER(SEARCH("DP",$B606)),"DP","CONC")))&amp;" "&amp;TEXT(LOOKUP(9.99E+307,--MID(SUBSTITUTE($B606,CHAR(160)," "),SUMPRODUCT(MIN(FIND({0,1,2,3,4,5,6,7,8,9},SUBSTITUTE($B606,CHAR(160)," ")&amp;"0123456789"))),ROW(INDIRECT("1:6")))),"0"),"SIN NUMERO"))</f>
        <v/>
      </c>
      <c r="O606" t="str">
        <f ca="1">IF($N606="","",IF(LEFT(UPPER($P606),9)="VERIFICAR","VERIFICAR",IF(AND($H606&lt;&gt;"",COUNTIFS($N$2:$N$1000,$N606,$H$2:$H$1000,$H606)&gt;1),"DUPLICADA",IF(TRIM(IF($A606="","tipo ","")&amp;IF($F606="","fecha de firma ","")&amp;IF($G606="","decisión ","")&amp;IF($H606="","N° resolución ","")&amp;IF($I606="","N° dictamen",""))&lt;&gt;"","INCOMPLETA: "&amp;TRIM(IF($A606="","tipo ","")&amp;IF($F606="","fecha de firma ","")&amp;IF($G606="","decisión ","")&amp;IF($H606="","N° resolución ","")&amp;IF($I606="","N° dictamen","")),IF(LEFT($N606,4)&lt;&gt;"CONC","OK",IF(N($Q606)=0,IF(AND(ISNUMBER($E606),$E606&gt;=DATE(2024,1,1)),"FALTA EN evol_conc","OK"),IF(INDEX(evol_conc!$H:$H,$Q606)&lt;&gt;$F606,"FIRMA DISTINTA EN evol_conc ("&amp;IF(INDEX(evol_conc!$H:$H,$Q606)="","vacía",DAY(INDEX(evol_conc!$H:$H,$Q606))&amp;"/"&amp;MONTH(INDEX(evol_conc!$H:$H,$Q606))&amp;"/"&amp;YEAR(INDEX(evol_conc!$H:$H,$Q606)))&amp;")",IF(INDEX(evol_conc!$G:$G,$Q606)&lt;&gt;$E606,"INGRESO DISTINTO EN evol_conc ("&amp;IF(INDEX(evol_conc!$G:$G,$Q606)="","vacía",DAY(INDEX(evol_conc!$G:$G,$Q606))&amp;"/"&amp;MONTH(INDEX(evol_conc!$G:$G,$Q606))&amp;"/"&amp;YEAR(INDEX(evol_conc!$G:$G,$Q606)))&amp;")","OK"))))))))</f>
        <v/>
      </c>
      <c r="Q606" t="str">
        <f ca="1">IF($N606="","",IFERROR(MATCH($N606,evol_conc!$P:$P,0),0))</f>
        <v/>
      </c>
    </row>
    <row r="607" spans="12:17" ht="18" hidden="1" customHeight="1" x14ac:dyDescent="0.25">
      <c r="L607" s="53" t="str">
        <f t="shared" si="18"/>
        <v/>
      </c>
      <c r="M607" s="19" t="str">
        <f t="shared" si="19"/>
        <v/>
      </c>
      <c r="N607" t="str">
        <f ca="1">IF(TRIM(SUBSTITUTE($B607,CHAR(160)," "))="","",IFERROR(IF(ISNUMBER(SEARCH("INC",$B607)),"INC",IF(ISNUMBER(SEARCH("OPI",$B607)),"OPI",IF(ISNUMBER(SEARCH("DP",$B607)),"DP","CONC")))&amp;" "&amp;TEXT(LOOKUP(9.99E+307,--MID(SUBSTITUTE($B607,CHAR(160)," "),SUMPRODUCT(MIN(FIND({0,1,2,3,4,5,6,7,8,9},SUBSTITUTE($B607,CHAR(160)," ")&amp;"0123456789"))),ROW(INDIRECT("1:6")))),"0"),"SIN NUMERO"))</f>
        <v/>
      </c>
      <c r="O607" t="str">
        <f ca="1">IF($N607="","",IF(LEFT(UPPER($P607),9)="VERIFICAR","VERIFICAR",IF(AND($H607&lt;&gt;"",COUNTIFS($N$2:$N$1000,$N607,$H$2:$H$1000,$H607)&gt;1),"DUPLICADA",IF(TRIM(IF($A607="","tipo ","")&amp;IF($F607="","fecha de firma ","")&amp;IF($G607="","decisión ","")&amp;IF($H607="","N° resolución ","")&amp;IF($I607="","N° dictamen",""))&lt;&gt;"","INCOMPLETA: "&amp;TRIM(IF($A607="","tipo ","")&amp;IF($F607="","fecha de firma ","")&amp;IF($G607="","decisión ","")&amp;IF($H607="","N° resolución ","")&amp;IF($I607="","N° dictamen","")),IF(LEFT($N607,4)&lt;&gt;"CONC","OK",IF(N($Q607)=0,IF(AND(ISNUMBER($E607),$E607&gt;=DATE(2024,1,1)),"FALTA EN evol_conc","OK"),IF(INDEX(evol_conc!$H:$H,$Q607)&lt;&gt;$F607,"FIRMA DISTINTA EN evol_conc ("&amp;IF(INDEX(evol_conc!$H:$H,$Q607)="","vacía",DAY(INDEX(evol_conc!$H:$H,$Q607))&amp;"/"&amp;MONTH(INDEX(evol_conc!$H:$H,$Q607))&amp;"/"&amp;YEAR(INDEX(evol_conc!$H:$H,$Q607)))&amp;")",IF(INDEX(evol_conc!$G:$G,$Q607)&lt;&gt;$E607,"INGRESO DISTINTO EN evol_conc ("&amp;IF(INDEX(evol_conc!$G:$G,$Q607)="","vacía",DAY(INDEX(evol_conc!$G:$G,$Q607))&amp;"/"&amp;MONTH(INDEX(evol_conc!$G:$G,$Q607))&amp;"/"&amp;YEAR(INDEX(evol_conc!$G:$G,$Q607)))&amp;")","OK"))))))))</f>
        <v/>
      </c>
      <c r="Q607" t="str">
        <f ca="1">IF($N607="","",IFERROR(MATCH($N607,evol_conc!$P:$P,0),0))</f>
        <v/>
      </c>
    </row>
    <row r="608" spans="12:17" ht="18" hidden="1" customHeight="1" x14ac:dyDescent="0.25">
      <c r="L608" s="53" t="str">
        <f t="shared" si="18"/>
        <v/>
      </c>
      <c r="M608" s="19" t="str">
        <f t="shared" si="19"/>
        <v/>
      </c>
      <c r="N608" t="str">
        <f ca="1">IF(TRIM(SUBSTITUTE($B608,CHAR(160)," "))="","",IFERROR(IF(ISNUMBER(SEARCH("INC",$B608)),"INC",IF(ISNUMBER(SEARCH("OPI",$B608)),"OPI",IF(ISNUMBER(SEARCH("DP",$B608)),"DP","CONC")))&amp;" "&amp;TEXT(LOOKUP(9.99E+307,--MID(SUBSTITUTE($B608,CHAR(160)," "),SUMPRODUCT(MIN(FIND({0,1,2,3,4,5,6,7,8,9},SUBSTITUTE($B608,CHAR(160)," ")&amp;"0123456789"))),ROW(INDIRECT("1:6")))),"0"),"SIN NUMERO"))</f>
        <v/>
      </c>
      <c r="O608" t="str">
        <f ca="1">IF($N608="","",IF(LEFT(UPPER($P608),9)="VERIFICAR","VERIFICAR",IF(AND($H608&lt;&gt;"",COUNTIFS($N$2:$N$1000,$N608,$H$2:$H$1000,$H608)&gt;1),"DUPLICADA",IF(TRIM(IF($A608="","tipo ","")&amp;IF($F608="","fecha de firma ","")&amp;IF($G608="","decisión ","")&amp;IF($H608="","N° resolución ","")&amp;IF($I608="","N° dictamen",""))&lt;&gt;"","INCOMPLETA: "&amp;TRIM(IF($A608="","tipo ","")&amp;IF($F608="","fecha de firma ","")&amp;IF($G608="","decisión ","")&amp;IF($H608="","N° resolución ","")&amp;IF($I608="","N° dictamen","")),IF(LEFT($N608,4)&lt;&gt;"CONC","OK",IF(N($Q608)=0,IF(AND(ISNUMBER($E608),$E608&gt;=DATE(2024,1,1)),"FALTA EN evol_conc","OK"),IF(INDEX(evol_conc!$H:$H,$Q608)&lt;&gt;$F608,"FIRMA DISTINTA EN evol_conc ("&amp;IF(INDEX(evol_conc!$H:$H,$Q608)="","vacía",DAY(INDEX(evol_conc!$H:$H,$Q608))&amp;"/"&amp;MONTH(INDEX(evol_conc!$H:$H,$Q608))&amp;"/"&amp;YEAR(INDEX(evol_conc!$H:$H,$Q608)))&amp;")",IF(INDEX(evol_conc!$G:$G,$Q608)&lt;&gt;$E608,"INGRESO DISTINTO EN evol_conc ("&amp;IF(INDEX(evol_conc!$G:$G,$Q608)="","vacía",DAY(INDEX(evol_conc!$G:$G,$Q608))&amp;"/"&amp;MONTH(INDEX(evol_conc!$G:$G,$Q608))&amp;"/"&amp;YEAR(INDEX(evol_conc!$G:$G,$Q608)))&amp;")","OK"))))))))</f>
        <v/>
      </c>
      <c r="Q608" t="str">
        <f ca="1">IF($N608="","",IFERROR(MATCH($N608,evol_conc!$P:$P,0),0))</f>
        <v/>
      </c>
    </row>
    <row r="609" spans="12:17" ht="18" hidden="1" customHeight="1" x14ac:dyDescent="0.25">
      <c r="L609" s="53" t="str">
        <f t="shared" si="18"/>
        <v/>
      </c>
      <c r="M609" s="19" t="str">
        <f t="shared" si="19"/>
        <v/>
      </c>
      <c r="N609" t="str">
        <f ca="1">IF(TRIM(SUBSTITUTE($B609,CHAR(160)," "))="","",IFERROR(IF(ISNUMBER(SEARCH("INC",$B609)),"INC",IF(ISNUMBER(SEARCH("OPI",$B609)),"OPI",IF(ISNUMBER(SEARCH("DP",$B609)),"DP","CONC")))&amp;" "&amp;TEXT(LOOKUP(9.99E+307,--MID(SUBSTITUTE($B609,CHAR(160)," "),SUMPRODUCT(MIN(FIND({0,1,2,3,4,5,6,7,8,9},SUBSTITUTE($B609,CHAR(160)," ")&amp;"0123456789"))),ROW(INDIRECT("1:6")))),"0"),"SIN NUMERO"))</f>
        <v/>
      </c>
      <c r="O609" t="str">
        <f ca="1">IF($N609="","",IF(LEFT(UPPER($P609),9)="VERIFICAR","VERIFICAR",IF(AND($H609&lt;&gt;"",COUNTIFS($N$2:$N$1000,$N609,$H$2:$H$1000,$H609)&gt;1),"DUPLICADA",IF(TRIM(IF($A609="","tipo ","")&amp;IF($F609="","fecha de firma ","")&amp;IF($G609="","decisión ","")&amp;IF($H609="","N° resolución ","")&amp;IF($I609="","N° dictamen",""))&lt;&gt;"","INCOMPLETA: "&amp;TRIM(IF($A609="","tipo ","")&amp;IF($F609="","fecha de firma ","")&amp;IF($G609="","decisión ","")&amp;IF($H609="","N° resolución ","")&amp;IF($I609="","N° dictamen","")),IF(LEFT($N609,4)&lt;&gt;"CONC","OK",IF(N($Q609)=0,IF(AND(ISNUMBER($E609),$E609&gt;=DATE(2024,1,1)),"FALTA EN evol_conc","OK"),IF(INDEX(evol_conc!$H:$H,$Q609)&lt;&gt;$F609,"FIRMA DISTINTA EN evol_conc ("&amp;IF(INDEX(evol_conc!$H:$H,$Q609)="","vacía",DAY(INDEX(evol_conc!$H:$H,$Q609))&amp;"/"&amp;MONTH(INDEX(evol_conc!$H:$H,$Q609))&amp;"/"&amp;YEAR(INDEX(evol_conc!$H:$H,$Q609)))&amp;")",IF(INDEX(evol_conc!$G:$G,$Q609)&lt;&gt;$E609,"INGRESO DISTINTO EN evol_conc ("&amp;IF(INDEX(evol_conc!$G:$G,$Q609)="","vacía",DAY(INDEX(evol_conc!$G:$G,$Q609))&amp;"/"&amp;MONTH(INDEX(evol_conc!$G:$G,$Q609))&amp;"/"&amp;YEAR(INDEX(evol_conc!$G:$G,$Q609)))&amp;")","OK"))))))))</f>
        <v/>
      </c>
      <c r="Q609" t="str">
        <f ca="1">IF($N609="","",IFERROR(MATCH($N609,evol_conc!$P:$P,0),0))</f>
        <v/>
      </c>
    </row>
    <row r="610" spans="12:17" ht="18" hidden="1" customHeight="1" x14ac:dyDescent="0.25">
      <c r="L610" s="53" t="str">
        <f t="shared" si="18"/>
        <v/>
      </c>
      <c r="M610" s="19" t="str">
        <f t="shared" si="19"/>
        <v/>
      </c>
      <c r="N610" t="str">
        <f ca="1">IF(TRIM(SUBSTITUTE($B610,CHAR(160)," "))="","",IFERROR(IF(ISNUMBER(SEARCH("INC",$B610)),"INC",IF(ISNUMBER(SEARCH("OPI",$B610)),"OPI",IF(ISNUMBER(SEARCH("DP",$B610)),"DP","CONC")))&amp;" "&amp;TEXT(LOOKUP(9.99E+307,--MID(SUBSTITUTE($B610,CHAR(160)," "),SUMPRODUCT(MIN(FIND({0,1,2,3,4,5,6,7,8,9},SUBSTITUTE($B610,CHAR(160)," ")&amp;"0123456789"))),ROW(INDIRECT("1:6")))),"0"),"SIN NUMERO"))</f>
        <v/>
      </c>
      <c r="O610" t="str">
        <f ca="1">IF($N610="","",IF(LEFT(UPPER($P610),9)="VERIFICAR","VERIFICAR",IF(AND($H610&lt;&gt;"",COUNTIFS($N$2:$N$1000,$N610,$H$2:$H$1000,$H610)&gt;1),"DUPLICADA",IF(TRIM(IF($A610="","tipo ","")&amp;IF($F610="","fecha de firma ","")&amp;IF($G610="","decisión ","")&amp;IF($H610="","N° resolución ","")&amp;IF($I610="","N° dictamen",""))&lt;&gt;"","INCOMPLETA: "&amp;TRIM(IF($A610="","tipo ","")&amp;IF($F610="","fecha de firma ","")&amp;IF($G610="","decisión ","")&amp;IF($H610="","N° resolución ","")&amp;IF($I610="","N° dictamen","")),IF(LEFT($N610,4)&lt;&gt;"CONC","OK",IF(N($Q610)=0,IF(AND(ISNUMBER($E610),$E610&gt;=DATE(2024,1,1)),"FALTA EN evol_conc","OK"),IF(INDEX(evol_conc!$H:$H,$Q610)&lt;&gt;$F610,"FIRMA DISTINTA EN evol_conc ("&amp;IF(INDEX(evol_conc!$H:$H,$Q610)="","vacía",DAY(INDEX(evol_conc!$H:$H,$Q610))&amp;"/"&amp;MONTH(INDEX(evol_conc!$H:$H,$Q610))&amp;"/"&amp;YEAR(INDEX(evol_conc!$H:$H,$Q610)))&amp;")",IF(INDEX(evol_conc!$G:$G,$Q610)&lt;&gt;$E610,"INGRESO DISTINTO EN evol_conc ("&amp;IF(INDEX(evol_conc!$G:$G,$Q610)="","vacía",DAY(INDEX(evol_conc!$G:$G,$Q610))&amp;"/"&amp;MONTH(INDEX(evol_conc!$G:$G,$Q610))&amp;"/"&amp;YEAR(INDEX(evol_conc!$G:$G,$Q610)))&amp;")","OK"))))))))</f>
        <v/>
      </c>
      <c r="Q610" t="str">
        <f ca="1">IF($N610="","",IFERROR(MATCH($N610,evol_conc!$P:$P,0),0))</f>
        <v/>
      </c>
    </row>
    <row r="611" spans="12:17" ht="18" hidden="1" customHeight="1" x14ac:dyDescent="0.25">
      <c r="L611" s="53" t="str">
        <f t="shared" si="18"/>
        <v/>
      </c>
      <c r="M611" s="19" t="str">
        <f t="shared" si="19"/>
        <v/>
      </c>
      <c r="N611" t="str">
        <f ca="1">IF(TRIM(SUBSTITUTE($B611,CHAR(160)," "))="","",IFERROR(IF(ISNUMBER(SEARCH("INC",$B611)),"INC",IF(ISNUMBER(SEARCH("OPI",$B611)),"OPI",IF(ISNUMBER(SEARCH("DP",$B611)),"DP","CONC")))&amp;" "&amp;TEXT(LOOKUP(9.99E+307,--MID(SUBSTITUTE($B611,CHAR(160)," "),SUMPRODUCT(MIN(FIND({0,1,2,3,4,5,6,7,8,9},SUBSTITUTE($B611,CHAR(160)," ")&amp;"0123456789"))),ROW(INDIRECT("1:6")))),"0"),"SIN NUMERO"))</f>
        <v/>
      </c>
      <c r="O611" t="str">
        <f ca="1">IF($N611="","",IF(LEFT(UPPER($P611),9)="VERIFICAR","VERIFICAR",IF(AND($H611&lt;&gt;"",COUNTIFS($N$2:$N$1000,$N611,$H$2:$H$1000,$H611)&gt;1),"DUPLICADA",IF(TRIM(IF($A611="","tipo ","")&amp;IF($F611="","fecha de firma ","")&amp;IF($G611="","decisión ","")&amp;IF($H611="","N° resolución ","")&amp;IF($I611="","N° dictamen",""))&lt;&gt;"","INCOMPLETA: "&amp;TRIM(IF($A611="","tipo ","")&amp;IF($F611="","fecha de firma ","")&amp;IF($G611="","decisión ","")&amp;IF($H611="","N° resolución ","")&amp;IF($I611="","N° dictamen","")),IF(LEFT($N611,4)&lt;&gt;"CONC","OK",IF(N($Q611)=0,IF(AND(ISNUMBER($E611),$E611&gt;=DATE(2024,1,1)),"FALTA EN evol_conc","OK"),IF(INDEX(evol_conc!$H:$H,$Q611)&lt;&gt;$F611,"FIRMA DISTINTA EN evol_conc ("&amp;IF(INDEX(evol_conc!$H:$H,$Q611)="","vacía",DAY(INDEX(evol_conc!$H:$H,$Q611))&amp;"/"&amp;MONTH(INDEX(evol_conc!$H:$H,$Q611))&amp;"/"&amp;YEAR(INDEX(evol_conc!$H:$H,$Q611)))&amp;")",IF(INDEX(evol_conc!$G:$G,$Q611)&lt;&gt;$E611,"INGRESO DISTINTO EN evol_conc ("&amp;IF(INDEX(evol_conc!$G:$G,$Q611)="","vacía",DAY(INDEX(evol_conc!$G:$G,$Q611))&amp;"/"&amp;MONTH(INDEX(evol_conc!$G:$G,$Q611))&amp;"/"&amp;YEAR(INDEX(evol_conc!$G:$G,$Q611)))&amp;")","OK"))))))))</f>
        <v/>
      </c>
      <c r="Q611" t="str">
        <f ca="1">IF($N611="","",IFERROR(MATCH($N611,evol_conc!$P:$P,0),0))</f>
        <v/>
      </c>
    </row>
    <row r="612" spans="12:17" ht="18" hidden="1" customHeight="1" x14ac:dyDescent="0.25">
      <c r="L612" s="53" t="str">
        <f t="shared" si="18"/>
        <v/>
      </c>
      <c r="M612" s="19" t="str">
        <f t="shared" si="19"/>
        <v/>
      </c>
      <c r="N612" t="str">
        <f ca="1">IF(TRIM(SUBSTITUTE($B612,CHAR(160)," "))="","",IFERROR(IF(ISNUMBER(SEARCH("INC",$B612)),"INC",IF(ISNUMBER(SEARCH("OPI",$B612)),"OPI",IF(ISNUMBER(SEARCH("DP",$B612)),"DP","CONC")))&amp;" "&amp;TEXT(LOOKUP(9.99E+307,--MID(SUBSTITUTE($B612,CHAR(160)," "),SUMPRODUCT(MIN(FIND({0,1,2,3,4,5,6,7,8,9},SUBSTITUTE($B612,CHAR(160)," ")&amp;"0123456789"))),ROW(INDIRECT("1:6")))),"0"),"SIN NUMERO"))</f>
        <v/>
      </c>
      <c r="O612" t="str">
        <f ca="1">IF($N612="","",IF(LEFT(UPPER($P612),9)="VERIFICAR","VERIFICAR",IF(AND($H612&lt;&gt;"",COUNTIFS($N$2:$N$1000,$N612,$H$2:$H$1000,$H612)&gt;1),"DUPLICADA",IF(TRIM(IF($A612="","tipo ","")&amp;IF($F612="","fecha de firma ","")&amp;IF($G612="","decisión ","")&amp;IF($H612="","N° resolución ","")&amp;IF($I612="","N° dictamen",""))&lt;&gt;"","INCOMPLETA: "&amp;TRIM(IF($A612="","tipo ","")&amp;IF($F612="","fecha de firma ","")&amp;IF($G612="","decisión ","")&amp;IF($H612="","N° resolución ","")&amp;IF($I612="","N° dictamen","")),IF(LEFT($N612,4)&lt;&gt;"CONC","OK",IF(N($Q612)=0,IF(AND(ISNUMBER($E612),$E612&gt;=DATE(2024,1,1)),"FALTA EN evol_conc","OK"),IF(INDEX(evol_conc!$H:$H,$Q612)&lt;&gt;$F612,"FIRMA DISTINTA EN evol_conc ("&amp;IF(INDEX(evol_conc!$H:$H,$Q612)="","vacía",DAY(INDEX(evol_conc!$H:$H,$Q612))&amp;"/"&amp;MONTH(INDEX(evol_conc!$H:$H,$Q612))&amp;"/"&amp;YEAR(INDEX(evol_conc!$H:$H,$Q612)))&amp;")",IF(INDEX(evol_conc!$G:$G,$Q612)&lt;&gt;$E612,"INGRESO DISTINTO EN evol_conc ("&amp;IF(INDEX(evol_conc!$G:$G,$Q612)="","vacía",DAY(INDEX(evol_conc!$G:$G,$Q612))&amp;"/"&amp;MONTH(INDEX(evol_conc!$G:$G,$Q612))&amp;"/"&amp;YEAR(INDEX(evol_conc!$G:$G,$Q612)))&amp;")","OK"))))))))</f>
        <v/>
      </c>
      <c r="Q612" t="str">
        <f ca="1">IF($N612="","",IFERROR(MATCH($N612,evol_conc!$P:$P,0),0))</f>
        <v/>
      </c>
    </row>
    <row r="613" spans="12:17" ht="18" hidden="1" customHeight="1" x14ac:dyDescent="0.25">
      <c r="L613" s="53" t="str">
        <f t="shared" si="18"/>
        <v/>
      </c>
      <c r="M613" s="19" t="str">
        <f t="shared" si="19"/>
        <v/>
      </c>
      <c r="N613" t="str">
        <f ca="1">IF(TRIM(SUBSTITUTE($B613,CHAR(160)," "))="","",IFERROR(IF(ISNUMBER(SEARCH("INC",$B613)),"INC",IF(ISNUMBER(SEARCH("OPI",$B613)),"OPI",IF(ISNUMBER(SEARCH("DP",$B613)),"DP","CONC")))&amp;" "&amp;TEXT(LOOKUP(9.99E+307,--MID(SUBSTITUTE($B613,CHAR(160)," "),SUMPRODUCT(MIN(FIND({0,1,2,3,4,5,6,7,8,9},SUBSTITUTE($B613,CHAR(160)," ")&amp;"0123456789"))),ROW(INDIRECT("1:6")))),"0"),"SIN NUMERO"))</f>
        <v/>
      </c>
      <c r="O613" t="str">
        <f ca="1">IF($N613="","",IF(LEFT(UPPER($P613),9)="VERIFICAR","VERIFICAR",IF(AND($H613&lt;&gt;"",COUNTIFS($N$2:$N$1000,$N613,$H$2:$H$1000,$H613)&gt;1),"DUPLICADA",IF(TRIM(IF($A613="","tipo ","")&amp;IF($F613="","fecha de firma ","")&amp;IF($G613="","decisión ","")&amp;IF($H613="","N° resolución ","")&amp;IF($I613="","N° dictamen",""))&lt;&gt;"","INCOMPLETA: "&amp;TRIM(IF($A613="","tipo ","")&amp;IF($F613="","fecha de firma ","")&amp;IF($G613="","decisión ","")&amp;IF($H613="","N° resolución ","")&amp;IF($I613="","N° dictamen","")),IF(LEFT($N613,4)&lt;&gt;"CONC","OK",IF(N($Q613)=0,IF(AND(ISNUMBER($E613),$E613&gt;=DATE(2024,1,1)),"FALTA EN evol_conc","OK"),IF(INDEX(evol_conc!$H:$H,$Q613)&lt;&gt;$F613,"FIRMA DISTINTA EN evol_conc ("&amp;IF(INDEX(evol_conc!$H:$H,$Q613)="","vacía",DAY(INDEX(evol_conc!$H:$H,$Q613))&amp;"/"&amp;MONTH(INDEX(evol_conc!$H:$H,$Q613))&amp;"/"&amp;YEAR(INDEX(evol_conc!$H:$H,$Q613)))&amp;")",IF(INDEX(evol_conc!$G:$G,$Q613)&lt;&gt;$E613,"INGRESO DISTINTO EN evol_conc ("&amp;IF(INDEX(evol_conc!$G:$G,$Q613)="","vacía",DAY(INDEX(evol_conc!$G:$G,$Q613))&amp;"/"&amp;MONTH(INDEX(evol_conc!$G:$G,$Q613))&amp;"/"&amp;YEAR(INDEX(evol_conc!$G:$G,$Q613)))&amp;")","OK"))))))))</f>
        <v/>
      </c>
      <c r="Q613" t="str">
        <f ca="1">IF($N613="","",IFERROR(MATCH($N613,evol_conc!$P:$P,0),0))</f>
        <v/>
      </c>
    </row>
    <row r="614" spans="12:17" ht="18" hidden="1" customHeight="1" x14ac:dyDescent="0.25">
      <c r="L614" s="53" t="str">
        <f t="shared" si="18"/>
        <v/>
      </c>
      <c r="M614" s="19" t="str">
        <f t="shared" si="19"/>
        <v/>
      </c>
      <c r="N614" t="str">
        <f ca="1">IF(TRIM(SUBSTITUTE($B614,CHAR(160)," "))="","",IFERROR(IF(ISNUMBER(SEARCH("INC",$B614)),"INC",IF(ISNUMBER(SEARCH("OPI",$B614)),"OPI",IF(ISNUMBER(SEARCH("DP",$B614)),"DP","CONC")))&amp;" "&amp;TEXT(LOOKUP(9.99E+307,--MID(SUBSTITUTE($B614,CHAR(160)," "),SUMPRODUCT(MIN(FIND({0,1,2,3,4,5,6,7,8,9},SUBSTITUTE($B614,CHAR(160)," ")&amp;"0123456789"))),ROW(INDIRECT("1:6")))),"0"),"SIN NUMERO"))</f>
        <v/>
      </c>
      <c r="O614" t="str">
        <f ca="1">IF($N614="","",IF(LEFT(UPPER($P614),9)="VERIFICAR","VERIFICAR",IF(AND($H614&lt;&gt;"",COUNTIFS($N$2:$N$1000,$N614,$H$2:$H$1000,$H614)&gt;1),"DUPLICADA",IF(TRIM(IF($A614="","tipo ","")&amp;IF($F614="","fecha de firma ","")&amp;IF($G614="","decisión ","")&amp;IF($H614="","N° resolución ","")&amp;IF($I614="","N° dictamen",""))&lt;&gt;"","INCOMPLETA: "&amp;TRIM(IF($A614="","tipo ","")&amp;IF($F614="","fecha de firma ","")&amp;IF($G614="","decisión ","")&amp;IF($H614="","N° resolución ","")&amp;IF($I614="","N° dictamen","")),IF(LEFT($N614,4)&lt;&gt;"CONC","OK",IF(N($Q614)=0,IF(AND(ISNUMBER($E614),$E614&gt;=DATE(2024,1,1)),"FALTA EN evol_conc","OK"),IF(INDEX(evol_conc!$H:$H,$Q614)&lt;&gt;$F614,"FIRMA DISTINTA EN evol_conc ("&amp;IF(INDEX(evol_conc!$H:$H,$Q614)="","vacía",DAY(INDEX(evol_conc!$H:$H,$Q614))&amp;"/"&amp;MONTH(INDEX(evol_conc!$H:$H,$Q614))&amp;"/"&amp;YEAR(INDEX(evol_conc!$H:$H,$Q614)))&amp;")",IF(INDEX(evol_conc!$G:$G,$Q614)&lt;&gt;$E614,"INGRESO DISTINTO EN evol_conc ("&amp;IF(INDEX(evol_conc!$G:$G,$Q614)="","vacía",DAY(INDEX(evol_conc!$G:$G,$Q614))&amp;"/"&amp;MONTH(INDEX(evol_conc!$G:$G,$Q614))&amp;"/"&amp;YEAR(INDEX(evol_conc!$G:$G,$Q614)))&amp;")","OK"))))))))</f>
        <v/>
      </c>
      <c r="Q614" t="str">
        <f ca="1">IF($N614="","",IFERROR(MATCH($N614,evol_conc!$P:$P,0),0))</f>
        <v/>
      </c>
    </row>
    <row r="615" spans="12:17" ht="18" hidden="1" customHeight="1" x14ac:dyDescent="0.25">
      <c r="L615" s="53" t="str">
        <f t="shared" si="18"/>
        <v/>
      </c>
      <c r="M615" s="19" t="str">
        <f t="shared" si="19"/>
        <v/>
      </c>
      <c r="N615" t="str">
        <f ca="1">IF(TRIM(SUBSTITUTE($B615,CHAR(160)," "))="","",IFERROR(IF(ISNUMBER(SEARCH("INC",$B615)),"INC",IF(ISNUMBER(SEARCH("OPI",$B615)),"OPI",IF(ISNUMBER(SEARCH("DP",$B615)),"DP","CONC")))&amp;" "&amp;TEXT(LOOKUP(9.99E+307,--MID(SUBSTITUTE($B615,CHAR(160)," "),SUMPRODUCT(MIN(FIND({0,1,2,3,4,5,6,7,8,9},SUBSTITUTE($B615,CHAR(160)," ")&amp;"0123456789"))),ROW(INDIRECT("1:6")))),"0"),"SIN NUMERO"))</f>
        <v/>
      </c>
      <c r="O615" t="str">
        <f ca="1">IF($N615="","",IF(LEFT(UPPER($P615),9)="VERIFICAR","VERIFICAR",IF(AND($H615&lt;&gt;"",COUNTIFS($N$2:$N$1000,$N615,$H$2:$H$1000,$H615)&gt;1),"DUPLICADA",IF(TRIM(IF($A615="","tipo ","")&amp;IF($F615="","fecha de firma ","")&amp;IF($G615="","decisión ","")&amp;IF($H615="","N° resolución ","")&amp;IF($I615="","N° dictamen",""))&lt;&gt;"","INCOMPLETA: "&amp;TRIM(IF($A615="","tipo ","")&amp;IF($F615="","fecha de firma ","")&amp;IF($G615="","decisión ","")&amp;IF($H615="","N° resolución ","")&amp;IF($I615="","N° dictamen","")),IF(LEFT($N615,4)&lt;&gt;"CONC","OK",IF(N($Q615)=0,IF(AND(ISNUMBER($E615),$E615&gt;=DATE(2024,1,1)),"FALTA EN evol_conc","OK"),IF(INDEX(evol_conc!$H:$H,$Q615)&lt;&gt;$F615,"FIRMA DISTINTA EN evol_conc ("&amp;IF(INDEX(evol_conc!$H:$H,$Q615)="","vacía",DAY(INDEX(evol_conc!$H:$H,$Q615))&amp;"/"&amp;MONTH(INDEX(evol_conc!$H:$H,$Q615))&amp;"/"&amp;YEAR(INDEX(evol_conc!$H:$H,$Q615)))&amp;")",IF(INDEX(evol_conc!$G:$G,$Q615)&lt;&gt;$E615,"INGRESO DISTINTO EN evol_conc ("&amp;IF(INDEX(evol_conc!$G:$G,$Q615)="","vacía",DAY(INDEX(evol_conc!$G:$G,$Q615))&amp;"/"&amp;MONTH(INDEX(evol_conc!$G:$G,$Q615))&amp;"/"&amp;YEAR(INDEX(evol_conc!$G:$G,$Q615)))&amp;")","OK"))))))))</f>
        <v/>
      </c>
      <c r="Q615" t="str">
        <f ca="1">IF($N615="","",IFERROR(MATCH($N615,evol_conc!$P:$P,0),0))</f>
        <v/>
      </c>
    </row>
    <row r="616" spans="12:17" ht="18" hidden="1" customHeight="1" x14ac:dyDescent="0.25">
      <c r="L616" s="53" t="str">
        <f t="shared" si="18"/>
        <v/>
      </c>
      <c r="M616" s="19" t="str">
        <f t="shared" si="19"/>
        <v/>
      </c>
      <c r="N616" t="str">
        <f ca="1">IF(TRIM(SUBSTITUTE($B616,CHAR(160)," "))="","",IFERROR(IF(ISNUMBER(SEARCH("INC",$B616)),"INC",IF(ISNUMBER(SEARCH("OPI",$B616)),"OPI",IF(ISNUMBER(SEARCH("DP",$B616)),"DP","CONC")))&amp;" "&amp;TEXT(LOOKUP(9.99E+307,--MID(SUBSTITUTE($B616,CHAR(160)," "),SUMPRODUCT(MIN(FIND({0,1,2,3,4,5,6,7,8,9},SUBSTITUTE($B616,CHAR(160)," ")&amp;"0123456789"))),ROW(INDIRECT("1:6")))),"0"),"SIN NUMERO"))</f>
        <v/>
      </c>
      <c r="O616" t="str">
        <f ca="1">IF($N616="","",IF(LEFT(UPPER($P616),9)="VERIFICAR","VERIFICAR",IF(AND($H616&lt;&gt;"",COUNTIFS($N$2:$N$1000,$N616,$H$2:$H$1000,$H616)&gt;1),"DUPLICADA",IF(TRIM(IF($A616="","tipo ","")&amp;IF($F616="","fecha de firma ","")&amp;IF($G616="","decisión ","")&amp;IF($H616="","N° resolución ","")&amp;IF($I616="","N° dictamen",""))&lt;&gt;"","INCOMPLETA: "&amp;TRIM(IF($A616="","tipo ","")&amp;IF($F616="","fecha de firma ","")&amp;IF($G616="","decisión ","")&amp;IF($H616="","N° resolución ","")&amp;IF($I616="","N° dictamen","")),IF(LEFT($N616,4)&lt;&gt;"CONC","OK",IF(N($Q616)=0,IF(AND(ISNUMBER($E616),$E616&gt;=DATE(2024,1,1)),"FALTA EN evol_conc","OK"),IF(INDEX(evol_conc!$H:$H,$Q616)&lt;&gt;$F616,"FIRMA DISTINTA EN evol_conc ("&amp;IF(INDEX(evol_conc!$H:$H,$Q616)="","vacía",DAY(INDEX(evol_conc!$H:$H,$Q616))&amp;"/"&amp;MONTH(INDEX(evol_conc!$H:$H,$Q616))&amp;"/"&amp;YEAR(INDEX(evol_conc!$H:$H,$Q616)))&amp;")",IF(INDEX(evol_conc!$G:$G,$Q616)&lt;&gt;$E616,"INGRESO DISTINTO EN evol_conc ("&amp;IF(INDEX(evol_conc!$G:$G,$Q616)="","vacía",DAY(INDEX(evol_conc!$G:$G,$Q616))&amp;"/"&amp;MONTH(INDEX(evol_conc!$G:$G,$Q616))&amp;"/"&amp;YEAR(INDEX(evol_conc!$G:$G,$Q616)))&amp;")","OK"))))))))</f>
        <v/>
      </c>
      <c r="Q616" t="str">
        <f ca="1">IF($N616="","",IFERROR(MATCH($N616,evol_conc!$P:$P,0),0))</f>
        <v/>
      </c>
    </row>
    <row r="617" spans="12:17" ht="18" hidden="1" customHeight="1" x14ac:dyDescent="0.25">
      <c r="L617" s="53" t="str">
        <f t="shared" si="18"/>
        <v/>
      </c>
      <c r="M617" s="19" t="str">
        <f t="shared" si="19"/>
        <v/>
      </c>
      <c r="N617" t="str">
        <f ca="1">IF(TRIM(SUBSTITUTE($B617,CHAR(160)," "))="","",IFERROR(IF(ISNUMBER(SEARCH("INC",$B617)),"INC",IF(ISNUMBER(SEARCH("OPI",$B617)),"OPI",IF(ISNUMBER(SEARCH("DP",$B617)),"DP","CONC")))&amp;" "&amp;TEXT(LOOKUP(9.99E+307,--MID(SUBSTITUTE($B617,CHAR(160)," "),SUMPRODUCT(MIN(FIND({0,1,2,3,4,5,6,7,8,9},SUBSTITUTE($B617,CHAR(160)," ")&amp;"0123456789"))),ROW(INDIRECT("1:6")))),"0"),"SIN NUMERO"))</f>
        <v/>
      </c>
      <c r="O617" t="str">
        <f ca="1">IF($N617="","",IF(LEFT(UPPER($P617),9)="VERIFICAR","VERIFICAR",IF(AND($H617&lt;&gt;"",COUNTIFS($N$2:$N$1000,$N617,$H$2:$H$1000,$H617)&gt;1),"DUPLICADA",IF(TRIM(IF($A617="","tipo ","")&amp;IF($F617="","fecha de firma ","")&amp;IF($G617="","decisión ","")&amp;IF($H617="","N° resolución ","")&amp;IF($I617="","N° dictamen",""))&lt;&gt;"","INCOMPLETA: "&amp;TRIM(IF($A617="","tipo ","")&amp;IF($F617="","fecha de firma ","")&amp;IF($G617="","decisión ","")&amp;IF($H617="","N° resolución ","")&amp;IF($I617="","N° dictamen","")),IF(LEFT($N617,4)&lt;&gt;"CONC","OK",IF(N($Q617)=0,IF(AND(ISNUMBER($E617),$E617&gt;=DATE(2024,1,1)),"FALTA EN evol_conc","OK"),IF(INDEX(evol_conc!$H:$H,$Q617)&lt;&gt;$F617,"FIRMA DISTINTA EN evol_conc ("&amp;IF(INDEX(evol_conc!$H:$H,$Q617)="","vacía",DAY(INDEX(evol_conc!$H:$H,$Q617))&amp;"/"&amp;MONTH(INDEX(evol_conc!$H:$H,$Q617))&amp;"/"&amp;YEAR(INDEX(evol_conc!$H:$H,$Q617)))&amp;")",IF(INDEX(evol_conc!$G:$G,$Q617)&lt;&gt;$E617,"INGRESO DISTINTO EN evol_conc ("&amp;IF(INDEX(evol_conc!$G:$G,$Q617)="","vacía",DAY(INDEX(evol_conc!$G:$G,$Q617))&amp;"/"&amp;MONTH(INDEX(evol_conc!$G:$G,$Q617))&amp;"/"&amp;YEAR(INDEX(evol_conc!$G:$G,$Q617)))&amp;")","OK"))))))))</f>
        <v/>
      </c>
      <c r="Q617" t="str">
        <f ca="1">IF($N617="","",IFERROR(MATCH($N617,evol_conc!$P:$P,0),0))</f>
        <v/>
      </c>
    </row>
    <row r="618" spans="12:17" ht="18" hidden="1" customHeight="1" x14ac:dyDescent="0.25">
      <c r="L618" s="53" t="str">
        <f t="shared" si="18"/>
        <v/>
      </c>
      <c r="M618" s="19" t="str">
        <f t="shared" si="19"/>
        <v/>
      </c>
      <c r="N618" t="str">
        <f ca="1">IF(TRIM(SUBSTITUTE($B618,CHAR(160)," "))="","",IFERROR(IF(ISNUMBER(SEARCH("INC",$B618)),"INC",IF(ISNUMBER(SEARCH("OPI",$B618)),"OPI",IF(ISNUMBER(SEARCH("DP",$B618)),"DP","CONC")))&amp;" "&amp;TEXT(LOOKUP(9.99E+307,--MID(SUBSTITUTE($B618,CHAR(160)," "),SUMPRODUCT(MIN(FIND({0,1,2,3,4,5,6,7,8,9},SUBSTITUTE($B618,CHAR(160)," ")&amp;"0123456789"))),ROW(INDIRECT("1:6")))),"0"),"SIN NUMERO"))</f>
        <v/>
      </c>
      <c r="O618" t="str">
        <f ca="1">IF($N618="","",IF(LEFT(UPPER($P618),9)="VERIFICAR","VERIFICAR",IF(AND($H618&lt;&gt;"",COUNTIFS($N$2:$N$1000,$N618,$H$2:$H$1000,$H618)&gt;1),"DUPLICADA",IF(TRIM(IF($A618="","tipo ","")&amp;IF($F618="","fecha de firma ","")&amp;IF($G618="","decisión ","")&amp;IF($H618="","N° resolución ","")&amp;IF($I618="","N° dictamen",""))&lt;&gt;"","INCOMPLETA: "&amp;TRIM(IF($A618="","tipo ","")&amp;IF($F618="","fecha de firma ","")&amp;IF($G618="","decisión ","")&amp;IF($H618="","N° resolución ","")&amp;IF($I618="","N° dictamen","")),IF(LEFT($N618,4)&lt;&gt;"CONC","OK",IF(N($Q618)=0,IF(AND(ISNUMBER($E618),$E618&gt;=DATE(2024,1,1)),"FALTA EN evol_conc","OK"),IF(INDEX(evol_conc!$H:$H,$Q618)&lt;&gt;$F618,"FIRMA DISTINTA EN evol_conc ("&amp;IF(INDEX(evol_conc!$H:$H,$Q618)="","vacía",DAY(INDEX(evol_conc!$H:$H,$Q618))&amp;"/"&amp;MONTH(INDEX(evol_conc!$H:$H,$Q618))&amp;"/"&amp;YEAR(INDEX(evol_conc!$H:$H,$Q618)))&amp;")",IF(INDEX(evol_conc!$G:$G,$Q618)&lt;&gt;$E618,"INGRESO DISTINTO EN evol_conc ("&amp;IF(INDEX(evol_conc!$G:$G,$Q618)="","vacía",DAY(INDEX(evol_conc!$G:$G,$Q618))&amp;"/"&amp;MONTH(INDEX(evol_conc!$G:$G,$Q618))&amp;"/"&amp;YEAR(INDEX(evol_conc!$G:$G,$Q618)))&amp;")","OK"))))))))</f>
        <v/>
      </c>
      <c r="Q618" t="str">
        <f ca="1">IF($N618="","",IFERROR(MATCH($N618,evol_conc!$P:$P,0),0))</f>
        <v/>
      </c>
    </row>
    <row r="619" spans="12:17" ht="18" hidden="1" customHeight="1" x14ac:dyDescent="0.25">
      <c r="L619" s="53" t="str">
        <f t="shared" si="18"/>
        <v/>
      </c>
      <c r="M619" s="19" t="str">
        <f t="shared" si="19"/>
        <v/>
      </c>
      <c r="N619" t="str">
        <f ca="1">IF(TRIM(SUBSTITUTE($B619,CHAR(160)," "))="","",IFERROR(IF(ISNUMBER(SEARCH("INC",$B619)),"INC",IF(ISNUMBER(SEARCH("OPI",$B619)),"OPI",IF(ISNUMBER(SEARCH("DP",$B619)),"DP","CONC")))&amp;" "&amp;TEXT(LOOKUP(9.99E+307,--MID(SUBSTITUTE($B619,CHAR(160)," "),SUMPRODUCT(MIN(FIND({0,1,2,3,4,5,6,7,8,9},SUBSTITUTE($B619,CHAR(160)," ")&amp;"0123456789"))),ROW(INDIRECT("1:6")))),"0"),"SIN NUMERO"))</f>
        <v/>
      </c>
      <c r="O619" t="str">
        <f ca="1">IF($N619="","",IF(LEFT(UPPER($P619),9)="VERIFICAR","VERIFICAR",IF(AND($H619&lt;&gt;"",COUNTIFS($N$2:$N$1000,$N619,$H$2:$H$1000,$H619)&gt;1),"DUPLICADA",IF(TRIM(IF($A619="","tipo ","")&amp;IF($F619="","fecha de firma ","")&amp;IF($G619="","decisión ","")&amp;IF($H619="","N° resolución ","")&amp;IF($I619="","N° dictamen",""))&lt;&gt;"","INCOMPLETA: "&amp;TRIM(IF($A619="","tipo ","")&amp;IF($F619="","fecha de firma ","")&amp;IF($G619="","decisión ","")&amp;IF($H619="","N° resolución ","")&amp;IF($I619="","N° dictamen","")),IF(LEFT($N619,4)&lt;&gt;"CONC","OK",IF(N($Q619)=0,IF(AND(ISNUMBER($E619),$E619&gt;=DATE(2024,1,1)),"FALTA EN evol_conc","OK"),IF(INDEX(evol_conc!$H:$H,$Q619)&lt;&gt;$F619,"FIRMA DISTINTA EN evol_conc ("&amp;IF(INDEX(evol_conc!$H:$H,$Q619)="","vacía",DAY(INDEX(evol_conc!$H:$H,$Q619))&amp;"/"&amp;MONTH(INDEX(evol_conc!$H:$H,$Q619))&amp;"/"&amp;YEAR(INDEX(evol_conc!$H:$H,$Q619)))&amp;")",IF(INDEX(evol_conc!$G:$G,$Q619)&lt;&gt;$E619,"INGRESO DISTINTO EN evol_conc ("&amp;IF(INDEX(evol_conc!$G:$G,$Q619)="","vacía",DAY(INDEX(evol_conc!$G:$G,$Q619))&amp;"/"&amp;MONTH(INDEX(evol_conc!$G:$G,$Q619))&amp;"/"&amp;YEAR(INDEX(evol_conc!$G:$G,$Q619)))&amp;")","OK"))))))))</f>
        <v/>
      </c>
      <c r="Q619" t="str">
        <f ca="1">IF($N619="","",IFERROR(MATCH($N619,evol_conc!$P:$P,0),0))</f>
        <v/>
      </c>
    </row>
    <row r="620" spans="12:17" ht="18" hidden="1" customHeight="1" x14ac:dyDescent="0.25">
      <c r="L620" s="53" t="str">
        <f t="shared" si="18"/>
        <v/>
      </c>
      <c r="M620" s="19" t="str">
        <f t="shared" si="19"/>
        <v/>
      </c>
      <c r="N620" t="str">
        <f ca="1">IF(TRIM(SUBSTITUTE($B620,CHAR(160)," "))="","",IFERROR(IF(ISNUMBER(SEARCH("INC",$B620)),"INC",IF(ISNUMBER(SEARCH("OPI",$B620)),"OPI",IF(ISNUMBER(SEARCH("DP",$B620)),"DP","CONC")))&amp;" "&amp;TEXT(LOOKUP(9.99E+307,--MID(SUBSTITUTE($B620,CHAR(160)," "),SUMPRODUCT(MIN(FIND({0,1,2,3,4,5,6,7,8,9},SUBSTITUTE($B620,CHAR(160)," ")&amp;"0123456789"))),ROW(INDIRECT("1:6")))),"0"),"SIN NUMERO"))</f>
        <v/>
      </c>
      <c r="O620" t="str">
        <f ca="1">IF($N620="","",IF(LEFT(UPPER($P620),9)="VERIFICAR","VERIFICAR",IF(AND($H620&lt;&gt;"",COUNTIFS($N$2:$N$1000,$N620,$H$2:$H$1000,$H620)&gt;1),"DUPLICADA",IF(TRIM(IF($A620="","tipo ","")&amp;IF($F620="","fecha de firma ","")&amp;IF($G620="","decisión ","")&amp;IF($H620="","N° resolución ","")&amp;IF($I620="","N° dictamen",""))&lt;&gt;"","INCOMPLETA: "&amp;TRIM(IF($A620="","tipo ","")&amp;IF($F620="","fecha de firma ","")&amp;IF($G620="","decisión ","")&amp;IF($H620="","N° resolución ","")&amp;IF($I620="","N° dictamen","")),IF(LEFT($N620,4)&lt;&gt;"CONC","OK",IF(N($Q620)=0,IF(AND(ISNUMBER($E620),$E620&gt;=DATE(2024,1,1)),"FALTA EN evol_conc","OK"),IF(INDEX(evol_conc!$H:$H,$Q620)&lt;&gt;$F620,"FIRMA DISTINTA EN evol_conc ("&amp;IF(INDEX(evol_conc!$H:$H,$Q620)="","vacía",DAY(INDEX(evol_conc!$H:$H,$Q620))&amp;"/"&amp;MONTH(INDEX(evol_conc!$H:$H,$Q620))&amp;"/"&amp;YEAR(INDEX(evol_conc!$H:$H,$Q620)))&amp;")",IF(INDEX(evol_conc!$G:$G,$Q620)&lt;&gt;$E620,"INGRESO DISTINTO EN evol_conc ("&amp;IF(INDEX(evol_conc!$G:$G,$Q620)="","vacía",DAY(INDEX(evol_conc!$G:$G,$Q620))&amp;"/"&amp;MONTH(INDEX(evol_conc!$G:$G,$Q620))&amp;"/"&amp;YEAR(INDEX(evol_conc!$G:$G,$Q620)))&amp;")","OK"))))))))</f>
        <v/>
      </c>
      <c r="Q620" t="str">
        <f ca="1">IF($N620="","",IFERROR(MATCH($N620,evol_conc!$P:$P,0),0))</f>
        <v/>
      </c>
    </row>
    <row r="621" spans="12:17" ht="18" hidden="1" customHeight="1" x14ac:dyDescent="0.25">
      <c r="L621" s="53" t="str">
        <f t="shared" si="18"/>
        <v/>
      </c>
      <c r="M621" s="19" t="str">
        <f t="shared" si="19"/>
        <v/>
      </c>
      <c r="N621" t="str">
        <f ca="1">IF(TRIM(SUBSTITUTE($B621,CHAR(160)," "))="","",IFERROR(IF(ISNUMBER(SEARCH("INC",$B621)),"INC",IF(ISNUMBER(SEARCH("OPI",$B621)),"OPI",IF(ISNUMBER(SEARCH("DP",$B621)),"DP","CONC")))&amp;" "&amp;TEXT(LOOKUP(9.99E+307,--MID(SUBSTITUTE($B621,CHAR(160)," "),SUMPRODUCT(MIN(FIND({0,1,2,3,4,5,6,7,8,9},SUBSTITUTE($B621,CHAR(160)," ")&amp;"0123456789"))),ROW(INDIRECT("1:6")))),"0"),"SIN NUMERO"))</f>
        <v/>
      </c>
      <c r="O621" t="str">
        <f ca="1">IF($N621="","",IF(LEFT(UPPER($P621),9)="VERIFICAR","VERIFICAR",IF(AND($H621&lt;&gt;"",COUNTIFS($N$2:$N$1000,$N621,$H$2:$H$1000,$H621)&gt;1),"DUPLICADA",IF(TRIM(IF($A621="","tipo ","")&amp;IF($F621="","fecha de firma ","")&amp;IF($G621="","decisión ","")&amp;IF($H621="","N° resolución ","")&amp;IF($I621="","N° dictamen",""))&lt;&gt;"","INCOMPLETA: "&amp;TRIM(IF($A621="","tipo ","")&amp;IF($F621="","fecha de firma ","")&amp;IF($G621="","decisión ","")&amp;IF($H621="","N° resolución ","")&amp;IF($I621="","N° dictamen","")),IF(LEFT($N621,4)&lt;&gt;"CONC","OK",IF(N($Q621)=0,IF(AND(ISNUMBER($E621),$E621&gt;=DATE(2024,1,1)),"FALTA EN evol_conc","OK"),IF(INDEX(evol_conc!$H:$H,$Q621)&lt;&gt;$F621,"FIRMA DISTINTA EN evol_conc ("&amp;IF(INDEX(evol_conc!$H:$H,$Q621)="","vacía",DAY(INDEX(evol_conc!$H:$H,$Q621))&amp;"/"&amp;MONTH(INDEX(evol_conc!$H:$H,$Q621))&amp;"/"&amp;YEAR(INDEX(evol_conc!$H:$H,$Q621)))&amp;")",IF(INDEX(evol_conc!$G:$G,$Q621)&lt;&gt;$E621,"INGRESO DISTINTO EN evol_conc ("&amp;IF(INDEX(evol_conc!$G:$G,$Q621)="","vacía",DAY(INDEX(evol_conc!$G:$G,$Q621))&amp;"/"&amp;MONTH(INDEX(evol_conc!$G:$G,$Q621))&amp;"/"&amp;YEAR(INDEX(evol_conc!$G:$G,$Q621)))&amp;")","OK"))))))))</f>
        <v/>
      </c>
      <c r="Q621" t="str">
        <f ca="1">IF($N621="","",IFERROR(MATCH($N621,evol_conc!$P:$P,0),0))</f>
        <v/>
      </c>
    </row>
    <row r="622" spans="12:17" ht="18" hidden="1" customHeight="1" x14ac:dyDescent="0.25">
      <c r="L622" s="53" t="str">
        <f t="shared" si="18"/>
        <v/>
      </c>
      <c r="M622" s="19" t="str">
        <f t="shared" si="19"/>
        <v/>
      </c>
      <c r="N622" t="str">
        <f ca="1">IF(TRIM(SUBSTITUTE($B622,CHAR(160)," "))="","",IFERROR(IF(ISNUMBER(SEARCH("INC",$B622)),"INC",IF(ISNUMBER(SEARCH("OPI",$B622)),"OPI",IF(ISNUMBER(SEARCH("DP",$B622)),"DP","CONC")))&amp;" "&amp;TEXT(LOOKUP(9.99E+307,--MID(SUBSTITUTE($B622,CHAR(160)," "),SUMPRODUCT(MIN(FIND({0,1,2,3,4,5,6,7,8,9},SUBSTITUTE($B622,CHAR(160)," ")&amp;"0123456789"))),ROW(INDIRECT("1:6")))),"0"),"SIN NUMERO"))</f>
        <v/>
      </c>
      <c r="O622" t="str">
        <f ca="1">IF($N622="","",IF(LEFT(UPPER($P622),9)="VERIFICAR","VERIFICAR",IF(AND($H622&lt;&gt;"",COUNTIFS($N$2:$N$1000,$N622,$H$2:$H$1000,$H622)&gt;1),"DUPLICADA",IF(TRIM(IF($A622="","tipo ","")&amp;IF($F622="","fecha de firma ","")&amp;IF($G622="","decisión ","")&amp;IF($H622="","N° resolución ","")&amp;IF($I622="","N° dictamen",""))&lt;&gt;"","INCOMPLETA: "&amp;TRIM(IF($A622="","tipo ","")&amp;IF($F622="","fecha de firma ","")&amp;IF($G622="","decisión ","")&amp;IF($H622="","N° resolución ","")&amp;IF($I622="","N° dictamen","")),IF(LEFT($N622,4)&lt;&gt;"CONC","OK",IF(N($Q622)=0,IF(AND(ISNUMBER($E622),$E622&gt;=DATE(2024,1,1)),"FALTA EN evol_conc","OK"),IF(INDEX(evol_conc!$H:$H,$Q622)&lt;&gt;$F622,"FIRMA DISTINTA EN evol_conc ("&amp;IF(INDEX(evol_conc!$H:$H,$Q622)="","vacía",DAY(INDEX(evol_conc!$H:$H,$Q622))&amp;"/"&amp;MONTH(INDEX(evol_conc!$H:$H,$Q622))&amp;"/"&amp;YEAR(INDEX(evol_conc!$H:$H,$Q622)))&amp;")",IF(INDEX(evol_conc!$G:$G,$Q622)&lt;&gt;$E622,"INGRESO DISTINTO EN evol_conc ("&amp;IF(INDEX(evol_conc!$G:$G,$Q622)="","vacía",DAY(INDEX(evol_conc!$G:$G,$Q622))&amp;"/"&amp;MONTH(INDEX(evol_conc!$G:$G,$Q622))&amp;"/"&amp;YEAR(INDEX(evol_conc!$G:$G,$Q622)))&amp;")","OK"))))))))</f>
        <v/>
      </c>
      <c r="Q622" t="str">
        <f ca="1">IF($N622="","",IFERROR(MATCH($N622,evol_conc!$P:$P,0),0))</f>
        <v/>
      </c>
    </row>
    <row r="623" spans="12:17" ht="18" hidden="1" customHeight="1" x14ac:dyDescent="0.25">
      <c r="L623" s="53" t="str">
        <f t="shared" si="18"/>
        <v/>
      </c>
      <c r="M623" s="19" t="str">
        <f t="shared" si="19"/>
        <v/>
      </c>
      <c r="N623" t="str">
        <f ca="1">IF(TRIM(SUBSTITUTE($B623,CHAR(160)," "))="","",IFERROR(IF(ISNUMBER(SEARCH("INC",$B623)),"INC",IF(ISNUMBER(SEARCH("OPI",$B623)),"OPI",IF(ISNUMBER(SEARCH("DP",$B623)),"DP","CONC")))&amp;" "&amp;TEXT(LOOKUP(9.99E+307,--MID(SUBSTITUTE($B623,CHAR(160)," "),SUMPRODUCT(MIN(FIND({0,1,2,3,4,5,6,7,8,9},SUBSTITUTE($B623,CHAR(160)," ")&amp;"0123456789"))),ROW(INDIRECT("1:6")))),"0"),"SIN NUMERO"))</f>
        <v/>
      </c>
      <c r="O623" t="str">
        <f ca="1">IF($N623="","",IF(LEFT(UPPER($P623),9)="VERIFICAR","VERIFICAR",IF(AND($H623&lt;&gt;"",COUNTIFS($N$2:$N$1000,$N623,$H$2:$H$1000,$H623)&gt;1),"DUPLICADA",IF(TRIM(IF($A623="","tipo ","")&amp;IF($F623="","fecha de firma ","")&amp;IF($G623="","decisión ","")&amp;IF($H623="","N° resolución ","")&amp;IF($I623="","N° dictamen",""))&lt;&gt;"","INCOMPLETA: "&amp;TRIM(IF($A623="","tipo ","")&amp;IF($F623="","fecha de firma ","")&amp;IF($G623="","decisión ","")&amp;IF($H623="","N° resolución ","")&amp;IF($I623="","N° dictamen","")),IF(LEFT($N623,4)&lt;&gt;"CONC","OK",IF(N($Q623)=0,IF(AND(ISNUMBER($E623),$E623&gt;=DATE(2024,1,1)),"FALTA EN evol_conc","OK"),IF(INDEX(evol_conc!$H:$H,$Q623)&lt;&gt;$F623,"FIRMA DISTINTA EN evol_conc ("&amp;IF(INDEX(evol_conc!$H:$H,$Q623)="","vacía",DAY(INDEX(evol_conc!$H:$H,$Q623))&amp;"/"&amp;MONTH(INDEX(evol_conc!$H:$H,$Q623))&amp;"/"&amp;YEAR(INDEX(evol_conc!$H:$H,$Q623)))&amp;")",IF(INDEX(evol_conc!$G:$G,$Q623)&lt;&gt;$E623,"INGRESO DISTINTO EN evol_conc ("&amp;IF(INDEX(evol_conc!$G:$G,$Q623)="","vacía",DAY(INDEX(evol_conc!$G:$G,$Q623))&amp;"/"&amp;MONTH(INDEX(evol_conc!$G:$G,$Q623))&amp;"/"&amp;YEAR(INDEX(evol_conc!$G:$G,$Q623)))&amp;")","OK"))))))))</f>
        <v/>
      </c>
      <c r="Q623" t="str">
        <f ca="1">IF($N623="","",IFERROR(MATCH($N623,evol_conc!$P:$P,0),0))</f>
        <v/>
      </c>
    </row>
    <row r="624" spans="12:17" ht="18" hidden="1" customHeight="1" x14ac:dyDescent="0.25">
      <c r="L624" s="53" t="str">
        <f t="shared" si="18"/>
        <v/>
      </c>
      <c r="M624" s="19" t="str">
        <f t="shared" si="19"/>
        <v/>
      </c>
      <c r="N624" t="str">
        <f ca="1">IF(TRIM(SUBSTITUTE($B624,CHAR(160)," "))="","",IFERROR(IF(ISNUMBER(SEARCH("INC",$B624)),"INC",IF(ISNUMBER(SEARCH("OPI",$B624)),"OPI",IF(ISNUMBER(SEARCH("DP",$B624)),"DP","CONC")))&amp;" "&amp;TEXT(LOOKUP(9.99E+307,--MID(SUBSTITUTE($B624,CHAR(160)," "),SUMPRODUCT(MIN(FIND({0,1,2,3,4,5,6,7,8,9},SUBSTITUTE($B624,CHAR(160)," ")&amp;"0123456789"))),ROW(INDIRECT("1:6")))),"0"),"SIN NUMERO"))</f>
        <v/>
      </c>
      <c r="O624" t="str">
        <f ca="1">IF($N624="","",IF(LEFT(UPPER($P624),9)="VERIFICAR","VERIFICAR",IF(AND($H624&lt;&gt;"",COUNTIFS($N$2:$N$1000,$N624,$H$2:$H$1000,$H624)&gt;1),"DUPLICADA",IF(TRIM(IF($A624="","tipo ","")&amp;IF($F624="","fecha de firma ","")&amp;IF($G624="","decisión ","")&amp;IF($H624="","N° resolución ","")&amp;IF($I624="","N° dictamen",""))&lt;&gt;"","INCOMPLETA: "&amp;TRIM(IF($A624="","tipo ","")&amp;IF($F624="","fecha de firma ","")&amp;IF($G624="","decisión ","")&amp;IF($H624="","N° resolución ","")&amp;IF($I624="","N° dictamen","")),IF(LEFT($N624,4)&lt;&gt;"CONC","OK",IF(N($Q624)=0,IF(AND(ISNUMBER($E624),$E624&gt;=DATE(2024,1,1)),"FALTA EN evol_conc","OK"),IF(INDEX(evol_conc!$H:$H,$Q624)&lt;&gt;$F624,"FIRMA DISTINTA EN evol_conc ("&amp;IF(INDEX(evol_conc!$H:$H,$Q624)="","vacía",DAY(INDEX(evol_conc!$H:$H,$Q624))&amp;"/"&amp;MONTH(INDEX(evol_conc!$H:$H,$Q624))&amp;"/"&amp;YEAR(INDEX(evol_conc!$H:$H,$Q624)))&amp;")",IF(INDEX(evol_conc!$G:$G,$Q624)&lt;&gt;$E624,"INGRESO DISTINTO EN evol_conc ("&amp;IF(INDEX(evol_conc!$G:$G,$Q624)="","vacía",DAY(INDEX(evol_conc!$G:$G,$Q624))&amp;"/"&amp;MONTH(INDEX(evol_conc!$G:$G,$Q624))&amp;"/"&amp;YEAR(INDEX(evol_conc!$G:$G,$Q624)))&amp;")","OK"))))))))</f>
        <v/>
      </c>
      <c r="Q624" t="str">
        <f ca="1">IF($N624="","",IFERROR(MATCH($N624,evol_conc!$P:$P,0),0))</f>
        <v/>
      </c>
    </row>
    <row r="625" spans="12:17" ht="18" hidden="1" customHeight="1" x14ac:dyDescent="0.25">
      <c r="L625" s="53" t="str">
        <f t="shared" si="18"/>
        <v/>
      </c>
      <c r="M625" s="19" t="str">
        <f t="shared" si="19"/>
        <v/>
      </c>
      <c r="N625" t="str">
        <f ca="1">IF(TRIM(SUBSTITUTE($B625,CHAR(160)," "))="","",IFERROR(IF(ISNUMBER(SEARCH("INC",$B625)),"INC",IF(ISNUMBER(SEARCH("OPI",$B625)),"OPI",IF(ISNUMBER(SEARCH("DP",$B625)),"DP","CONC")))&amp;" "&amp;TEXT(LOOKUP(9.99E+307,--MID(SUBSTITUTE($B625,CHAR(160)," "),SUMPRODUCT(MIN(FIND({0,1,2,3,4,5,6,7,8,9},SUBSTITUTE($B625,CHAR(160)," ")&amp;"0123456789"))),ROW(INDIRECT("1:6")))),"0"),"SIN NUMERO"))</f>
        <v/>
      </c>
      <c r="O625" t="str">
        <f ca="1">IF($N625="","",IF(LEFT(UPPER($P625),9)="VERIFICAR","VERIFICAR",IF(AND($H625&lt;&gt;"",COUNTIFS($N$2:$N$1000,$N625,$H$2:$H$1000,$H625)&gt;1),"DUPLICADA",IF(TRIM(IF($A625="","tipo ","")&amp;IF($F625="","fecha de firma ","")&amp;IF($G625="","decisión ","")&amp;IF($H625="","N° resolución ","")&amp;IF($I625="","N° dictamen",""))&lt;&gt;"","INCOMPLETA: "&amp;TRIM(IF($A625="","tipo ","")&amp;IF($F625="","fecha de firma ","")&amp;IF($G625="","decisión ","")&amp;IF($H625="","N° resolución ","")&amp;IF($I625="","N° dictamen","")),IF(LEFT($N625,4)&lt;&gt;"CONC","OK",IF(N($Q625)=0,IF(AND(ISNUMBER($E625),$E625&gt;=DATE(2024,1,1)),"FALTA EN evol_conc","OK"),IF(INDEX(evol_conc!$H:$H,$Q625)&lt;&gt;$F625,"FIRMA DISTINTA EN evol_conc ("&amp;IF(INDEX(evol_conc!$H:$H,$Q625)="","vacía",DAY(INDEX(evol_conc!$H:$H,$Q625))&amp;"/"&amp;MONTH(INDEX(evol_conc!$H:$H,$Q625))&amp;"/"&amp;YEAR(INDEX(evol_conc!$H:$H,$Q625)))&amp;")",IF(INDEX(evol_conc!$G:$G,$Q625)&lt;&gt;$E625,"INGRESO DISTINTO EN evol_conc ("&amp;IF(INDEX(evol_conc!$G:$G,$Q625)="","vacía",DAY(INDEX(evol_conc!$G:$G,$Q625))&amp;"/"&amp;MONTH(INDEX(evol_conc!$G:$G,$Q625))&amp;"/"&amp;YEAR(INDEX(evol_conc!$G:$G,$Q625)))&amp;")","OK"))))))))</f>
        <v/>
      </c>
      <c r="Q625" t="str">
        <f ca="1">IF($N625="","",IFERROR(MATCH($N625,evol_conc!$P:$P,0),0))</f>
        <v/>
      </c>
    </row>
    <row r="626" spans="12:17" ht="18" hidden="1" customHeight="1" x14ac:dyDescent="0.25">
      <c r="L626" s="53" t="str">
        <f t="shared" si="18"/>
        <v/>
      </c>
      <c r="M626" s="19" t="str">
        <f t="shared" si="19"/>
        <v/>
      </c>
      <c r="N626" t="str">
        <f ca="1">IF(TRIM(SUBSTITUTE($B626,CHAR(160)," "))="","",IFERROR(IF(ISNUMBER(SEARCH("INC",$B626)),"INC",IF(ISNUMBER(SEARCH("OPI",$B626)),"OPI",IF(ISNUMBER(SEARCH("DP",$B626)),"DP","CONC")))&amp;" "&amp;TEXT(LOOKUP(9.99E+307,--MID(SUBSTITUTE($B626,CHAR(160)," "),SUMPRODUCT(MIN(FIND({0,1,2,3,4,5,6,7,8,9},SUBSTITUTE($B626,CHAR(160)," ")&amp;"0123456789"))),ROW(INDIRECT("1:6")))),"0"),"SIN NUMERO"))</f>
        <v/>
      </c>
      <c r="O626" t="str">
        <f ca="1">IF($N626="","",IF(LEFT(UPPER($P626),9)="VERIFICAR","VERIFICAR",IF(AND($H626&lt;&gt;"",COUNTIFS($N$2:$N$1000,$N626,$H$2:$H$1000,$H626)&gt;1),"DUPLICADA",IF(TRIM(IF($A626="","tipo ","")&amp;IF($F626="","fecha de firma ","")&amp;IF($G626="","decisión ","")&amp;IF($H626="","N° resolución ","")&amp;IF($I626="","N° dictamen",""))&lt;&gt;"","INCOMPLETA: "&amp;TRIM(IF($A626="","tipo ","")&amp;IF($F626="","fecha de firma ","")&amp;IF($G626="","decisión ","")&amp;IF($H626="","N° resolución ","")&amp;IF($I626="","N° dictamen","")),IF(LEFT($N626,4)&lt;&gt;"CONC","OK",IF(N($Q626)=0,IF(AND(ISNUMBER($E626),$E626&gt;=DATE(2024,1,1)),"FALTA EN evol_conc","OK"),IF(INDEX(evol_conc!$H:$H,$Q626)&lt;&gt;$F626,"FIRMA DISTINTA EN evol_conc ("&amp;IF(INDEX(evol_conc!$H:$H,$Q626)="","vacía",DAY(INDEX(evol_conc!$H:$H,$Q626))&amp;"/"&amp;MONTH(INDEX(evol_conc!$H:$H,$Q626))&amp;"/"&amp;YEAR(INDEX(evol_conc!$H:$H,$Q626)))&amp;")",IF(INDEX(evol_conc!$G:$G,$Q626)&lt;&gt;$E626,"INGRESO DISTINTO EN evol_conc ("&amp;IF(INDEX(evol_conc!$G:$G,$Q626)="","vacía",DAY(INDEX(evol_conc!$G:$G,$Q626))&amp;"/"&amp;MONTH(INDEX(evol_conc!$G:$G,$Q626))&amp;"/"&amp;YEAR(INDEX(evol_conc!$G:$G,$Q626)))&amp;")","OK"))))))))</f>
        <v/>
      </c>
      <c r="Q626" t="str">
        <f ca="1">IF($N626="","",IFERROR(MATCH($N626,evol_conc!$P:$P,0),0))</f>
        <v/>
      </c>
    </row>
    <row r="627" spans="12:17" ht="18" hidden="1" customHeight="1" x14ac:dyDescent="0.25">
      <c r="L627" s="53" t="str">
        <f t="shared" si="18"/>
        <v/>
      </c>
      <c r="M627" s="19" t="str">
        <f t="shared" si="19"/>
        <v/>
      </c>
      <c r="N627" t="str">
        <f ca="1">IF(TRIM(SUBSTITUTE($B627,CHAR(160)," "))="","",IFERROR(IF(ISNUMBER(SEARCH("INC",$B627)),"INC",IF(ISNUMBER(SEARCH("OPI",$B627)),"OPI",IF(ISNUMBER(SEARCH("DP",$B627)),"DP","CONC")))&amp;" "&amp;TEXT(LOOKUP(9.99E+307,--MID(SUBSTITUTE($B627,CHAR(160)," "),SUMPRODUCT(MIN(FIND({0,1,2,3,4,5,6,7,8,9},SUBSTITUTE($B627,CHAR(160)," ")&amp;"0123456789"))),ROW(INDIRECT("1:6")))),"0"),"SIN NUMERO"))</f>
        <v/>
      </c>
      <c r="O627" t="str">
        <f ca="1">IF($N627="","",IF(LEFT(UPPER($P627),9)="VERIFICAR","VERIFICAR",IF(AND($H627&lt;&gt;"",COUNTIFS($N$2:$N$1000,$N627,$H$2:$H$1000,$H627)&gt;1),"DUPLICADA",IF(TRIM(IF($A627="","tipo ","")&amp;IF($F627="","fecha de firma ","")&amp;IF($G627="","decisión ","")&amp;IF($H627="","N° resolución ","")&amp;IF($I627="","N° dictamen",""))&lt;&gt;"","INCOMPLETA: "&amp;TRIM(IF($A627="","tipo ","")&amp;IF($F627="","fecha de firma ","")&amp;IF($G627="","decisión ","")&amp;IF($H627="","N° resolución ","")&amp;IF($I627="","N° dictamen","")),IF(LEFT($N627,4)&lt;&gt;"CONC","OK",IF(N($Q627)=0,IF(AND(ISNUMBER($E627),$E627&gt;=DATE(2024,1,1)),"FALTA EN evol_conc","OK"),IF(INDEX(evol_conc!$H:$H,$Q627)&lt;&gt;$F627,"FIRMA DISTINTA EN evol_conc ("&amp;IF(INDEX(evol_conc!$H:$H,$Q627)="","vacía",DAY(INDEX(evol_conc!$H:$H,$Q627))&amp;"/"&amp;MONTH(INDEX(evol_conc!$H:$H,$Q627))&amp;"/"&amp;YEAR(INDEX(evol_conc!$H:$H,$Q627)))&amp;")",IF(INDEX(evol_conc!$G:$G,$Q627)&lt;&gt;$E627,"INGRESO DISTINTO EN evol_conc ("&amp;IF(INDEX(evol_conc!$G:$G,$Q627)="","vacía",DAY(INDEX(evol_conc!$G:$G,$Q627))&amp;"/"&amp;MONTH(INDEX(evol_conc!$G:$G,$Q627))&amp;"/"&amp;YEAR(INDEX(evol_conc!$G:$G,$Q627)))&amp;")","OK"))))))))</f>
        <v/>
      </c>
      <c r="Q627" t="str">
        <f ca="1">IF($N627="","",IFERROR(MATCH($N627,evol_conc!$P:$P,0),0))</f>
        <v/>
      </c>
    </row>
    <row r="628" spans="12:17" ht="18" hidden="1" customHeight="1" x14ac:dyDescent="0.25">
      <c r="L628" s="53" t="str">
        <f t="shared" si="18"/>
        <v/>
      </c>
      <c r="M628" s="19" t="str">
        <f t="shared" si="19"/>
        <v/>
      </c>
      <c r="N628" t="str">
        <f ca="1">IF(TRIM(SUBSTITUTE($B628,CHAR(160)," "))="","",IFERROR(IF(ISNUMBER(SEARCH("INC",$B628)),"INC",IF(ISNUMBER(SEARCH("OPI",$B628)),"OPI",IF(ISNUMBER(SEARCH("DP",$B628)),"DP","CONC")))&amp;" "&amp;TEXT(LOOKUP(9.99E+307,--MID(SUBSTITUTE($B628,CHAR(160)," "),SUMPRODUCT(MIN(FIND({0,1,2,3,4,5,6,7,8,9},SUBSTITUTE($B628,CHAR(160)," ")&amp;"0123456789"))),ROW(INDIRECT("1:6")))),"0"),"SIN NUMERO"))</f>
        <v/>
      </c>
      <c r="O628" t="str">
        <f ca="1">IF($N628="","",IF(LEFT(UPPER($P628),9)="VERIFICAR","VERIFICAR",IF(AND($H628&lt;&gt;"",COUNTIFS($N$2:$N$1000,$N628,$H$2:$H$1000,$H628)&gt;1),"DUPLICADA",IF(TRIM(IF($A628="","tipo ","")&amp;IF($F628="","fecha de firma ","")&amp;IF($G628="","decisión ","")&amp;IF($H628="","N° resolución ","")&amp;IF($I628="","N° dictamen",""))&lt;&gt;"","INCOMPLETA: "&amp;TRIM(IF($A628="","tipo ","")&amp;IF($F628="","fecha de firma ","")&amp;IF($G628="","decisión ","")&amp;IF($H628="","N° resolución ","")&amp;IF($I628="","N° dictamen","")),IF(LEFT($N628,4)&lt;&gt;"CONC","OK",IF(N($Q628)=0,IF(AND(ISNUMBER($E628),$E628&gt;=DATE(2024,1,1)),"FALTA EN evol_conc","OK"),IF(INDEX(evol_conc!$H:$H,$Q628)&lt;&gt;$F628,"FIRMA DISTINTA EN evol_conc ("&amp;IF(INDEX(evol_conc!$H:$H,$Q628)="","vacía",DAY(INDEX(evol_conc!$H:$H,$Q628))&amp;"/"&amp;MONTH(INDEX(evol_conc!$H:$H,$Q628))&amp;"/"&amp;YEAR(INDEX(evol_conc!$H:$H,$Q628)))&amp;")",IF(INDEX(evol_conc!$G:$G,$Q628)&lt;&gt;$E628,"INGRESO DISTINTO EN evol_conc ("&amp;IF(INDEX(evol_conc!$G:$G,$Q628)="","vacía",DAY(INDEX(evol_conc!$G:$G,$Q628))&amp;"/"&amp;MONTH(INDEX(evol_conc!$G:$G,$Q628))&amp;"/"&amp;YEAR(INDEX(evol_conc!$G:$G,$Q628)))&amp;")","OK"))))))))</f>
        <v/>
      </c>
      <c r="Q628" t="str">
        <f ca="1">IF($N628="","",IFERROR(MATCH($N628,evol_conc!$P:$P,0),0))</f>
        <v/>
      </c>
    </row>
    <row r="629" spans="12:17" ht="18" hidden="1" customHeight="1" x14ac:dyDescent="0.25">
      <c r="L629" s="53" t="str">
        <f t="shared" si="18"/>
        <v/>
      </c>
      <c r="M629" s="19" t="str">
        <f t="shared" si="19"/>
        <v/>
      </c>
      <c r="N629" t="str">
        <f ca="1">IF(TRIM(SUBSTITUTE($B629,CHAR(160)," "))="","",IFERROR(IF(ISNUMBER(SEARCH("INC",$B629)),"INC",IF(ISNUMBER(SEARCH("OPI",$B629)),"OPI",IF(ISNUMBER(SEARCH("DP",$B629)),"DP","CONC")))&amp;" "&amp;TEXT(LOOKUP(9.99E+307,--MID(SUBSTITUTE($B629,CHAR(160)," "),SUMPRODUCT(MIN(FIND({0,1,2,3,4,5,6,7,8,9},SUBSTITUTE($B629,CHAR(160)," ")&amp;"0123456789"))),ROW(INDIRECT("1:6")))),"0"),"SIN NUMERO"))</f>
        <v/>
      </c>
      <c r="O629" t="str">
        <f ca="1">IF($N629="","",IF(LEFT(UPPER($P629),9)="VERIFICAR","VERIFICAR",IF(AND($H629&lt;&gt;"",COUNTIFS($N$2:$N$1000,$N629,$H$2:$H$1000,$H629)&gt;1),"DUPLICADA",IF(TRIM(IF($A629="","tipo ","")&amp;IF($F629="","fecha de firma ","")&amp;IF($G629="","decisión ","")&amp;IF($H629="","N° resolución ","")&amp;IF($I629="","N° dictamen",""))&lt;&gt;"","INCOMPLETA: "&amp;TRIM(IF($A629="","tipo ","")&amp;IF($F629="","fecha de firma ","")&amp;IF($G629="","decisión ","")&amp;IF($H629="","N° resolución ","")&amp;IF($I629="","N° dictamen","")),IF(LEFT($N629,4)&lt;&gt;"CONC","OK",IF(N($Q629)=0,IF(AND(ISNUMBER($E629),$E629&gt;=DATE(2024,1,1)),"FALTA EN evol_conc","OK"),IF(INDEX(evol_conc!$H:$H,$Q629)&lt;&gt;$F629,"FIRMA DISTINTA EN evol_conc ("&amp;IF(INDEX(evol_conc!$H:$H,$Q629)="","vacía",DAY(INDEX(evol_conc!$H:$H,$Q629))&amp;"/"&amp;MONTH(INDEX(evol_conc!$H:$H,$Q629))&amp;"/"&amp;YEAR(INDEX(evol_conc!$H:$H,$Q629)))&amp;")",IF(INDEX(evol_conc!$G:$G,$Q629)&lt;&gt;$E629,"INGRESO DISTINTO EN evol_conc ("&amp;IF(INDEX(evol_conc!$G:$G,$Q629)="","vacía",DAY(INDEX(evol_conc!$G:$G,$Q629))&amp;"/"&amp;MONTH(INDEX(evol_conc!$G:$G,$Q629))&amp;"/"&amp;YEAR(INDEX(evol_conc!$G:$G,$Q629)))&amp;")","OK"))))))))</f>
        <v/>
      </c>
      <c r="Q629" t="str">
        <f ca="1">IF($N629="","",IFERROR(MATCH($N629,evol_conc!$P:$P,0),0))</f>
        <v/>
      </c>
    </row>
    <row r="630" spans="12:17" ht="18" hidden="1" customHeight="1" x14ac:dyDescent="0.25">
      <c r="L630" s="53" t="str">
        <f t="shared" si="18"/>
        <v/>
      </c>
      <c r="M630" s="19" t="str">
        <f t="shared" si="19"/>
        <v/>
      </c>
      <c r="N630" t="str">
        <f ca="1">IF(TRIM(SUBSTITUTE($B630,CHAR(160)," "))="","",IFERROR(IF(ISNUMBER(SEARCH("INC",$B630)),"INC",IF(ISNUMBER(SEARCH("OPI",$B630)),"OPI",IF(ISNUMBER(SEARCH("DP",$B630)),"DP","CONC")))&amp;" "&amp;TEXT(LOOKUP(9.99E+307,--MID(SUBSTITUTE($B630,CHAR(160)," "),SUMPRODUCT(MIN(FIND({0,1,2,3,4,5,6,7,8,9},SUBSTITUTE($B630,CHAR(160)," ")&amp;"0123456789"))),ROW(INDIRECT("1:6")))),"0"),"SIN NUMERO"))</f>
        <v/>
      </c>
      <c r="O630" t="str">
        <f ca="1">IF($N630="","",IF(LEFT(UPPER($P630),9)="VERIFICAR","VERIFICAR",IF(AND($H630&lt;&gt;"",COUNTIFS($N$2:$N$1000,$N630,$H$2:$H$1000,$H630)&gt;1),"DUPLICADA",IF(TRIM(IF($A630="","tipo ","")&amp;IF($F630="","fecha de firma ","")&amp;IF($G630="","decisión ","")&amp;IF($H630="","N° resolución ","")&amp;IF($I630="","N° dictamen",""))&lt;&gt;"","INCOMPLETA: "&amp;TRIM(IF($A630="","tipo ","")&amp;IF($F630="","fecha de firma ","")&amp;IF($G630="","decisión ","")&amp;IF($H630="","N° resolución ","")&amp;IF($I630="","N° dictamen","")),IF(LEFT($N630,4)&lt;&gt;"CONC","OK",IF(N($Q630)=0,IF(AND(ISNUMBER($E630),$E630&gt;=DATE(2024,1,1)),"FALTA EN evol_conc","OK"),IF(INDEX(evol_conc!$H:$H,$Q630)&lt;&gt;$F630,"FIRMA DISTINTA EN evol_conc ("&amp;IF(INDEX(evol_conc!$H:$H,$Q630)="","vacía",DAY(INDEX(evol_conc!$H:$H,$Q630))&amp;"/"&amp;MONTH(INDEX(evol_conc!$H:$H,$Q630))&amp;"/"&amp;YEAR(INDEX(evol_conc!$H:$H,$Q630)))&amp;")",IF(INDEX(evol_conc!$G:$G,$Q630)&lt;&gt;$E630,"INGRESO DISTINTO EN evol_conc ("&amp;IF(INDEX(evol_conc!$G:$G,$Q630)="","vacía",DAY(INDEX(evol_conc!$G:$G,$Q630))&amp;"/"&amp;MONTH(INDEX(evol_conc!$G:$G,$Q630))&amp;"/"&amp;YEAR(INDEX(evol_conc!$G:$G,$Q630)))&amp;")","OK"))))))))</f>
        <v/>
      </c>
      <c r="Q630" t="str">
        <f ca="1">IF($N630="","",IFERROR(MATCH($N630,evol_conc!$P:$P,0),0))</f>
        <v/>
      </c>
    </row>
    <row r="631" spans="12:17" ht="18" hidden="1" customHeight="1" x14ac:dyDescent="0.25">
      <c r="L631" s="53" t="str">
        <f t="shared" si="18"/>
        <v/>
      </c>
      <c r="M631" s="19" t="str">
        <f t="shared" si="19"/>
        <v/>
      </c>
      <c r="N631" t="str">
        <f ca="1">IF(TRIM(SUBSTITUTE($B631,CHAR(160)," "))="","",IFERROR(IF(ISNUMBER(SEARCH("INC",$B631)),"INC",IF(ISNUMBER(SEARCH("OPI",$B631)),"OPI",IF(ISNUMBER(SEARCH("DP",$B631)),"DP","CONC")))&amp;" "&amp;TEXT(LOOKUP(9.99E+307,--MID(SUBSTITUTE($B631,CHAR(160)," "),SUMPRODUCT(MIN(FIND({0,1,2,3,4,5,6,7,8,9},SUBSTITUTE($B631,CHAR(160)," ")&amp;"0123456789"))),ROW(INDIRECT("1:6")))),"0"),"SIN NUMERO"))</f>
        <v/>
      </c>
      <c r="O631" t="str">
        <f ca="1">IF($N631="","",IF(LEFT(UPPER($P631),9)="VERIFICAR","VERIFICAR",IF(AND($H631&lt;&gt;"",COUNTIFS($N$2:$N$1000,$N631,$H$2:$H$1000,$H631)&gt;1),"DUPLICADA",IF(TRIM(IF($A631="","tipo ","")&amp;IF($F631="","fecha de firma ","")&amp;IF($G631="","decisión ","")&amp;IF($H631="","N° resolución ","")&amp;IF($I631="","N° dictamen",""))&lt;&gt;"","INCOMPLETA: "&amp;TRIM(IF($A631="","tipo ","")&amp;IF($F631="","fecha de firma ","")&amp;IF($G631="","decisión ","")&amp;IF($H631="","N° resolución ","")&amp;IF($I631="","N° dictamen","")),IF(LEFT($N631,4)&lt;&gt;"CONC","OK",IF(N($Q631)=0,IF(AND(ISNUMBER($E631),$E631&gt;=DATE(2024,1,1)),"FALTA EN evol_conc","OK"),IF(INDEX(evol_conc!$H:$H,$Q631)&lt;&gt;$F631,"FIRMA DISTINTA EN evol_conc ("&amp;IF(INDEX(evol_conc!$H:$H,$Q631)="","vacía",DAY(INDEX(evol_conc!$H:$H,$Q631))&amp;"/"&amp;MONTH(INDEX(evol_conc!$H:$H,$Q631))&amp;"/"&amp;YEAR(INDEX(evol_conc!$H:$H,$Q631)))&amp;")",IF(INDEX(evol_conc!$G:$G,$Q631)&lt;&gt;$E631,"INGRESO DISTINTO EN evol_conc ("&amp;IF(INDEX(evol_conc!$G:$G,$Q631)="","vacía",DAY(INDEX(evol_conc!$G:$G,$Q631))&amp;"/"&amp;MONTH(INDEX(evol_conc!$G:$G,$Q631))&amp;"/"&amp;YEAR(INDEX(evol_conc!$G:$G,$Q631)))&amp;")","OK"))))))))</f>
        <v/>
      </c>
      <c r="Q631" t="str">
        <f ca="1">IF($N631="","",IFERROR(MATCH($N631,evol_conc!$P:$P,0),0))</f>
        <v/>
      </c>
    </row>
    <row r="632" spans="12:17" ht="18" hidden="1" customHeight="1" x14ac:dyDescent="0.25">
      <c r="L632" s="53" t="str">
        <f t="shared" si="18"/>
        <v/>
      </c>
      <c r="M632" s="19" t="str">
        <f t="shared" si="19"/>
        <v/>
      </c>
      <c r="N632" t="str">
        <f ca="1">IF(TRIM(SUBSTITUTE($B632,CHAR(160)," "))="","",IFERROR(IF(ISNUMBER(SEARCH("INC",$B632)),"INC",IF(ISNUMBER(SEARCH("OPI",$B632)),"OPI",IF(ISNUMBER(SEARCH("DP",$B632)),"DP","CONC")))&amp;" "&amp;TEXT(LOOKUP(9.99E+307,--MID(SUBSTITUTE($B632,CHAR(160)," "),SUMPRODUCT(MIN(FIND({0,1,2,3,4,5,6,7,8,9},SUBSTITUTE($B632,CHAR(160)," ")&amp;"0123456789"))),ROW(INDIRECT("1:6")))),"0"),"SIN NUMERO"))</f>
        <v/>
      </c>
      <c r="O632" t="str">
        <f ca="1">IF($N632="","",IF(LEFT(UPPER($P632),9)="VERIFICAR","VERIFICAR",IF(AND($H632&lt;&gt;"",COUNTIFS($N$2:$N$1000,$N632,$H$2:$H$1000,$H632)&gt;1),"DUPLICADA",IF(TRIM(IF($A632="","tipo ","")&amp;IF($F632="","fecha de firma ","")&amp;IF($G632="","decisión ","")&amp;IF($H632="","N° resolución ","")&amp;IF($I632="","N° dictamen",""))&lt;&gt;"","INCOMPLETA: "&amp;TRIM(IF($A632="","tipo ","")&amp;IF($F632="","fecha de firma ","")&amp;IF($G632="","decisión ","")&amp;IF($H632="","N° resolución ","")&amp;IF($I632="","N° dictamen","")),IF(LEFT($N632,4)&lt;&gt;"CONC","OK",IF(N($Q632)=0,IF(AND(ISNUMBER($E632),$E632&gt;=DATE(2024,1,1)),"FALTA EN evol_conc","OK"),IF(INDEX(evol_conc!$H:$H,$Q632)&lt;&gt;$F632,"FIRMA DISTINTA EN evol_conc ("&amp;IF(INDEX(evol_conc!$H:$H,$Q632)="","vacía",DAY(INDEX(evol_conc!$H:$H,$Q632))&amp;"/"&amp;MONTH(INDEX(evol_conc!$H:$H,$Q632))&amp;"/"&amp;YEAR(INDEX(evol_conc!$H:$H,$Q632)))&amp;")",IF(INDEX(evol_conc!$G:$G,$Q632)&lt;&gt;$E632,"INGRESO DISTINTO EN evol_conc ("&amp;IF(INDEX(evol_conc!$G:$G,$Q632)="","vacía",DAY(INDEX(evol_conc!$G:$G,$Q632))&amp;"/"&amp;MONTH(INDEX(evol_conc!$G:$G,$Q632))&amp;"/"&amp;YEAR(INDEX(evol_conc!$G:$G,$Q632)))&amp;")","OK"))))))))</f>
        <v/>
      </c>
      <c r="Q632" t="str">
        <f ca="1">IF($N632="","",IFERROR(MATCH($N632,evol_conc!$P:$P,0),0))</f>
        <v/>
      </c>
    </row>
    <row r="633" spans="12:17" ht="18" hidden="1" customHeight="1" x14ac:dyDescent="0.25">
      <c r="L633" s="53" t="str">
        <f t="shared" si="18"/>
        <v/>
      </c>
      <c r="M633" s="19" t="str">
        <f t="shared" si="19"/>
        <v/>
      </c>
      <c r="N633" t="str">
        <f ca="1">IF(TRIM(SUBSTITUTE($B633,CHAR(160)," "))="","",IFERROR(IF(ISNUMBER(SEARCH("INC",$B633)),"INC",IF(ISNUMBER(SEARCH("OPI",$B633)),"OPI",IF(ISNUMBER(SEARCH("DP",$B633)),"DP","CONC")))&amp;" "&amp;TEXT(LOOKUP(9.99E+307,--MID(SUBSTITUTE($B633,CHAR(160)," "),SUMPRODUCT(MIN(FIND({0,1,2,3,4,5,6,7,8,9},SUBSTITUTE($B633,CHAR(160)," ")&amp;"0123456789"))),ROW(INDIRECT("1:6")))),"0"),"SIN NUMERO"))</f>
        <v/>
      </c>
      <c r="O633" t="str">
        <f ca="1">IF($N633="","",IF(LEFT(UPPER($P633),9)="VERIFICAR","VERIFICAR",IF(AND($H633&lt;&gt;"",COUNTIFS($N$2:$N$1000,$N633,$H$2:$H$1000,$H633)&gt;1),"DUPLICADA",IF(TRIM(IF($A633="","tipo ","")&amp;IF($F633="","fecha de firma ","")&amp;IF($G633="","decisión ","")&amp;IF($H633="","N° resolución ","")&amp;IF($I633="","N° dictamen",""))&lt;&gt;"","INCOMPLETA: "&amp;TRIM(IF($A633="","tipo ","")&amp;IF($F633="","fecha de firma ","")&amp;IF($G633="","decisión ","")&amp;IF($H633="","N° resolución ","")&amp;IF($I633="","N° dictamen","")),IF(LEFT($N633,4)&lt;&gt;"CONC","OK",IF(N($Q633)=0,IF(AND(ISNUMBER($E633),$E633&gt;=DATE(2024,1,1)),"FALTA EN evol_conc","OK"),IF(INDEX(evol_conc!$H:$H,$Q633)&lt;&gt;$F633,"FIRMA DISTINTA EN evol_conc ("&amp;IF(INDEX(evol_conc!$H:$H,$Q633)="","vacía",DAY(INDEX(evol_conc!$H:$H,$Q633))&amp;"/"&amp;MONTH(INDEX(evol_conc!$H:$H,$Q633))&amp;"/"&amp;YEAR(INDEX(evol_conc!$H:$H,$Q633)))&amp;")",IF(INDEX(evol_conc!$G:$G,$Q633)&lt;&gt;$E633,"INGRESO DISTINTO EN evol_conc ("&amp;IF(INDEX(evol_conc!$G:$G,$Q633)="","vacía",DAY(INDEX(evol_conc!$G:$G,$Q633))&amp;"/"&amp;MONTH(INDEX(evol_conc!$G:$G,$Q633))&amp;"/"&amp;YEAR(INDEX(evol_conc!$G:$G,$Q633)))&amp;")","OK"))))))))</f>
        <v/>
      </c>
      <c r="Q633" t="str">
        <f ca="1">IF($N633="","",IFERROR(MATCH($N633,evol_conc!$P:$P,0),0))</f>
        <v/>
      </c>
    </row>
    <row r="634" spans="12:17" ht="18" hidden="1" customHeight="1" x14ac:dyDescent="0.25">
      <c r="L634" s="53" t="str">
        <f t="shared" si="18"/>
        <v/>
      </c>
      <c r="M634" s="19" t="str">
        <f t="shared" si="19"/>
        <v/>
      </c>
      <c r="N634" t="str">
        <f ca="1">IF(TRIM(SUBSTITUTE($B634,CHAR(160)," "))="","",IFERROR(IF(ISNUMBER(SEARCH("INC",$B634)),"INC",IF(ISNUMBER(SEARCH("OPI",$B634)),"OPI",IF(ISNUMBER(SEARCH("DP",$B634)),"DP","CONC")))&amp;" "&amp;TEXT(LOOKUP(9.99E+307,--MID(SUBSTITUTE($B634,CHAR(160)," "),SUMPRODUCT(MIN(FIND({0,1,2,3,4,5,6,7,8,9},SUBSTITUTE($B634,CHAR(160)," ")&amp;"0123456789"))),ROW(INDIRECT("1:6")))),"0"),"SIN NUMERO"))</f>
        <v/>
      </c>
      <c r="O634" t="str">
        <f ca="1">IF($N634="","",IF(LEFT(UPPER($P634),9)="VERIFICAR","VERIFICAR",IF(AND($H634&lt;&gt;"",COUNTIFS($N$2:$N$1000,$N634,$H$2:$H$1000,$H634)&gt;1),"DUPLICADA",IF(TRIM(IF($A634="","tipo ","")&amp;IF($F634="","fecha de firma ","")&amp;IF($G634="","decisión ","")&amp;IF($H634="","N° resolución ","")&amp;IF($I634="","N° dictamen",""))&lt;&gt;"","INCOMPLETA: "&amp;TRIM(IF($A634="","tipo ","")&amp;IF($F634="","fecha de firma ","")&amp;IF($G634="","decisión ","")&amp;IF($H634="","N° resolución ","")&amp;IF($I634="","N° dictamen","")),IF(LEFT($N634,4)&lt;&gt;"CONC","OK",IF(N($Q634)=0,IF(AND(ISNUMBER($E634),$E634&gt;=DATE(2024,1,1)),"FALTA EN evol_conc","OK"),IF(INDEX(evol_conc!$H:$H,$Q634)&lt;&gt;$F634,"FIRMA DISTINTA EN evol_conc ("&amp;IF(INDEX(evol_conc!$H:$H,$Q634)="","vacía",DAY(INDEX(evol_conc!$H:$H,$Q634))&amp;"/"&amp;MONTH(INDEX(evol_conc!$H:$H,$Q634))&amp;"/"&amp;YEAR(INDEX(evol_conc!$H:$H,$Q634)))&amp;")",IF(INDEX(evol_conc!$G:$G,$Q634)&lt;&gt;$E634,"INGRESO DISTINTO EN evol_conc ("&amp;IF(INDEX(evol_conc!$G:$G,$Q634)="","vacía",DAY(INDEX(evol_conc!$G:$G,$Q634))&amp;"/"&amp;MONTH(INDEX(evol_conc!$G:$G,$Q634))&amp;"/"&amp;YEAR(INDEX(evol_conc!$G:$G,$Q634)))&amp;")","OK"))))))))</f>
        <v/>
      </c>
      <c r="Q634" t="str">
        <f ca="1">IF($N634="","",IFERROR(MATCH($N634,evol_conc!$P:$P,0),0))</f>
        <v/>
      </c>
    </row>
    <row r="635" spans="12:17" ht="18" hidden="1" customHeight="1" x14ac:dyDescent="0.25">
      <c r="L635" s="53" t="str">
        <f t="shared" si="18"/>
        <v/>
      </c>
      <c r="M635" s="19" t="str">
        <f t="shared" si="19"/>
        <v/>
      </c>
      <c r="N635" t="str">
        <f ca="1">IF(TRIM(SUBSTITUTE($B635,CHAR(160)," "))="","",IFERROR(IF(ISNUMBER(SEARCH("INC",$B635)),"INC",IF(ISNUMBER(SEARCH("OPI",$B635)),"OPI",IF(ISNUMBER(SEARCH("DP",$B635)),"DP","CONC")))&amp;" "&amp;TEXT(LOOKUP(9.99E+307,--MID(SUBSTITUTE($B635,CHAR(160)," "),SUMPRODUCT(MIN(FIND({0,1,2,3,4,5,6,7,8,9},SUBSTITUTE($B635,CHAR(160)," ")&amp;"0123456789"))),ROW(INDIRECT("1:6")))),"0"),"SIN NUMERO"))</f>
        <v/>
      </c>
      <c r="O635" t="str">
        <f ca="1">IF($N635="","",IF(LEFT(UPPER($P635),9)="VERIFICAR","VERIFICAR",IF(AND($H635&lt;&gt;"",COUNTIFS($N$2:$N$1000,$N635,$H$2:$H$1000,$H635)&gt;1),"DUPLICADA",IF(TRIM(IF($A635="","tipo ","")&amp;IF($F635="","fecha de firma ","")&amp;IF($G635="","decisión ","")&amp;IF($H635="","N° resolución ","")&amp;IF($I635="","N° dictamen",""))&lt;&gt;"","INCOMPLETA: "&amp;TRIM(IF($A635="","tipo ","")&amp;IF($F635="","fecha de firma ","")&amp;IF($G635="","decisión ","")&amp;IF($H635="","N° resolución ","")&amp;IF($I635="","N° dictamen","")),IF(LEFT($N635,4)&lt;&gt;"CONC","OK",IF(N($Q635)=0,IF(AND(ISNUMBER($E635),$E635&gt;=DATE(2024,1,1)),"FALTA EN evol_conc","OK"),IF(INDEX(evol_conc!$H:$H,$Q635)&lt;&gt;$F635,"FIRMA DISTINTA EN evol_conc ("&amp;IF(INDEX(evol_conc!$H:$H,$Q635)="","vacía",DAY(INDEX(evol_conc!$H:$H,$Q635))&amp;"/"&amp;MONTH(INDEX(evol_conc!$H:$H,$Q635))&amp;"/"&amp;YEAR(INDEX(evol_conc!$H:$H,$Q635)))&amp;")",IF(INDEX(evol_conc!$G:$G,$Q635)&lt;&gt;$E635,"INGRESO DISTINTO EN evol_conc ("&amp;IF(INDEX(evol_conc!$G:$G,$Q635)="","vacía",DAY(INDEX(evol_conc!$G:$G,$Q635))&amp;"/"&amp;MONTH(INDEX(evol_conc!$G:$G,$Q635))&amp;"/"&amp;YEAR(INDEX(evol_conc!$G:$G,$Q635)))&amp;")","OK"))))))))</f>
        <v/>
      </c>
      <c r="Q635" t="str">
        <f ca="1">IF($N635="","",IFERROR(MATCH($N635,evol_conc!$P:$P,0),0))</f>
        <v/>
      </c>
    </row>
    <row r="636" spans="12:17" ht="18" hidden="1" customHeight="1" x14ac:dyDescent="0.25">
      <c r="L636" s="53" t="str">
        <f t="shared" si="18"/>
        <v/>
      </c>
      <c r="M636" s="19" t="str">
        <f t="shared" si="19"/>
        <v/>
      </c>
      <c r="N636" t="str">
        <f ca="1">IF(TRIM(SUBSTITUTE($B636,CHAR(160)," "))="","",IFERROR(IF(ISNUMBER(SEARCH("INC",$B636)),"INC",IF(ISNUMBER(SEARCH("OPI",$B636)),"OPI",IF(ISNUMBER(SEARCH("DP",$B636)),"DP","CONC")))&amp;" "&amp;TEXT(LOOKUP(9.99E+307,--MID(SUBSTITUTE($B636,CHAR(160)," "),SUMPRODUCT(MIN(FIND({0,1,2,3,4,5,6,7,8,9},SUBSTITUTE($B636,CHAR(160)," ")&amp;"0123456789"))),ROW(INDIRECT("1:6")))),"0"),"SIN NUMERO"))</f>
        <v/>
      </c>
      <c r="O636" t="str">
        <f ca="1">IF($N636="","",IF(LEFT(UPPER($P636),9)="VERIFICAR","VERIFICAR",IF(AND($H636&lt;&gt;"",COUNTIFS($N$2:$N$1000,$N636,$H$2:$H$1000,$H636)&gt;1),"DUPLICADA",IF(TRIM(IF($A636="","tipo ","")&amp;IF($F636="","fecha de firma ","")&amp;IF($G636="","decisión ","")&amp;IF($H636="","N° resolución ","")&amp;IF($I636="","N° dictamen",""))&lt;&gt;"","INCOMPLETA: "&amp;TRIM(IF($A636="","tipo ","")&amp;IF($F636="","fecha de firma ","")&amp;IF($G636="","decisión ","")&amp;IF($H636="","N° resolución ","")&amp;IF($I636="","N° dictamen","")),IF(LEFT($N636,4)&lt;&gt;"CONC","OK",IF(N($Q636)=0,IF(AND(ISNUMBER($E636),$E636&gt;=DATE(2024,1,1)),"FALTA EN evol_conc","OK"),IF(INDEX(evol_conc!$H:$H,$Q636)&lt;&gt;$F636,"FIRMA DISTINTA EN evol_conc ("&amp;IF(INDEX(evol_conc!$H:$H,$Q636)="","vacía",DAY(INDEX(evol_conc!$H:$H,$Q636))&amp;"/"&amp;MONTH(INDEX(evol_conc!$H:$H,$Q636))&amp;"/"&amp;YEAR(INDEX(evol_conc!$H:$H,$Q636)))&amp;")",IF(INDEX(evol_conc!$G:$G,$Q636)&lt;&gt;$E636,"INGRESO DISTINTO EN evol_conc ("&amp;IF(INDEX(evol_conc!$G:$G,$Q636)="","vacía",DAY(INDEX(evol_conc!$G:$G,$Q636))&amp;"/"&amp;MONTH(INDEX(evol_conc!$G:$G,$Q636))&amp;"/"&amp;YEAR(INDEX(evol_conc!$G:$G,$Q636)))&amp;")","OK"))))))))</f>
        <v/>
      </c>
      <c r="Q636" t="str">
        <f ca="1">IF($N636="","",IFERROR(MATCH($N636,evol_conc!$P:$P,0),0))</f>
        <v/>
      </c>
    </row>
    <row r="637" spans="12:17" ht="18" hidden="1" customHeight="1" x14ac:dyDescent="0.25">
      <c r="L637" s="53" t="str">
        <f t="shared" si="18"/>
        <v/>
      </c>
      <c r="M637" s="19" t="str">
        <f t="shared" si="19"/>
        <v/>
      </c>
      <c r="N637" t="str">
        <f ca="1">IF(TRIM(SUBSTITUTE($B637,CHAR(160)," "))="","",IFERROR(IF(ISNUMBER(SEARCH("INC",$B637)),"INC",IF(ISNUMBER(SEARCH("OPI",$B637)),"OPI",IF(ISNUMBER(SEARCH("DP",$B637)),"DP","CONC")))&amp;" "&amp;TEXT(LOOKUP(9.99E+307,--MID(SUBSTITUTE($B637,CHAR(160)," "),SUMPRODUCT(MIN(FIND({0,1,2,3,4,5,6,7,8,9},SUBSTITUTE($B637,CHAR(160)," ")&amp;"0123456789"))),ROW(INDIRECT("1:6")))),"0"),"SIN NUMERO"))</f>
        <v/>
      </c>
      <c r="O637" t="str">
        <f ca="1">IF($N637="","",IF(LEFT(UPPER($P637),9)="VERIFICAR","VERIFICAR",IF(AND($H637&lt;&gt;"",COUNTIFS($N$2:$N$1000,$N637,$H$2:$H$1000,$H637)&gt;1),"DUPLICADA",IF(TRIM(IF($A637="","tipo ","")&amp;IF($F637="","fecha de firma ","")&amp;IF($G637="","decisión ","")&amp;IF($H637="","N° resolución ","")&amp;IF($I637="","N° dictamen",""))&lt;&gt;"","INCOMPLETA: "&amp;TRIM(IF($A637="","tipo ","")&amp;IF($F637="","fecha de firma ","")&amp;IF($G637="","decisión ","")&amp;IF($H637="","N° resolución ","")&amp;IF($I637="","N° dictamen","")),IF(LEFT($N637,4)&lt;&gt;"CONC","OK",IF(N($Q637)=0,IF(AND(ISNUMBER($E637),$E637&gt;=DATE(2024,1,1)),"FALTA EN evol_conc","OK"),IF(INDEX(evol_conc!$H:$H,$Q637)&lt;&gt;$F637,"FIRMA DISTINTA EN evol_conc ("&amp;IF(INDEX(evol_conc!$H:$H,$Q637)="","vacía",DAY(INDEX(evol_conc!$H:$H,$Q637))&amp;"/"&amp;MONTH(INDEX(evol_conc!$H:$H,$Q637))&amp;"/"&amp;YEAR(INDEX(evol_conc!$H:$H,$Q637)))&amp;")",IF(INDEX(evol_conc!$G:$G,$Q637)&lt;&gt;$E637,"INGRESO DISTINTO EN evol_conc ("&amp;IF(INDEX(evol_conc!$G:$G,$Q637)="","vacía",DAY(INDEX(evol_conc!$G:$G,$Q637))&amp;"/"&amp;MONTH(INDEX(evol_conc!$G:$G,$Q637))&amp;"/"&amp;YEAR(INDEX(evol_conc!$G:$G,$Q637)))&amp;")","OK"))))))))</f>
        <v/>
      </c>
      <c r="Q637" t="str">
        <f ca="1">IF($N637="","",IFERROR(MATCH($N637,evol_conc!$P:$P,0),0))</f>
        <v/>
      </c>
    </row>
    <row r="638" spans="12:17" ht="18" hidden="1" customHeight="1" x14ac:dyDescent="0.25">
      <c r="L638" s="53" t="str">
        <f t="shared" si="18"/>
        <v/>
      </c>
      <c r="M638" s="19" t="str">
        <f t="shared" si="19"/>
        <v/>
      </c>
      <c r="N638" t="str">
        <f ca="1">IF(TRIM(SUBSTITUTE($B638,CHAR(160)," "))="","",IFERROR(IF(ISNUMBER(SEARCH("INC",$B638)),"INC",IF(ISNUMBER(SEARCH("OPI",$B638)),"OPI",IF(ISNUMBER(SEARCH("DP",$B638)),"DP","CONC")))&amp;" "&amp;TEXT(LOOKUP(9.99E+307,--MID(SUBSTITUTE($B638,CHAR(160)," "),SUMPRODUCT(MIN(FIND({0,1,2,3,4,5,6,7,8,9},SUBSTITUTE($B638,CHAR(160)," ")&amp;"0123456789"))),ROW(INDIRECT("1:6")))),"0"),"SIN NUMERO"))</f>
        <v/>
      </c>
      <c r="O638" t="str">
        <f ca="1">IF($N638="","",IF(LEFT(UPPER($P638),9)="VERIFICAR","VERIFICAR",IF(AND($H638&lt;&gt;"",COUNTIFS($N$2:$N$1000,$N638,$H$2:$H$1000,$H638)&gt;1),"DUPLICADA",IF(TRIM(IF($A638="","tipo ","")&amp;IF($F638="","fecha de firma ","")&amp;IF($G638="","decisión ","")&amp;IF($H638="","N° resolución ","")&amp;IF($I638="","N° dictamen",""))&lt;&gt;"","INCOMPLETA: "&amp;TRIM(IF($A638="","tipo ","")&amp;IF($F638="","fecha de firma ","")&amp;IF($G638="","decisión ","")&amp;IF($H638="","N° resolución ","")&amp;IF($I638="","N° dictamen","")),IF(LEFT($N638,4)&lt;&gt;"CONC","OK",IF(N($Q638)=0,IF(AND(ISNUMBER($E638),$E638&gt;=DATE(2024,1,1)),"FALTA EN evol_conc","OK"),IF(INDEX(evol_conc!$H:$H,$Q638)&lt;&gt;$F638,"FIRMA DISTINTA EN evol_conc ("&amp;IF(INDEX(evol_conc!$H:$H,$Q638)="","vacía",DAY(INDEX(evol_conc!$H:$H,$Q638))&amp;"/"&amp;MONTH(INDEX(evol_conc!$H:$H,$Q638))&amp;"/"&amp;YEAR(INDEX(evol_conc!$H:$H,$Q638)))&amp;")",IF(INDEX(evol_conc!$G:$G,$Q638)&lt;&gt;$E638,"INGRESO DISTINTO EN evol_conc ("&amp;IF(INDEX(evol_conc!$G:$G,$Q638)="","vacía",DAY(INDEX(evol_conc!$G:$G,$Q638))&amp;"/"&amp;MONTH(INDEX(evol_conc!$G:$G,$Q638))&amp;"/"&amp;YEAR(INDEX(evol_conc!$G:$G,$Q638)))&amp;")","OK"))))))))</f>
        <v/>
      </c>
      <c r="Q638" t="str">
        <f ca="1">IF($N638="","",IFERROR(MATCH($N638,evol_conc!$P:$P,0),0))</f>
        <v/>
      </c>
    </row>
    <row r="639" spans="12:17" ht="18" hidden="1" customHeight="1" x14ac:dyDescent="0.25">
      <c r="L639" s="53" t="str">
        <f t="shared" si="18"/>
        <v/>
      </c>
      <c r="M639" s="19" t="str">
        <f t="shared" si="19"/>
        <v/>
      </c>
      <c r="N639" t="str">
        <f ca="1">IF(TRIM(SUBSTITUTE($B639,CHAR(160)," "))="","",IFERROR(IF(ISNUMBER(SEARCH("INC",$B639)),"INC",IF(ISNUMBER(SEARCH("OPI",$B639)),"OPI",IF(ISNUMBER(SEARCH("DP",$B639)),"DP","CONC")))&amp;" "&amp;TEXT(LOOKUP(9.99E+307,--MID(SUBSTITUTE($B639,CHAR(160)," "),SUMPRODUCT(MIN(FIND({0,1,2,3,4,5,6,7,8,9},SUBSTITUTE($B639,CHAR(160)," ")&amp;"0123456789"))),ROW(INDIRECT("1:6")))),"0"),"SIN NUMERO"))</f>
        <v/>
      </c>
      <c r="O639" t="str">
        <f ca="1">IF($N639="","",IF(LEFT(UPPER($P639),9)="VERIFICAR","VERIFICAR",IF(AND($H639&lt;&gt;"",COUNTIFS($N$2:$N$1000,$N639,$H$2:$H$1000,$H639)&gt;1),"DUPLICADA",IF(TRIM(IF($A639="","tipo ","")&amp;IF($F639="","fecha de firma ","")&amp;IF($G639="","decisión ","")&amp;IF($H639="","N° resolución ","")&amp;IF($I639="","N° dictamen",""))&lt;&gt;"","INCOMPLETA: "&amp;TRIM(IF($A639="","tipo ","")&amp;IF($F639="","fecha de firma ","")&amp;IF($G639="","decisión ","")&amp;IF($H639="","N° resolución ","")&amp;IF($I639="","N° dictamen","")),IF(LEFT($N639,4)&lt;&gt;"CONC","OK",IF(N($Q639)=0,IF(AND(ISNUMBER($E639),$E639&gt;=DATE(2024,1,1)),"FALTA EN evol_conc","OK"),IF(INDEX(evol_conc!$H:$H,$Q639)&lt;&gt;$F639,"FIRMA DISTINTA EN evol_conc ("&amp;IF(INDEX(evol_conc!$H:$H,$Q639)="","vacía",DAY(INDEX(evol_conc!$H:$H,$Q639))&amp;"/"&amp;MONTH(INDEX(evol_conc!$H:$H,$Q639))&amp;"/"&amp;YEAR(INDEX(evol_conc!$H:$H,$Q639)))&amp;")",IF(INDEX(evol_conc!$G:$G,$Q639)&lt;&gt;$E639,"INGRESO DISTINTO EN evol_conc ("&amp;IF(INDEX(evol_conc!$G:$G,$Q639)="","vacía",DAY(INDEX(evol_conc!$G:$G,$Q639))&amp;"/"&amp;MONTH(INDEX(evol_conc!$G:$G,$Q639))&amp;"/"&amp;YEAR(INDEX(evol_conc!$G:$G,$Q639)))&amp;")","OK"))))))))</f>
        <v/>
      </c>
      <c r="Q639" t="str">
        <f ca="1">IF($N639="","",IFERROR(MATCH($N639,evol_conc!$P:$P,0),0))</f>
        <v/>
      </c>
    </row>
    <row r="640" spans="12:17" ht="18" hidden="1" customHeight="1" x14ac:dyDescent="0.25">
      <c r="L640" s="53" t="str">
        <f t="shared" si="18"/>
        <v/>
      </c>
      <c r="M640" s="19" t="str">
        <f t="shared" si="19"/>
        <v/>
      </c>
      <c r="N640" t="str">
        <f ca="1">IF(TRIM(SUBSTITUTE($B640,CHAR(160)," "))="","",IFERROR(IF(ISNUMBER(SEARCH("INC",$B640)),"INC",IF(ISNUMBER(SEARCH("OPI",$B640)),"OPI",IF(ISNUMBER(SEARCH("DP",$B640)),"DP","CONC")))&amp;" "&amp;TEXT(LOOKUP(9.99E+307,--MID(SUBSTITUTE($B640,CHAR(160)," "),SUMPRODUCT(MIN(FIND({0,1,2,3,4,5,6,7,8,9},SUBSTITUTE($B640,CHAR(160)," ")&amp;"0123456789"))),ROW(INDIRECT("1:6")))),"0"),"SIN NUMERO"))</f>
        <v/>
      </c>
      <c r="O640" t="str">
        <f ca="1">IF($N640="","",IF(LEFT(UPPER($P640),9)="VERIFICAR","VERIFICAR",IF(AND($H640&lt;&gt;"",COUNTIFS($N$2:$N$1000,$N640,$H$2:$H$1000,$H640)&gt;1),"DUPLICADA",IF(TRIM(IF($A640="","tipo ","")&amp;IF($F640="","fecha de firma ","")&amp;IF($G640="","decisión ","")&amp;IF($H640="","N° resolución ","")&amp;IF($I640="","N° dictamen",""))&lt;&gt;"","INCOMPLETA: "&amp;TRIM(IF($A640="","tipo ","")&amp;IF($F640="","fecha de firma ","")&amp;IF($G640="","decisión ","")&amp;IF($H640="","N° resolución ","")&amp;IF($I640="","N° dictamen","")),IF(LEFT($N640,4)&lt;&gt;"CONC","OK",IF(N($Q640)=0,IF(AND(ISNUMBER($E640),$E640&gt;=DATE(2024,1,1)),"FALTA EN evol_conc","OK"),IF(INDEX(evol_conc!$H:$H,$Q640)&lt;&gt;$F640,"FIRMA DISTINTA EN evol_conc ("&amp;IF(INDEX(evol_conc!$H:$H,$Q640)="","vacía",DAY(INDEX(evol_conc!$H:$H,$Q640))&amp;"/"&amp;MONTH(INDEX(evol_conc!$H:$H,$Q640))&amp;"/"&amp;YEAR(INDEX(evol_conc!$H:$H,$Q640)))&amp;")",IF(INDEX(evol_conc!$G:$G,$Q640)&lt;&gt;$E640,"INGRESO DISTINTO EN evol_conc ("&amp;IF(INDEX(evol_conc!$G:$G,$Q640)="","vacía",DAY(INDEX(evol_conc!$G:$G,$Q640))&amp;"/"&amp;MONTH(INDEX(evol_conc!$G:$G,$Q640))&amp;"/"&amp;YEAR(INDEX(evol_conc!$G:$G,$Q640)))&amp;")","OK"))))))))</f>
        <v/>
      </c>
      <c r="Q640" t="str">
        <f ca="1">IF($N640="","",IFERROR(MATCH($N640,evol_conc!$P:$P,0),0))</f>
        <v/>
      </c>
    </row>
    <row r="641" spans="12:17" ht="18" hidden="1" customHeight="1" x14ac:dyDescent="0.25">
      <c r="L641" s="53" t="str">
        <f t="shared" si="18"/>
        <v/>
      </c>
      <c r="M641" s="19" t="str">
        <f t="shared" si="19"/>
        <v/>
      </c>
      <c r="N641" t="str">
        <f ca="1">IF(TRIM(SUBSTITUTE($B641,CHAR(160)," "))="","",IFERROR(IF(ISNUMBER(SEARCH("INC",$B641)),"INC",IF(ISNUMBER(SEARCH("OPI",$B641)),"OPI",IF(ISNUMBER(SEARCH("DP",$B641)),"DP","CONC")))&amp;" "&amp;TEXT(LOOKUP(9.99E+307,--MID(SUBSTITUTE($B641,CHAR(160)," "),SUMPRODUCT(MIN(FIND({0,1,2,3,4,5,6,7,8,9},SUBSTITUTE($B641,CHAR(160)," ")&amp;"0123456789"))),ROW(INDIRECT("1:6")))),"0"),"SIN NUMERO"))</f>
        <v/>
      </c>
      <c r="O641" t="str">
        <f ca="1">IF($N641="","",IF(LEFT(UPPER($P641),9)="VERIFICAR","VERIFICAR",IF(AND($H641&lt;&gt;"",COUNTIFS($N$2:$N$1000,$N641,$H$2:$H$1000,$H641)&gt;1),"DUPLICADA",IF(TRIM(IF($A641="","tipo ","")&amp;IF($F641="","fecha de firma ","")&amp;IF($G641="","decisión ","")&amp;IF($H641="","N° resolución ","")&amp;IF($I641="","N° dictamen",""))&lt;&gt;"","INCOMPLETA: "&amp;TRIM(IF($A641="","tipo ","")&amp;IF($F641="","fecha de firma ","")&amp;IF($G641="","decisión ","")&amp;IF($H641="","N° resolución ","")&amp;IF($I641="","N° dictamen","")),IF(LEFT($N641,4)&lt;&gt;"CONC","OK",IF(N($Q641)=0,IF(AND(ISNUMBER($E641),$E641&gt;=DATE(2024,1,1)),"FALTA EN evol_conc","OK"),IF(INDEX(evol_conc!$H:$H,$Q641)&lt;&gt;$F641,"FIRMA DISTINTA EN evol_conc ("&amp;IF(INDEX(evol_conc!$H:$H,$Q641)="","vacía",DAY(INDEX(evol_conc!$H:$H,$Q641))&amp;"/"&amp;MONTH(INDEX(evol_conc!$H:$H,$Q641))&amp;"/"&amp;YEAR(INDEX(evol_conc!$H:$H,$Q641)))&amp;")",IF(INDEX(evol_conc!$G:$G,$Q641)&lt;&gt;$E641,"INGRESO DISTINTO EN evol_conc ("&amp;IF(INDEX(evol_conc!$G:$G,$Q641)="","vacía",DAY(INDEX(evol_conc!$G:$G,$Q641))&amp;"/"&amp;MONTH(INDEX(evol_conc!$G:$G,$Q641))&amp;"/"&amp;YEAR(INDEX(evol_conc!$G:$G,$Q641)))&amp;")","OK"))))))))</f>
        <v/>
      </c>
      <c r="Q641" t="str">
        <f ca="1">IF($N641="","",IFERROR(MATCH($N641,evol_conc!$P:$P,0),0))</f>
        <v/>
      </c>
    </row>
    <row r="642" spans="12:17" ht="18" hidden="1" customHeight="1" x14ac:dyDescent="0.25">
      <c r="L642" s="53" t="str">
        <f t="shared" ref="L642:L705" si="20">IF(OR($E642="",$F642=""),"",($F642-$E642)/30)</f>
        <v/>
      </c>
      <c r="M642" s="19" t="str">
        <f t="shared" ref="M642:M705" si="21">IF(OR($E642="",$F642=""),"",$F642-$E642)</f>
        <v/>
      </c>
      <c r="N642" t="str">
        <f ca="1">IF(TRIM(SUBSTITUTE($B642,CHAR(160)," "))="","",IFERROR(IF(ISNUMBER(SEARCH("INC",$B642)),"INC",IF(ISNUMBER(SEARCH("OPI",$B642)),"OPI",IF(ISNUMBER(SEARCH("DP",$B642)),"DP","CONC")))&amp;" "&amp;TEXT(LOOKUP(9.99E+307,--MID(SUBSTITUTE($B642,CHAR(160)," "),SUMPRODUCT(MIN(FIND({0,1,2,3,4,5,6,7,8,9},SUBSTITUTE($B642,CHAR(160)," ")&amp;"0123456789"))),ROW(INDIRECT("1:6")))),"0"),"SIN NUMERO"))</f>
        <v/>
      </c>
      <c r="O642" t="str">
        <f ca="1">IF($N642="","",IF(LEFT(UPPER($P642),9)="VERIFICAR","VERIFICAR",IF(AND($H642&lt;&gt;"",COUNTIFS($N$2:$N$1000,$N642,$H$2:$H$1000,$H642)&gt;1),"DUPLICADA",IF(TRIM(IF($A642="","tipo ","")&amp;IF($F642="","fecha de firma ","")&amp;IF($G642="","decisión ","")&amp;IF($H642="","N° resolución ","")&amp;IF($I642="","N° dictamen",""))&lt;&gt;"","INCOMPLETA: "&amp;TRIM(IF($A642="","tipo ","")&amp;IF($F642="","fecha de firma ","")&amp;IF($G642="","decisión ","")&amp;IF($H642="","N° resolución ","")&amp;IF($I642="","N° dictamen","")),IF(LEFT($N642,4)&lt;&gt;"CONC","OK",IF(N($Q642)=0,IF(AND(ISNUMBER($E642),$E642&gt;=DATE(2024,1,1)),"FALTA EN evol_conc","OK"),IF(INDEX(evol_conc!$H:$H,$Q642)&lt;&gt;$F642,"FIRMA DISTINTA EN evol_conc ("&amp;IF(INDEX(evol_conc!$H:$H,$Q642)="","vacía",DAY(INDEX(evol_conc!$H:$H,$Q642))&amp;"/"&amp;MONTH(INDEX(evol_conc!$H:$H,$Q642))&amp;"/"&amp;YEAR(INDEX(evol_conc!$H:$H,$Q642)))&amp;")",IF(INDEX(evol_conc!$G:$G,$Q642)&lt;&gt;$E642,"INGRESO DISTINTO EN evol_conc ("&amp;IF(INDEX(evol_conc!$G:$G,$Q642)="","vacía",DAY(INDEX(evol_conc!$G:$G,$Q642))&amp;"/"&amp;MONTH(INDEX(evol_conc!$G:$G,$Q642))&amp;"/"&amp;YEAR(INDEX(evol_conc!$G:$G,$Q642)))&amp;")","OK"))))))))</f>
        <v/>
      </c>
      <c r="Q642" t="str">
        <f ca="1">IF($N642="","",IFERROR(MATCH($N642,evol_conc!$P:$P,0),0))</f>
        <v/>
      </c>
    </row>
    <row r="643" spans="12:17" ht="18" hidden="1" customHeight="1" x14ac:dyDescent="0.25">
      <c r="L643" s="53" t="str">
        <f t="shared" si="20"/>
        <v/>
      </c>
      <c r="M643" s="19" t="str">
        <f t="shared" si="21"/>
        <v/>
      </c>
      <c r="N643" t="str">
        <f ca="1">IF(TRIM(SUBSTITUTE($B643,CHAR(160)," "))="","",IFERROR(IF(ISNUMBER(SEARCH("INC",$B643)),"INC",IF(ISNUMBER(SEARCH("OPI",$B643)),"OPI",IF(ISNUMBER(SEARCH("DP",$B643)),"DP","CONC")))&amp;" "&amp;TEXT(LOOKUP(9.99E+307,--MID(SUBSTITUTE($B643,CHAR(160)," "),SUMPRODUCT(MIN(FIND({0,1,2,3,4,5,6,7,8,9},SUBSTITUTE($B643,CHAR(160)," ")&amp;"0123456789"))),ROW(INDIRECT("1:6")))),"0"),"SIN NUMERO"))</f>
        <v/>
      </c>
      <c r="O643" t="str">
        <f ca="1">IF($N643="","",IF(LEFT(UPPER($P643),9)="VERIFICAR","VERIFICAR",IF(AND($H643&lt;&gt;"",COUNTIFS($N$2:$N$1000,$N643,$H$2:$H$1000,$H643)&gt;1),"DUPLICADA",IF(TRIM(IF($A643="","tipo ","")&amp;IF($F643="","fecha de firma ","")&amp;IF($G643="","decisión ","")&amp;IF($H643="","N° resolución ","")&amp;IF($I643="","N° dictamen",""))&lt;&gt;"","INCOMPLETA: "&amp;TRIM(IF($A643="","tipo ","")&amp;IF($F643="","fecha de firma ","")&amp;IF($G643="","decisión ","")&amp;IF($H643="","N° resolución ","")&amp;IF($I643="","N° dictamen","")),IF(LEFT($N643,4)&lt;&gt;"CONC","OK",IF(N($Q643)=0,IF(AND(ISNUMBER($E643),$E643&gt;=DATE(2024,1,1)),"FALTA EN evol_conc","OK"),IF(INDEX(evol_conc!$H:$H,$Q643)&lt;&gt;$F643,"FIRMA DISTINTA EN evol_conc ("&amp;IF(INDEX(evol_conc!$H:$H,$Q643)="","vacía",DAY(INDEX(evol_conc!$H:$H,$Q643))&amp;"/"&amp;MONTH(INDEX(evol_conc!$H:$H,$Q643))&amp;"/"&amp;YEAR(INDEX(evol_conc!$H:$H,$Q643)))&amp;")",IF(INDEX(evol_conc!$G:$G,$Q643)&lt;&gt;$E643,"INGRESO DISTINTO EN evol_conc ("&amp;IF(INDEX(evol_conc!$G:$G,$Q643)="","vacía",DAY(INDEX(evol_conc!$G:$G,$Q643))&amp;"/"&amp;MONTH(INDEX(evol_conc!$G:$G,$Q643))&amp;"/"&amp;YEAR(INDEX(evol_conc!$G:$G,$Q643)))&amp;")","OK"))))))))</f>
        <v/>
      </c>
      <c r="Q643" t="str">
        <f ca="1">IF($N643="","",IFERROR(MATCH($N643,evol_conc!$P:$P,0),0))</f>
        <v/>
      </c>
    </row>
    <row r="644" spans="12:17" ht="18" hidden="1" customHeight="1" x14ac:dyDescent="0.25">
      <c r="L644" s="53" t="str">
        <f t="shared" si="20"/>
        <v/>
      </c>
      <c r="M644" s="19" t="str">
        <f t="shared" si="21"/>
        <v/>
      </c>
      <c r="N644" t="str">
        <f ca="1">IF(TRIM(SUBSTITUTE($B644,CHAR(160)," "))="","",IFERROR(IF(ISNUMBER(SEARCH("INC",$B644)),"INC",IF(ISNUMBER(SEARCH("OPI",$B644)),"OPI",IF(ISNUMBER(SEARCH("DP",$B644)),"DP","CONC")))&amp;" "&amp;TEXT(LOOKUP(9.99E+307,--MID(SUBSTITUTE($B644,CHAR(160)," "),SUMPRODUCT(MIN(FIND({0,1,2,3,4,5,6,7,8,9},SUBSTITUTE($B644,CHAR(160)," ")&amp;"0123456789"))),ROW(INDIRECT("1:6")))),"0"),"SIN NUMERO"))</f>
        <v/>
      </c>
      <c r="O644" t="str">
        <f ca="1">IF($N644="","",IF(LEFT(UPPER($P644),9)="VERIFICAR","VERIFICAR",IF(AND($H644&lt;&gt;"",COUNTIFS($N$2:$N$1000,$N644,$H$2:$H$1000,$H644)&gt;1),"DUPLICADA",IF(TRIM(IF($A644="","tipo ","")&amp;IF($F644="","fecha de firma ","")&amp;IF($G644="","decisión ","")&amp;IF($H644="","N° resolución ","")&amp;IF($I644="","N° dictamen",""))&lt;&gt;"","INCOMPLETA: "&amp;TRIM(IF($A644="","tipo ","")&amp;IF($F644="","fecha de firma ","")&amp;IF($G644="","decisión ","")&amp;IF($H644="","N° resolución ","")&amp;IF($I644="","N° dictamen","")),IF(LEFT($N644,4)&lt;&gt;"CONC","OK",IF(N($Q644)=0,IF(AND(ISNUMBER($E644),$E644&gt;=DATE(2024,1,1)),"FALTA EN evol_conc","OK"),IF(INDEX(evol_conc!$H:$H,$Q644)&lt;&gt;$F644,"FIRMA DISTINTA EN evol_conc ("&amp;IF(INDEX(evol_conc!$H:$H,$Q644)="","vacía",DAY(INDEX(evol_conc!$H:$H,$Q644))&amp;"/"&amp;MONTH(INDEX(evol_conc!$H:$H,$Q644))&amp;"/"&amp;YEAR(INDEX(evol_conc!$H:$H,$Q644)))&amp;")",IF(INDEX(evol_conc!$G:$G,$Q644)&lt;&gt;$E644,"INGRESO DISTINTO EN evol_conc ("&amp;IF(INDEX(evol_conc!$G:$G,$Q644)="","vacía",DAY(INDEX(evol_conc!$G:$G,$Q644))&amp;"/"&amp;MONTH(INDEX(evol_conc!$G:$G,$Q644))&amp;"/"&amp;YEAR(INDEX(evol_conc!$G:$G,$Q644)))&amp;")","OK"))))))))</f>
        <v/>
      </c>
      <c r="Q644" t="str">
        <f ca="1">IF($N644="","",IFERROR(MATCH($N644,evol_conc!$P:$P,0),0))</f>
        <v/>
      </c>
    </row>
    <row r="645" spans="12:17" ht="18" hidden="1" customHeight="1" x14ac:dyDescent="0.25">
      <c r="L645" s="53" t="str">
        <f t="shared" si="20"/>
        <v/>
      </c>
      <c r="M645" s="19" t="str">
        <f t="shared" si="21"/>
        <v/>
      </c>
      <c r="N645" t="str">
        <f ca="1">IF(TRIM(SUBSTITUTE($B645,CHAR(160)," "))="","",IFERROR(IF(ISNUMBER(SEARCH("INC",$B645)),"INC",IF(ISNUMBER(SEARCH("OPI",$B645)),"OPI",IF(ISNUMBER(SEARCH("DP",$B645)),"DP","CONC")))&amp;" "&amp;TEXT(LOOKUP(9.99E+307,--MID(SUBSTITUTE($B645,CHAR(160)," "),SUMPRODUCT(MIN(FIND({0,1,2,3,4,5,6,7,8,9},SUBSTITUTE($B645,CHAR(160)," ")&amp;"0123456789"))),ROW(INDIRECT("1:6")))),"0"),"SIN NUMERO"))</f>
        <v/>
      </c>
      <c r="O645" t="str">
        <f ca="1">IF($N645="","",IF(LEFT(UPPER($P645),9)="VERIFICAR","VERIFICAR",IF(AND($H645&lt;&gt;"",COUNTIFS($N$2:$N$1000,$N645,$H$2:$H$1000,$H645)&gt;1),"DUPLICADA",IF(TRIM(IF($A645="","tipo ","")&amp;IF($F645="","fecha de firma ","")&amp;IF($G645="","decisión ","")&amp;IF($H645="","N° resolución ","")&amp;IF($I645="","N° dictamen",""))&lt;&gt;"","INCOMPLETA: "&amp;TRIM(IF($A645="","tipo ","")&amp;IF($F645="","fecha de firma ","")&amp;IF($G645="","decisión ","")&amp;IF($H645="","N° resolución ","")&amp;IF($I645="","N° dictamen","")),IF(LEFT($N645,4)&lt;&gt;"CONC","OK",IF(N($Q645)=0,IF(AND(ISNUMBER($E645),$E645&gt;=DATE(2024,1,1)),"FALTA EN evol_conc","OK"),IF(INDEX(evol_conc!$H:$H,$Q645)&lt;&gt;$F645,"FIRMA DISTINTA EN evol_conc ("&amp;IF(INDEX(evol_conc!$H:$H,$Q645)="","vacía",DAY(INDEX(evol_conc!$H:$H,$Q645))&amp;"/"&amp;MONTH(INDEX(evol_conc!$H:$H,$Q645))&amp;"/"&amp;YEAR(INDEX(evol_conc!$H:$H,$Q645)))&amp;")",IF(INDEX(evol_conc!$G:$G,$Q645)&lt;&gt;$E645,"INGRESO DISTINTO EN evol_conc ("&amp;IF(INDEX(evol_conc!$G:$G,$Q645)="","vacía",DAY(INDEX(evol_conc!$G:$G,$Q645))&amp;"/"&amp;MONTH(INDEX(evol_conc!$G:$G,$Q645))&amp;"/"&amp;YEAR(INDEX(evol_conc!$G:$G,$Q645)))&amp;")","OK"))))))))</f>
        <v/>
      </c>
      <c r="Q645" t="str">
        <f ca="1">IF($N645="","",IFERROR(MATCH($N645,evol_conc!$P:$P,0),0))</f>
        <v/>
      </c>
    </row>
    <row r="646" spans="12:17" ht="18" hidden="1" customHeight="1" x14ac:dyDescent="0.25">
      <c r="L646" s="53" t="str">
        <f t="shared" si="20"/>
        <v/>
      </c>
      <c r="M646" s="19" t="str">
        <f t="shared" si="21"/>
        <v/>
      </c>
      <c r="N646" t="str">
        <f ca="1">IF(TRIM(SUBSTITUTE($B646,CHAR(160)," "))="","",IFERROR(IF(ISNUMBER(SEARCH("INC",$B646)),"INC",IF(ISNUMBER(SEARCH("OPI",$B646)),"OPI",IF(ISNUMBER(SEARCH("DP",$B646)),"DP","CONC")))&amp;" "&amp;TEXT(LOOKUP(9.99E+307,--MID(SUBSTITUTE($B646,CHAR(160)," "),SUMPRODUCT(MIN(FIND({0,1,2,3,4,5,6,7,8,9},SUBSTITUTE($B646,CHAR(160)," ")&amp;"0123456789"))),ROW(INDIRECT("1:6")))),"0"),"SIN NUMERO"))</f>
        <v/>
      </c>
      <c r="O646" t="str">
        <f ca="1">IF($N646="","",IF(LEFT(UPPER($P646),9)="VERIFICAR","VERIFICAR",IF(AND($H646&lt;&gt;"",COUNTIFS($N$2:$N$1000,$N646,$H$2:$H$1000,$H646)&gt;1),"DUPLICADA",IF(TRIM(IF($A646="","tipo ","")&amp;IF($F646="","fecha de firma ","")&amp;IF($G646="","decisión ","")&amp;IF($H646="","N° resolución ","")&amp;IF($I646="","N° dictamen",""))&lt;&gt;"","INCOMPLETA: "&amp;TRIM(IF($A646="","tipo ","")&amp;IF($F646="","fecha de firma ","")&amp;IF($G646="","decisión ","")&amp;IF($H646="","N° resolución ","")&amp;IF($I646="","N° dictamen","")),IF(LEFT($N646,4)&lt;&gt;"CONC","OK",IF(N($Q646)=0,IF(AND(ISNUMBER($E646),$E646&gt;=DATE(2024,1,1)),"FALTA EN evol_conc","OK"),IF(INDEX(evol_conc!$H:$H,$Q646)&lt;&gt;$F646,"FIRMA DISTINTA EN evol_conc ("&amp;IF(INDEX(evol_conc!$H:$H,$Q646)="","vacía",DAY(INDEX(evol_conc!$H:$H,$Q646))&amp;"/"&amp;MONTH(INDEX(evol_conc!$H:$H,$Q646))&amp;"/"&amp;YEAR(INDEX(evol_conc!$H:$H,$Q646)))&amp;")",IF(INDEX(evol_conc!$G:$G,$Q646)&lt;&gt;$E646,"INGRESO DISTINTO EN evol_conc ("&amp;IF(INDEX(evol_conc!$G:$G,$Q646)="","vacía",DAY(INDEX(evol_conc!$G:$G,$Q646))&amp;"/"&amp;MONTH(INDEX(evol_conc!$G:$G,$Q646))&amp;"/"&amp;YEAR(INDEX(evol_conc!$G:$G,$Q646)))&amp;")","OK"))))))))</f>
        <v/>
      </c>
      <c r="Q646" t="str">
        <f ca="1">IF($N646="","",IFERROR(MATCH($N646,evol_conc!$P:$P,0),0))</f>
        <v/>
      </c>
    </row>
    <row r="647" spans="12:17" ht="18" hidden="1" customHeight="1" x14ac:dyDescent="0.25">
      <c r="L647" s="53" t="str">
        <f t="shared" si="20"/>
        <v/>
      </c>
      <c r="M647" s="19" t="str">
        <f t="shared" si="21"/>
        <v/>
      </c>
      <c r="N647" t="str">
        <f ca="1">IF(TRIM(SUBSTITUTE($B647,CHAR(160)," "))="","",IFERROR(IF(ISNUMBER(SEARCH("INC",$B647)),"INC",IF(ISNUMBER(SEARCH("OPI",$B647)),"OPI",IF(ISNUMBER(SEARCH("DP",$B647)),"DP","CONC")))&amp;" "&amp;TEXT(LOOKUP(9.99E+307,--MID(SUBSTITUTE($B647,CHAR(160)," "),SUMPRODUCT(MIN(FIND({0,1,2,3,4,5,6,7,8,9},SUBSTITUTE($B647,CHAR(160)," ")&amp;"0123456789"))),ROW(INDIRECT("1:6")))),"0"),"SIN NUMERO"))</f>
        <v/>
      </c>
      <c r="O647" t="str">
        <f ca="1">IF($N647="","",IF(LEFT(UPPER($P647),9)="VERIFICAR","VERIFICAR",IF(AND($H647&lt;&gt;"",COUNTIFS($N$2:$N$1000,$N647,$H$2:$H$1000,$H647)&gt;1),"DUPLICADA",IF(TRIM(IF($A647="","tipo ","")&amp;IF($F647="","fecha de firma ","")&amp;IF($G647="","decisión ","")&amp;IF($H647="","N° resolución ","")&amp;IF($I647="","N° dictamen",""))&lt;&gt;"","INCOMPLETA: "&amp;TRIM(IF($A647="","tipo ","")&amp;IF($F647="","fecha de firma ","")&amp;IF($G647="","decisión ","")&amp;IF($H647="","N° resolución ","")&amp;IF($I647="","N° dictamen","")),IF(LEFT($N647,4)&lt;&gt;"CONC","OK",IF(N($Q647)=0,IF(AND(ISNUMBER($E647),$E647&gt;=DATE(2024,1,1)),"FALTA EN evol_conc","OK"),IF(INDEX(evol_conc!$H:$H,$Q647)&lt;&gt;$F647,"FIRMA DISTINTA EN evol_conc ("&amp;IF(INDEX(evol_conc!$H:$H,$Q647)="","vacía",DAY(INDEX(evol_conc!$H:$H,$Q647))&amp;"/"&amp;MONTH(INDEX(evol_conc!$H:$H,$Q647))&amp;"/"&amp;YEAR(INDEX(evol_conc!$H:$H,$Q647)))&amp;")",IF(INDEX(evol_conc!$G:$G,$Q647)&lt;&gt;$E647,"INGRESO DISTINTO EN evol_conc ("&amp;IF(INDEX(evol_conc!$G:$G,$Q647)="","vacía",DAY(INDEX(evol_conc!$G:$G,$Q647))&amp;"/"&amp;MONTH(INDEX(evol_conc!$G:$G,$Q647))&amp;"/"&amp;YEAR(INDEX(evol_conc!$G:$G,$Q647)))&amp;")","OK"))))))))</f>
        <v/>
      </c>
      <c r="Q647" t="str">
        <f ca="1">IF($N647="","",IFERROR(MATCH($N647,evol_conc!$P:$P,0),0))</f>
        <v/>
      </c>
    </row>
    <row r="648" spans="12:17" ht="18" hidden="1" customHeight="1" x14ac:dyDescent="0.25">
      <c r="L648" s="53" t="str">
        <f t="shared" si="20"/>
        <v/>
      </c>
      <c r="M648" s="19" t="str">
        <f t="shared" si="21"/>
        <v/>
      </c>
      <c r="N648" t="str">
        <f ca="1">IF(TRIM(SUBSTITUTE($B648,CHAR(160)," "))="","",IFERROR(IF(ISNUMBER(SEARCH("INC",$B648)),"INC",IF(ISNUMBER(SEARCH("OPI",$B648)),"OPI",IF(ISNUMBER(SEARCH("DP",$B648)),"DP","CONC")))&amp;" "&amp;TEXT(LOOKUP(9.99E+307,--MID(SUBSTITUTE($B648,CHAR(160)," "),SUMPRODUCT(MIN(FIND({0,1,2,3,4,5,6,7,8,9},SUBSTITUTE($B648,CHAR(160)," ")&amp;"0123456789"))),ROW(INDIRECT("1:6")))),"0"),"SIN NUMERO"))</f>
        <v/>
      </c>
      <c r="O648" t="str">
        <f ca="1">IF($N648="","",IF(LEFT(UPPER($P648),9)="VERIFICAR","VERIFICAR",IF(AND($H648&lt;&gt;"",COUNTIFS($N$2:$N$1000,$N648,$H$2:$H$1000,$H648)&gt;1),"DUPLICADA",IF(TRIM(IF($A648="","tipo ","")&amp;IF($F648="","fecha de firma ","")&amp;IF($G648="","decisión ","")&amp;IF($H648="","N° resolución ","")&amp;IF($I648="","N° dictamen",""))&lt;&gt;"","INCOMPLETA: "&amp;TRIM(IF($A648="","tipo ","")&amp;IF($F648="","fecha de firma ","")&amp;IF($G648="","decisión ","")&amp;IF($H648="","N° resolución ","")&amp;IF($I648="","N° dictamen","")),IF(LEFT($N648,4)&lt;&gt;"CONC","OK",IF(N($Q648)=0,IF(AND(ISNUMBER($E648),$E648&gt;=DATE(2024,1,1)),"FALTA EN evol_conc","OK"),IF(INDEX(evol_conc!$H:$H,$Q648)&lt;&gt;$F648,"FIRMA DISTINTA EN evol_conc ("&amp;IF(INDEX(evol_conc!$H:$H,$Q648)="","vacía",DAY(INDEX(evol_conc!$H:$H,$Q648))&amp;"/"&amp;MONTH(INDEX(evol_conc!$H:$H,$Q648))&amp;"/"&amp;YEAR(INDEX(evol_conc!$H:$H,$Q648)))&amp;")",IF(INDEX(evol_conc!$G:$G,$Q648)&lt;&gt;$E648,"INGRESO DISTINTO EN evol_conc ("&amp;IF(INDEX(evol_conc!$G:$G,$Q648)="","vacía",DAY(INDEX(evol_conc!$G:$G,$Q648))&amp;"/"&amp;MONTH(INDEX(evol_conc!$G:$G,$Q648))&amp;"/"&amp;YEAR(INDEX(evol_conc!$G:$G,$Q648)))&amp;")","OK"))))))))</f>
        <v/>
      </c>
      <c r="Q648" t="str">
        <f ca="1">IF($N648="","",IFERROR(MATCH($N648,evol_conc!$P:$P,0),0))</f>
        <v/>
      </c>
    </row>
    <row r="649" spans="12:17" ht="18" hidden="1" customHeight="1" x14ac:dyDescent="0.25">
      <c r="L649" s="53" t="str">
        <f t="shared" si="20"/>
        <v/>
      </c>
      <c r="M649" s="19" t="str">
        <f t="shared" si="21"/>
        <v/>
      </c>
      <c r="N649" t="str">
        <f ca="1">IF(TRIM(SUBSTITUTE($B649,CHAR(160)," "))="","",IFERROR(IF(ISNUMBER(SEARCH("INC",$B649)),"INC",IF(ISNUMBER(SEARCH("OPI",$B649)),"OPI",IF(ISNUMBER(SEARCH("DP",$B649)),"DP","CONC")))&amp;" "&amp;TEXT(LOOKUP(9.99E+307,--MID(SUBSTITUTE($B649,CHAR(160)," "),SUMPRODUCT(MIN(FIND({0,1,2,3,4,5,6,7,8,9},SUBSTITUTE($B649,CHAR(160)," ")&amp;"0123456789"))),ROW(INDIRECT("1:6")))),"0"),"SIN NUMERO"))</f>
        <v/>
      </c>
      <c r="O649" t="str">
        <f ca="1">IF($N649="","",IF(LEFT(UPPER($P649),9)="VERIFICAR","VERIFICAR",IF(AND($H649&lt;&gt;"",COUNTIFS($N$2:$N$1000,$N649,$H$2:$H$1000,$H649)&gt;1),"DUPLICADA",IF(TRIM(IF($A649="","tipo ","")&amp;IF($F649="","fecha de firma ","")&amp;IF($G649="","decisión ","")&amp;IF($H649="","N° resolución ","")&amp;IF($I649="","N° dictamen",""))&lt;&gt;"","INCOMPLETA: "&amp;TRIM(IF($A649="","tipo ","")&amp;IF($F649="","fecha de firma ","")&amp;IF($G649="","decisión ","")&amp;IF($H649="","N° resolución ","")&amp;IF($I649="","N° dictamen","")),IF(LEFT($N649,4)&lt;&gt;"CONC","OK",IF(N($Q649)=0,IF(AND(ISNUMBER($E649),$E649&gt;=DATE(2024,1,1)),"FALTA EN evol_conc","OK"),IF(INDEX(evol_conc!$H:$H,$Q649)&lt;&gt;$F649,"FIRMA DISTINTA EN evol_conc ("&amp;IF(INDEX(evol_conc!$H:$H,$Q649)="","vacía",DAY(INDEX(evol_conc!$H:$H,$Q649))&amp;"/"&amp;MONTH(INDEX(evol_conc!$H:$H,$Q649))&amp;"/"&amp;YEAR(INDEX(evol_conc!$H:$H,$Q649)))&amp;")",IF(INDEX(evol_conc!$G:$G,$Q649)&lt;&gt;$E649,"INGRESO DISTINTO EN evol_conc ("&amp;IF(INDEX(evol_conc!$G:$G,$Q649)="","vacía",DAY(INDEX(evol_conc!$G:$G,$Q649))&amp;"/"&amp;MONTH(INDEX(evol_conc!$G:$G,$Q649))&amp;"/"&amp;YEAR(INDEX(evol_conc!$G:$G,$Q649)))&amp;")","OK"))))))))</f>
        <v/>
      </c>
      <c r="Q649" t="str">
        <f ca="1">IF($N649="","",IFERROR(MATCH($N649,evol_conc!$P:$P,0),0))</f>
        <v/>
      </c>
    </row>
    <row r="650" spans="12:17" ht="18" hidden="1" customHeight="1" x14ac:dyDescent="0.25">
      <c r="L650" s="53" t="str">
        <f t="shared" si="20"/>
        <v/>
      </c>
      <c r="M650" s="19" t="str">
        <f t="shared" si="21"/>
        <v/>
      </c>
      <c r="N650" t="str">
        <f ca="1">IF(TRIM(SUBSTITUTE($B650,CHAR(160)," "))="","",IFERROR(IF(ISNUMBER(SEARCH("INC",$B650)),"INC",IF(ISNUMBER(SEARCH("OPI",$B650)),"OPI",IF(ISNUMBER(SEARCH("DP",$B650)),"DP","CONC")))&amp;" "&amp;TEXT(LOOKUP(9.99E+307,--MID(SUBSTITUTE($B650,CHAR(160)," "),SUMPRODUCT(MIN(FIND({0,1,2,3,4,5,6,7,8,9},SUBSTITUTE($B650,CHAR(160)," ")&amp;"0123456789"))),ROW(INDIRECT("1:6")))),"0"),"SIN NUMERO"))</f>
        <v/>
      </c>
      <c r="O650" t="str">
        <f ca="1">IF($N650="","",IF(LEFT(UPPER($P650),9)="VERIFICAR","VERIFICAR",IF(AND($H650&lt;&gt;"",COUNTIFS($N$2:$N$1000,$N650,$H$2:$H$1000,$H650)&gt;1),"DUPLICADA",IF(TRIM(IF($A650="","tipo ","")&amp;IF($F650="","fecha de firma ","")&amp;IF($G650="","decisión ","")&amp;IF($H650="","N° resolución ","")&amp;IF($I650="","N° dictamen",""))&lt;&gt;"","INCOMPLETA: "&amp;TRIM(IF($A650="","tipo ","")&amp;IF($F650="","fecha de firma ","")&amp;IF($G650="","decisión ","")&amp;IF($H650="","N° resolución ","")&amp;IF($I650="","N° dictamen","")),IF(LEFT($N650,4)&lt;&gt;"CONC","OK",IF(N($Q650)=0,IF(AND(ISNUMBER($E650),$E650&gt;=DATE(2024,1,1)),"FALTA EN evol_conc","OK"),IF(INDEX(evol_conc!$H:$H,$Q650)&lt;&gt;$F650,"FIRMA DISTINTA EN evol_conc ("&amp;IF(INDEX(evol_conc!$H:$H,$Q650)="","vacía",DAY(INDEX(evol_conc!$H:$H,$Q650))&amp;"/"&amp;MONTH(INDEX(evol_conc!$H:$H,$Q650))&amp;"/"&amp;YEAR(INDEX(evol_conc!$H:$H,$Q650)))&amp;")",IF(INDEX(evol_conc!$G:$G,$Q650)&lt;&gt;$E650,"INGRESO DISTINTO EN evol_conc ("&amp;IF(INDEX(evol_conc!$G:$G,$Q650)="","vacía",DAY(INDEX(evol_conc!$G:$G,$Q650))&amp;"/"&amp;MONTH(INDEX(evol_conc!$G:$G,$Q650))&amp;"/"&amp;YEAR(INDEX(evol_conc!$G:$G,$Q650)))&amp;")","OK"))))))))</f>
        <v/>
      </c>
      <c r="Q650" t="str">
        <f ca="1">IF($N650="","",IFERROR(MATCH($N650,evol_conc!$P:$P,0),0))</f>
        <v/>
      </c>
    </row>
    <row r="651" spans="12:17" ht="18" hidden="1" customHeight="1" x14ac:dyDescent="0.25">
      <c r="L651" s="53" t="str">
        <f t="shared" si="20"/>
        <v/>
      </c>
      <c r="M651" s="19" t="str">
        <f t="shared" si="21"/>
        <v/>
      </c>
      <c r="N651" t="str">
        <f ca="1">IF(TRIM(SUBSTITUTE($B651,CHAR(160)," "))="","",IFERROR(IF(ISNUMBER(SEARCH("INC",$B651)),"INC",IF(ISNUMBER(SEARCH("OPI",$B651)),"OPI",IF(ISNUMBER(SEARCH("DP",$B651)),"DP","CONC")))&amp;" "&amp;TEXT(LOOKUP(9.99E+307,--MID(SUBSTITUTE($B651,CHAR(160)," "),SUMPRODUCT(MIN(FIND({0,1,2,3,4,5,6,7,8,9},SUBSTITUTE($B651,CHAR(160)," ")&amp;"0123456789"))),ROW(INDIRECT("1:6")))),"0"),"SIN NUMERO"))</f>
        <v/>
      </c>
      <c r="O651" t="str">
        <f ca="1">IF($N651="","",IF(LEFT(UPPER($P651),9)="VERIFICAR","VERIFICAR",IF(AND($H651&lt;&gt;"",COUNTIFS($N$2:$N$1000,$N651,$H$2:$H$1000,$H651)&gt;1),"DUPLICADA",IF(TRIM(IF($A651="","tipo ","")&amp;IF($F651="","fecha de firma ","")&amp;IF($G651="","decisión ","")&amp;IF($H651="","N° resolución ","")&amp;IF($I651="","N° dictamen",""))&lt;&gt;"","INCOMPLETA: "&amp;TRIM(IF($A651="","tipo ","")&amp;IF($F651="","fecha de firma ","")&amp;IF($G651="","decisión ","")&amp;IF($H651="","N° resolución ","")&amp;IF($I651="","N° dictamen","")),IF(LEFT($N651,4)&lt;&gt;"CONC","OK",IF(N($Q651)=0,IF(AND(ISNUMBER($E651),$E651&gt;=DATE(2024,1,1)),"FALTA EN evol_conc","OK"),IF(INDEX(evol_conc!$H:$H,$Q651)&lt;&gt;$F651,"FIRMA DISTINTA EN evol_conc ("&amp;IF(INDEX(evol_conc!$H:$H,$Q651)="","vacía",DAY(INDEX(evol_conc!$H:$H,$Q651))&amp;"/"&amp;MONTH(INDEX(evol_conc!$H:$H,$Q651))&amp;"/"&amp;YEAR(INDEX(evol_conc!$H:$H,$Q651)))&amp;")",IF(INDEX(evol_conc!$G:$G,$Q651)&lt;&gt;$E651,"INGRESO DISTINTO EN evol_conc ("&amp;IF(INDEX(evol_conc!$G:$G,$Q651)="","vacía",DAY(INDEX(evol_conc!$G:$G,$Q651))&amp;"/"&amp;MONTH(INDEX(evol_conc!$G:$G,$Q651))&amp;"/"&amp;YEAR(INDEX(evol_conc!$G:$G,$Q651)))&amp;")","OK"))))))))</f>
        <v/>
      </c>
      <c r="Q651" t="str">
        <f ca="1">IF($N651="","",IFERROR(MATCH($N651,evol_conc!$P:$P,0),0))</f>
        <v/>
      </c>
    </row>
    <row r="652" spans="12:17" ht="18" hidden="1" customHeight="1" x14ac:dyDescent="0.25">
      <c r="L652" s="53" t="str">
        <f t="shared" si="20"/>
        <v/>
      </c>
      <c r="M652" s="19" t="str">
        <f t="shared" si="21"/>
        <v/>
      </c>
      <c r="N652" t="str">
        <f ca="1">IF(TRIM(SUBSTITUTE($B652,CHAR(160)," "))="","",IFERROR(IF(ISNUMBER(SEARCH("INC",$B652)),"INC",IF(ISNUMBER(SEARCH("OPI",$B652)),"OPI",IF(ISNUMBER(SEARCH("DP",$B652)),"DP","CONC")))&amp;" "&amp;TEXT(LOOKUP(9.99E+307,--MID(SUBSTITUTE($B652,CHAR(160)," "),SUMPRODUCT(MIN(FIND({0,1,2,3,4,5,6,7,8,9},SUBSTITUTE($B652,CHAR(160)," ")&amp;"0123456789"))),ROW(INDIRECT("1:6")))),"0"),"SIN NUMERO"))</f>
        <v/>
      </c>
      <c r="O652" t="str">
        <f ca="1">IF($N652="","",IF(LEFT(UPPER($P652),9)="VERIFICAR","VERIFICAR",IF(AND($H652&lt;&gt;"",COUNTIFS($N$2:$N$1000,$N652,$H$2:$H$1000,$H652)&gt;1),"DUPLICADA",IF(TRIM(IF($A652="","tipo ","")&amp;IF($F652="","fecha de firma ","")&amp;IF($G652="","decisión ","")&amp;IF($H652="","N° resolución ","")&amp;IF($I652="","N° dictamen",""))&lt;&gt;"","INCOMPLETA: "&amp;TRIM(IF($A652="","tipo ","")&amp;IF($F652="","fecha de firma ","")&amp;IF($G652="","decisión ","")&amp;IF($H652="","N° resolución ","")&amp;IF($I652="","N° dictamen","")),IF(LEFT($N652,4)&lt;&gt;"CONC","OK",IF(N($Q652)=0,IF(AND(ISNUMBER($E652),$E652&gt;=DATE(2024,1,1)),"FALTA EN evol_conc","OK"),IF(INDEX(evol_conc!$H:$H,$Q652)&lt;&gt;$F652,"FIRMA DISTINTA EN evol_conc ("&amp;IF(INDEX(evol_conc!$H:$H,$Q652)="","vacía",DAY(INDEX(evol_conc!$H:$H,$Q652))&amp;"/"&amp;MONTH(INDEX(evol_conc!$H:$H,$Q652))&amp;"/"&amp;YEAR(INDEX(evol_conc!$H:$H,$Q652)))&amp;")",IF(INDEX(evol_conc!$G:$G,$Q652)&lt;&gt;$E652,"INGRESO DISTINTO EN evol_conc ("&amp;IF(INDEX(evol_conc!$G:$G,$Q652)="","vacía",DAY(INDEX(evol_conc!$G:$G,$Q652))&amp;"/"&amp;MONTH(INDEX(evol_conc!$G:$G,$Q652))&amp;"/"&amp;YEAR(INDEX(evol_conc!$G:$G,$Q652)))&amp;")","OK"))))))))</f>
        <v/>
      </c>
      <c r="Q652" t="str">
        <f ca="1">IF($N652="","",IFERROR(MATCH($N652,evol_conc!$P:$P,0),0))</f>
        <v/>
      </c>
    </row>
    <row r="653" spans="12:17" ht="18" hidden="1" customHeight="1" x14ac:dyDescent="0.25">
      <c r="L653" s="53" t="str">
        <f t="shared" si="20"/>
        <v/>
      </c>
      <c r="M653" s="19" t="str">
        <f t="shared" si="21"/>
        <v/>
      </c>
      <c r="N653" t="str">
        <f ca="1">IF(TRIM(SUBSTITUTE($B653,CHAR(160)," "))="","",IFERROR(IF(ISNUMBER(SEARCH("INC",$B653)),"INC",IF(ISNUMBER(SEARCH("OPI",$B653)),"OPI",IF(ISNUMBER(SEARCH("DP",$B653)),"DP","CONC")))&amp;" "&amp;TEXT(LOOKUP(9.99E+307,--MID(SUBSTITUTE($B653,CHAR(160)," "),SUMPRODUCT(MIN(FIND({0,1,2,3,4,5,6,7,8,9},SUBSTITUTE($B653,CHAR(160)," ")&amp;"0123456789"))),ROW(INDIRECT("1:6")))),"0"),"SIN NUMERO"))</f>
        <v/>
      </c>
      <c r="O653" t="str">
        <f ca="1">IF($N653="","",IF(LEFT(UPPER($P653),9)="VERIFICAR","VERIFICAR",IF(AND($H653&lt;&gt;"",COUNTIFS($N$2:$N$1000,$N653,$H$2:$H$1000,$H653)&gt;1),"DUPLICADA",IF(TRIM(IF($A653="","tipo ","")&amp;IF($F653="","fecha de firma ","")&amp;IF($G653="","decisión ","")&amp;IF($H653="","N° resolución ","")&amp;IF($I653="","N° dictamen",""))&lt;&gt;"","INCOMPLETA: "&amp;TRIM(IF($A653="","tipo ","")&amp;IF($F653="","fecha de firma ","")&amp;IF($G653="","decisión ","")&amp;IF($H653="","N° resolución ","")&amp;IF($I653="","N° dictamen","")),IF(LEFT($N653,4)&lt;&gt;"CONC","OK",IF(N($Q653)=0,IF(AND(ISNUMBER($E653),$E653&gt;=DATE(2024,1,1)),"FALTA EN evol_conc","OK"),IF(INDEX(evol_conc!$H:$H,$Q653)&lt;&gt;$F653,"FIRMA DISTINTA EN evol_conc ("&amp;IF(INDEX(evol_conc!$H:$H,$Q653)="","vacía",DAY(INDEX(evol_conc!$H:$H,$Q653))&amp;"/"&amp;MONTH(INDEX(evol_conc!$H:$H,$Q653))&amp;"/"&amp;YEAR(INDEX(evol_conc!$H:$H,$Q653)))&amp;")",IF(INDEX(evol_conc!$G:$G,$Q653)&lt;&gt;$E653,"INGRESO DISTINTO EN evol_conc ("&amp;IF(INDEX(evol_conc!$G:$G,$Q653)="","vacía",DAY(INDEX(evol_conc!$G:$G,$Q653))&amp;"/"&amp;MONTH(INDEX(evol_conc!$G:$G,$Q653))&amp;"/"&amp;YEAR(INDEX(evol_conc!$G:$G,$Q653)))&amp;")","OK"))))))))</f>
        <v/>
      </c>
      <c r="Q653" t="str">
        <f ca="1">IF($N653="","",IFERROR(MATCH($N653,evol_conc!$P:$P,0),0))</f>
        <v/>
      </c>
    </row>
    <row r="654" spans="12:17" ht="18" hidden="1" customHeight="1" x14ac:dyDescent="0.25">
      <c r="L654" s="53" t="str">
        <f t="shared" si="20"/>
        <v/>
      </c>
      <c r="M654" s="19" t="str">
        <f t="shared" si="21"/>
        <v/>
      </c>
      <c r="N654" t="str">
        <f ca="1">IF(TRIM(SUBSTITUTE($B654,CHAR(160)," "))="","",IFERROR(IF(ISNUMBER(SEARCH("INC",$B654)),"INC",IF(ISNUMBER(SEARCH("OPI",$B654)),"OPI",IF(ISNUMBER(SEARCH("DP",$B654)),"DP","CONC")))&amp;" "&amp;TEXT(LOOKUP(9.99E+307,--MID(SUBSTITUTE($B654,CHAR(160)," "),SUMPRODUCT(MIN(FIND({0,1,2,3,4,5,6,7,8,9},SUBSTITUTE($B654,CHAR(160)," ")&amp;"0123456789"))),ROW(INDIRECT("1:6")))),"0"),"SIN NUMERO"))</f>
        <v/>
      </c>
      <c r="O654" t="str">
        <f ca="1">IF($N654="","",IF(LEFT(UPPER($P654),9)="VERIFICAR","VERIFICAR",IF(AND($H654&lt;&gt;"",COUNTIFS($N$2:$N$1000,$N654,$H$2:$H$1000,$H654)&gt;1),"DUPLICADA",IF(TRIM(IF($A654="","tipo ","")&amp;IF($F654="","fecha de firma ","")&amp;IF($G654="","decisión ","")&amp;IF($H654="","N° resolución ","")&amp;IF($I654="","N° dictamen",""))&lt;&gt;"","INCOMPLETA: "&amp;TRIM(IF($A654="","tipo ","")&amp;IF($F654="","fecha de firma ","")&amp;IF($G654="","decisión ","")&amp;IF($H654="","N° resolución ","")&amp;IF($I654="","N° dictamen","")),IF(LEFT($N654,4)&lt;&gt;"CONC","OK",IF(N($Q654)=0,IF(AND(ISNUMBER($E654),$E654&gt;=DATE(2024,1,1)),"FALTA EN evol_conc","OK"),IF(INDEX(evol_conc!$H:$H,$Q654)&lt;&gt;$F654,"FIRMA DISTINTA EN evol_conc ("&amp;IF(INDEX(evol_conc!$H:$H,$Q654)="","vacía",DAY(INDEX(evol_conc!$H:$H,$Q654))&amp;"/"&amp;MONTH(INDEX(evol_conc!$H:$H,$Q654))&amp;"/"&amp;YEAR(INDEX(evol_conc!$H:$H,$Q654)))&amp;")",IF(INDEX(evol_conc!$G:$G,$Q654)&lt;&gt;$E654,"INGRESO DISTINTO EN evol_conc ("&amp;IF(INDEX(evol_conc!$G:$G,$Q654)="","vacía",DAY(INDEX(evol_conc!$G:$G,$Q654))&amp;"/"&amp;MONTH(INDEX(evol_conc!$G:$G,$Q654))&amp;"/"&amp;YEAR(INDEX(evol_conc!$G:$G,$Q654)))&amp;")","OK"))))))))</f>
        <v/>
      </c>
      <c r="Q654" t="str">
        <f ca="1">IF($N654="","",IFERROR(MATCH($N654,evol_conc!$P:$P,0),0))</f>
        <v/>
      </c>
    </row>
    <row r="655" spans="12:17" ht="18" hidden="1" customHeight="1" x14ac:dyDescent="0.25">
      <c r="L655" s="53" t="str">
        <f t="shared" si="20"/>
        <v/>
      </c>
      <c r="M655" s="19" t="str">
        <f t="shared" si="21"/>
        <v/>
      </c>
      <c r="N655" t="str">
        <f ca="1">IF(TRIM(SUBSTITUTE($B655,CHAR(160)," "))="","",IFERROR(IF(ISNUMBER(SEARCH("INC",$B655)),"INC",IF(ISNUMBER(SEARCH("OPI",$B655)),"OPI",IF(ISNUMBER(SEARCH("DP",$B655)),"DP","CONC")))&amp;" "&amp;TEXT(LOOKUP(9.99E+307,--MID(SUBSTITUTE($B655,CHAR(160)," "),SUMPRODUCT(MIN(FIND({0,1,2,3,4,5,6,7,8,9},SUBSTITUTE($B655,CHAR(160)," ")&amp;"0123456789"))),ROW(INDIRECT("1:6")))),"0"),"SIN NUMERO"))</f>
        <v/>
      </c>
      <c r="O655" t="str">
        <f ca="1">IF($N655="","",IF(LEFT(UPPER($P655),9)="VERIFICAR","VERIFICAR",IF(AND($H655&lt;&gt;"",COUNTIFS($N$2:$N$1000,$N655,$H$2:$H$1000,$H655)&gt;1),"DUPLICADA",IF(TRIM(IF($A655="","tipo ","")&amp;IF($F655="","fecha de firma ","")&amp;IF($G655="","decisión ","")&amp;IF($H655="","N° resolución ","")&amp;IF($I655="","N° dictamen",""))&lt;&gt;"","INCOMPLETA: "&amp;TRIM(IF($A655="","tipo ","")&amp;IF($F655="","fecha de firma ","")&amp;IF($G655="","decisión ","")&amp;IF($H655="","N° resolución ","")&amp;IF($I655="","N° dictamen","")),IF(LEFT($N655,4)&lt;&gt;"CONC","OK",IF(N($Q655)=0,IF(AND(ISNUMBER($E655),$E655&gt;=DATE(2024,1,1)),"FALTA EN evol_conc","OK"),IF(INDEX(evol_conc!$H:$H,$Q655)&lt;&gt;$F655,"FIRMA DISTINTA EN evol_conc ("&amp;IF(INDEX(evol_conc!$H:$H,$Q655)="","vacía",DAY(INDEX(evol_conc!$H:$H,$Q655))&amp;"/"&amp;MONTH(INDEX(evol_conc!$H:$H,$Q655))&amp;"/"&amp;YEAR(INDEX(evol_conc!$H:$H,$Q655)))&amp;")",IF(INDEX(evol_conc!$G:$G,$Q655)&lt;&gt;$E655,"INGRESO DISTINTO EN evol_conc ("&amp;IF(INDEX(evol_conc!$G:$G,$Q655)="","vacía",DAY(INDEX(evol_conc!$G:$G,$Q655))&amp;"/"&amp;MONTH(INDEX(evol_conc!$G:$G,$Q655))&amp;"/"&amp;YEAR(INDEX(evol_conc!$G:$G,$Q655)))&amp;")","OK"))))))))</f>
        <v/>
      </c>
      <c r="Q655" t="str">
        <f ca="1">IF($N655="","",IFERROR(MATCH($N655,evol_conc!$P:$P,0),0))</f>
        <v/>
      </c>
    </row>
    <row r="656" spans="12:17" ht="18" hidden="1" customHeight="1" x14ac:dyDescent="0.25">
      <c r="L656" s="53" t="str">
        <f t="shared" si="20"/>
        <v/>
      </c>
      <c r="M656" s="19" t="str">
        <f t="shared" si="21"/>
        <v/>
      </c>
      <c r="N656" t="str">
        <f ca="1">IF(TRIM(SUBSTITUTE($B656,CHAR(160)," "))="","",IFERROR(IF(ISNUMBER(SEARCH("INC",$B656)),"INC",IF(ISNUMBER(SEARCH("OPI",$B656)),"OPI",IF(ISNUMBER(SEARCH("DP",$B656)),"DP","CONC")))&amp;" "&amp;TEXT(LOOKUP(9.99E+307,--MID(SUBSTITUTE($B656,CHAR(160)," "),SUMPRODUCT(MIN(FIND({0,1,2,3,4,5,6,7,8,9},SUBSTITUTE($B656,CHAR(160)," ")&amp;"0123456789"))),ROW(INDIRECT("1:6")))),"0"),"SIN NUMERO"))</f>
        <v/>
      </c>
      <c r="O656" t="str">
        <f ca="1">IF($N656="","",IF(LEFT(UPPER($P656),9)="VERIFICAR","VERIFICAR",IF(AND($H656&lt;&gt;"",COUNTIFS($N$2:$N$1000,$N656,$H$2:$H$1000,$H656)&gt;1),"DUPLICADA",IF(TRIM(IF($A656="","tipo ","")&amp;IF($F656="","fecha de firma ","")&amp;IF($G656="","decisión ","")&amp;IF($H656="","N° resolución ","")&amp;IF($I656="","N° dictamen",""))&lt;&gt;"","INCOMPLETA: "&amp;TRIM(IF($A656="","tipo ","")&amp;IF($F656="","fecha de firma ","")&amp;IF($G656="","decisión ","")&amp;IF($H656="","N° resolución ","")&amp;IF($I656="","N° dictamen","")),IF(LEFT($N656,4)&lt;&gt;"CONC","OK",IF(N($Q656)=0,IF(AND(ISNUMBER($E656),$E656&gt;=DATE(2024,1,1)),"FALTA EN evol_conc","OK"),IF(INDEX(evol_conc!$H:$H,$Q656)&lt;&gt;$F656,"FIRMA DISTINTA EN evol_conc ("&amp;IF(INDEX(evol_conc!$H:$H,$Q656)="","vacía",DAY(INDEX(evol_conc!$H:$H,$Q656))&amp;"/"&amp;MONTH(INDEX(evol_conc!$H:$H,$Q656))&amp;"/"&amp;YEAR(INDEX(evol_conc!$H:$H,$Q656)))&amp;")",IF(INDEX(evol_conc!$G:$G,$Q656)&lt;&gt;$E656,"INGRESO DISTINTO EN evol_conc ("&amp;IF(INDEX(evol_conc!$G:$G,$Q656)="","vacía",DAY(INDEX(evol_conc!$G:$G,$Q656))&amp;"/"&amp;MONTH(INDEX(evol_conc!$G:$G,$Q656))&amp;"/"&amp;YEAR(INDEX(evol_conc!$G:$G,$Q656)))&amp;")","OK"))))))))</f>
        <v/>
      </c>
      <c r="Q656" t="str">
        <f ca="1">IF($N656="","",IFERROR(MATCH($N656,evol_conc!$P:$P,0),0))</f>
        <v/>
      </c>
    </row>
    <row r="657" spans="12:17" ht="18" hidden="1" customHeight="1" x14ac:dyDescent="0.25">
      <c r="L657" s="53" t="str">
        <f t="shared" si="20"/>
        <v/>
      </c>
      <c r="M657" s="19" t="str">
        <f t="shared" si="21"/>
        <v/>
      </c>
      <c r="N657" t="str">
        <f ca="1">IF(TRIM(SUBSTITUTE($B657,CHAR(160)," "))="","",IFERROR(IF(ISNUMBER(SEARCH("INC",$B657)),"INC",IF(ISNUMBER(SEARCH("OPI",$B657)),"OPI",IF(ISNUMBER(SEARCH("DP",$B657)),"DP","CONC")))&amp;" "&amp;TEXT(LOOKUP(9.99E+307,--MID(SUBSTITUTE($B657,CHAR(160)," "),SUMPRODUCT(MIN(FIND({0,1,2,3,4,5,6,7,8,9},SUBSTITUTE($B657,CHAR(160)," ")&amp;"0123456789"))),ROW(INDIRECT("1:6")))),"0"),"SIN NUMERO"))</f>
        <v/>
      </c>
      <c r="O657" t="str">
        <f ca="1">IF($N657="","",IF(LEFT(UPPER($P657),9)="VERIFICAR","VERIFICAR",IF(AND($H657&lt;&gt;"",COUNTIFS($N$2:$N$1000,$N657,$H$2:$H$1000,$H657)&gt;1),"DUPLICADA",IF(TRIM(IF($A657="","tipo ","")&amp;IF($F657="","fecha de firma ","")&amp;IF($G657="","decisión ","")&amp;IF($H657="","N° resolución ","")&amp;IF($I657="","N° dictamen",""))&lt;&gt;"","INCOMPLETA: "&amp;TRIM(IF($A657="","tipo ","")&amp;IF($F657="","fecha de firma ","")&amp;IF($G657="","decisión ","")&amp;IF($H657="","N° resolución ","")&amp;IF($I657="","N° dictamen","")),IF(LEFT($N657,4)&lt;&gt;"CONC","OK",IF(N($Q657)=0,IF(AND(ISNUMBER($E657),$E657&gt;=DATE(2024,1,1)),"FALTA EN evol_conc","OK"),IF(INDEX(evol_conc!$H:$H,$Q657)&lt;&gt;$F657,"FIRMA DISTINTA EN evol_conc ("&amp;IF(INDEX(evol_conc!$H:$H,$Q657)="","vacía",DAY(INDEX(evol_conc!$H:$H,$Q657))&amp;"/"&amp;MONTH(INDEX(evol_conc!$H:$H,$Q657))&amp;"/"&amp;YEAR(INDEX(evol_conc!$H:$H,$Q657)))&amp;")",IF(INDEX(evol_conc!$G:$G,$Q657)&lt;&gt;$E657,"INGRESO DISTINTO EN evol_conc ("&amp;IF(INDEX(evol_conc!$G:$G,$Q657)="","vacía",DAY(INDEX(evol_conc!$G:$G,$Q657))&amp;"/"&amp;MONTH(INDEX(evol_conc!$G:$G,$Q657))&amp;"/"&amp;YEAR(INDEX(evol_conc!$G:$G,$Q657)))&amp;")","OK"))))))))</f>
        <v/>
      </c>
      <c r="Q657" t="str">
        <f ca="1">IF($N657="","",IFERROR(MATCH($N657,evol_conc!$P:$P,0),0))</f>
        <v/>
      </c>
    </row>
    <row r="658" spans="12:17" ht="18" hidden="1" customHeight="1" x14ac:dyDescent="0.25">
      <c r="L658" s="53" t="str">
        <f t="shared" si="20"/>
        <v/>
      </c>
      <c r="M658" s="19" t="str">
        <f t="shared" si="21"/>
        <v/>
      </c>
      <c r="N658" t="str">
        <f ca="1">IF(TRIM(SUBSTITUTE($B658,CHAR(160)," "))="","",IFERROR(IF(ISNUMBER(SEARCH("INC",$B658)),"INC",IF(ISNUMBER(SEARCH("OPI",$B658)),"OPI",IF(ISNUMBER(SEARCH("DP",$B658)),"DP","CONC")))&amp;" "&amp;TEXT(LOOKUP(9.99E+307,--MID(SUBSTITUTE($B658,CHAR(160)," "),SUMPRODUCT(MIN(FIND({0,1,2,3,4,5,6,7,8,9},SUBSTITUTE($B658,CHAR(160)," ")&amp;"0123456789"))),ROW(INDIRECT("1:6")))),"0"),"SIN NUMERO"))</f>
        <v/>
      </c>
      <c r="O658" t="str">
        <f ca="1">IF($N658="","",IF(LEFT(UPPER($P658),9)="VERIFICAR","VERIFICAR",IF(AND($H658&lt;&gt;"",COUNTIFS($N$2:$N$1000,$N658,$H$2:$H$1000,$H658)&gt;1),"DUPLICADA",IF(TRIM(IF($A658="","tipo ","")&amp;IF($F658="","fecha de firma ","")&amp;IF($G658="","decisión ","")&amp;IF($H658="","N° resolución ","")&amp;IF($I658="","N° dictamen",""))&lt;&gt;"","INCOMPLETA: "&amp;TRIM(IF($A658="","tipo ","")&amp;IF($F658="","fecha de firma ","")&amp;IF($G658="","decisión ","")&amp;IF($H658="","N° resolución ","")&amp;IF($I658="","N° dictamen","")),IF(LEFT($N658,4)&lt;&gt;"CONC","OK",IF(N($Q658)=0,IF(AND(ISNUMBER($E658),$E658&gt;=DATE(2024,1,1)),"FALTA EN evol_conc","OK"),IF(INDEX(evol_conc!$H:$H,$Q658)&lt;&gt;$F658,"FIRMA DISTINTA EN evol_conc ("&amp;IF(INDEX(evol_conc!$H:$H,$Q658)="","vacía",DAY(INDEX(evol_conc!$H:$H,$Q658))&amp;"/"&amp;MONTH(INDEX(evol_conc!$H:$H,$Q658))&amp;"/"&amp;YEAR(INDEX(evol_conc!$H:$H,$Q658)))&amp;")",IF(INDEX(evol_conc!$G:$G,$Q658)&lt;&gt;$E658,"INGRESO DISTINTO EN evol_conc ("&amp;IF(INDEX(evol_conc!$G:$G,$Q658)="","vacía",DAY(INDEX(evol_conc!$G:$G,$Q658))&amp;"/"&amp;MONTH(INDEX(evol_conc!$G:$G,$Q658))&amp;"/"&amp;YEAR(INDEX(evol_conc!$G:$G,$Q658)))&amp;")","OK"))))))))</f>
        <v/>
      </c>
      <c r="Q658" t="str">
        <f ca="1">IF($N658="","",IFERROR(MATCH($N658,evol_conc!$P:$P,0),0))</f>
        <v/>
      </c>
    </row>
    <row r="659" spans="12:17" ht="18" hidden="1" customHeight="1" x14ac:dyDescent="0.25">
      <c r="L659" s="53" t="str">
        <f t="shared" si="20"/>
        <v/>
      </c>
      <c r="M659" s="19" t="str">
        <f t="shared" si="21"/>
        <v/>
      </c>
      <c r="N659" t="str">
        <f ca="1">IF(TRIM(SUBSTITUTE($B659,CHAR(160)," "))="","",IFERROR(IF(ISNUMBER(SEARCH("INC",$B659)),"INC",IF(ISNUMBER(SEARCH("OPI",$B659)),"OPI",IF(ISNUMBER(SEARCH("DP",$B659)),"DP","CONC")))&amp;" "&amp;TEXT(LOOKUP(9.99E+307,--MID(SUBSTITUTE($B659,CHAR(160)," "),SUMPRODUCT(MIN(FIND({0,1,2,3,4,5,6,7,8,9},SUBSTITUTE($B659,CHAR(160)," ")&amp;"0123456789"))),ROW(INDIRECT("1:6")))),"0"),"SIN NUMERO"))</f>
        <v/>
      </c>
      <c r="O659" t="str">
        <f ca="1">IF($N659="","",IF(LEFT(UPPER($P659),9)="VERIFICAR","VERIFICAR",IF(AND($H659&lt;&gt;"",COUNTIFS($N$2:$N$1000,$N659,$H$2:$H$1000,$H659)&gt;1),"DUPLICADA",IF(TRIM(IF($A659="","tipo ","")&amp;IF($F659="","fecha de firma ","")&amp;IF($G659="","decisión ","")&amp;IF($H659="","N° resolución ","")&amp;IF($I659="","N° dictamen",""))&lt;&gt;"","INCOMPLETA: "&amp;TRIM(IF($A659="","tipo ","")&amp;IF($F659="","fecha de firma ","")&amp;IF($G659="","decisión ","")&amp;IF($H659="","N° resolución ","")&amp;IF($I659="","N° dictamen","")),IF(LEFT($N659,4)&lt;&gt;"CONC","OK",IF(N($Q659)=0,IF(AND(ISNUMBER($E659),$E659&gt;=DATE(2024,1,1)),"FALTA EN evol_conc","OK"),IF(INDEX(evol_conc!$H:$H,$Q659)&lt;&gt;$F659,"FIRMA DISTINTA EN evol_conc ("&amp;IF(INDEX(evol_conc!$H:$H,$Q659)="","vacía",DAY(INDEX(evol_conc!$H:$H,$Q659))&amp;"/"&amp;MONTH(INDEX(evol_conc!$H:$H,$Q659))&amp;"/"&amp;YEAR(INDEX(evol_conc!$H:$H,$Q659)))&amp;")",IF(INDEX(evol_conc!$G:$G,$Q659)&lt;&gt;$E659,"INGRESO DISTINTO EN evol_conc ("&amp;IF(INDEX(evol_conc!$G:$G,$Q659)="","vacía",DAY(INDEX(evol_conc!$G:$G,$Q659))&amp;"/"&amp;MONTH(INDEX(evol_conc!$G:$G,$Q659))&amp;"/"&amp;YEAR(INDEX(evol_conc!$G:$G,$Q659)))&amp;")","OK"))))))))</f>
        <v/>
      </c>
      <c r="Q659" t="str">
        <f ca="1">IF($N659="","",IFERROR(MATCH($N659,evol_conc!$P:$P,0),0))</f>
        <v/>
      </c>
    </row>
    <row r="660" spans="12:17" ht="18" hidden="1" customHeight="1" x14ac:dyDescent="0.25">
      <c r="L660" s="53" t="str">
        <f t="shared" si="20"/>
        <v/>
      </c>
      <c r="M660" s="19" t="str">
        <f t="shared" si="21"/>
        <v/>
      </c>
      <c r="N660" t="str">
        <f ca="1">IF(TRIM(SUBSTITUTE($B660,CHAR(160)," "))="","",IFERROR(IF(ISNUMBER(SEARCH("INC",$B660)),"INC",IF(ISNUMBER(SEARCH("OPI",$B660)),"OPI",IF(ISNUMBER(SEARCH("DP",$B660)),"DP","CONC")))&amp;" "&amp;TEXT(LOOKUP(9.99E+307,--MID(SUBSTITUTE($B660,CHAR(160)," "),SUMPRODUCT(MIN(FIND({0,1,2,3,4,5,6,7,8,9},SUBSTITUTE($B660,CHAR(160)," ")&amp;"0123456789"))),ROW(INDIRECT("1:6")))),"0"),"SIN NUMERO"))</f>
        <v/>
      </c>
      <c r="O660" t="str">
        <f ca="1">IF($N660="","",IF(LEFT(UPPER($P660),9)="VERIFICAR","VERIFICAR",IF(AND($H660&lt;&gt;"",COUNTIFS($N$2:$N$1000,$N660,$H$2:$H$1000,$H660)&gt;1),"DUPLICADA",IF(TRIM(IF($A660="","tipo ","")&amp;IF($F660="","fecha de firma ","")&amp;IF($G660="","decisión ","")&amp;IF($H660="","N° resolución ","")&amp;IF($I660="","N° dictamen",""))&lt;&gt;"","INCOMPLETA: "&amp;TRIM(IF($A660="","tipo ","")&amp;IF($F660="","fecha de firma ","")&amp;IF($G660="","decisión ","")&amp;IF($H660="","N° resolución ","")&amp;IF($I660="","N° dictamen","")),IF(LEFT($N660,4)&lt;&gt;"CONC","OK",IF(N($Q660)=0,IF(AND(ISNUMBER($E660),$E660&gt;=DATE(2024,1,1)),"FALTA EN evol_conc","OK"),IF(INDEX(evol_conc!$H:$H,$Q660)&lt;&gt;$F660,"FIRMA DISTINTA EN evol_conc ("&amp;IF(INDEX(evol_conc!$H:$H,$Q660)="","vacía",DAY(INDEX(evol_conc!$H:$H,$Q660))&amp;"/"&amp;MONTH(INDEX(evol_conc!$H:$H,$Q660))&amp;"/"&amp;YEAR(INDEX(evol_conc!$H:$H,$Q660)))&amp;")",IF(INDEX(evol_conc!$G:$G,$Q660)&lt;&gt;$E660,"INGRESO DISTINTO EN evol_conc ("&amp;IF(INDEX(evol_conc!$G:$G,$Q660)="","vacía",DAY(INDEX(evol_conc!$G:$G,$Q660))&amp;"/"&amp;MONTH(INDEX(evol_conc!$G:$G,$Q660))&amp;"/"&amp;YEAR(INDEX(evol_conc!$G:$G,$Q660)))&amp;")","OK"))))))))</f>
        <v/>
      </c>
      <c r="Q660" t="str">
        <f ca="1">IF($N660="","",IFERROR(MATCH($N660,evol_conc!$P:$P,0),0))</f>
        <v/>
      </c>
    </row>
    <row r="661" spans="12:17" ht="18" hidden="1" customHeight="1" x14ac:dyDescent="0.25">
      <c r="L661" s="53" t="str">
        <f t="shared" si="20"/>
        <v/>
      </c>
      <c r="M661" s="19" t="str">
        <f t="shared" si="21"/>
        <v/>
      </c>
      <c r="N661" t="str">
        <f ca="1">IF(TRIM(SUBSTITUTE($B661,CHAR(160)," "))="","",IFERROR(IF(ISNUMBER(SEARCH("INC",$B661)),"INC",IF(ISNUMBER(SEARCH("OPI",$B661)),"OPI",IF(ISNUMBER(SEARCH("DP",$B661)),"DP","CONC")))&amp;" "&amp;TEXT(LOOKUP(9.99E+307,--MID(SUBSTITUTE($B661,CHAR(160)," "),SUMPRODUCT(MIN(FIND({0,1,2,3,4,5,6,7,8,9},SUBSTITUTE($B661,CHAR(160)," ")&amp;"0123456789"))),ROW(INDIRECT("1:6")))),"0"),"SIN NUMERO"))</f>
        <v/>
      </c>
      <c r="O661" t="str">
        <f ca="1">IF($N661="","",IF(LEFT(UPPER($P661),9)="VERIFICAR","VERIFICAR",IF(AND($H661&lt;&gt;"",COUNTIFS($N$2:$N$1000,$N661,$H$2:$H$1000,$H661)&gt;1),"DUPLICADA",IF(TRIM(IF($A661="","tipo ","")&amp;IF($F661="","fecha de firma ","")&amp;IF($G661="","decisión ","")&amp;IF($H661="","N° resolución ","")&amp;IF($I661="","N° dictamen",""))&lt;&gt;"","INCOMPLETA: "&amp;TRIM(IF($A661="","tipo ","")&amp;IF($F661="","fecha de firma ","")&amp;IF($G661="","decisión ","")&amp;IF($H661="","N° resolución ","")&amp;IF($I661="","N° dictamen","")),IF(LEFT($N661,4)&lt;&gt;"CONC","OK",IF(N($Q661)=0,IF(AND(ISNUMBER($E661),$E661&gt;=DATE(2024,1,1)),"FALTA EN evol_conc","OK"),IF(INDEX(evol_conc!$H:$H,$Q661)&lt;&gt;$F661,"FIRMA DISTINTA EN evol_conc ("&amp;IF(INDEX(evol_conc!$H:$H,$Q661)="","vacía",DAY(INDEX(evol_conc!$H:$H,$Q661))&amp;"/"&amp;MONTH(INDEX(evol_conc!$H:$H,$Q661))&amp;"/"&amp;YEAR(INDEX(evol_conc!$H:$H,$Q661)))&amp;")",IF(INDEX(evol_conc!$G:$G,$Q661)&lt;&gt;$E661,"INGRESO DISTINTO EN evol_conc ("&amp;IF(INDEX(evol_conc!$G:$G,$Q661)="","vacía",DAY(INDEX(evol_conc!$G:$G,$Q661))&amp;"/"&amp;MONTH(INDEX(evol_conc!$G:$G,$Q661))&amp;"/"&amp;YEAR(INDEX(evol_conc!$G:$G,$Q661)))&amp;")","OK"))))))))</f>
        <v/>
      </c>
      <c r="Q661" t="str">
        <f ca="1">IF($N661="","",IFERROR(MATCH($N661,evol_conc!$P:$P,0),0))</f>
        <v/>
      </c>
    </row>
    <row r="662" spans="12:17" ht="18" hidden="1" customHeight="1" x14ac:dyDescent="0.25">
      <c r="L662" s="53" t="str">
        <f t="shared" si="20"/>
        <v/>
      </c>
      <c r="M662" s="19" t="str">
        <f t="shared" si="21"/>
        <v/>
      </c>
      <c r="N662" t="str">
        <f ca="1">IF(TRIM(SUBSTITUTE($B662,CHAR(160)," "))="","",IFERROR(IF(ISNUMBER(SEARCH("INC",$B662)),"INC",IF(ISNUMBER(SEARCH("OPI",$B662)),"OPI",IF(ISNUMBER(SEARCH("DP",$B662)),"DP","CONC")))&amp;" "&amp;TEXT(LOOKUP(9.99E+307,--MID(SUBSTITUTE($B662,CHAR(160)," "),SUMPRODUCT(MIN(FIND({0,1,2,3,4,5,6,7,8,9},SUBSTITUTE($B662,CHAR(160)," ")&amp;"0123456789"))),ROW(INDIRECT("1:6")))),"0"),"SIN NUMERO"))</f>
        <v/>
      </c>
      <c r="O662" t="str">
        <f ca="1">IF($N662="","",IF(LEFT(UPPER($P662),9)="VERIFICAR","VERIFICAR",IF(AND($H662&lt;&gt;"",COUNTIFS($N$2:$N$1000,$N662,$H$2:$H$1000,$H662)&gt;1),"DUPLICADA",IF(TRIM(IF($A662="","tipo ","")&amp;IF($F662="","fecha de firma ","")&amp;IF($G662="","decisión ","")&amp;IF($H662="","N° resolución ","")&amp;IF($I662="","N° dictamen",""))&lt;&gt;"","INCOMPLETA: "&amp;TRIM(IF($A662="","tipo ","")&amp;IF($F662="","fecha de firma ","")&amp;IF($G662="","decisión ","")&amp;IF($H662="","N° resolución ","")&amp;IF($I662="","N° dictamen","")),IF(LEFT($N662,4)&lt;&gt;"CONC","OK",IF(N($Q662)=0,IF(AND(ISNUMBER($E662),$E662&gt;=DATE(2024,1,1)),"FALTA EN evol_conc","OK"),IF(INDEX(evol_conc!$H:$H,$Q662)&lt;&gt;$F662,"FIRMA DISTINTA EN evol_conc ("&amp;IF(INDEX(evol_conc!$H:$H,$Q662)="","vacía",DAY(INDEX(evol_conc!$H:$H,$Q662))&amp;"/"&amp;MONTH(INDEX(evol_conc!$H:$H,$Q662))&amp;"/"&amp;YEAR(INDEX(evol_conc!$H:$H,$Q662)))&amp;")",IF(INDEX(evol_conc!$G:$G,$Q662)&lt;&gt;$E662,"INGRESO DISTINTO EN evol_conc ("&amp;IF(INDEX(evol_conc!$G:$G,$Q662)="","vacía",DAY(INDEX(evol_conc!$G:$G,$Q662))&amp;"/"&amp;MONTH(INDEX(evol_conc!$G:$G,$Q662))&amp;"/"&amp;YEAR(INDEX(evol_conc!$G:$G,$Q662)))&amp;")","OK"))))))))</f>
        <v/>
      </c>
      <c r="Q662" t="str">
        <f ca="1">IF($N662="","",IFERROR(MATCH($N662,evol_conc!$P:$P,0),0))</f>
        <v/>
      </c>
    </row>
    <row r="663" spans="12:17" ht="18" hidden="1" customHeight="1" x14ac:dyDescent="0.25">
      <c r="L663" s="53" t="str">
        <f t="shared" si="20"/>
        <v/>
      </c>
      <c r="M663" s="19" t="str">
        <f t="shared" si="21"/>
        <v/>
      </c>
      <c r="N663" t="str">
        <f ca="1">IF(TRIM(SUBSTITUTE($B663,CHAR(160)," "))="","",IFERROR(IF(ISNUMBER(SEARCH("INC",$B663)),"INC",IF(ISNUMBER(SEARCH("OPI",$B663)),"OPI",IF(ISNUMBER(SEARCH("DP",$B663)),"DP","CONC")))&amp;" "&amp;TEXT(LOOKUP(9.99E+307,--MID(SUBSTITUTE($B663,CHAR(160)," "),SUMPRODUCT(MIN(FIND({0,1,2,3,4,5,6,7,8,9},SUBSTITUTE($B663,CHAR(160)," ")&amp;"0123456789"))),ROW(INDIRECT("1:6")))),"0"),"SIN NUMERO"))</f>
        <v/>
      </c>
      <c r="O663" t="str">
        <f ca="1">IF($N663="","",IF(LEFT(UPPER($P663),9)="VERIFICAR","VERIFICAR",IF(AND($H663&lt;&gt;"",COUNTIFS($N$2:$N$1000,$N663,$H$2:$H$1000,$H663)&gt;1),"DUPLICADA",IF(TRIM(IF($A663="","tipo ","")&amp;IF($F663="","fecha de firma ","")&amp;IF($G663="","decisión ","")&amp;IF($H663="","N° resolución ","")&amp;IF($I663="","N° dictamen",""))&lt;&gt;"","INCOMPLETA: "&amp;TRIM(IF($A663="","tipo ","")&amp;IF($F663="","fecha de firma ","")&amp;IF($G663="","decisión ","")&amp;IF($H663="","N° resolución ","")&amp;IF($I663="","N° dictamen","")),IF(LEFT($N663,4)&lt;&gt;"CONC","OK",IF(N($Q663)=0,IF(AND(ISNUMBER($E663),$E663&gt;=DATE(2024,1,1)),"FALTA EN evol_conc","OK"),IF(INDEX(evol_conc!$H:$H,$Q663)&lt;&gt;$F663,"FIRMA DISTINTA EN evol_conc ("&amp;IF(INDEX(evol_conc!$H:$H,$Q663)="","vacía",DAY(INDEX(evol_conc!$H:$H,$Q663))&amp;"/"&amp;MONTH(INDEX(evol_conc!$H:$H,$Q663))&amp;"/"&amp;YEAR(INDEX(evol_conc!$H:$H,$Q663)))&amp;")",IF(INDEX(evol_conc!$G:$G,$Q663)&lt;&gt;$E663,"INGRESO DISTINTO EN evol_conc ("&amp;IF(INDEX(evol_conc!$G:$G,$Q663)="","vacía",DAY(INDEX(evol_conc!$G:$G,$Q663))&amp;"/"&amp;MONTH(INDEX(evol_conc!$G:$G,$Q663))&amp;"/"&amp;YEAR(INDEX(evol_conc!$G:$G,$Q663)))&amp;")","OK"))))))))</f>
        <v/>
      </c>
      <c r="Q663" t="str">
        <f ca="1">IF($N663="","",IFERROR(MATCH($N663,evol_conc!$P:$P,0),0))</f>
        <v/>
      </c>
    </row>
    <row r="664" spans="12:17" ht="18" hidden="1" customHeight="1" x14ac:dyDescent="0.25">
      <c r="L664" s="53" t="str">
        <f t="shared" si="20"/>
        <v/>
      </c>
      <c r="M664" s="19" t="str">
        <f t="shared" si="21"/>
        <v/>
      </c>
      <c r="N664" t="str">
        <f ca="1">IF(TRIM(SUBSTITUTE($B664,CHAR(160)," "))="","",IFERROR(IF(ISNUMBER(SEARCH("INC",$B664)),"INC",IF(ISNUMBER(SEARCH("OPI",$B664)),"OPI",IF(ISNUMBER(SEARCH("DP",$B664)),"DP","CONC")))&amp;" "&amp;TEXT(LOOKUP(9.99E+307,--MID(SUBSTITUTE($B664,CHAR(160)," "),SUMPRODUCT(MIN(FIND({0,1,2,3,4,5,6,7,8,9},SUBSTITUTE($B664,CHAR(160)," ")&amp;"0123456789"))),ROW(INDIRECT("1:6")))),"0"),"SIN NUMERO"))</f>
        <v/>
      </c>
      <c r="O664" t="str">
        <f ca="1">IF($N664="","",IF(LEFT(UPPER($P664),9)="VERIFICAR","VERIFICAR",IF(AND($H664&lt;&gt;"",COUNTIFS($N$2:$N$1000,$N664,$H$2:$H$1000,$H664)&gt;1),"DUPLICADA",IF(TRIM(IF($A664="","tipo ","")&amp;IF($F664="","fecha de firma ","")&amp;IF($G664="","decisión ","")&amp;IF($H664="","N° resolución ","")&amp;IF($I664="","N° dictamen",""))&lt;&gt;"","INCOMPLETA: "&amp;TRIM(IF($A664="","tipo ","")&amp;IF($F664="","fecha de firma ","")&amp;IF($G664="","decisión ","")&amp;IF($H664="","N° resolución ","")&amp;IF($I664="","N° dictamen","")),IF(LEFT($N664,4)&lt;&gt;"CONC","OK",IF(N($Q664)=0,IF(AND(ISNUMBER($E664),$E664&gt;=DATE(2024,1,1)),"FALTA EN evol_conc","OK"),IF(INDEX(evol_conc!$H:$H,$Q664)&lt;&gt;$F664,"FIRMA DISTINTA EN evol_conc ("&amp;IF(INDEX(evol_conc!$H:$H,$Q664)="","vacía",DAY(INDEX(evol_conc!$H:$H,$Q664))&amp;"/"&amp;MONTH(INDEX(evol_conc!$H:$H,$Q664))&amp;"/"&amp;YEAR(INDEX(evol_conc!$H:$H,$Q664)))&amp;")",IF(INDEX(evol_conc!$G:$G,$Q664)&lt;&gt;$E664,"INGRESO DISTINTO EN evol_conc ("&amp;IF(INDEX(evol_conc!$G:$G,$Q664)="","vacía",DAY(INDEX(evol_conc!$G:$G,$Q664))&amp;"/"&amp;MONTH(INDEX(evol_conc!$G:$G,$Q664))&amp;"/"&amp;YEAR(INDEX(evol_conc!$G:$G,$Q664)))&amp;")","OK"))))))))</f>
        <v/>
      </c>
      <c r="Q664" t="str">
        <f ca="1">IF($N664="","",IFERROR(MATCH($N664,evol_conc!$P:$P,0),0))</f>
        <v/>
      </c>
    </row>
    <row r="665" spans="12:17" ht="18" hidden="1" customHeight="1" x14ac:dyDescent="0.25">
      <c r="L665" s="53" t="str">
        <f t="shared" si="20"/>
        <v/>
      </c>
      <c r="M665" s="19" t="str">
        <f t="shared" si="21"/>
        <v/>
      </c>
      <c r="N665" t="str">
        <f ca="1">IF(TRIM(SUBSTITUTE($B665,CHAR(160)," "))="","",IFERROR(IF(ISNUMBER(SEARCH("INC",$B665)),"INC",IF(ISNUMBER(SEARCH("OPI",$B665)),"OPI",IF(ISNUMBER(SEARCH("DP",$B665)),"DP","CONC")))&amp;" "&amp;TEXT(LOOKUP(9.99E+307,--MID(SUBSTITUTE($B665,CHAR(160)," "),SUMPRODUCT(MIN(FIND({0,1,2,3,4,5,6,7,8,9},SUBSTITUTE($B665,CHAR(160)," ")&amp;"0123456789"))),ROW(INDIRECT("1:6")))),"0"),"SIN NUMERO"))</f>
        <v/>
      </c>
      <c r="O665" t="str">
        <f ca="1">IF($N665="","",IF(LEFT(UPPER($P665),9)="VERIFICAR","VERIFICAR",IF(AND($H665&lt;&gt;"",COUNTIFS($N$2:$N$1000,$N665,$H$2:$H$1000,$H665)&gt;1),"DUPLICADA",IF(TRIM(IF($A665="","tipo ","")&amp;IF($F665="","fecha de firma ","")&amp;IF($G665="","decisión ","")&amp;IF($H665="","N° resolución ","")&amp;IF($I665="","N° dictamen",""))&lt;&gt;"","INCOMPLETA: "&amp;TRIM(IF($A665="","tipo ","")&amp;IF($F665="","fecha de firma ","")&amp;IF($G665="","decisión ","")&amp;IF($H665="","N° resolución ","")&amp;IF($I665="","N° dictamen","")),IF(LEFT($N665,4)&lt;&gt;"CONC","OK",IF(N($Q665)=0,IF(AND(ISNUMBER($E665),$E665&gt;=DATE(2024,1,1)),"FALTA EN evol_conc","OK"),IF(INDEX(evol_conc!$H:$H,$Q665)&lt;&gt;$F665,"FIRMA DISTINTA EN evol_conc ("&amp;IF(INDEX(evol_conc!$H:$H,$Q665)="","vacía",DAY(INDEX(evol_conc!$H:$H,$Q665))&amp;"/"&amp;MONTH(INDEX(evol_conc!$H:$H,$Q665))&amp;"/"&amp;YEAR(INDEX(evol_conc!$H:$H,$Q665)))&amp;")",IF(INDEX(evol_conc!$G:$G,$Q665)&lt;&gt;$E665,"INGRESO DISTINTO EN evol_conc ("&amp;IF(INDEX(evol_conc!$G:$G,$Q665)="","vacía",DAY(INDEX(evol_conc!$G:$G,$Q665))&amp;"/"&amp;MONTH(INDEX(evol_conc!$G:$G,$Q665))&amp;"/"&amp;YEAR(INDEX(evol_conc!$G:$G,$Q665)))&amp;")","OK"))))))))</f>
        <v/>
      </c>
      <c r="Q665" t="str">
        <f ca="1">IF($N665="","",IFERROR(MATCH($N665,evol_conc!$P:$P,0),0))</f>
        <v/>
      </c>
    </row>
    <row r="666" spans="12:17" ht="18" hidden="1" customHeight="1" x14ac:dyDescent="0.25">
      <c r="L666" s="53" t="str">
        <f t="shared" si="20"/>
        <v/>
      </c>
      <c r="M666" s="19" t="str">
        <f t="shared" si="21"/>
        <v/>
      </c>
      <c r="N666" t="str">
        <f ca="1">IF(TRIM(SUBSTITUTE($B666,CHAR(160)," "))="","",IFERROR(IF(ISNUMBER(SEARCH("INC",$B666)),"INC",IF(ISNUMBER(SEARCH("OPI",$B666)),"OPI",IF(ISNUMBER(SEARCH("DP",$B666)),"DP","CONC")))&amp;" "&amp;TEXT(LOOKUP(9.99E+307,--MID(SUBSTITUTE($B666,CHAR(160)," "),SUMPRODUCT(MIN(FIND({0,1,2,3,4,5,6,7,8,9},SUBSTITUTE($B666,CHAR(160)," ")&amp;"0123456789"))),ROW(INDIRECT("1:6")))),"0"),"SIN NUMERO"))</f>
        <v/>
      </c>
      <c r="O666" t="str">
        <f ca="1">IF($N666="","",IF(LEFT(UPPER($P666),9)="VERIFICAR","VERIFICAR",IF(AND($H666&lt;&gt;"",COUNTIFS($N$2:$N$1000,$N666,$H$2:$H$1000,$H666)&gt;1),"DUPLICADA",IF(TRIM(IF($A666="","tipo ","")&amp;IF($F666="","fecha de firma ","")&amp;IF($G666="","decisión ","")&amp;IF($H666="","N° resolución ","")&amp;IF($I666="","N° dictamen",""))&lt;&gt;"","INCOMPLETA: "&amp;TRIM(IF($A666="","tipo ","")&amp;IF($F666="","fecha de firma ","")&amp;IF($G666="","decisión ","")&amp;IF($H666="","N° resolución ","")&amp;IF($I666="","N° dictamen","")),IF(LEFT($N666,4)&lt;&gt;"CONC","OK",IF(N($Q666)=0,IF(AND(ISNUMBER($E666),$E666&gt;=DATE(2024,1,1)),"FALTA EN evol_conc","OK"),IF(INDEX(evol_conc!$H:$H,$Q666)&lt;&gt;$F666,"FIRMA DISTINTA EN evol_conc ("&amp;IF(INDEX(evol_conc!$H:$H,$Q666)="","vacía",DAY(INDEX(evol_conc!$H:$H,$Q666))&amp;"/"&amp;MONTH(INDEX(evol_conc!$H:$H,$Q666))&amp;"/"&amp;YEAR(INDEX(evol_conc!$H:$H,$Q666)))&amp;")",IF(INDEX(evol_conc!$G:$G,$Q666)&lt;&gt;$E666,"INGRESO DISTINTO EN evol_conc ("&amp;IF(INDEX(evol_conc!$G:$G,$Q666)="","vacía",DAY(INDEX(evol_conc!$G:$G,$Q666))&amp;"/"&amp;MONTH(INDEX(evol_conc!$G:$G,$Q666))&amp;"/"&amp;YEAR(INDEX(evol_conc!$G:$G,$Q666)))&amp;")","OK"))))))))</f>
        <v/>
      </c>
      <c r="Q666" t="str">
        <f ca="1">IF($N666="","",IFERROR(MATCH($N666,evol_conc!$P:$P,0),0))</f>
        <v/>
      </c>
    </row>
    <row r="667" spans="12:17" ht="18" hidden="1" customHeight="1" x14ac:dyDescent="0.25">
      <c r="L667" s="53" t="str">
        <f t="shared" si="20"/>
        <v/>
      </c>
      <c r="M667" s="19" t="str">
        <f t="shared" si="21"/>
        <v/>
      </c>
      <c r="N667" t="str">
        <f ca="1">IF(TRIM(SUBSTITUTE($B667,CHAR(160)," "))="","",IFERROR(IF(ISNUMBER(SEARCH("INC",$B667)),"INC",IF(ISNUMBER(SEARCH("OPI",$B667)),"OPI",IF(ISNUMBER(SEARCH("DP",$B667)),"DP","CONC")))&amp;" "&amp;TEXT(LOOKUP(9.99E+307,--MID(SUBSTITUTE($B667,CHAR(160)," "),SUMPRODUCT(MIN(FIND({0,1,2,3,4,5,6,7,8,9},SUBSTITUTE($B667,CHAR(160)," ")&amp;"0123456789"))),ROW(INDIRECT("1:6")))),"0"),"SIN NUMERO"))</f>
        <v/>
      </c>
      <c r="O667" t="str">
        <f ca="1">IF($N667="","",IF(LEFT(UPPER($P667),9)="VERIFICAR","VERIFICAR",IF(AND($H667&lt;&gt;"",COUNTIFS($N$2:$N$1000,$N667,$H$2:$H$1000,$H667)&gt;1),"DUPLICADA",IF(TRIM(IF($A667="","tipo ","")&amp;IF($F667="","fecha de firma ","")&amp;IF($G667="","decisión ","")&amp;IF($H667="","N° resolución ","")&amp;IF($I667="","N° dictamen",""))&lt;&gt;"","INCOMPLETA: "&amp;TRIM(IF($A667="","tipo ","")&amp;IF($F667="","fecha de firma ","")&amp;IF($G667="","decisión ","")&amp;IF($H667="","N° resolución ","")&amp;IF($I667="","N° dictamen","")),IF(LEFT($N667,4)&lt;&gt;"CONC","OK",IF(N($Q667)=0,IF(AND(ISNUMBER($E667),$E667&gt;=DATE(2024,1,1)),"FALTA EN evol_conc","OK"),IF(INDEX(evol_conc!$H:$H,$Q667)&lt;&gt;$F667,"FIRMA DISTINTA EN evol_conc ("&amp;IF(INDEX(evol_conc!$H:$H,$Q667)="","vacía",DAY(INDEX(evol_conc!$H:$H,$Q667))&amp;"/"&amp;MONTH(INDEX(evol_conc!$H:$H,$Q667))&amp;"/"&amp;YEAR(INDEX(evol_conc!$H:$H,$Q667)))&amp;")",IF(INDEX(evol_conc!$G:$G,$Q667)&lt;&gt;$E667,"INGRESO DISTINTO EN evol_conc ("&amp;IF(INDEX(evol_conc!$G:$G,$Q667)="","vacía",DAY(INDEX(evol_conc!$G:$G,$Q667))&amp;"/"&amp;MONTH(INDEX(evol_conc!$G:$G,$Q667))&amp;"/"&amp;YEAR(INDEX(evol_conc!$G:$G,$Q667)))&amp;")","OK"))))))))</f>
        <v/>
      </c>
      <c r="Q667" t="str">
        <f ca="1">IF($N667="","",IFERROR(MATCH($N667,evol_conc!$P:$P,0),0))</f>
        <v/>
      </c>
    </row>
    <row r="668" spans="12:17" ht="18" hidden="1" customHeight="1" x14ac:dyDescent="0.25">
      <c r="L668" s="53" t="str">
        <f t="shared" si="20"/>
        <v/>
      </c>
      <c r="M668" s="19" t="str">
        <f t="shared" si="21"/>
        <v/>
      </c>
      <c r="N668" t="str">
        <f ca="1">IF(TRIM(SUBSTITUTE($B668,CHAR(160)," "))="","",IFERROR(IF(ISNUMBER(SEARCH("INC",$B668)),"INC",IF(ISNUMBER(SEARCH("OPI",$B668)),"OPI",IF(ISNUMBER(SEARCH("DP",$B668)),"DP","CONC")))&amp;" "&amp;TEXT(LOOKUP(9.99E+307,--MID(SUBSTITUTE($B668,CHAR(160)," "),SUMPRODUCT(MIN(FIND({0,1,2,3,4,5,6,7,8,9},SUBSTITUTE($B668,CHAR(160)," ")&amp;"0123456789"))),ROW(INDIRECT("1:6")))),"0"),"SIN NUMERO"))</f>
        <v/>
      </c>
      <c r="O668" t="str">
        <f ca="1">IF($N668="","",IF(LEFT(UPPER($P668),9)="VERIFICAR","VERIFICAR",IF(AND($H668&lt;&gt;"",COUNTIFS($N$2:$N$1000,$N668,$H$2:$H$1000,$H668)&gt;1),"DUPLICADA",IF(TRIM(IF($A668="","tipo ","")&amp;IF($F668="","fecha de firma ","")&amp;IF($G668="","decisión ","")&amp;IF($H668="","N° resolución ","")&amp;IF($I668="","N° dictamen",""))&lt;&gt;"","INCOMPLETA: "&amp;TRIM(IF($A668="","tipo ","")&amp;IF($F668="","fecha de firma ","")&amp;IF($G668="","decisión ","")&amp;IF($H668="","N° resolución ","")&amp;IF($I668="","N° dictamen","")),IF(LEFT($N668,4)&lt;&gt;"CONC","OK",IF(N($Q668)=0,IF(AND(ISNUMBER($E668),$E668&gt;=DATE(2024,1,1)),"FALTA EN evol_conc","OK"),IF(INDEX(evol_conc!$H:$H,$Q668)&lt;&gt;$F668,"FIRMA DISTINTA EN evol_conc ("&amp;IF(INDEX(evol_conc!$H:$H,$Q668)="","vacía",DAY(INDEX(evol_conc!$H:$H,$Q668))&amp;"/"&amp;MONTH(INDEX(evol_conc!$H:$H,$Q668))&amp;"/"&amp;YEAR(INDEX(evol_conc!$H:$H,$Q668)))&amp;")",IF(INDEX(evol_conc!$G:$G,$Q668)&lt;&gt;$E668,"INGRESO DISTINTO EN evol_conc ("&amp;IF(INDEX(evol_conc!$G:$G,$Q668)="","vacía",DAY(INDEX(evol_conc!$G:$G,$Q668))&amp;"/"&amp;MONTH(INDEX(evol_conc!$G:$G,$Q668))&amp;"/"&amp;YEAR(INDEX(evol_conc!$G:$G,$Q668)))&amp;")","OK"))))))))</f>
        <v/>
      </c>
      <c r="Q668" t="str">
        <f ca="1">IF($N668="","",IFERROR(MATCH($N668,evol_conc!$P:$P,0),0))</f>
        <v/>
      </c>
    </row>
    <row r="669" spans="12:17" ht="18" hidden="1" customHeight="1" x14ac:dyDescent="0.25">
      <c r="L669" s="53" t="str">
        <f t="shared" si="20"/>
        <v/>
      </c>
      <c r="M669" s="19" t="str">
        <f t="shared" si="21"/>
        <v/>
      </c>
      <c r="N669" t="str">
        <f ca="1">IF(TRIM(SUBSTITUTE($B669,CHAR(160)," "))="","",IFERROR(IF(ISNUMBER(SEARCH("INC",$B669)),"INC",IF(ISNUMBER(SEARCH("OPI",$B669)),"OPI",IF(ISNUMBER(SEARCH("DP",$B669)),"DP","CONC")))&amp;" "&amp;TEXT(LOOKUP(9.99E+307,--MID(SUBSTITUTE($B669,CHAR(160)," "),SUMPRODUCT(MIN(FIND({0,1,2,3,4,5,6,7,8,9},SUBSTITUTE($B669,CHAR(160)," ")&amp;"0123456789"))),ROW(INDIRECT("1:6")))),"0"),"SIN NUMERO"))</f>
        <v/>
      </c>
      <c r="O669" t="str">
        <f ca="1">IF($N669="","",IF(LEFT(UPPER($P669),9)="VERIFICAR","VERIFICAR",IF(AND($H669&lt;&gt;"",COUNTIFS($N$2:$N$1000,$N669,$H$2:$H$1000,$H669)&gt;1),"DUPLICADA",IF(TRIM(IF($A669="","tipo ","")&amp;IF($F669="","fecha de firma ","")&amp;IF($G669="","decisión ","")&amp;IF($H669="","N° resolución ","")&amp;IF($I669="","N° dictamen",""))&lt;&gt;"","INCOMPLETA: "&amp;TRIM(IF($A669="","tipo ","")&amp;IF($F669="","fecha de firma ","")&amp;IF($G669="","decisión ","")&amp;IF($H669="","N° resolución ","")&amp;IF($I669="","N° dictamen","")),IF(LEFT($N669,4)&lt;&gt;"CONC","OK",IF(N($Q669)=0,IF(AND(ISNUMBER($E669),$E669&gt;=DATE(2024,1,1)),"FALTA EN evol_conc","OK"),IF(INDEX(evol_conc!$H:$H,$Q669)&lt;&gt;$F669,"FIRMA DISTINTA EN evol_conc ("&amp;IF(INDEX(evol_conc!$H:$H,$Q669)="","vacía",DAY(INDEX(evol_conc!$H:$H,$Q669))&amp;"/"&amp;MONTH(INDEX(evol_conc!$H:$H,$Q669))&amp;"/"&amp;YEAR(INDEX(evol_conc!$H:$H,$Q669)))&amp;")",IF(INDEX(evol_conc!$G:$G,$Q669)&lt;&gt;$E669,"INGRESO DISTINTO EN evol_conc ("&amp;IF(INDEX(evol_conc!$G:$G,$Q669)="","vacía",DAY(INDEX(evol_conc!$G:$G,$Q669))&amp;"/"&amp;MONTH(INDEX(evol_conc!$G:$G,$Q669))&amp;"/"&amp;YEAR(INDEX(evol_conc!$G:$G,$Q669)))&amp;")","OK"))))))))</f>
        <v/>
      </c>
      <c r="Q669" t="str">
        <f ca="1">IF($N669="","",IFERROR(MATCH($N669,evol_conc!$P:$P,0),0))</f>
        <v/>
      </c>
    </row>
    <row r="670" spans="12:17" ht="18" hidden="1" customHeight="1" x14ac:dyDescent="0.25">
      <c r="L670" s="53" t="str">
        <f t="shared" si="20"/>
        <v/>
      </c>
      <c r="M670" s="19" t="str">
        <f t="shared" si="21"/>
        <v/>
      </c>
      <c r="N670" t="str">
        <f ca="1">IF(TRIM(SUBSTITUTE($B670,CHAR(160)," "))="","",IFERROR(IF(ISNUMBER(SEARCH("INC",$B670)),"INC",IF(ISNUMBER(SEARCH("OPI",$B670)),"OPI",IF(ISNUMBER(SEARCH("DP",$B670)),"DP","CONC")))&amp;" "&amp;TEXT(LOOKUP(9.99E+307,--MID(SUBSTITUTE($B670,CHAR(160)," "),SUMPRODUCT(MIN(FIND({0,1,2,3,4,5,6,7,8,9},SUBSTITUTE($B670,CHAR(160)," ")&amp;"0123456789"))),ROW(INDIRECT("1:6")))),"0"),"SIN NUMERO"))</f>
        <v/>
      </c>
      <c r="O670" t="str">
        <f ca="1">IF($N670="","",IF(LEFT(UPPER($P670),9)="VERIFICAR","VERIFICAR",IF(AND($H670&lt;&gt;"",COUNTIFS($N$2:$N$1000,$N670,$H$2:$H$1000,$H670)&gt;1),"DUPLICADA",IF(TRIM(IF($A670="","tipo ","")&amp;IF($F670="","fecha de firma ","")&amp;IF($G670="","decisión ","")&amp;IF($H670="","N° resolución ","")&amp;IF($I670="","N° dictamen",""))&lt;&gt;"","INCOMPLETA: "&amp;TRIM(IF($A670="","tipo ","")&amp;IF($F670="","fecha de firma ","")&amp;IF($G670="","decisión ","")&amp;IF($H670="","N° resolución ","")&amp;IF($I670="","N° dictamen","")),IF(LEFT($N670,4)&lt;&gt;"CONC","OK",IF(N($Q670)=0,IF(AND(ISNUMBER($E670),$E670&gt;=DATE(2024,1,1)),"FALTA EN evol_conc","OK"),IF(INDEX(evol_conc!$H:$H,$Q670)&lt;&gt;$F670,"FIRMA DISTINTA EN evol_conc ("&amp;IF(INDEX(evol_conc!$H:$H,$Q670)="","vacía",DAY(INDEX(evol_conc!$H:$H,$Q670))&amp;"/"&amp;MONTH(INDEX(evol_conc!$H:$H,$Q670))&amp;"/"&amp;YEAR(INDEX(evol_conc!$H:$H,$Q670)))&amp;")",IF(INDEX(evol_conc!$G:$G,$Q670)&lt;&gt;$E670,"INGRESO DISTINTO EN evol_conc ("&amp;IF(INDEX(evol_conc!$G:$G,$Q670)="","vacía",DAY(INDEX(evol_conc!$G:$G,$Q670))&amp;"/"&amp;MONTH(INDEX(evol_conc!$G:$G,$Q670))&amp;"/"&amp;YEAR(INDEX(evol_conc!$G:$G,$Q670)))&amp;")","OK"))))))))</f>
        <v/>
      </c>
      <c r="Q670" t="str">
        <f ca="1">IF($N670="","",IFERROR(MATCH($N670,evol_conc!$P:$P,0),0))</f>
        <v/>
      </c>
    </row>
    <row r="671" spans="12:17" ht="18" hidden="1" customHeight="1" x14ac:dyDescent="0.25">
      <c r="L671" s="53" t="str">
        <f t="shared" si="20"/>
        <v/>
      </c>
      <c r="M671" s="19" t="str">
        <f t="shared" si="21"/>
        <v/>
      </c>
      <c r="N671" t="str">
        <f ca="1">IF(TRIM(SUBSTITUTE($B671,CHAR(160)," "))="","",IFERROR(IF(ISNUMBER(SEARCH("INC",$B671)),"INC",IF(ISNUMBER(SEARCH("OPI",$B671)),"OPI",IF(ISNUMBER(SEARCH("DP",$B671)),"DP","CONC")))&amp;" "&amp;TEXT(LOOKUP(9.99E+307,--MID(SUBSTITUTE($B671,CHAR(160)," "),SUMPRODUCT(MIN(FIND({0,1,2,3,4,5,6,7,8,9},SUBSTITUTE($B671,CHAR(160)," ")&amp;"0123456789"))),ROW(INDIRECT("1:6")))),"0"),"SIN NUMERO"))</f>
        <v/>
      </c>
      <c r="O671" t="str">
        <f ca="1">IF($N671="","",IF(LEFT(UPPER($P671),9)="VERIFICAR","VERIFICAR",IF(AND($H671&lt;&gt;"",COUNTIFS($N$2:$N$1000,$N671,$H$2:$H$1000,$H671)&gt;1),"DUPLICADA",IF(TRIM(IF($A671="","tipo ","")&amp;IF($F671="","fecha de firma ","")&amp;IF($G671="","decisión ","")&amp;IF($H671="","N° resolución ","")&amp;IF($I671="","N° dictamen",""))&lt;&gt;"","INCOMPLETA: "&amp;TRIM(IF($A671="","tipo ","")&amp;IF($F671="","fecha de firma ","")&amp;IF($G671="","decisión ","")&amp;IF($H671="","N° resolución ","")&amp;IF($I671="","N° dictamen","")),IF(LEFT($N671,4)&lt;&gt;"CONC","OK",IF(N($Q671)=0,IF(AND(ISNUMBER($E671),$E671&gt;=DATE(2024,1,1)),"FALTA EN evol_conc","OK"),IF(INDEX(evol_conc!$H:$H,$Q671)&lt;&gt;$F671,"FIRMA DISTINTA EN evol_conc ("&amp;IF(INDEX(evol_conc!$H:$H,$Q671)="","vacía",DAY(INDEX(evol_conc!$H:$H,$Q671))&amp;"/"&amp;MONTH(INDEX(evol_conc!$H:$H,$Q671))&amp;"/"&amp;YEAR(INDEX(evol_conc!$H:$H,$Q671)))&amp;")",IF(INDEX(evol_conc!$G:$G,$Q671)&lt;&gt;$E671,"INGRESO DISTINTO EN evol_conc ("&amp;IF(INDEX(evol_conc!$G:$G,$Q671)="","vacía",DAY(INDEX(evol_conc!$G:$G,$Q671))&amp;"/"&amp;MONTH(INDEX(evol_conc!$G:$G,$Q671))&amp;"/"&amp;YEAR(INDEX(evol_conc!$G:$G,$Q671)))&amp;")","OK"))))))))</f>
        <v/>
      </c>
      <c r="Q671" t="str">
        <f ca="1">IF($N671="","",IFERROR(MATCH($N671,evol_conc!$P:$P,0),0))</f>
        <v/>
      </c>
    </row>
    <row r="672" spans="12:17" ht="18" hidden="1" customHeight="1" x14ac:dyDescent="0.25">
      <c r="L672" s="53" t="str">
        <f t="shared" si="20"/>
        <v/>
      </c>
      <c r="M672" s="19" t="str">
        <f t="shared" si="21"/>
        <v/>
      </c>
      <c r="N672" t="str">
        <f ca="1">IF(TRIM(SUBSTITUTE($B672,CHAR(160)," "))="","",IFERROR(IF(ISNUMBER(SEARCH("INC",$B672)),"INC",IF(ISNUMBER(SEARCH("OPI",$B672)),"OPI",IF(ISNUMBER(SEARCH("DP",$B672)),"DP","CONC")))&amp;" "&amp;TEXT(LOOKUP(9.99E+307,--MID(SUBSTITUTE($B672,CHAR(160)," "),SUMPRODUCT(MIN(FIND({0,1,2,3,4,5,6,7,8,9},SUBSTITUTE($B672,CHAR(160)," ")&amp;"0123456789"))),ROW(INDIRECT("1:6")))),"0"),"SIN NUMERO"))</f>
        <v/>
      </c>
      <c r="O672" t="str">
        <f ca="1">IF($N672="","",IF(LEFT(UPPER($P672),9)="VERIFICAR","VERIFICAR",IF(AND($H672&lt;&gt;"",COUNTIFS($N$2:$N$1000,$N672,$H$2:$H$1000,$H672)&gt;1),"DUPLICADA",IF(TRIM(IF($A672="","tipo ","")&amp;IF($F672="","fecha de firma ","")&amp;IF($G672="","decisión ","")&amp;IF($H672="","N° resolución ","")&amp;IF($I672="","N° dictamen",""))&lt;&gt;"","INCOMPLETA: "&amp;TRIM(IF($A672="","tipo ","")&amp;IF($F672="","fecha de firma ","")&amp;IF($G672="","decisión ","")&amp;IF($H672="","N° resolución ","")&amp;IF($I672="","N° dictamen","")),IF(LEFT($N672,4)&lt;&gt;"CONC","OK",IF(N($Q672)=0,IF(AND(ISNUMBER($E672),$E672&gt;=DATE(2024,1,1)),"FALTA EN evol_conc","OK"),IF(INDEX(evol_conc!$H:$H,$Q672)&lt;&gt;$F672,"FIRMA DISTINTA EN evol_conc ("&amp;IF(INDEX(evol_conc!$H:$H,$Q672)="","vacía",DAY(INDEX(evol_conc!$H:$H,$Q672))&amp;"/"&amp;MONTH(INDEX(evol_conc!$H:$H,$Q672))&amp;"/"&amp;YEAR(INDEX(evol_conc!$H:$H,$Q672)))&amp;")",IF(INDEX(evol_conc!$G:$G,$Q672)&lt;&gt;$E672,"INGRESO DISTINTO EN evol_conc ("&amp;IF(INDEX(evol_conc!$G:$G,$Q672)="","vacía",DAY(INDEX(evol_conc!$G:$G,$Q672))&amp;"/"&amp;MONTH(INDEX(evol_conc!$G:$G,$Q672))&amp;"/"&amp;YEAR(INDEX(evol_conc!$G:$G,$Q672)))&amp;")","OK"))))))))</f>
        <v/>
      </c>
      <c r="Q672" t="str">
        <f ca="1">IF($N672="","",IFERROR(MATCH($N672,evol_conc!$P:$P,0),0))</f>
        <v/>
      </c>
    </row>
    <row r="673" spans="12:17" ht="18" hidden="1" customHeight="1" x14ac:dyDescent="0.25">
      <c r="L673" s="53" t="str">
        <f t="shared" si="20"/>
        <v/>
      </c>
      <c r="M673" s="19" t="str">
        <f t="shared" si="21"/>
        <v/>
      </c>
      <c r="N673" t="str">
        <f ca="1">IF(TRIM(SUBSTITUTE($B673,CHAR(160)," "))="","",IFERROR(IF(ISNUMBER(SEARCH("INC",$B673)),"INC",IF(ISNUMBER(SEARCH("OPI",$B673)),"OPI",IF(ISNUMBER(SEARCH("DP",$B673)),"DP","CONC")))&amp;" "&amp;TEXT(LOOKUP(9.99E+307,--MID(SUBSTITUTE($B673,CHAR(160)," "),SUMPRODUCT(MIN(FIND({0,1,2,3,4,5,6,7,8,9},SUBSTITUTE($B673,CHAR(160)," ")&amp;"0123456789"))),ROW(INDIRECT("1:6")))),"0"),"SIN NUMERO"))</f>
        <v/>
      </c>
      <c r="O673" t="str">
        <f ca="1">IF($N673="","",IF(LEFT(UPPER($P673),9)="VERIFICAR","VERIFICAR",IF(AND($H673&lt;&gt;"",COUNTIFS($N$2:$N$1000,$N673,$H$2:$H$1000,$H673)&gt;1),"DUPLICADA",IF(TRIM(IF($A673="","tipo ","")&amp;IF($F673="","fecha de firma ","")&amp;IF($G673="","decisión ","")&amp;IF($H673="","N° resolución ","")&amp;IF($I673="","N° dictamen",""))&lt;&gt;"","INCOMPLETA: "&amp;TRIM(IF($A673="","tipo ","")&amp;IF($F673="","fecha de firma ","")&amp;IF($G673="","decisión ","")&amp;IF($H673="","N° resolución ","")&amp;IF($I673="","N° dictamen","")),IF(LEFT($N673,4)&lt;&gt;"CONC","OK",IF(N($Q673)=0,IF(AND(ISNUMBER($E673),$E673&gt;=DATE(2024,1,1)),"FALTA EN evol_conc","OK"),IF(INDEX(evol_conc!$H:$H,$Q673)&lt;&gt;$F673,"FIRMA DISTINTA EN evol_conc ("&amp;IF(INDEX(evol_conc!$H:$H,$Q673)="","vacía",DAY(INDEX(evol_conc!$H:$H,$Q673))&amp;"/"&amp;MONTH(INDEX(evol_conc!$H:$H,$Q673))&amp;"/"&amp;YEAR(INDEX(evol_conc!$H:$H,$Q673)))&amp;")",IF(INDEX(evol_conc!$G:$G,$Q673)&lt;&gt;$E673,"INGRESO DISTINTO EN evol_conc ("&amp;IF(INDEX(evol_conc!$G:$G,$Q673)="","vacía",DAY(INDEX(evol_conc!$G:$G,$Q673))&amp;"/"&amp;MONTH(INDEX(evol_conc!$G:$G,$Q673))&amp;"/"&amp;YEAR(INDEX(evol_conc!$G:$G,$Q673)))&amp;")","OK"))))))))</f>
        <v/>
      </c>
      <c r="Q673" t="str">
        <f ca="1">IF($N673="","",IFERROR(MATCH($N673,evol_conc!$P:$P,0),0))</f>
        <v/>
      </c>
    </row>
    <row r="674" spans="12:17" ht="18" hidden="1" customHeight="1" x14ac:dyDescent="0.25">
      <c r="L674" s="53" t="str">
        <f t="shared" si="20"/>
        <v/>
      </c>
      <c r="M674" s="19" t="str">
        <f t="shared" si="21"/>
        <v/>
      </c>
      <c r="N674" t="str">
        <f ca="1">IF(TRIM(SUBSTITUTE($B674,CHAR(160)," "))="","",IFERROR(IF(ISNUMBER(SEARCH("INC",$B674)),"INC",IF(ISNUMBER(SEARCH("OPI",$B674)),"OPI",IF(ISNUMBER(SEARCH("DP",$B674)),"DP","CONC")))&amp;" "&amp;TEXT(LOOKUP(9.99E+307,--MID(SUBSTITUTE($B674,CHAR(160)," "),SUMPRODUCT(MIN(FIND({0,1,2,3,4,5,6,7,8,9},SUBSTITUTE($B674,CHAR(160)," ")&amp;"0123456789"))),ROW(INDIRECT("1:6")))),"0"),"SIN NUMERO"))</f>
        <v/>
      </c>
      <c r="O674" t="str">
        <f ca="1">IF($N674="","",IF(LEFT(UPPER($P674),9)="VERIFICAR","VERIFICAR",IF(AND($H674&lt;&gt;"",COUNTIFS($N$2:$N$1000,$N674,$H$2:$H$1000,$H674)&gt;1),"DUPLICADA",IF(TRIM(IF($A674="","tipo ","")&amp;IF($F674="","fecha de firma ","")&amp;IF($G674="","decisión ","")&amp;IF($H674="","N° resolución ","")&amp;IF($I674="","N° dictamen",""))&lt;&gt;"","INCOMPLETA: "&amp;TRIM(IF($A674="","tipo ","")&amp;IF($F674="","fecha de firma ","")&amp;IF($G674="","decisión ","")&amp;IF($H674="","N° resolución ","")&amp;IF($I674="","N° dictamen","")),IF(LEFT($N674,4)&lt;&gt;"CONC","OK",IF(N($Q674)=0,IF(AND(ISNUMBER($E674),$E674&gt;=DATE(2024,1,1)),"FALTA EN evol_conc","OK"),IF(INDEX(evol_conc!$H:$H,$Q674)&lt;&gt;$F674,"FIRMA DISTINTA EN evol_conc ("&amp;IF(INDEX(evol_conc!$H:$H,$Q674)="","vacía",DAY(INDEX(evol_conc!$H:$H,$Q674))&amp;"/"&amp;MONTH(INDEX(evol_conc!$H:$H,$Q674))&amp;"/"&amp;YEAR(INDEX(evol_conc!$H:$H,$Q674)))&amp;")",IF(INDEX(evol_conc!$G:$G,$Q674)&lt;&gt;$E674,"INGRESO DISTINTO EN evol_conc ("&amp;IF(INDEX(evol_conc!$G:$G,$Q674)="","vacía",DAY(INDEX(evol_conc!$G:$G,$Q674))&amp;"/"&amp;MONTH(INDEX(evol_conc!$G:$G,$Q674))&amp;"/"&amp;YEAR(INDEX(evol_conc!$G:$G,$Q674)))&amp;")","OK"))))))))</f>
        <v/>
      </c>
      <c r="Q674" t="str">
        <f ca="1">IF($N674="","",IFERROR(MATCH($N674,evol_conc!$P:$P,0),0))</f>
        <v/>
      </c>
    </row>
    <row r="675" spans="12:17" ht="18" hidden="1" customHeight="1" x14ac:dyDescent="0.25">
      <c r="L675" s="53" t="str">
        <f t="shared" si="20"/>
        <v/>
      </c>
      <c r="M675" s="19" t="str">
        <f t="shared" si="21"/>
        <v/>
      </c>
      <c r="N675" t="str">
        <f ca="1">IF(TRIM(SUBSTITUTE($B675,CHAR(160)," "))="","",IFERROR(IF(ISNUMBER(SEARCH("INC",$B675)),"INC",IF(ISNUMBER(SEARCH("OPI",$B675)),"OPI",IF(ISNUMBER(SEARCH("DP",$B675)),"DP","CONC")))&amp;" "&amp;TEXT(LOOKUP(9.99E+307,--MID(SUBSTITUTE($B675,CHAR(160)," "),SUMPRODUCT(MIN(FIND({0,1,2,3,4,5,6,7,8,9},SUBSTITUTE($B675,CHAR(160)," ")&amp;"0123456789"))),ROW(INDIRECT("1:6")))),"0"),"SIN NUMERO"))</f>
        <v/>
      </c>
      <c r="O675" t="str">
        <f ca="1">IF($N675="","",IF(LEFT(UPPER($P675),9)="VERIFICAR","VERIFICAR",IF(AND($H675&lt;&gt;"",COUNTIFS($N$2:$N$1000,$N675,$H$2:$H$1000,$H675)&gt;1),"DUPLICADA",IF(TRIM(IF($A675="","tipo ","")&amp;IF($F675="","fecha de firma ","")&amp;IF($G675="","decisión ","")&amp;IF($H675="","N° resolución ","")&amp;IF($I675="","N° dictamen",""))&lt;&gt;"","INCOMPLETA: "&amp;TRIM(IF($A675="","tipo ","")&amp;IF($F675="","fecha de firma ","")&amp;IF($G675="","decisión ","")&amp;IF($H675="","N° resolución ","")&amp;IF($I675="","N° dictamen","")),IF(LEFT($N675,4)&lt;&gt;"CONC","OK",IF(N($Q675)=0,IF(AND(ISNUMBER($E675),$E675&gt;=DATE(2024,1,1)),"FALTA EN evol_conc","OK"),IF(INDEX(evol_conc!$H:$H,$Q675)&lt;&gt;$F675,"FIRMA DISTINTA EN evol_conc ("&amp;IF(INDEX(evol_conc!$H:$H,$Q675)="","vacía",DAY(INDEX(evol_conc!$H:$H,$Q675))&amp;"/"&amp;MONTH(INDEX(evol_conc!$H:$H,$Q675))&amp;"/"&amp;YEAR(INDEX(evol_conc!$H:$H,$Q675)))&amp;")",IF(INDEX(evol_conc!$G:$G,$Q675)&lt;&gt;$E675,"INGRESO DISTINTO EN evol_conc ("&amp;IF(INDEX(evol_conc!$G:$G,$Q675)="","vacía",DAY(INDEX(evol_conc!$G:$G,$Q675))&amp;"/"&amp;MONTH(INDEX(evol_conc!$G:$G,$Q675))&amp;"/"&amp;YEAR(INDEX(evol_conc!$G:$G,$Q675)))&amp;")","OK"))))))))</f>
        <v/>
      </c>
      <c r="Q675" t="str">
        <f ca="1">IF($N675="","",IFERROR(MATCH($N675,evol_conc!$P:$P,0),0))</f>
        <v/>
      </c>
    </row>
    <row r="676" spans="12:17" ht="18" hidden="1" customHeight="1" x14ac:dyDescent="0.25">
      <c r="L676" s="53" t="str">
        <f t="shared" si="20"/>
        <v/>
      </c>
      <c r="M676" s="19" t="str">
        <f t="shared" si="21"/>
        <v/>
      </c>
      <c r="N676" t="str">
        <f ca="1">IF(TRIM(SUBSTITUTE($B676,CHAR(160)," "))="","",IFERROR(IF(ISNUMBER(SEARCH("INC",$B676)),"INC",IF(ISNUMBER(SEARCH("OPI",$B676)),"OPI",IF(ISNUMBER(SEARCH("DP",$B676)),"DP","CONC")))&amp;" "&amp;TEXT(LOOKUP(9.99E+307,--MID(SUBSTITUTE($B676,CHAR(160)," "),SUMPRODUCT(MIN(FIND({0,1,2,3,4,5,6,7,8,9},SUBSTITUTE($B676,CHAR(160)," ")&amp;"0123456789"))),ROW(INDIRECT("1:6")))),"0"),"SIN NUMERO"))</f>
        <v/>
      </c>
      <c r="O676" t="str">
        <f ca="1">IF($N676="","",IF(LEFT(UPPER($P676),9)="VERIFICAR","VERIFICAR",IF(AND($H676&lt;&gt;"",COUNTIFS($N$2:$N$1000,$N676,$H$2:$H$1000,$H676)&gt;1),"DUPLICADA",IF(TRIM(IF($A676="","tipo ","")&amp;IF($F676="","fecha de firma ","")&amp;IF($G676="","decisión ","")&amp;IF($H676="","N° resolución ","")&amp;IF($I676="","N° dictamen",""))&lt;&gt;"","INCOMPLETA: "&amp;TRIM(IF($A676="","tipo ","")&amp;IF($F676="","fecha de firma ","")&amp;IF($G676="","decisión ","")&amp;IF($H676="","N° resolución ","")&amp;IF($I676="","N° dictamen","")),IF(LEFT($N676,4)&lt;&gt;"CONC","OK",IF(N($Q676)=0,IF(AND(ISNUMBER($E676),$E676&gt;=DATE(2024,1,1)),"FALTA EN evol_conc","OK"),IF(INDEX(evol_conc!$H:$H,$Q676)&lt;&gt;$F676,"FIRMA DISTINTA EN evol_conc ("&amp;IF(INDEX(evol_conc!$H:$H,$Q676)="","vacía",DAY(INDEX(evol_conc!$H:$H,$Q676))&amp;"/"&amp;MONTH(INDEX(evol_conc!$H:$H,$Q676))&amp;"/"&amp;YEAR(INDEX(evol_conc!$H:$H,$Q676)))&amp;")",IF(INDEX(evol_conc!$G:$G,$Q676)&lt;&gt;$E676,"INGRESO DISTINTO EN evol_conc ("&amp;IF(INDEX(evol_conc!$G:$G,$Q676)="","vacía",DAY(INDEX(evol_conc!$G:$G,$Q676))&amp;"/"&amp;MONTH(INDEX(evol_conc!$G:$G,$Q676))&amp;"/"&amp;YEAR(INDEX(evol_conc!$G:$G,$Q676)))&amp;")","OK"))))))))</f>
        <v/>
      </c>
      <c r="Q676" t="str">
        <f ca="1">IF($N676="","",IFERROR(MATCH($N676,evol_conc!$P:$P,0),0))</f>
        <v/>
      </c>
    </row>
    <row r="677" spans="12:17" ht="18" hidden="1" customHeight="1" x14ac:dyDescent="0.25">
      <c r="L677" s="53" t="str">
        <f t="shared" si="20"/>
        <v/>
      </c>
      <c r="M677" s="19" t="str">
        <f t="shared" si="21"/>
        <v/>
      </c>
      <c r="N677" t="str">
        <f ca="1">IF(TRIM(SUBSTITUTE($B677,CHAR(160)," "))="","",IFERROR(IF(ISNUMBER(SEARCH("INC",$B677)),"INC",IF(ISNUMBER(SEARCH("OPI",$B677)),"OPI",IF(ISNUMBER(SEARCH("DP",$B677)),"DP","CONC")))&amp;" "&amp;TEXT(LOOKUP(9.99E+307,--MID(SUBSTITUTE($B677,CHAR(160)," "),SUMPRODUCT(MIN(FIND({0,1,2,3,4,5,6,7,8,9},SUBSTITUTE($B677,CHAR(160)," ")&amp;"0123456789"))),ROW(INDIRECT("1:6")))),"0"),"SIN NUMERO"))</f>
        <v/>
      </c>
      <c r="O677" t="str">
        <f ca="1">IF($N677="","",IF(LEFT(UPPER($P677),9)="VERIFICAR","VERIFICAR",IF(AND($H677&lt;&gt;"",COUNTIFS($N$2:$N$1000,$N677,$H$2:$H$1000,$H677)&gt;1),"DUPLICADA",IF(TRIM(IF($A677="","tipo ","")&amp;IF($F677="","fecha de firma ","")&amp;IF($G677="","decisión ","")&amp;IF($H677="","N° resolución ","")&amp;IF($I677="","N° dictamen",""))&lt;&gt;"","INCOMPLETA: "&amp;TRIM(IF($A677="","tipo ","")&amp;IF($F677="","fecha de firma ","")&amp;IF($G677="","decisión ","")&amp;IF($H677="","N° resolución ","")&amp;IF($I677="","N° dictamen","")),IF(LEFT($N677,4)&lt;&gt;"CONC","OK",IF(N($Q677)=0,IF(AND(ISNUMBER($E677),$E677&gt;=DATE(2024,1,1)),"FALTA EN evol_conc","OK"),IF(INDEX(evol_conc!$H:$H,$Q677)&lt;&gt;$F677,"FIRMA DISTINTA EN evol_conc ("&amp;IF(INDEX(evol_conc!$H:$H,$Q677)="","vacía",DAY(INDEX(evol_conc!$H:$H,$Q677))&amp;"/"&amp;MONTH(INDEX(evol_conc!$H:$H,$Q677))&amp;"/"&amp;YEAR(INDEX(evol_conc!$H:$H,$Q677)))&amp;")",IF(INDEX(evol_conc!$G:$G,$Q677)&lt;&gt;$E677,"INGRESO DISTINTO EN evol_conc ("&amp;IF(INDEX(evol_conc!$G:$G,$Q677)="","vacía",DAY(INDEX(evol_conc!$G:$G,$Q677))&amp;"/"&amp;MONTH(INDEX(evol_conc!$G:$G,$Q677))&amp;"/"&amp;YEAR(INDEX(evol_conc!$G:$G,$Q677)))&amp;")","OK"))))))))</f>
        <v/>
      </c>
      <c r="Q677" t="str">
        <f ca="1">IF($N677="","",IFERROR(MATCH($N677,evol_conc!$P:$P,0),0))</f>
        <v/>
      </c>
    </row>
    <row r="678" spans="12:17" ht="18" hidden="1" customHeight="1" x14ac:dyDescent="0.25">
      <c r="L678" s="53" t="str">
        <f t="shared" si="20"/>
        <v/>
      </c>
      <c r="M678" s="19" t="str">
        <f t="shared" si="21"/>
        <v/>
      </c>
      <c r="N678" t="str">
        <f ca="1">IF(TRIM(SUBSTITUTE($B678,CHAR(160)," "))="","",IFERROR(IF(ISNUMBER(SEARCH("INC",$B678)),"INC",IF(ISNUMBER(SEARCH("OPI",$B678)),"OPI",IF(ISNUMBER(SEARCH("DP",$B678)),"DP","CONC")))&amp;" "&amp;TEXT(LOOKUP(9.99E+307,--MID(SUBSTITUTE($B678,CHAR(160)," "),SUMPRODUCT(MIN(FIND({0,1,2,3,4,5,6,7,8,9},SUBSTITUTE($B678,CHAR(160)," ")&amp;"0123456789"))),ROW(INDIRECT("1:6")))),"0"),"SIN NUMERO"))</f>
        <v/>
      </c>
      <c r="O678" t="str">
        <f ca="1">IF($N678="","",IF(LEFT(UPPER($P678),9)="VERIFICAR","VERIFICAR",IF(AND($H678&lt;&gt;"",COUNTIFS($N$2:$N$1000,$N678,$H$2:$H$1000,$H678)&gt;1),"DUPLICADA",IF(TRIM(IF($A678="","tipo ","")&amp;IF($F678="","fecha de firma ","")&amp;IF($G678="","decisión ","")&amp;IF($H678="","N° resolución ","")&amp;IF($I678="","N° dictamen",""))&lt;&gt;"","INCOMPLETA: "&amp;TRIM(IF($A678="","tipo ","")&amp;IF($F678="","fecha de firma ","")&amp;IF($G678="","decisión ","")&amp;IF($H678="","N° resolución ","")&amp;IF($I678="","N° dictamen","")),IF(LEFT($N678,4)&lt;&gt;"CONC","OK",IF(N($Q678)=0,IF(AND(ISNUMBER($E678),$E678&gt;=DATE(2024,1,1)),"FALTA EN evol_conc","OK"),IF(INDEX(evol_conc!$H:$H,$Q678)&lt;&gt;$F678,"FIRMA DISTINTA EN evol_conc ("&amp;IF(INDEX(evol_conc!$H:$H,$Q678)="","vacía",DAY(INDEX(evol_conc!$H:$H,$Q678))&amp;"/"&amp;MONTH(INDEX(evol_conc!$H:$H,$Q678))&amp;"/"&amp;YEAR(INDEX(evol_conc!$H:$H,$Q678)))&amp;")",IF(INDEX(evol_conc!$G:$G,$Q678)&lt;&gt;$E678,"INGRESO DISTINTO EN evol_conc ("&amp;IF(INDEX(evol_conc!$G:$G,$Q678)="","vacía",DAY(INDEX(evol_conc!$G:$G,$Q678))&amp;"/"&amp;MONTH(INDEX(evol_conc!$G:$G,$Q678))&amp;"/"&amp;YEAR(INDEX(evol_conc!$G:$G,$Q678)))&amp;")","OK"))))))))</f>
        <v/>
      </c>
      <c r="Q678" t="str">
        <f ca="1">IF($N678="","",IFERROR(MATCH($N678,evol_conc!$P:$P,0),0))</f>
        <v/>
      </c>
    </row>
    <row r="679" spans="12:17" ht="18" hidden="1" customHeight="1" x14ac:dyDescent="0.25">
      <c r="L679" s="53" t="str">
        <f t="shared" si="20"/>
        <v/>
      </c>
      <c r="M679" s="19" t="str">
        <f t="shared" si="21"/>
        <v/>
      </c>
      <c r="N679" t="str">
        <f ca="1">IF(TRIM(SUBSTITUTE($B679,CHAR(160)," "))="","",IFERROR(IF(ISNUMBER(SEARCH("INC",$B679)),"INC",IF(ISNUMBER(SEARCH("OPI",$B679)),"OPI",IF(ISNUMBER(SEARCH("DP",$B679)),"DP","CONC")))&amp;" "&amp;TEXT(LOOKUP(9.99E+307,--MID(SUBSTITUTE($B679,CHAR(160)," "),SUMPRODUCT(MIN(FIND({0,1,2,3,4,5,6,7,8,9},SUBSTITUTE($B679,CHAR(160)," ")&amp;"0123456789"))),ROW(INDIRECT("1:6")))),"0"),"SIN NUMERO"))</f>
        <v/>
      </c>
      <c r="O679" t="str">
        <f ca="1">IF($N679="","",IF(LEFT(UPPER($P679),9)="VERIFICAR","VERIFICAR",IF(AND($H679&lt;&gt;"",COUNTIFS($N$2:$N$1000,$N679,$H$2:$H$1000,$H679)&gt;1),"DUPLICADA",IF(TRIM(IF($A679="","tipo ","")&amp;IF($F679="","fecha de firma ","")&amp;IF($G679="","decisión ","")&amp;IF($H679="","N° resolución ","")&amp;IF($I679="","N° dictamen",""))&lt;&gt;"","INCOMPLETA: "&amp;TRIM(IF($A679="","tipo ","")&amp;IF($F679="","fecha de firma ","")&amp;IF($G679="","decisión ","")&amp;IF($H679="","N° resolución ","")&amp;IF($I679="","N° dictamen","")),IF(LEFT($N679,4)&lt;&gt;"CONC","OK",IF(N($Q679)=0,IF(AND(ISNUMBER($E679),$E679&gt;=DATE(2024,1,1)),"FALTA EN evol_conc","OK"),IF(INDEX(evol_conc!$H:$H,$Q679)&lt;&gt;$F679,"FIRMA DISTINTA EN evol_conc ("&amp;IF(INDEX(evol_conc!$H:$H,$Q679)="","vacía",DAY(INDEX(evol_conc!$H:$H,$Q679))&amp;"/"&amp;MONTH(INDEX(evol_conc!$H:$H,$Q679))&amp;"/"&amp;YEAR(INDEX(evol_conc!$H:$H,$Q679)))&amp;")",IF(INDEX(evol_conc!$G:$G,$Q679)&lt;&gt;$E679,"INGRESO DISTINTO EN evol_conc ("&amp;IF(INDEX(evol_conc!$G:$G,$Q679)="","vacía",DAY(INDEX(evol_conc!$G:$G,$Q679))&amp;"/"&amp;MONTH(INDEX(evol_conc!$G:$G,$Q679))&amp;"/"&amp;YEAR(INDEX(evol_conc!$G:$G,$Q679)))&amp;")","OK"))))))))</f>
        <v/>
      </c>
      <c r="Q679" t="str">
        <f ca="1">IF($N679="","",IFERROR(MATCH($N679,evol_conc!$P:$P,0),0))</f>
        <v/>
      </c>
    </row>
    <row r="680" spans="12:17" ht="18" hidden="1" customHeight="1" x14ac:dyDescent="0.25">
      <c r="L680" s="53" t="str">
        <f t="shared" si="20"/>
        <v/>
      </c>
      <c r="M680" s="19" t="str">
        <f t="shared" si="21"/>
        <v/>
      </c>
      <c r="N680" t="str">
        <f ca="1">IF(TRIM(SUBSTITUTE($B680,CHAR(160)," "))="","",IFERROR(IF(ISNUMBER(SEARCH("INC",$B680)),"INC",IF(ISNUMBER(SEARCH("OPI",$B680)),"OPI",IF(ISNUMBER(SEARCH("DP",$B680)),"DP","CONC")))&amp;" "&amp;TEXT(LOOKUP(9.99E+307,--MID(SUBSTITUTE($B680,CHAR(160)," "),SUMPRODUCT(MIN(FIND({0,1,2,3,4,5,6,7,8,9},SUBSTITUTE($B680,CHAR(160)," ")&amp;"0123456789"))),ROW(INDIRECT("1:6")))),"0"),"SIN NUMERO"))</f>
        <v/>
      </c>
      <c r="O680" t="str">
        <f ca="1">IF($N680="","",IF(LEFT(UPPER($P680),9)="VERIFICAR","VERIFICAR",IF(AND($H680&lt;&gt;"",COUNTIFS($N$2:$N$1000,$N680,$H$2:$H$1000,$H680)&gt;1),"DUPLICADA",IF(TRIM(IF($A680="","tipo ","")&amp;IF($F680="","fecha de firma ","")&amp;IF($G680="","decisión ","")&amp;IF($H680="","N° resolución ","")&amp;IF($I680="","N° dictamen",""))&lt;&gt;"","INCOMPLETA: "&amp;TRIM(IF($A680="","tipo ","")&amp;IF($F680="","fecha de firma ","")&amp;IF($G680="","decisión ","")&amp;IF($H680="","N° resolución ","")&amp;IF($I680="","N° dictamen","")),IF(LEFT($N680,4)&lt;&gt;"CONC","OK",IF(N($Q680)=0,IF(AND(ISNUMBER($E680),$E680&gt;=DATE(2024,1,1)),"FALTA EN evol_conc","OK"),IF(INDEX(evol_conc!$H:$H,$Q680)&lt;&gt;$F680,"FIRMA DISTINTA EN evol_conc ("&amp;IF(INDEX(evol_conc!$H:$H,$Q680)="","vacía",DAY(INDEX(evol_conc!$H:$H,$Q680))&amp;"/"&amp;MONTH(INDEX(evol_conc!$H:$H,$Q680))&amp;"/"&amp;YEAR(INDEX(evol_conc!$H:$H,$Q680)))&amp;")",IF(INDEX(evol_conc!$G:$G,$Q680)&lt;&gt;$E680,"INGRESO DISTINTO EN evol_conc ("&amp;IF(INDEX(evol_conc!$G:$G,$Q680)="","vacía",DAY(INDEX(evol_conc!$G:$G,$Q680))&amp;"/"&amp;MONTH(INDEX(evol_conc!$G:$G,$Q680))&amp;"/"&amp;YEAR(INDEX(evol_conc!$G:$G,$Q680)))&amp;")","OK"))))))))</f>
        <v/>
      </c>
      <c r="Q680" t="str">
        <f ca="1">IF($N680="","",IFERROR(MATCH($N680,evol_conc!$P:$P,0),0))</f>
        <v/>
      </c>
    </row>
    <row r="681" spans="12:17" ht="18" hidden="1" customHeight="1" x14ac:dyDescent="0.25">
      <c r="L681" s="53" t="str">
        <f t="shared" si="20"/>
        <v/>
      </c>
      <c r="M681" s="19" t="str">
        <f t="shared" si="21"/>
        <v/>
      </c>
      <c r="N681" t="str">
        <f ca="1">IF(TRIM(SUBSTITUTE($B681,CHAR(160)," "))="","",IFERROR(IF(ISNUMBER(SEARCH("INC",$B681)),"INC",IF(ISNUMBER(SEARCH("OPI",$B681)),"OPI",IF(ISNUMBER(SEARCH("DP",$B681)),"DP","CONC")))&amp;" "&amp;TEXT(LOOKUP(9.99E+307,--MID(SUBSTITUTE($B681,CHAR(160)," "),SUMPRODUCT(MIN(FIND({0,1,2,3,4,5,6,7,8,9},SUBSTITUTE($B681,CHAR(160)," ")&amp;"0123456789"))),ROW(INDIRECT("1:6")))),"0"),"SIN NUMERO"))</f>
        <v/>
      </c>
      <c r="O681" t="str">
        <f ca="1">IF($N681="","",IF(LEFT(UPPER($P681),9)="VERIFICAR","VERIFICAR",IF(AND($H681&lt;&gt;"",COUNTIFS($N$2:$N$1000,$N681,$H$2:$H$1000,$H681)&gt;1),"DUPLICADA",IF(TRIM(IF($A681="","tipo ","")&amp;IF($F681="","fecha de firma ","")&amp;IF($G681="","decisión ","")&amp;IF($H681="","N° resolución ","")&amp;IF($I681="","N° dictamen",""))&lt;&gt;"","INCOMPLETA: "&amp;TRIM(IF($A681="","tipo ","")&amp;IF($F681="","fecha de firma ","")&amp;IF($G681="","decisión ","")&amp;IF($H681="","N° resolución ","")&amp;IF($I681="","N° dictamen","")),IF(LEFT($N681,4)&lt;&gt;"CONC","OK",IF(N($Q681)=0,IF(AND(ISNUMBER($E681),$E681&gt;=DATE(2024,1,1)),"FALTA EN evol_conc","OK"),IF(INDEX(evol_conc!$H:$H,$Q681)&lt;&gt;$F681,"FIRMA DISTINTA EN evol_conc ("&amp;IF(INDEX(evol_conc!$H:$H,$Q681)="","vacía",DAY(INDEX(evol_conc!$H:$H,$Q681))&amp;"/"&amp;MONTH(INDEX(evol_conc!$H:$H,$Q681))&amp;"/"&amp;YEAR(INDEX(evol_conc!$H:$H,$Q681)))&amp;")",IF(INDEX(evol_conc!$G:$G,$Q681)&lt;&gt;$E681,"INGRESO DISTINTO EN evol_conc ("&amp;IF(INDEX(evol_conc!$G:$G,$Q681)="","vacía",DAY(INDEX(evol_conc!$G:$G,$Q681))&amp;"/"&amp;MONTH(INDEX(evol_conc!$G:$G,$Q681))&amp;"/"&amp;YEAR(INDEX(evol_conc!$G:$G,$Q681)))&amp;")","OK"))))))))</f>
        <v/>
      </c>
      <c r="Q681" t="str">
        <f ca="1">IF($N681="","",IFERROR(MATCH($N681,evol_conc!$P:$P,0),0))</f>
        <v/>
      </c>
    </row>
    <row r="682" spans="12:17" ht="18" hidden="1" customHeight="1" x14ac:dyDescent="0.25">
      <c r="L682" s="53" t="str">
        <f t="shared" si="20"/>
        <v/>
      </c>
      <c r="M682" s="19" t="str">
        <f t="shared" si="21"/>
        <v/>
      </c>
      <c r="N682" t="str">
        <f ca="1">IF(TRIM(SUBSTITUTE($B682,CHAR(160)," "))="","",IFERROR(IF(ISNUMBER(SEARCH("INC",$B682)),"INC",IF(ISNUMBER(SEARCH("OPI",$B682)),"OPI",IF(ISNUMBER(SEARCH("DP",$B682)),"DP","CONC")))&amp;" "&amp;TEXT(LOOKUP(9.99E+307,--MID(SUBSTITUTE($B682,CHAR(160)," "),SUMPRODUCT(MIN(FIND({0,1,2,3,4,5,6,7,8,9},SUBSTITUTE($B682,CHAR(160)," ")&amp;"0123456789"))),ROW(INDIRECT("1:6")))),"0"),"SIN NUMERO"))</f>
        <v/>
      </c>
      <c r="O682" t="str">
        <f ca="1">IF($N682="","",IF(LEFT(UPPER($P682),9)="VERIFICAR","VERIFICAR",IF(AND($H682&lt;&gt;"",COUNTIFS($N$2:$N$1000,$N682,$H$2:$H$1000,$H682)&gt;1),"DUPLICADA",IF(TRIM(IF($A682="","tipo ","")&amp;IF($F682="","fecha de firma ","")&amp;IF($G682="","decisión ","")&amp;IF($H682="","N° resolución ","")&amp;IF($I682="","N° dictamen",""))&lt;&gt;"","INCOMPLETA: "&amp;TRIM(IF($A682="","tipo ","")&amp;IF($F682="","fecha de firma ","")&amp;IF($G682="","decisión ","")&amp;IF($H682="","N° resolución ","")&amp;IF($I682="","N° dictamen","")),IF(LEFT($N682,4)&lt;&gt;"CONC","OK",IF(N($Q682)=0,IF(AND(ISNUMBER($E682),$E682&gt;=DATE(2024,1,1)),"FALTA EN evol_conc","OK"),IF(INDEX(evol_conc!$H:$H,$Q682)&lt;&gt;$F682,"FIRMA DISTINTA EN evol_conc ("&amp;IF(INDEX(evol_conc!$H:$H,$Q682)="","vacía",DAY(INDEX(evol_conc!$H:$H,$Q682))&amp;"/"&amp;MONTH(INDEX(evol_conc!$H:$H,$Q682))&amp;"/"&amp;YEAR(INDEX(evol_conc!$H:$H,$Q682)))&amp;")",IF(INDEX(evol_conc!$G:$G,$Q682)&lt;&gt;$E682,"INGRESO DISTINTO EN evol_conc ("&amp;IF(INDEX(evol_conc!$G:$G,$Q682)="","vacía",DAY(INDEX(evol_conc!$G:$G,$Q682))&amp;"/"&amp;MONTH(INDEX(evol_conc!$G:$G,$Q682))&amp;"/"&amp;YEAR(INDEX(evol_conc!$G:$G,$Q682)))&amp;")","OK"))))))))</f>
        <v/>
      </c>
      <c r="Q682" t="str">
        <f ca="1">IF($N682="","",IFERROR(MATCH($N682,evol_conc!$P:$P,0),0))</f>
        <v/>
      </c>
    </row>
    <row r="683" spans="12:17" ht="18" hidden="1" customHeight="1" x14ac:dyDescent="0.25">
      <c r="L683" s="53" t="str">
        <f t="shared" si="20"/>
        <v/>
      </c>
      <c r="M683" s="19" t="str">
        <f t="shared" si="21"/>
        <v/>
      </c>
      <c r="N683" t="str">
        <f ca="1">IF(TRIM(SUBSTITUTE($B683,CHAR(160)," "))="","",IFERROR(IF(ISNUMBER(SEARCH("INC",$B683)),"INC",IF(ISNUMBER(SEARCH("OPI",$B683)),"OPI",IF(ISNUMBER(SEARCH("DP",$B683)),"DP","CONC")))&amp;" "&amp;TEXT(LOOKUP(9.99E+307,--MID(SUBSTITUTE($B683,CHAR(160)," "),SUMPRODUCT(MIN(FIND({0,1,2,3,4,5,6,7,8,9},SUBSTITUTE($B683,CHAR(160)," ")&amp;"0123456789"))),ROW(INDIRECT("1:6")))),"0"),"SIN NUMERO"))</f>
        <v/>
      </c>
      <c r="O683" t="str">
        <f ca="1">IF($N683="","",IF(LEFT(UPPER($P683),9)="VERIFICAR","VERIFICAR",IF(AND($H683&lt;&gt;"",COUNTIFS($N$2:$N$1000,$N683,$H$2:$H$1000,$H683)&gt;1),"DUPLICADA",IF(TRIM(IF($A683="","tipo ","")&amp;IF($F683="","fecha de firma ","")&amp;IF($G683="","decisión ","")&amp;IF($H683="","N° resolución ","")&amp;IF($I683="","N° dictamen",""))&lt;&gt;"","INCOMPLETA: "&amp;TRIM(IF($A683="","tipo ","")&amp;IF($F683="","fecha de firma ","")&amp;IF($G683="","decisión ","")&amp;IF($H683="","N° resolución ","")&amp;IF($I683="","N° dictamen","")),IF(LEFT($N683,4)&lt;&gt;"CONC","OK",IF(N($Q683)=0,IF(AND(ISNUMBER($E683),$E683&gt;=DATE(2024,1,1)),"FALTA EN evol_conc","OK"),IF(INDEX(evol_conc!$H:$H,$Q683)&lt;&gt;$F683,"FIRMA DISTINTA EN evol_conc ("&amp;IF(INDEX(evol_conc!$H:$H,$Q683)="","vacía",DAY(INDEX(evol_conc!$H:$H,$Q683))&amp;"/"&amp;MONTH(INDEX(evol_conc!$H:$H,$Q683))&amp;"/"&amp;YEAR(INDEX(evol_conc!$H:$H,$Q683)))&amp;")",IF(INDEX(evol_conc!$G:$G,$Q683)&lt;&gt;$E683,"INGRESO DISTINTO EN evol_conc ("&amp;IF(INDEX(evol_conc!$G:$G,$Q683)="","vacía",DAY(INDEX(evol_conc!$G:$G,$Q683))&amp;"/"&amp;MONTH(INDEX(evol_conc!$G:$G,$Q683))&amp;"/"&amp;YEAR(INDEX(evol_conc!$G:$G,$Q683)))&amp;")","OK"))))))))</f>
        <v/>
      </c>
      <c r="Q683" t="str">
        <f ca="1">IF($N683="","",IFERROR(MATCH($N683,evol_conc!$P:$P,0),0))</f>
        <v/>
      </c>
    </row>
    <row r="684" spans="12:17" ht="18" hidden="1" customHeight="1" x14ac:dyDescent="0.25">
      <c r="L684" s="53" t="str">
        <f t="shared" si="20"/>
        <v/>
      </c>
      <c r="M684" s="19" t="str">
        <f t="shared" si="21"/>
        <v/>
      </c>
      <c r="N684" t="str">
        <f ca="1">IF(TRIM(SUBSTITUTE($B684,CHAR(160)," "))="","",IFERROR(IF(ISNUMBER(SEARCH("INC",$B684)),"INC",IF(ISNUMBER(SEARCH("OPI",$B684)),"OPI",IF(ISNUMBER(SEARCH("DP",$B684)),"DP","CONC")))&amp;" "&amp;TEXT(LOOKUP(9.99E+307,--MID(SUBSTITUTE($B684,CHAR(160)," "),SUMPRODUCT(MIN(FIND({0,1,2,3,4,5,6,7,8,9},SUBSTITUTE($B684,CHAR(160)," ")&amp;"0123456789"))),ROW(INDIRECT("1:6")))),"0"),"SIN NUMERO"))</f>
        <v/>
      </c>
      <c r="O684" t="str">
        <f ca="1">IF($N684="","",IF(LEFT(UPPER($P684),9)="VERIFICAR","VERIFICAR",IF(AND($H684&lt;&gt;"",COUNTIFS($N$2:$N$1000,$N684,$H$2:$H$1000,$H684)&gt;1),"DUPLICADA",IF(TRIM(IF($A684="","tipo ","")&amp;IF($F684="","fecha de firma ","")&amp;IF($G684="","decisión ","")&amp;IF($H684="","N° resolución ","")&amp;IF($I684="","N° dictamen",""))&lt;&gt;"","INCOMPLETA: "&amp;TRIM(IF($A684="","tipo ","")&amp;IF($F684="","fecha de firma ","")&amp;IF($G684="","decisión ","")&amp;IF($H684="","N° resolución ","")&amp;IF($I684="","N° dictamen","")),IF(LEFT($N684,4)&lt;&gt;"CONC","OK",IF(N($Q684)=0,IF(AND(ISNUMBER($E684),$E684&gt;=DATE(2024,1,1)),"FALTA EN evol_conc","OK"),IF(INDEX(evol_conc!$H:$H,$Q684)&lt;&gt;$F684,"FIRMA DISTINTA EN evol_conc ("&amp;IF(INDEX(evol_conc!$H:$H,$Q684)="","vacía",DAY(INDEX(evol_conc!$H:$H,$Q684))&amp;"/"&amp;MONTH(INDEX(evol_conc!$H:$H,$Q684))&amp;"/"&amp;YEAR(INDEX(evol_conc!$H:$H,$Q684)))&amp;")",IF(INDEX(evol_conc!$G:$G,$Q684)&lt;&gt;$E684,"INGRESO DISTINTO EN evol_conc ("&amp;IF(INDEX(evol_conc!$G:$G,$Q684)="","vacía",DAY(INDEX(evol_conc!$G:$G,$Q684))&amp;"/"&amp;MONTH(INDEX(evol_conc!$G:$G,$Q684))&amp;"/"&amp;YEAR(INDEX(evol_conc!$G:$G,$Q684)))&amp;")","OK"))))))))</f>
        <v/>
      </c>
      <c r="Q684" t="str">
        <f ca="1">IF($N684="","",IFERROR(MATCH($N684,evol_conc!$P:$P,0),0))</f>
        <v/>
      </c>
    </row>
    <row r="685" spans="12:17" ht="18" hidden="1" customHeight="1" x14ac:dyDescent="0.25">
      <c r="L685" s="53" t="str">
        <f t="shared" si="20"/>
        <v/>
      </c>
      <c r="M685" s="19" t="str">
        <f t="shared" si="21"/>
        <v/>
      </c>
      <c r="N685" t="str">
        <f ca="1">IF(TRIM(SUBSTITUTE($B685,CHAR(160)," "))="","",IFERROR(IF(ISNUMBER(SEARCH("INC",$B685)),"INC",IF(ISNUMBER(SEARCH("OPI",$B685)),"OPI",IF(ISNUMBER(SEARCH("DP",$B685)),"DP","CONC")))&amp;" "&amp;TEXT(LOOKUP(9.99E+307,--MID(SUBSTITUTE($B685,CHAR(160)," "),SUMPRODUCT(MIN(FIND({0,1,2,3,4,5,6,7,8,9},SUBSTITUTE($B685,CHAR(160)," ")&amp;"0123456789"))),ROW(INDIRECT("1:6")))),"0"),"SIN NUMERO"))</f>
        <v/>
      </c>
      <c r="O685" t="str">
        <f ca="1">IF($N685="","",IF(LEFT(UPPER($P685),9)="VERIFICAR","VERIFICAR",IF(AND($H685&lt;&gt;"",COUNTIFS($N$2:$N$1000,$N685,$H$2:$H$1000,$H685)&gt;1),"DUPLICADA",IF(TRIM(IF($A685="","tipo ","")&amp;IF($F685="","fecha de firma ","")&amp;IF($G685="","decisión ","")&amp;IF($H685="","N° resolución ","")&amp;IF($I685="","N° dictamen",""))&lt;&gt;"","INCOMPLETA: "&amp;TRIM(IF($A685="","tipo ","")&amp;IF($F685="","fecha de firma ","")&amp;IF($G685="","decisión ","")&amp;IF($H685="","N° resolución ","")&amp;IF($I685="","N° dictamen","")),IF(LEFT($N685,4)&lt;&gt;"CONC","OK",IF(N($Q685)=0,IF(AND(ISNUMBER($E685),$E685&gt;=DATE(2024,1,1)),"FALTA EN evol_conc","OK"),IF(INDEX(evol_conc!$H:$H,$Q685)&lt;&gt;$F685,"FIRMA DISTINTA EN evol_conc ("&amp;IF(INDEX(evol_conc!$H:$H,$Q685)="","vacía",DAY(INDEX(evol_conc!$H:$H,$Q685))&amp;"/"&amp;MONTH(INDEX(evol_conc!$H:$H,$Q685))&amp;"/"&amp;YEAR(INDEX(evol_conc!$H:$H,$Q685)))&amp;")",IF(INDEX(evol_conc!$G:$G,$Q685)&lt;&gt;$E685,"INGRESO DISTINTO EN evol_conc ("&amp;IF(INDEX(evol_conc!$G:$G,$Q685)="","vacía",DAY(INDEX(evol_conc!$G:$G,$Q685))&amp;"/"&amp;MONTH(INDEX(evol_conc!$G:$G,$Q685))&amp;"/"&amp;YEAR(INDEX(evol_conc!$G:$G,$Q685)))&amp;")","OK"))))))))</f>
        <v/>
      </c>
      <c r="Q685" t="str">
        <f ca="1">IF($N685="","",IFERROR(MATCH($N685,evol_conc!$P:$P,0),0))</f>
        <v/>
      </c>
    </row>
    <row r="686" spans="12:17" ht="18" hidden="1" customHeight="1" x14ac:dyDescent="0.25">
      <c r="L686" s="53" t="str">
        <f t="shared" si="20"/>
        <v/>
      </c>
      <c r="M686" s="19" t="str">
        <f t="shared" si="21"/>
        <v/>
      </c>
      <c r="N686" t="str">
        <f ca="1">IF(TRIM(SUBSTITUTE($B686,CHAR(160)," "))="","",IFERROR(IF(ISNUMBER(SEARCH("INC",$B686)),"INC",IF(ISNUMBER(SEARCH("OPI",$B686)),"OPI",IF(ISNUMBER(SEARCH("DP",$B686)),"DP","CONC")))&amp;" "&amp;TEXT(LOOKUP(9.99E+307,--MID(SUBSTITUTE($B686,CHAR(160)," "),SUMPRODUCT(MIN(FIND({0,1,2,3,4,5,6,7,8,9},SUBSTITUTE($B686,CHAR(160)," ")&amp;"0123456789"))),ROW(INDIRECT("1:6")))),"0"),"SIN NUMERO"))</f>
        <v/>
      </c>
      <c r="O686" t="str">
        <f ca="1">IF($N686="","",IF(LEFT(UPPER($P686),9)="VERIFICAR","VERIFICAR",IF(AND($H686&lt;&gt;"",COUNTIFS($N$2:$N$1000,$N686,$H$2:$H$1000,$H686)&gt;1),"DUPLICADA",IF(TRIM(IF($A686="","tipo ","")&amp;IF($F686="","fecha de firma ","")&amp;IF($G686="","decisión ","")&amp;IF($H686="","N° resolución ","")&amp;IF($I686="","N° dictamen",""))&lt;&gt;"","INCOMPLETA: "&amp;TRIM(IF($A686="","tipo ","")&amp;IF($F686="","fecha de firma ","")&amp;IF($G686="","decisión ","")&amp;IF($H686="","N° resolución ","")&amp;IF($I686="","N° dictamen","")),IF(LEFT($N686,4)&lt;&gt;"CONC","OK",IF(N($Q686)=0,IF(AND(ISNUMBER($E686),$E686&gt;=DATE(2024,1,1)),"FALTA EN evol_conc","OK"),IF(INDEX(evol_conc!$H:$H,$Q686)&lt;&gt;$F686,"FIRMA DISTINTA EN evol_conc ("&amp;IF(INDEX(evol_conc!$H:$H,$Q686)="","vacía",DAY(INDEX(evol_conc!$H:$H,$Q686))&amp;"/"&amp;MONTH(INDEX(evol_conc!$H:$H,$Q686))&amp;"/"&amp;YEAR(INDEX(evol_conc!$H:$H,$Q686)))&amp;")",IF(INDEX(evol_conc!$G:$G,$Q686)&lt;&gt;$E686,"INGRESO DISTINTO EN evol_conc ("&amp;IF(INDEX(evol_conc!$G:$G,$Q686)="","vacía",DAY(INDEX(evol_conc!$G:$G,$Q686))&amp;"/"&amp;MONTH(INDEX(evol_conc!$G:$G,$Q686))&amp;"/"&amp;YEAR(INDEX(evol_conc!$G:$G,$Q686)))&amp;")","OK"))))))))</f>
        <v/>
      </c>
      <c r="Q686" t="str">
        <f ca="1">IF($N686="","",IFERROR(MATCH($N686,evol_conc!$P:$P,0),0))</f>
        <v/>
      </c>
    </row>
    <row r="687" spans="12:17" ht="18" hidden="1" customHeight="1" x14ac:dyDescent="0.25">
      <c r="L687" s="53" t="str">
        <f t="shared" si="20"/>
        <v/>
      </c>
      <c r="M687" s="19" t="str">
        <f t="shared" si="21"/>
        <v/>
      </c>
      <c r="N687" t="str">
        <f ca="1">IF(TRIM(SUBSTITUTE($B687,CHAR(160)," "))="","",IFERROR(IF(ISNUMBER(SEARCH("INC",$B687)),"INC",IF(ISNUMBER(SEARCH("OPI",$B687)),"OPI",IF(ISNUMBER(SEARCH("DP",$B687)),"DP","CONC")))&amp;" "&amp;TEXT(LOOKUP(9.99E+307,--MID(SUBSTITUTE($B687,CHAR(160)," "),SUMPRODUCT(MIN(FIND({0,1,2,3,4,5,6,7,8,9},SUBSTITUTE($B687,CHAR(160)," ")&amp;"0123456789"))),ROW(INDIRECT("1:6")))),"0"),"SIN NUMERO"))</f>
        <v/>
      </c>
      <c r="O687" t="str">
        <f ca="1">IF($N687="","",IF(LEFT(UPPER($P687),9)="VERIFICAR","VERIFICAR",IF(AND($H687&lt;&gt;"",COUNTIFS($N$2:$N$1000,$N687,$H$2:$H$1000,$H687)&gt;1),"DUPLICADA",IF(TRIM(IF($A687="","tipo ","")&amp;IF($F687="","fecha de firma ","")&amp;IF($G687="","decisión ","")&amp;IF($H687="","N° resolución ","")&amp;IF($I687="","N° dictamen",""))&lt;&gt;"","INCOMPLETA: "&amp;TRIM(IF($A687="","tipo ","")&amp;IF($F687="","fecha de firma ","")&amp;IF($G687="","decisión ","")&amp;IF($H687="","N° resolución ","")&amp;IF($I687="","N° dictamen","")),IF(LEFT($N687,4)&lt;&gt;"CONC","OK",IF(N($Q687)=0,IF(AND(ISNUMBER($E687),$E687&gt;=DATE(2024,1,1)),"FALTA EN evol_conc","OK"),IF(INDEX(evol_conc!$H:$H,$Q687)&lt;&gt;$F687,"FIRMA DISTINTA EN evol_conc ("&amp;IF(INDEX(evol_conc!$H:$H,$Q687)="","vacía",DAY(INDEX(evol_conc!$H:$H,$Q687))&amp;"/"&amp;MONTH(INDEX(evol_conc!$H:$H,$Q687))&amp;"/"&amp;YEAR(INDEX(evol_conc!$H:$H,$Q687)))&amp;")",IF(INDEX(evol_conc!$G:$G,$Q687)&lt;&gt;$E687,"INGRESO DISTINTO EN evol_conc ("&amp;IF(INDEX(evol_conc!$G:$G,$Q687)="","vacía",DAY(INDEX(evol_conc!$G:$G,$Q687))&amp;"/"&amp;MONTH(INDEX(evol_conc!$G:$G,$Q687))&amp;"/"&amp;YEAR(INDEX(evol_conc!$G:$G,$Q687)))&amp;")","OK"))))))))</f>
        <v/>
      </c>
      <c r="Q687" t="str">
        <f ca="1">IF($N687="","",IFERROR(MATCH($N687,evol_conc!$P:$P,0),0))</f>
        <v/>
      </c>
    </row>
    <row r="688" spans="12:17" ht="18" hidden="1" customHeight="1" x14ac:dyDescent="0.25">
      <c r="L688" s="53" t="str">
        <f t="shared" si="20"/>
        <v/>
      </c>
      <c r="M688" s="19" t="str">
        <f t="shared" si="21"/>
        <v/>
      </c>
      <c r="N688" t="str">
        <f ca="1">IF(TRIM(SUBSTITUTE($B688,CHAR(160)," "))="","",IFERROR(IF(ISNUMBER(SEARCH("INC",$B688)),"INC",IF(ISNUMBER(SEARCH("OPI",$B688)),"OPI",IF(ISNUMBER(SEARCH("DP",$B688)),"DP","CONC")))&amp;" "&amp;TEXT(LOOKUP(9.99E+307,--MID(SUBSTITUTE($B688,CHAR(160)," "),SUMPRODUCT(MIN(FIND({0,1,2,3,4,5,6,7,8,9},SUBSTITUTE($B688,CHAR(160)," ")&amp;"0123456789"))),ROW(INDIRECT("1:6")))),"0"),"SIN NUMERO"))</f>
        <v/>
      </c>
      <c r="O688" t="str">
        <f ca="1">IF($N688="","",IF(LEFT(UPPER($P688),9)="VERIFICAR","VERIFICAR",IF(AND($H688&lt;&gt;"",COUNTIFS($N$2:$N$1000,$N688,$H$2:$H$1000,$H688)&gt;1),"DUPLICADA",IF(TRIM(IF($A688="","tipo ","")&amp;IF($F688="","fecha de firma ","")&amp;IF($G688="","decisión ","")&amp;IF($H688="","N° resolución ","")&amp;IF($I688="","N° dictamen",""))&lt;&gt;"","INCOMPLETA: "&amp;TRIM(IF($A688="","tipo ","")&amp;IF($F688="","fecha de firma ","")&amp;IF($G688="","decisión ","")&amp;IF($H688="","N° resolución ","")&amp;IF($I688="","N° dictamen","")),IF(LEFT($N688,4)&lt;&gt;"CONC","OK",IF(N($Q688)=0,IF(AND(ISNUMBER($E688),$E688&gt;=DATE(2024,1,1)),"FALTA EN evol_conc","OK"),IF(INDEX(evol_conc!$H:$H,$Q688)&lt;&gt;$F688,"FIRMA DISTINTA EN evol_conc ("&amp;IF(INDEX(evol_conc!$H:$H,$Q688)="","vacía",DAY(INDEX(evol_conc!$H:$H,$Q688))&amp;"/"&amp;MONTH(INDEX(evol_conc!$H:$H,$Q688))&amp;"/"&amp;YEAR(INDEX(evol_conc!$H:$H,$Q688)))&amp;")",IF(INDEX(evol_conc!$G:$G,$Q688)&lt;&gt;$E688,"INGRESO DISTINTO EN evol_conc ("&amp;IF(INDEX(evol_conc!$G:$G,$Q688)="","vacía",DAY(INDEX(evol_conc!$G:$G,$Q688))&amp;"/"&amp;MONTH(INDEX(evol_conc!$G:$G,$Q688))&amp;"/"&amp;YEAR(INDEX(evol_conc!$G:$G,$Q688)))&amp;")","OK"))))))))</f>
        <v/>
      </c>
      <c r="Q688" t="str">
        <f ca="1">IF($N688="","",IFERROR(MATCH($N688,evol_conc!$P:$P,0),0))</f>
        <v/>
      </c>
    </row>
    <row r="689" spans="12:17" ht="18" hidden="1" customHeight="1" x14ac:dyDescent="0.25">
      <c r="L689" s="53" t="str">
        <f t="shared" si="20"/>
        <v/>
      </c>
      <c r="M689" s="19" t="str">
        <f t="shared" si="21"/>
        <v/>
      </c>
      <c r="N689" t="str">
        <f ca="1">IF(TRIM(SUBSTITUTE($B689,CHAR(160)," "))="","",IFERROR(IF(ISNUMBER(SEARCH("INC",$B689)),"INC",IF(ISNUMBER(SEARCH("OPI",$B689)),"OPI",IF(ISNUMBER(SEARCH("DP",$B689)),"DP","CONC")))&amp;" "&amp;TEXT(LOOKUP(9.99E+307,--MID(SUBSTITUTE($B689,CHAR(160)," "),SUMPRODUCT(MIN(FIND({0,1,2,3,4,5,6,7,8,9},SUBSTITUTE($B689,CHAR(160)," ")&amp;"0123456789"))),ROW(INDIRECT("1:6")))),"0"),"SIN NUMERO"))</f>
        <v/>
      </c>
      <c r="O689" t="str">
        <f ca="1">IF($N689="","",IF(LEFT(UPPER($P689),9)="VERIFICAR","VERIFICAR",IF(AND($H689&lt;&gt;"",COUNTIFS($N$2:$N$1000,$N689,$H$2:$H$1000,$H689)&gt;1),"DUPLICADA",IF(TRIM(IF($A689="","tipo ","")&amp;IF($F689="","fecha de firma ","")&amp;IF($G689="","decisión ","")&amp;IF($H689="","N° resolución ","")&amp;IF($I689="","N° dictamen",""))&lt;&gt;"","INCOMPLETA: "&amp;TRIM(IF($A689="","tipo ","")&amp;IF($F689="","fecha de firma ","")&amp;IF($G689="","decisión ","")&amp;IF($H689="","N° resolución ","")&amp;IF($I689="","N° dictamen","")),IF(LEFT($N689,4)&lt;&gt;"CONC","OK",IF(N($Q689)=0,IF(AND(ISNUMBER($E689),$E689&gt;=DATE(2024,1,1)),"FALTA EN evol_conc","OK"),IF(INDEX(evol_conc!$H:$H,$Q689)&lt;&gt;$F689,"FIRMA DISTINTA EN evol_conc ("&amp;IF(INDEX(evol_conc!$H:$H,$Q689)="","vacía",DAY(INDEX(evol_conc!$H:$H,$Q689))&amp;"/"&amp;MONTH(INDEX(evol_conc!$H:$H,$Q689))&amp;"/"&amp;YEAR(INDEX(evol_conc!$H:$H,$Q689)))&amp;")",IF(INDEX(evol_conc!$G:$G,$Q689)&lt;&gt;$E689,"INGRESO DISTINTO EN evol_conc ("&amp;IF(INDEX(evol_conc!$G:$G,$Q689)="","vacía",DAY(INDEX(evol_conc!$G:$G,$Q689))&amp;"/"&amp;MONTH(INDEX(evol_conc!$G:$G,$Q689))&amp;"/"&amp;YEAR(INDEX(evol_conc!$G:$G,$Q689)))&amp;")","OK"))))))))</f>
        <v/>
      </c>
      <c r="Q689" t="str">
        <f ca="1">IF($N689="","",IFERROR(MATCH($N689,evol_conc!$P:$P,0),0))</f>
        <v/>
      </c>
    </row>
    <row r="690" spans="12:17" ht="18" hidden="1" customHeight="1" x14ac:dyDescent="0.25">
      <c r="L690" s="53" t="str">
        <f t="shared" si="20"/>
        <v/>
      </c>
      <c r="M690" s="19" t="str">
        <f t="shared" si="21"/>
        <v/>
      </c>
      <c r="N690" t="str">
        <f ca="1">IF(TRIM(SUBSTITUTE($B690,CHAR(160)," "))="","",IFERROR(IF(ISNUMBER(SEARCH("INC",$B690)),"INC",IF(ISNUMBER(SEARCH("OPI",$B690)),"OPI",IF(ISNUMBER(SEARCH("DP",$B690)),"DP","CONC")))&amp;" "&amp;TEXT(LOOKUP(9.99E+307,--MID(SUBSTITUTE($B690,CHAR(160)," "),SUMPRODUCT(MIN(FIND({0,1,2,3,4,5,6,7,8,9},SUBSTITUTE($B690,CHAR(160)," ")&amp;"0123456789"))),ROW(INDIRECT("1:6")))),"0"),"SIN NUMERO"))</f>
        <v/>
      </c>
      <c r="O690" t="str">
        <f ca="1">IF($N690="","",IF(LEFT(UPPER($P690),9)="VERIFICAR","VERIFICAR",IF(AND($H690&lt;&gt;"",COUNTIFS($N$2:$N$1000,$N690,$H$2:$H$1000,$H690)&gt;1),"DUPLICADA",IF(TRIM(IF($A690="","tipo ","")&amp;IF($F690="","fecha de firma ","")&amp;IF($G690="","decisión ","")&amp;IF($H690="","N° resolución ","")&amp;IF($I690="","N° dictamen",""))&lt;&gt;"","INCOMPLETA: "&amp;TRIM(IF($A690="","tipo ","")&amp;IF($F690="","fecha de firma ","")&amp;IF($G690="","decisión ","")&amp;IF($H690="","N° resolución ","")&amp;IF($I690="","N° dictamen","")),IF(LEFT($N690,4)&lt;&gt;"CONC","OK",IF(N($Q690)=0,IF(AND(ISNUMBER($E690),$E690&gt;=DATE(2024,1,1)),"FALTA EN evol_conc","OK"),IF(INDEX(evol_conc!$H:$H,$Q690)&lt;&gt;$F690,"FIRMA DISTINTA EN evol_conc ("&amp;IF(INDEX(evol_conc!$H:$H,$Q690)="","vacía",DAY(INDEX(evol_conc!$H:$H,$Q690))&amp;"/"&amp;MONTH(INDEX(evol_conc!$H:$H,$Q690))&amp;"/"&amp;YEAR(INDEX(evol_conc!$H:$H,$Q690)))&amp;")",IF(INDEX(evol_conc!$G:$G,$Q690)&lt;&gt;$E690,"INGRESO DISTINTO EN evol_conc ("&amp;IF(INDEX(evol_conc!$G:$G,$Q690)="","vacía",DAY(INDEX(evol_conc!$G:$G,$Q690))&amp;"/"&amp;MONTH(INDEX(evol_conc!$G:$G,$Q690))&amp;"/"&amp;YEAR(INDEX(evol_conc!$G:$G,$Q690)))&amp;")","OK"))))))))</f>
        <v/>
      </c>
      <c r="Q690" t="str">
        <f ca="1">IF($N690="","",IFERROR(MATCH($N690,evol_conc!$P:$P,0),0))</f>
        <v/>
      </c>
    </row>
    <row r="691" spans="12:17" ht="18" hidden="1" customHeight="1" x14ac:dyDescent="0.25">
      <c r="L691" s="53" t="str">
        <f t="shared" si="20"/>
        <v/>
      </c>
      <c r="M691" s="19" t="str">
        <f t="shared" si="21"/>
        <v/>
      </c>
      <c r="N691" t="str">
        <f ca="1">IF(TRIM(SUBSTITUTE($B691,CHAR(160)," "))="","",IFERROR(IF(ISNUMBER(SEARCH("INC",$B691)),"INC",IF(ISNUMBER(SEARCH("OPI",$B691)),"OPI",IF(ISNUMBER(SEARCH("DP",$B691)),"DP","CONC")))&amp;" "&amp;TEXT(LOOKUP(9.99E+307,--MID(SUBSTITUTE($B691,CHAR(160)," "),SUMPRODUCT(MIN(FIND({0,1,2,3,4,5,6,7,8,9},SUBSTITUTE($B691,CHAR(160)," ")&amp;"0123456789"))),ROW(INDIRECT("1:6")))),"0"),"SIN NUMERO"))</f>
        <v/>
      </c>
      <c r="O691" t="str">
        <f ca="1">IF($N691="","",IF(LEFT(UPPER($P691),9)="VERIFICAR","VERIFICAR",IF(AND($H691&lt;&gt;"",COUNTIFS($N$2:$N$1000,$N691,$H$2:$H$1000,$H691)&gt;1),"DUPLICADA",IF(TRIM(IF($A691="","tipo ","")&amp;IF($F691="","fecha de firma ","")&amp;IF($G691="","decisión ","")&amp;IF($H691="","N° resolución ","")&amp;IF($I691="","N° dictamen",""))&lt;&gt;"","INCOMPLETA: "&amp;TRIM(IF($A691="","tipo ","")&amp;IF($F691="","fecha de firma ","")&amp;IF($G691="","decisión ","")&amp;IF($H691="","N° resolución ","")&amp;IF($I691="","N° dictamen","")),IF(LEFT($N691,4)&lt;&gt;"CONC","OK",IF(N($Q691)=0,IF(AND(ISNUMBER($E691),$E691&gt;=DATE(2024,1,1)),"FALTA EN evol_conc","OK"),IF(INDEX(evol_conc!$H:$H,$Q691)&lt;&gt;$F691,"FIRMA DISTINTA EN evol_conc ("&amp;IF(INDEX(evol_conc!$H:$H,$Q691)="","vacía",DAY(INDEX(evol_conc!$H:$H,$Q691))&amp;"/"&amp;MONTH(INDEX(evol_conc!$H:$H,$Q691))&amp;"/"&amp;YEAR(INDEX(evol_conc!$H:$H,$Q691)))&amp;")",IF(INDEX(evol_conc!$G:$G,$Q691)&lt;&gt;$E691,"INGRESO DISTINTO EN evol_conc ("&amp;IF(INDEX(evol_conc!$G:$G,$Q691)="","vacía",DAY(INDEX(evol_conc!$G:$G,$Q691))&amp;"/"&amp;MONTH(INDEX(evol_conc!$G:$G,$Q691))&amp;"/"&amp;YEAR(INDEX(evol_conc!$G:$G,$Q691)))&amp;")","OK"))))))))</f>
        <v/>
      </c>
      <c r="Q691" t="str">
        <f ca="1">IF($N691="","",IFERROR(MATCH($N691,evol_conc!$P:$P,0),0))</f>
        <v/>
      </c>
    </row>
    <row r="692" spans="12:17" ht="18" hidden="1" customHeight="1" x14ac:dyDescent="0.25">
      <c r="L692" s="53" t="str">
        <f t="shared" si="20"/>
        <v/>
      </c>
      <c r="M692" s="19" t="str">
        <f t="shared" si="21"/>
        <v/>
      </c>
      <c r="N692" t="str">
        <f ca="1">IF(TRIM(SUBSTITUTE($B692,CHAR(160)," "))="","",IFERROR(IF(ISNUMBER(SEARCH("INC",$B692)),"INC",IF(ISNUMBER(SEARCH("OPI",$B692)),"OPI",IF(ISNUMBER(SEARCH("DP",$B692)),"DP","CONC")))&amp;" "&amp;TEXT(LOOKUP(9.99E+307,--MID(SUBSTITUTE($B692,CHAR(160)," "),SUMPRODUCT(MIN(FIND({0,1,2,3,4,5,6,7,8,9},SUBSTITUTE($B692,CHAR(160)," ")&amp;"0123456789"))),ROW(INDIRECT("1:6")))),"0"),"SIN NUMERO"))</f>
        <v/>
      </c>
      <c r="O692" t="str">
        <f ca="1">IF($N692="","",IF(LEFT(UPPER($P692),9)="VERIFICAR","VERIFICAR",IF(AND($H692&lt;&gt;"",COUNTIFS($N$2:$N$1000,$N692,$H$2:$H$1000,$H692)&gt;1),"DUPLICADA",IF(TRIM(IF($A692="","tipo ","")&amp;IF($F692="","fecha de firma ","")&amp;IF($G692="","decisión ","")&amp;IF($H692="","N° resolución ","")&amp;IF($I692="","N° dictamen",""))&lt;&gt;"","INCOMPLETA: "&amp;TRIM(IF($A692="","tipo ","")&amp;IF($F692="","fecha de firma ","")&amp;IF($G692="","decisión ","")&amp;IF($H692="","N° resolución ","")&amp;IF($I692="","N° dictamen","")),IF(LEFT($N692,4)&lt;&gt;"CONC","OK",IF(N($Q692)=0,IF(AND(ISNUMBER($E692),$E692&gt;=DATE(2024,1,1)),"FALTA EN evol_conc","OK"),IF(INDEX(evol_conc!$H:$H,$Q692)&lt;&gt;$F692,"FIRMA DISTINTA EN evol_conc ("&amp;IF(INDEX(evol_conc!$H:$H,$Q692)="","vacía",DAY(INDEX(evol_conc!$H:$H,$Q692))&amp;"/"&amp;MONTH(INDEX(evol_conc!$H:$H,$Q692))&amp;"/"&amp;YEAR(INDEX(evol_conc!$H:$H,$Q692)))&amp;")",IF(INDEX(evol_conc!$G:$G,$Q692)&lt;&gt;$E692,"INGRESO DISTINTO EN evol_conc ("&amp;IF(INDEX(evol_conc!$G:$G,$Q692)="","vacía",DAY(INDEX(evol_conc!$G:$G,$Q692))&amp;"/"&amp;MONTH(INDEX(evol_conc!$G:$G,$Q692))&amp;"/"&amp;YEAR(INDEX(evol_conc!$G:$G,$Q692)))&amp;")","OK"))))))))</f>
        <v/>
      </c>
      <c r="Q692" t="str">
        <f ca="1">IF($N692="","",IFERROR(MATCH($N692,evol_conc!$P:$P,0),0))</f>
        <v/>
      </c>
    </row>
    <row r="693" spans="12:17" ht="18" hidden="1" customHeight="1" x14ac:dyDescent="0.25">
      <c r="L693" s="53" t="str">
        <f t="shared" si="20"/>
        <v/>
      </c>
      <c r="M693" s="19" t="str">
        <f t="shared" si="21"/>
        <v/>
      </c>
      <c r="N693" t="str">
        <f ca="1">IF(TRIM(SUBSTITUTE($B693,CHAR(160)," "))="","",IFERROR(IF(ISNUMBER(SEARCH("INC",$B693)),"INC",IF(ISNUMBER(SEARCH("OPI",$B693)),"OPI",IF(ISNUMBER(SEARCH("DP",$B693)),"DP","CONC")))&amp;" "&amp;TEXT(LOOKUP(9.99E+307,--MID(SUBSTITUTE($B693,CHAR(160)," "),SUMPRODUCT(MIN(FIND({0,1,2,3,4,5,6,7,8,9},SUBSTITUTE($B693,CHAR(160)," ")&amp;"0123456789"))),ROW(INDIRECT("1:6")))),"0"),"SIN NUMERO"))</f>
        <v/>
      </c>
      <c r="O693" t="str">
        <f ca="1">IF($N693="","",IF(LEFT(UPPER($P693),9)="VERIFICAR","VERIFICAR",IF(AND($H693&lt;&gt;"",COUNTIFS($N$2:$N$1000,$N693,$H$2:$H$1000,$H693)&gt;1),"DUPLICADA",IF(TRIM(IF($A693="","tipo ","")&amp;IF($F693="","fecha de firma ","")&amp;IF($G693="","decisión ","")&amp;IF($H693="","N° resolución ","")&amp;IF($I693="","N° dictamen",""))&lt;&gt;"","INCOMPLETA: "&amp;TRIM(IF($A693="","tipo ","")&amp;IF($F693="","fecha de firma ","")&amp;IF($G693="","decisión ","")&amp;IF($H693="","N° resolución ","")&amp;IF($I693="","N° dictamen","")),IF(LEFT($N693,4)&lt;&gt;"CONC","OK",IF(N($Q693)=0,IF(AND(ISNUMBER($E693),$E693&gt;=DATE(2024,1,1)),"FALTA EN evol_conc","OK"),IF(INDEX(evol_conc!$H:$H,$Q693)&lt;&gt;$F693,"FIRMA DISTINTA EN evol_conc ("&amp;IF(INDEX(evol_conc!$H:$H,$Q693)="","vacía",DAY(INDEX(evol_conc!$H:$H,$Q693))&amp;"/"&amp;MONTH(INDEX(evol_conc!$H:$H,$Q693))&amp;"/"&amp;YEAR(INDEX(evol_conc!$H:$H,$Q693)))&amp;")",IF(INDEX(evol_conc!$G:$G,$Q693)&lt;&gt;$E693,"INGRESO DISTINTO EN evol_conc ("&amp;IF(INDEX(evol_conc!$G:$G,$Q693)="","vacía",DAY(INDEX(evol_conc!$G:$G,$Q693))&amp;"/"&amp;MONTH(INDEX(evol_conc!$G:$G,$Q693))&amp;"/"&amp;YEAR(INDEX(evol_conc!$G:$G,$Q693)))&amp;")","OK"))))))))</f>
        <v/>
      </c>
      <c r="Q693" t="str">
        <f ca="1">IF($N693="","",IFERROR(MATCH($N693,evol_conc!$P:$P,0),0))</f>
        <v/>
      </c>
    </row>
    <row r="694" spans="12:17" ht="18" hidden="1" customHeight="1" x14ac:dyDescent="0.25">
      <c r="L694" s="53" t="str">
        <f t="shared" si="20"/>
        <v/>
      </c>
      <c r="M694" s="19" t="str">
        <f t="shared" si="21"/>
        <v/>
      </c>
      <c r="N694" t="str">
        <f ca="1">IF(TRIM(SUBSTITUTE($B694,CHAR(160)," "))="","",IFERROR(IF(ISNUMBER(SEARCH("INC",$B694)),"INC",IF(ISNUMBER(SEARCH("OPI",$B694)),"OPI",IF(ISNUMBER(SEARCH("DP",$B694)),"DP","CONC")))&amp;" "&amp;TEXT(LOOKUP(9.99E+307,--MID(SUBSTITUTE($B694,CHAR(160)," "),SUMPRODUCT(MIN(FIND({0,1,2,3,4,5,6,7,8,9},SUBSTITUTE($B694,CHAR(160)," ")&amp;"0123456789"))),ROW(INDIRECT("1:6")))),"0"),"SIN NUMERO"))</f>
        <v/>
      </c>
      <c r="O694" t="str">
        <f ca="1">IF($N694="","",IF(LEFT(UPPER($P694),9)="VERIFICAR","VERIFICAR",IF(AND($H694&lt;&gt;"",COUNTIFS($N$2:$N$1000,$N694,$H$2:$H$1000,$H694)&gt;1),"DUPLICADA",IF(TRIM(IF($A694="","tipo ","")&amp;IF($F694="","fecha de firma ","")&amp;IF($G694="","decisión ","")&amp;IF($H694="","N° resolución ","")&amp;IF($I694="","N° dictamen",""))&lt;&gt;"","INCOMPLETA: "&amp;TRIM(IF($A694="","tipo ","")&amp;IF($F694="","fecha de firma ","")&amp;IF($G694="","decisión ","")&amp;IF($H694="","N° resolución ","")&amp;IF($I694="","N° dictamen","")),IF(LEFT($N694,4)&lt;&gt;"CONC","OK",IF(N($Q694)=0,IF(AND(ISNUMBER($E694),$E694&gt;=DATE(2024,1,1)),"FALTA EN evol_conc","OK"),IF(INDEX(evol_conc!$H:$H,$Q694)&lt;&gt;$F694,"FIRMA DISTINTA EN evol_conc ("&amp;IF(INDEX(evol_conc!$H:$H,$Q694)="","vacía",DAY(INDEX(evol_conc!$H:$H,$Q694))&amp;"/"&amp;MONTH(INDEX(evol_conc!$H:$H,$Q694))&amp;"/"&amp;YEAR(INDEX(evol_conc!$H:$H,$Q694)))&amp;")",IF(INDEX(evol_conc!$G:$G,$Q694)&lt;&gt;$E694,"INGRESO DISTINTO EN evol_conc ("&amp;IF(INDEX(evol_conc!$G:$G,$Q694)="","vacía",DAY(INDEX(evol_conc!$G:$G,$Q694))&amp;"/"&amp;MONTH(INDEX(evol_conc!$G:$G,$Q694))&amp;"/"&amp;YEAR(INDEX(evol_conc!$G:$G,$Q694)))&amp;")","OK"))))))))</f>
        <v/>
      </c>
      <c r="Q694" t="str">
        <f ca="1">IF($N694="","",IFERROR(MATCH($N694,evol_conc!$P:$P,0),0))</f>
        <v/>
      </c>
    </row>
    <row r="695" spans="12:17" ht="18" hidden="1" customHeight="1" x14ac:dyDescent="0.25">
      <c r="L695" s="53" t="str">
        <f t="shared" si="20"/>
        <v/>
      </c>
      <c r="M695" s="19" t="str">
        <f t="shared" si="21"/>
        <v/>
      </c>
      <c r="N695" t="str">
        <f ca="1">IF(TRIM(SUBSTITUTE($B695,CHAR(160)," "))="","",IFERROR(IF(ISNUMBER(SEARCH("INC",$B695)),"INC",IF(ISNUMBER(SEARCH("OPI",$B695)),"OPI",IF(ISNUMBER(SEARCH("DP",$B695)),"DP","CONC")))&amp;" "&amp;TEXT(LOOKUP(9.99E+307,--MID(SUBSTITUTE($B695,CHAR(160)," "),SUMPRODUCT(MIN(FIND({0,1,2,3,4,5,6,7,8,9},SUBSTITUTE($B695,CHAR(160)," ")&amp;"0123456789"))),ROW(INDIRECT("1:6")))),"0"),"SIN NUMERO"))</f>
        <v/>
      </c>
      <c r="O695" t="str">
        <f ca="1">IF($N695="","",IF(LEFT(UPPER($P695),9)="VERIFICAR","VERIFICAR",IF(AND($H695&lt;&gt;"",COUNTIFS($N$2:$N$1000,$N695,$H$2:$H$1000,$H695)&gt;1),"DUPLICADA",IF(TRIM(IF($A695="","tipo ","")&amp;IF($F695="","fecha de firma ","")&amp;IF($G695="","decisión ","")&amp;IF($H695="","N° resolución ","")&amp;IF($I695="","N° dictamen",""))&lt;&gt;"","INCOMPLETA: "&amp;TRIM(IF($A695="","tipo ","")&amp;IF($F695="","fecha de firma ","")&amp;IF($G695="","decisión ","")&amp;IF($H695="","N° resolución ","")&amp;IF($I695="","N° dictamen","")),IF(LEFT($N695,4)&lt;&gt;"CONC","OK",IF(N($Q695)=0,IF(AND(ISNUMBER($E695),$E695&gt;=DATE(2024,1,1)),"FALTA EN evol_conc","OK"),IF(INDEX(evol_conc!$H:$H,$Q695)&lt;&gt;$F695,"FIRMA DISTINTA EN evol_conc ("&amp;IF(INDEX(evol_conc!$H:$H,$Q695)="","vacía",DAY(INDEX(evol_conc!$H:$H,$Q695))&amp;"/"&amp;MONTH(INDEX(evol_conc!$H:$H,$Q695))&amp;"/"&amp;YEAR(INDEX(evol_conc!$H:$H,$Q695)))&amp;")",IF(INDEX(evol_conc!$G:$G,$Q695)&lt;&gt;$E695,"INGRESO DISTINTO EN evol_conc ("&amp;IF(INDEX(evol_conc!$G:$G,$Q695)="","vacía",DAY(INDEX(evol_conc!$G:$G,$Q695))&amp;"/"&amp;MONTH(INDEX(evol_conc!$G:$G,$Q695))&amp;"/"&amp;YEAR(INDEX(evol_conc!$G:$G,$Q695)))&amp;")","OK"))))))))</f>
        <v/>
      </c>
      <c r="Q695" t="str">
        <f ca="1">IF($N695="","",IFERROR(MATCH($N695,evol_conc!$P:$P,0),0))</f>
        <v/>
      </c>
    </row>
    <row r="696" spans="12:17" ht="18" hidden="1" customHeight="1" x14ac:dyDescent="0.25">
      <c r="L696" s="53" t="str">
        <f t="shared" si="20"/>
        <v/>
      </c>
      <c r="M696" s="19" t="str">
        <f t="shared" si="21"/>
        <v/>
      </c>
      <c r="N696" t="str">
        <f ca="1">IF(TRIM(SUBSTITUTE($B696,CHAR(160)," "))="","",IFERROR(IF(ISNUMBER(SEARCH("INC",$B696)),"INC",IF(ISNUMBER(SEARCH("OPI",$B696)),"OPI",IF(ISNUMBER(SEARCH("DP",$B696)),"DP","CONC")))&amp;" "&amp;TEXT(LOOKUP(9.99E+307,--MID(SUBSTITUTE($B696,CHAR(160)," "),SUMPRODUCT(MIN(FIND({0,1,2,3,4,5,6,7,8,9},SUBSTITUTE($B696,CHAR(160)," ")&amp;"0123456789"))),ROW(INDIRECT("1:6")))),"0"),"SIN NUMERO"))</f>
        <v/>
      </c>
      <c r="O696" t="str">
        <f ca="1">IF($N696="","",IF(LEFT(UPPER($P696),9)="VERIFICAR","VERIFICAR",IF(AND($H696&lt;&gt;"",COUNTIFS($N$2:$N$1000,$N696,$H$2:$H$1000,$H696)&gt;1),"DUPLICADA",IF(TRIM(IF($A696="","tipo ","")&amp;IF($F696="","fecha de firma ","")&amp;IF($G696="","decisión ","")&amp;IF($H696="","N° resolución ","")&amp;IF($I696="","N° dictamen",""))&lt;&gt;"","INCOMPLETA: "&amp;TRIM(IF($A696="","tipo ","")&amp;IF($F696="","fecha de firma ","")&amp;IF($G696="","decisión ","")&amp;IF($H696="","N° resolución ","")&amp;IF($I696="","N° dictamen","")),IF(LEFT($N696,4)&lt;&gt;"CONC","OK",IF(N($Q696)=0,IF(AND(ISNUMBER($E696),$E696&gt;=DATE(2024,1,1)),"FALTA EN evol_conc","OK"),IF(INDEX(evol_conc!$H:$H,$Q696)&lt;&gt;$F696,"FIRMA DISTINTA EN evol_conc ("&amp;IF(INDEX(evol_conc!$H:$H,$Q696)="","vacía",DAY(INDEX(evol_conc!$H:$H,$Q696))&amp;"/"&amp;MONTH(INDEX(evol_conc!$H:$H,$Q696))&amp;"/"&amp;YEAR(INDEX(evol_conc!$H:$H,$Q696)))&amp;")",IF(INDEX(evol_conc!$G:$G,$Q696)&lt;&gt;$E696,"INGRESO DISTINTO EN evol_conc ("&amp;IF(INDEX(evol_conc!$G:$G,$Q696)="","vacía",DAY(INDEX(evol_conc!$G:$G,$Q696))&amp;"/"&amp;MONTH(INDEX(evol_conc!$G:$G,$Q696))&amp;"/"&amp;YEAR(INDEX(evol_conc!$G:$G,$Q696)))&amp;")","OK"))))))))</f>
        <v/>
      </c>
      <c r="Q696" t="str">
        <f ca="1">IF($N696="","",IFERROR(MATCH($N696,evol_conc!$P:$P,0),0))</f>
        <v/>
      </c>
    </row>
    <row r="697" spans="12:17" ht="18" hidden="1" customHeight="1" x14ac:dyDescent="0.25">
      <c r="L697" s="53" t="str">
        <f t="shared" si="20"/>
        <v/>
      </c>
      <c r="M697" s="19" t="str">
        <f t="shared" si="21"/>
        <v/>
      </c>
      <c r="N697" t="str">
        <f ca="1">IF(TRIM(SUBSTITUTE($B697,CHAR(160)," "))="","",IFERROR(IF(ISNUMBER(SEARCH("INC",$B697)),"INC",IF(ISNUMBER(SEARCH("OPI",$B697)),"OPI",IF(ISNUMBER(SEARCH("DP",$B697)),"DP","CONC")))&amp;" "&amp;TEXT(LOOKUP(9.99E+307,--MID(SUBSTITUTE($B697,CHAR(160)," "),SUMPRODUCT(MIN(FIND({0,1,2,3,4,5,6,7,8,9},SUBSTITUTE($B697,CHAR(160)," ")&amp;"0123456789"))),ROW(INDIRECT("1:6")))),"0"),"SIN NUMERO"))</f>
        <v/>
      </c>
      <c r="O697" t="str">
        <f ca="1">IF($N697="","",IF(LEFT(UPPER($P697),9)="VERIFICAR","VERIFICAR",IF(AND($H697&lt;&gt;"",COUNTIFS($N$2:$N$1000,$N697,$H$2:$H$1000,$H697)&gt;1),"DUPLICADA",IF(TRIM(IF($A697="","tipo ","")&amp;IF($F697="","fecha de firma ","")&amp;IF($G697="","decisión ","")&amp;IF($H697="","N° resolución ","")&amp;IF($I697="","N° dictamen",""))&lt;&gt;"","INCOMPLETA: "&amp;TRIM(IF($A697="","tipo ","")&amp;IF($F697="","fecha de firma ","")&amp;IF($G697="","decisión ","")&amp;IF($H697="","N° resolución ","")&amp;IF($I697="","N° dictamen","")),IF(LEFT($N697,4)&lt;&gt;"CONC","OK",IF(N($Q697)=0,IF(AND(ISNUMBER($E697),$E697&gt;=DATE(2024,1,1)),"FALTA EN evol_conc","OK"),IF(INDEX(evol_conc!$H:$H,$Q697)&lt;&gt;$F697,"FIRMA DISTINTA EN evol_conc ("&amp;IF(INDEX(evol_conc!$H:$H,$Q697)="","vacía",DAY(INDEX(evol_conc!$H:$H,$Q697))&amp;"/"&amp;MONTH(INDEX(evol_conc!$H:$H,$Q697))&amp;"/"&amp;YEAR(INDEX(evol_conc!$H:$H,$Q697)))&amp;")",IF(INDEX(evol_conc!$G:$G,$Q697)&lt;&gt;$E697,"INGRESO DISTINTO EN evol_conc ("&amp;IF(INDEX(evol_conc!$G:$G,$Q697)="","vacía",DAY(INDEX(evol_conc!$G:$G,$Q697))&amp;"/"&amp;MONTH(INDEX(evol_conc!$G:$G,$Q697))&amp;"/"&amp;YEAR(INDEX(evol_conc!$G:$G,$Q697)))&amp;")","OK"))))))))</f>
        <v/>
      </c>
      <c r="Q697" t="str">
        <f ca="1">IF($N697="","",IFERROR(MATCH($N697,evol_conc!$P:$P,0),0))</f>
        <v/>
      </c>
    </row>
    <row r="698" spans="12:17" ht="18" hidden="1" customHeight="1" x14ac:dyDescent="0.25">
      <c r="L698" s="53" t="str">
        <f t="shared" si="20"/>
        <v/>
      </c>
      <c r="M698" s="19" t="str">
        <f t="shared" si="21"/>
        <v/>
      </c>
      <c r="N698" t="str">
        <f ca="1">IF(TRIM(SUBSTITUTE($B698,CHAR(160)," "))="","",IFERROR(IF(ISNUMBER(SEARCH("INC",$B698)),"INC",IF(ISNUMBER(SEARCH("OPI",$B698)),"OPI",IF(ISNUMBER(SEARCH("DP",$B698)),"DP","CONC")))&amp;" "&amp;TEXT(LOOKUP(9.99E+307,--MID(SUBSTITUTE($B698,CHAR(160)," "),SUMPRODUCT(MIN(FIND({0,1,2,3,4,5,6,7,8,9},SUBSTITUTE($B698,CHAR(160)," ")&amp;"0123456789"))),ROW(INDIRECT("1:6")))),"0"),"SIN NUMERO"))</f>
        <v/>
      </c>
      <c r="O698" t="str">
        <f ca="1">IF($N698="","",IF(LEFT(UPPER($P698),9)="VERIFICAR","VERIFICAR",IF(AND($H698&lt;&gt;"",COUNTIFS($N$2:$N$1000,$N698,$H$2:$H$1000,$H698)&gt;1),"DUPLICADA",IF(TRIM(IF($A698="","tipo ","")&amp;IF($F698="","fecha de firma ","")&amp;IF($G698="","decisión ","")&amp;IF($H698="","N° resolución ","")&amp;IF($I698="","N° dictamen",""))&lt;&gt;"","INCOMPLETA: "&amp;TRIM(IF($A698="","tipo ","")&amp;IF($F698="","fecha de firma ","")&amp;IF($G698="","decisión ","")&amp;IF($H698="","N° resolución ","")&amp;IF($I698="","N° dictamen","")),IF(LEFT($N698,4)&lt;&gt;"CONC","OK",IF(N($Q698)=0,IF(AND(ISNUMBER($E698),$E698&gt;=DATE(2024,1,1)),"FALTA EN evol_conc","OK"),IF(INDEX(evol_conc!$H:$H,$Q698)&lt;&gt;$F698,"FIRMA DISTINTA EN evol_conc ("&amp;IF(INDEX(evol_conc!$H:$H,$Q698)="","vacía",DAY(INDEX(evol_conc!$H:$H,$Q698))&amp;"/"&amp;MONTH(INDEX(evol_conc!$H:$H,$Q698))&amp;"/"&amp;YEAR(INDEX(evol_conc!$H:$H,$Q698)))&amp;")",IF(INDEX(evol_conc!$G:$G,$Q698)&lt;&gt;$E698,"INGRESO DISTINTO EN evol_conc ("&amp;IF(INDEX(evol_conc!$G:$G,$Q698)="","vacía",DAY(INDEX(evol_conc!$G:$G,$Q698))&amp;"/"&amp;MONTH(INDEX(evol_conc!$G:$G,$Q698))&amp;"/"&amp;YEAR(INDEX(evol_conc!$G:$G,$Q698)))&amp;")","OK"))))))))</f>
        <v/>
      </c>
      <c r="Q698" t="str">
        <f ca="1">IF($N698="","",IFERROR(MATCH($N698,evol_conc!$P:$P,0),0))</f>
        <v/>
      </c>
    </row>
    <row r="699" spans="12:17" ht="18" hidden="1" customHeight="1" x14ac:dyDescent="0.25">
      <c r="L699" s="53" t="str">
        <f t="shared" si="20"/>
        <v/>
      </c>
      <c r="M699" s="19" t="str">
        <f t="shared" si="21"/>
        <v/>
      </c>
      <c r="N699" t="str">
        <f ca="1">IF(TRIM(SUBSTITUTE($B699,CHAR(160)," "))="","",IFERROR(IF(ISNUMBER(SEARCH("INC",$B699)),"INC",IF(ISNUMBER(SEARCH("OPI",$B699)),"OPI",IF(ISNUMBER(SEARCH("DP",$B699)),"DP","CONC")))&amp;" "&amp;TEXT(LOOKUP(9.99E+307,--MID(SUBSTITUTE($B699,CHAR(160)," "),SUMPRODUCT(MIN(FIND({0,1,2,3,4,5,6,7,8,9},SUBSTITUTE($B699,CHAR(160)," ")&amp;"0123456789"))),ROW(INDIRECT("1:6")))),"0"),"SIN NUMERO"))</f>
        <v/>
      </c>
      <c r="O699" t="str">
        <f ca="1">IF($N699="","",IF(LEFT(UPPER($P699),9)="VERIFICAR","VERIFICAR",IF(AND($H699&lt;&gt;"",COUNTIFS($N$2:$N$1000,$N699,$H$2:$H$1000,$H699)&gt;1),"DUPLICADA",IF(TRIM(IF($A699="","tipo ","")&amp;IF($F699="","fecha de firma ","")&amp;IF($G699="","decisión ","")&amp;IF($H699="","N° resolución ","")&amp;IF($I699="","N° dictamen",""))&lt;&gt;"","INCOMPLETA: "&amp;TRIM(IF($A699="","tipo ","")&amp;IF($F699="","fecha de firma ","")&amp;IF($G699="","decisión ","")&amp;IF($H699="","N° resolución ","")&amp;IF($I699="","N° dictamen","")),IF(LEFT($N699,4)&lt;&gt;"CONC","OK",IF(N($Q699)=0,IF(AND(ISNUMBER($E699),$E699&gt;=DATE(2024,1,1)),"FALTA EN evol_conc","OK"),IF(INDEX(evol_conc!$H:$H,$Q699)&lt;&gt;$F699,"FIRMA DISTINTA EN evol_conc ("&amp;IF(INDEX(evol_conc!$H:$H,$Q699)="","vacía",DAY(INDEX(evol_conc!$H:$H,$Q699))&amp;"/"&amp;MONTH(INDEX(evol_conc!$H:$H,$Q699))&amp;"/"&amp;YEAR(INDEX(evol_conc!$H:$H,$Q699)))&amp;")",IF(INDEX(evol_conc!$G:$G,$Q699)&lt;&gt;$E699,"INGRESO DISTINTO EN evol_conc ("&amp;IF(INDEX(evol_conc!$G:$G,$Q699)="","vacía",DAY(INDEX(evol_conc!$G:$G,$Q699))&amp;"/"&amp;MONTH(INDEX(evol_conc!$G:$G,$Q699))&amp;"/"&amp;YEAR(INDEX(evol_conc!$G:$G,$Q699)))&amp;")","OK"))))))))</f>
        <v/>
      </c>
      <c r="Q699" t="str">
        <f ca="1">IF($N699="","",IFERROR(MATCH($N699,evol_conc!$P:$P,0),0))</f>
        <v/>
      </c>
    </row>
    <row r="700" spans="12:17" ht="18" hidden="1" customHeight="1" x14ac:dyDescent="0.25">
      <c r="L700" s="53" t="str">
        <f t="shared" si="20"/>
        <v/>
      </c>
      <c r="M700" s="19" t="str">
        <f t="shared" si="21"/>
        <v/>
      </c>
      <c r="N700" t="str">
        <f ca="1">IF(TRIM(SUBSTITUTE($B700,CHAR(160)," "))="","",IFERROR(IF(ISNUMBER(SEARCH("INC",$B700)),"INC",IF(ISNUMBER(SEARCH("OPI",$B700)),"OPI",IF(ISNUMBER(SEARCH("DP",$B700)),"DP","CONC")))&amp;" "&amp;TEXT(LOOKUP(9.99E+307,--MID(SUBSTITUTE($B700,CHAR(160)," "),SUMPRODUCT(MIN(FIND({0,1,2,3,4,5,6,7,8,9},SUBSTITUTE($B700,CHAR(160)," ")&amp;"0123456789"))),ROW(INDIRECT("1:6")))),"0"),"SIN NUMERO"))</f>
        <v/>
      </c>
      <c r="O700" t="str">
        <f ca="1">IF($N700="","",IF(LEFT(UPPER($P700),9)="VERIFICAR","VERIFICAR",IF(AND($H700&lt;&gt;"",COUNTIFS($N$2:$N$1000,$N700,$H$2:$H$1000,$H700)&gt;1),"DUPLICADA",IF(TRIM(IF($A700="","tipo ","")&amp;IF($F700="","fecha de firma ","")&amp;IF($G700="","decisión ","")&amp;IF($H700="","N° resolución ","")&amp;IF($I700="","N° dictamen",""))&lt;&gt;"","INCOMPLETA: "&amp;TRIM(IF($A700="","tipo ","")&amp;IF($F700="","fecha de firma ","")&amp;IF($G700="","decisión ","")&amp;IF($H700="","N° resolución ","")&amp;IF($I700="","N° dictamen","")),IF(LEFT($N700,4)&lt;&gt;"CONC","OK",IF(N($Q700)=0,IF(AND(ISNUMBER($E700),$E700&gt;=DATE(2024,1,1)),"FALTA EN evol_conc","OK"),IF(INDEX(evol_conc!$H:$H,$Q700)&lt;&gt;$F700,"FIRMA DISTINTA EN evol_conc ("&amp;IF(INDEX(evol_conc!$H:$H,$Q700)="","vacía",DAY(INDEX(evol_conc!$H:$H,$Q700))&amp;"/"&amp;MONTH(INDEX(evol_conc!$H:$H,$Q700))&amp;"/"&amp;YEAR(INDEX(evol_conc!$H:$H,$Q700)))&amp;")",IF(INDEX(evol_conc!$G:$G,$Q700)&lt;&gt;$E700,"INGRESO DISTINTO EN evol_conc ("&amp;IF(INDEX(evol_conc!$G:$G,$Q700)="","vacía",DAY(INDEX(evol_conc!$G:$G,$Q700))&amp;"/"&amp;MONTH(INDEX(evol_conc!$G:$G,$Q700))&amp;"/"&amp;YEAR(INDEX(evol_conc!$G:$G,$Q700)))&amp;")","OK"))))))))</f>
        <v/>
      </c>
      <c r="Q700" t="str">
        <f ca="1">IF($N700="","",IFERROR(MATCH($N700,evol_conc!$P:$P,0),0))</f>
        <v/>
      </c>
    </row>
    <row r="701" spans="12:17" ht="18" hidden="1" customHeight="1" x14ac:dyDescent="0.25">
      <c r="L701" s="53" t="str">
        <f t="shared" si="20"/>
        <v/>
      </c>
      <c r="M701" s="19" t="str">
        <f t="shared" si="21"/>
        <v/>
      </c>
      <c r="N701" t="str">
        <f ca="1">IF(TRIM(SUBSTITUTE($B701,CHAR(160)," "))="","",IFERROR(IF(ISNUMBER(SEARCH("INC",$B701)),"INC",IF(ISNUMBER(SEARCH("OPI",$B701)),"OPI",IF(ISNUMBER(SEARCH("DP",$B701)),"DP","CONC")))&amp;" "&amp;TEXT(LOOKUP(9.99E+307,--MID(SUBSTITUTE($B701,CHAR(160)," "),SUMPRODUCT(MIN(FIND({0,1,2,3,4,5,6,7,8,9},SUBSTITUTE($B701,CHAR(160)," ")&amp;"0123456789"))),ROW(INDIRECT("1:6")))),"0"),"SIN NUMERO"))</f>
        <v/>
      </c>
      <c r="O701" t="str">
        <f ca="1">IF($N701="","",IF(LEFT(UPPER($P701),9)="VERIFICAR","VERIFICAR",IF(AND($H701&lt;&gt;"",COUNTIFS($N$2:$N$1000,$N701,$H$2:$H$1000,$H701)&gt;1),"DUPLICADA",IF(TRIM(IF($A701="","tipo ","")&amp;IF($F701="","fecha de firma ","")&amp;IF($G701="","decisión ","")&amp;IF($H701="","N° resolución ","")&amp;IF($I701="","N° dictamen",""))&lt;&gt;"","INCOMPLETA: "&amp;TRIM(IF($A701="","tipo ","")&amp;IF($F701="","fecha de firma ","")&amp;IF($G701="","decisión ","")&amp;IF($H701="","N° resolución ","")&amp;IF($I701="","N° dictamen","")),IF(LEFT($N701,4)&lt;&gt;"CONC","OK",IF(N($Q701)=0,IF(AND(ISNUMBER($E701),$E701&gt;=DATE(2024,1,1)),"FALTA EN evol_conc","OK"),IF(INDEX(evol_conc!$H:$H,$Q701)&lt;&gt;$F701,"FIRMA DISTINTA EN evol_conc ("&amp;IF(INDEX(evol_conc!$H:$H,$Q701)="","vacía",DAY(INDEX(evol_conc!$H:$H,$Q701))&amp;"/"&amp;MONTH(INDEX(evol_conc!$H:$H,$Q701))&amp;"/"&amp;YEAR(INDEX(evol_conc!$H:$H,$Q701)))&amp;")",IF(INDEX(evol_conc!$G:$G,$Q701)&lt;&gt;$E701,"INGRESO DISTINTO EN evol_conc ("&amp;IF(INDEX(evol_conc!$G:$G,$Q701)="","vacía",DAY(INDEX(evol_conc!$G:$G,$Q701))&amp;"/"&amp;MONTH(INDEX(evol_conc!$G:$G,$Q701))&amp;"/"&amp;YEAR(INDEX(evol_conc!$G:$G,$Q701)))&amp;")","OK"))))))))</f>
        <v/>
      </c>
      <c r="Q701" t="str">
        <f ca="1">IF($N701="","",IFERROR(MATCH($N701,evol_conc!$P:$P,0),0))</f>
        <v/>
      </c>
    </row>
    <row r="702" spans="12:17" ht="18" hidden="1" customHeight="1" x14ac:dyDescent="0.25">
      <c r="L702" s="53" t="str">
        <f t="shared" si="20"/>
        <v/>
      </c>
      <c r="M702" s="19" t="str">
        <f t="shared" si="21"/>
        <v/>
      </c>
      <c r="N702" t="str">
        <f ca="1">IF(TRIM(SUBSTITUTE($B702,CHAR(160)," "))="","",IFERROR(IF(ISNUMBER(SEARCH("INC",$B702)),"INC",IF(ISNUMBER(SEARCH("OPI",$B702)),"OPI",IF(ISNUMBER(SEARCH("DP",$B702)),"DP","CONC")))&amp;" "&amp;TEXT(LOOKUP(9.99E+307,--MID(SUBSTITUTE($B702,CHAR(160)," "),SUMPRODUCT(MIN(FIND({0,1,2,3,4,5,6,7,8,9},SUBSTITUTE($B702,CHAR(160)," ")&amp;"0123456789"))),ROW(INDIRECT("1:6")))),"0"),"SIN NUMERO"))</f>
        <v/>
      </c>
      <c r="O702" t="str">
        <f ca="1">IF($N702="","",IF(LEFT(UPPER($P702),9)="VERIFICAR","VERIFICAR",IF(AND($H702&lt;&gt;"",COUNTIFS($N$2:$N$1000,$N702,$H$2:$H$1000,$H702)&gt;1),"DUPLICADA",IF(TRIM(IF($A702="","tipo ","")&amp;IF($F702="","fecha de firma ","")&amp;IF($G702="","decisión ","")&amp;IF($H702="","N° resolución ","")&amp;IF($I702="","N° dictamen",""))&lt;&gt;"","INCOMPLETA: "&amp;TRIM(IF($A702="","tipo ","")&amp;IF($F702="","fecha de firma ","")&amp;IF($G702="","decisión ","")&amp;IF($H702="","N° resolución ","")&amp;IF($I702="","N° dictamen","")),IF(LEFT($N702,4)&lt;&gt;"CONC","OK",IF(N($Q702)=0,IF(AND(ISNUMBER($E702),$E702&gt;=DATE(2024,1,1)),"FALTA EN evol_conc","OK"),IF(INDEX(evol_conc!$H:$H,$Q702)&lt;&gt;$F702,"FIRMA DISTINTA EN evol_conc ("&amp;IF(INDEX(evol_conc!$H:$H,$Q702)="","vacía",DAY(INDEX(evol_conc!$H:$H,$Q702))&amp;"/"&amp;MONTH(INDEX(evol_conc!$H:$H,$Q702))&amp;"/"&amp;YEAR(INDEX(evol_conc!$H:$H,$Q702)))&amp;")",IF(INDEX(evol_conc!$G:$G,$Q702)&lt;&gt;$E702,"INGRESO DISTINTO EN evol_conc ("&amp;IF(INDEX(evol_conc!$G:$G,$Q702)="","vacía",DAY(INDEX(evol_conc!$G:$G,$Q702))&amp;"/"&amp;MONTH(INDEX(evol_conc!$G:$G,$Q702))&amp;"/"&amp;YEAR(INDEX(evol_conc!$G:$G,$Q702)))&amp;")","OK"))))))))</f>
        <v/>
      </c>
      <c r="Q702" t="str">
        <f ca="1">IF($N702="","",IFERROR(MATCH($N702,evol_conc!$P:$P,0),0))</f>
        <v/>
      </c>
    </row>
    <row r="703" spans="12:17" ht="18" hidden="1" customHeight="1" x14ac:dyDescent="0.25">
      <c r="L703" s="53" t="str">
        <f t="shared" si="20"/>
        <v/>
      </c>
      <c r="M703" s="19" t="str">
        <f t="shared" si="21"/>
        <v/>
      </c>
      <c r="N703" t="str">
        <f ca="1">IF(TRIM(SUBSTITUTE($B703,CHAR(160)," "))="","",IFERROR(IF(ISNUMBER(SEARCH("INC",$B703)),"INC",IF(ISNUMBER(SEARCH("OPI",$B703)),"OPI",IF(ISNUMBER(SEARCH("DP",$B703)),"DP","CONC")))&amp;" "&amp;TEXT(LOOKUP(9.99E+307,--MID(SUBSTITUTE($B703,CHAR(160)," "),SUMPRODUCT(MIN(FIND({0,1,2,3,4,5,6,7,8,9},SUBSTITUTE($B703,CHAR(160)," ")&amp;"0123456789"))),ROW(INDIRECT("1:6")))),"0"),"SIN NUMERO"))</f>
        <v/>
      </c>
      <c r="O703" t="str">
        <f ca="1">IF($N703="","",IF(LEFT(UPPER($P703),9)="VERIFICAR","VERIFICAR",IF(AND($H703&lt;&gt;"",COUNTIFS($N$2:$N$1000,$N703,$H$2:$H$1000,$H703)&gt;1),"DUPLICADA",IF(TRIM(IF($A703="","tipo ","")&amp;IF($F703="","fecha de firma ","")&amp;IF($G703="","decisión ","")&amp;IF($H703="","N° resolución ","")&amp;IF($I703="","N° dictamen",""))&lt;&gt;"","INCOMPLETA: "&amp;TRIM(IF($A703="","tipo ","")&amp;IF($F703="","fecha de firma ","")&amp;IF($G703="","decisión ","")&amp;IF($H703="","N° resolución ","")&amp;IF($I703="","N° dictamen","")),IF(LEFT($N703,4)&lt;&gt;"CONC","OK",IF(N($Q703)=0,IF(AND(ISNUMBER($E703),$E703&gt;=DATE(2024,1,1)),"FALTA EN evol_conc","OK"),IF(INDEX(evol_conc!$H:$H,$Q703)&lt;&gt;$F703,"FIRMA DISTINTA EN evol_conc ("&amp;IF(INDEX(evol_conc!$H:$H,$Q703)="","vacía",DAY(INDEX(evol_conc!$H:$H,$Q703))&amp;"/"&amp;MONTH(INDEX(evol_conc!$H:$H,$Q703))&amp;"/"&amp;YEAR(INDEX(evol_conc!$H:$H,$Q703)))&amp;")",IF(INDEX(evol_conc!$G:$G,$Q703)&lt;&gt;$E703,"INGRESO DISTINTO EN evol_conc ("&amp;IF(INDEX(evol_conc!$G:$G,$Q703)="","vacía",DAY(INDEX(evol_conc!$G:$G,$Q703))&amp;"/"&amp;MONTH(INDEX(evol_conc!$G:$G,$Q703))&amp;"/"&amp;YEAR(INDEX(evol_conc!$G:$G,$Q703)))&amp;")","OK"))))))))</f>
        <v/>
      </c>
      <c r="Q703" t="str">
        <f ca="1">IF($N703="","",IFERROR(MATCH($N703,evol_conc!$P:$P,0),0))</f>
        <v/>
      </c>
    </row>
    <row r="704" spans="12:17" ht="18" hidden="1" customHeight="1" x14ac:dyDescent="0.25">
      <c r="L704" s="53" t="str">
        <f t="shared" si="20"/>
        <v/>
      </c>
      <c r="M704" s="19" t="str">
        <f t="shared" si="21"/>
        <v/>
      </c>
      <c r="N704" t="str">
        <f ca="1">IF(TRIM(SUBSTITUTE($B704,CHAR(160)," "))="","",IFERROR(IF(ISNUMBER(SEARCH("INC",$B704)),"INC",IF(ISNUMBER(SEARCH("OPI",$B704)),"OPI",IF(ISNUMBER(SEARCH("DP",$B704)),"DP","CONC")))&amp;" "&amp;TEXT(LOOKUP(9.99E+307,--MID(SUBSTITUTE($B704,CHAR(160)," "),SUMPRODUCT(MIN(FIND({0,1,2,3,4,5,6,7,8,9},SUBSTITUTE($B704,CHAR(160)," ")&amp;"0123456789"))),ROW(INDIRECT("1:6")))),"0"),"SIN NUMERO"))</f>
        <v/>
      </c>
      <c r="O704" t="str">
        <f ca="1">IF($N704="","",IF(LEFT(UPPER($P704),9)="VERIFICAR","VERIFICAR",IF(AND($H704&lt;&gt;"",COUNTIFS($N$2:$N$1000,$N704,$H$2:$H$1000,$H704)&gt;1),"DUPLICADA",IF(TRIM(IF($A704="","tipo ","")&amp;IF($F704="","fecha de firma ","")&amp;IF($G704="","decisión ","")&amp;IF($H704="","N° resolución ","")&amp;IF($I704="","N° dictamen",""))&lt;&gt;"","INCOMPLETA: "&amp;TRIM(IF($A704="","tipo ","")&amp;IF($F704="","fecha de firma ","")&amp;IF($G704="","decisión ","")&amp;IF($H704="","N° resolución ","")&amp;IF($I704="","N° dictamen","")),IF(LEFT($N704,4)&lt;&gt;"CONC","OK",IF(N($Q704)=0,IF(AND(ISNUMBER($E704),$E704&gt;=DATE(2024,1,1)),"FALTA EN evol_conc","OK"),IF(INDEX(evol_conc!$H:$H,$Q704)&lt;&gt;$F704,"FIRMA DISTINTA EN evol_conc ("&amp;IF(INDEX(evol_conc!$H:$H,$Q704)="","vacía",DAY(INDEX(evol_conc!$H:$H,$Q704))&amp;"/"&amp;MONTH(INDEX(evol_conc!$H:$H,$Q704))&amp;"/"&amp;YEAR(INDEX(evol_conc!$H:$H,$Q704)))&amp;")",IF(INDEX(evol_conc!$G:$G,$Q704)&lt;&gt;$E704,"INGRESO DISTINTO EN evol_conc ("&amp;IF(INDEX(evol_conc!$G:$G,$Q704)="","vacía",DAY(INDEX(evol_conc!$G:$G,$Q704))&amp;"/"&amp;MONTH(INDEX(evol_conc!$G:$G,$Q704))&amp;"/"&amp;YEAR(INDEX(evol_conc!$G:$G,$Q704)))&amp;")","OK"))))))))</f>
        <v/>
      </c>
      <c r="Q704" t="str">
        <f ca="1">IF($N704="","",IFERROR(MATCH($N704,evol_conc!$P:$P,0),0))</f>
        <v/>
      </c>
    </row>
    <row r="705" spans="12:17" ht="18" hidden="1" customHeight="1" x14ac:dyDescent="0.25">
      <c r="L705" s="53" t="str">
        <f t="shared" si="20"/>
        <v/>
      </c>
      <c r="M705" s="19" t="str">
        <f t="shared" si="21"/>
        <v/>
      </c>
      <c r="N705" t="str">
        <f ca="1">IF(TRIM(SUBSTITUTE($B705,CHAR(160)," "))="","",IFERROR(IF(ISNUMBER(SEARCH("INC",$B705)),"INC",IF(ISNUMBER(SEARCH("OPI",$B705)),"OPI",IF(ISNUMBER(SEARCH("DP",$B705)),"DP","CONC")))&amp;" "&amp;TEXT(LOOKUP(9.99E+307,--MID(SUBSTITUTE($B705,CHAR(160)," "),SUMPRODUCT(MIN(FIND({0,1,2,3,4,5,6,7,8,9},SUBSTITUTE($B705,CHAR(160)," ")&amp;"0123456789"))),ROW(INDIRECT("1:6")))),"0"),"SIN NUMERO"))</f>
        <v/>
      </c>
      <c r="O705" t="str">
        <f ca="1">IF($N705="","",IF(LEFT(UPPER($P705),9)="VERIFICAR","VERIFICAR",IF(AND($H705&lt;&gt;"",COUNTIFS($N$2:$N$1000,$N705,$H$2:$H$1000,$H705)&gt;1),"DUPLICADA",IF(TRIM(IF($A705="","tipo ","")&amp;IF($F705="","fecha de firma ","")&amp;IF($G705="","decisión ","")&amp;IF($H705="","N° resolución ","")&amp;IF($I705="","N° dictamen",""))&lt;&gt;"","INCOMPLETA: "&amp;TRIM(IF($A705="","tipo ","")&amp;IF($F705="","fecha de firma ","")&amp;IF($G705="","decisión ","")&amp;IF($H705="","N° resolución ","")&amp;IF($I705="","N° dictamen","")),IF(LEFT($N705,4)&lt;&gt;"CONC","OK",IF(N($Q705)=0,IF(AND(ISNUMBER($E705),$E705&gt;=DATE(2024,1,1)),"FALTA EN evol_conc","OK"),IF(INDEX(evol_conc!$H:$H,$Q705)&lt;&gt;$F705,"FIRMA DISTINTA EN evol_conc ("&amp;IF(INDEX(evol_conc!$H:$H,$Q705)="","vacía",DAY(INDEX(evol_conc!$H:$H,$Q705))&amp;"/"&amp;MONTH(INDEX(evol_conc!$H:$H,$Q705))&amp;"/"&amp;YEAR(INDEX(evol_conc!$H:$H,$Q705)))&amp;")",IF(INDEX(evol_conc!$G:$G,$Q705)&lt;&gt;$E705,"INGRESO DISTINTO EN evol_conc ("&amp;IF(INDEX(evol_conc!$G:$G,$Q705)="","vacía",DAY(INDEX(evol_conc!$G:$G,$Q705))&amp;"/"&amp;MONTH(INDEX(evol_conc!$G:$G,$Q705))&amp;"/"&amp;YEAR(INDEX(evol_conc!$G:$G,$Q705)))&amp;")","OK"))))))))</f>
        <v/>
      </c>
      <c r="Q705" t="str">
        <f ca="1">IF($N705="","",IFERROR(MATCH($N705,evol_conc!$P:$P,0),0))</f>
        <v/>
      </c>
    </row>
    <row r="706" spans="12:17" ht="18" hidden="1" customHeight="1" x14ac:dyDescent="0.25">
      <c r="L706" s="53" t="str">
        <f t="shared" ref="L706:L769" si="22">IF(OR($E706="",$F706=""),"",($F706-$E706)/30)</f>
        <v/>
      </c>
      <c r="M706" s="19" t="str">
        <f t="shared" ref="M706:M769" si="23">IF(OR($E706="",$F706=""),"",$F706-$E706)</f>
        <v/>
      </c>
      <c r="N706" t="str">
        <f ca="1">IF(TRIM(SUBSTITUTE($B706,CHAR(160)," "))="","",IFERROR(IF(ISNUMBER(SEARCH("INC",$B706)),"INC",IF(ISNUMBER(SEARCH("OPI",$B706)),"OPI",IF(ISNUMBER(SEARCH("DP",$B706)),"DP","CONC")))&amp;" "&amp;TEXT(LOOKUP(9.99E+307,--MID(SUBSTITUTE($B706,CHAR(160)," "),SUMPRODUCT(MIN(FIND({0,1,2,3,4,5,6,7,8,9},SUBSTITUTE($B706,CHAR(160)," ")&amp;"0123456789"))),ROW(INDIRECT("1:6")))),"0"),"SIN NUMERO"))</f>
        <v/>
      </c>
      <c r="O706" t="str">
        <f ca="1">IF($N706="","",IF(LEFT(UPPER($P706),9)="VERIFICAR","VERIFICAR",IF(AND($H706&lt;&gt;"",COUNTIFS($N$2:$N$1000,$N706,$H$2:$H$1000,$H706)&gt;1),"DUPLICADA",IF(TRIM(IF($A706="","tipo ","")&amp;IF($F706="","fecha de firma ","")&amp;IF($G706="","decisión ","")&amp;IF($H706="","N° resolución ","")&amp;IF($I706="","N° dictamen",""))&lt;&gt;"","INCOMPLETA: "&amp;TRIM(IF($A706="","tipo ","")&amp;IF($F706="","fecha de firma ","")&amp;IF($G706="","decisión ","")&amp;IF($H706="","N° resolución ","")&amp;IF($I706="","N° dictamen","")),IF(LEFT($N706,4)&lt;&gt;"CONC","OK",IF(N($Q706)=0,IF(AND(ISNUMBER($E706),$E706&gt;=DATE(2024,1,1)),"FALTA EN evol_conc","OK"),IF(INDEX(evol_conc!$H:$H,$Q706)&lt;&gt;$F706,"FIRMA DISTINTA EN evol_conc ("&amp;IF(INDEX(evol_conc!$H:$H,$Q706)="","vacía",DAY(INDEX(evol_conc!$H:$H,$Q706))&amp;"/"&amp;MONTH(INDEX(evol_conc!$H:$H,$Q706))&amp;"/"&amp;YEAR(INDEX(evol_conc!$H:$H,$Q706)))&amp;")",IF(INDEX(evol_conc!$G:$G,$Q706)&lt;&gt;$E706,"INGRESO DISTINTO EN evol_conc ("&amp;IF(INDEX(evol_conc!$G:$G,$Q706)="","vacía",DAY(INDEX(evol_conc!$G:$G,$Q706))&amp;"/"&amp;MONTH(INDEX(evol_conc!$G:$G,$Q706))&amp;"/"&amp;YEAR(INDEX(evol_conc!$G:$G,$Q706)))&amp;")","OK"))))))))</f>
        <v/>
      </c>
      <c r="Q706" t="str">
        <f ca="1">IF($N706="","",IFERROR(MATCH($N706,evol_conc!$P:$P,0),0))</f>
        <v/>
      </c>
    </row>
    <row r="707" spans="12:17" ht="18" hidden="1" customHeight="1" x14ac:dyDescent="0.25">
      <c r="L707" s="53" t="str">
        <f t="shared" si="22"/>
        <v/>
      </c>
      <c r="M707" s="19" t="str">
        <f t="shared" si="23"/>
        <v/>
      </c>
      <c r="N707" t="str">
        <f ca="1">IF(TRIM(SUBSTITUTE($B707,CHAR(160)," "))="","",IFERROR(IF(ISNUMBER(SEARCH("INC",$B707)),"INC",IF(ISNUMBER(SEARCH("OPI",$B707)),"OPI",IF(ISNUMBER(SEARCH("DP",$B707)),"DP","CONC")))&amp;" "&amp;TEXT(LOOKUP(9.99E+307,--MID(SUBSTITUTE($B707,CHAR(160)," "),SUMPRODUCT(MIN(FIND({0,1,2,3,4,5,6,7,8,9},SUBSTITUTE($B707,CHAR(160)," ")&amp;"0123456789"))),ROW(INDIRECT("1:6")))),"0"),"SIN NUMERO"))</f>
        <v/>
      </c>
      <c r="O707" t="str">
        <f ca="1">IF($N707="","",IF(LEFT(UPPER($P707),9)="VERIFICAR","VERIFICAR",IF(AND($H707&lt;&gt;"",COUNTIFS($N$2:$N$1000,$N707,$H$2:$H$1000,$H707)&gt;1),"DUPLICADA",IF(TRIM(IF($A707="","tipo ","")&amp;IF($F707="","fecha de firma ","")&amp;IF($G707="","decisión ","")&amp;IF($H707="","N° resolución ","")&amp;IF($I707="","N° dictamen",""))&lt;&gt;"","INCOMPLETA: "&amp;TRIM(IF($A707="","tipo ","")&amp;IF($F707="","fecha de firma ","")&amp;IF($G707="","decisión ","")&amp;IF($H707="","N° resolución ","")&amp;IF($I707="","N° dictamen","")),IF(LEFT($N707,4)&lt;&gt;"CONC","OK",IF(N($Q707)=0,IF(AND(ISNUMBER($E707),$E707&gt;=DATE(2024,1,1)),"FALTA EN evol_conc","OK"),IF(INDEX(evol_conc!$H:$H,$Q707)&lt;&gt;$F707,"FIRMA DISTINTA EN evol_conc ("&amp;IF(INDEX(evol_conc!$H:$H,$Q707)="","vacía",DAY(INDEX(evol_conc!$H:$H,$Q707))&amp;"/"&amp;MONTH(INDEX(evol_conc!$H:$H,$Q707))&amp;"/"&amp;YEAR(INDEX(evol_conc!$H:$H,$Q707)))&amp;")",IF(INDEX(evol_conc!$G:$G,$Q707)&lt;&gt;$E707,"INGRESO DISTINTO EN evol_conc ("&amp;IF(INDEX(evol_conc!$G:$G,$Q707)="","vacía",DAY(INDEX(evol_conc!$G:$G,$Q707))&amp;"/"&amp;MONTH(INDEX(evol_conc!$G:$G,$Q707))&amp;"/"&amp;YEAR(INDEX(evol_conc!$G:$G,$Q707)))&amp;")","OK"))))))))</f>
        <v/>
      </c>
      <c r="Q707" t="str">
        <f ca="1">IF($N707="","",IFERROR(MATCH($N707,evol_conc!$P:$P,0),0))</f>
        <v/>
      </c>
    </row>
    <row r="708" spans="12:17" ht="18" hidden="1" customHeight="1" x14ac:dyDescent="0.25">
      <c r="L708" s="53" t="str">
        <f t="shared" si="22"/>
        <v/>
      </c>
      <c r="M708" s="19" t="str">
        <f t="shared" si="23"/>
        <v/>
      </c>
      <c r="N708" t="str">
        <f ca="1">IF(TRIM(SUBSTITUTE($B708,CHAR(160)," "))="","",IFERROR(IF(ISNUMBER(SEARCH("INC",$B708)),"INC",IF(ISNUMBER(SEARCH("OPI",$B708)),"OPI",IF(ISNUMBER(SEARCH("DP",$B708)),"DP","CONC")))&amp;" "&amp;TEXT(LOOKUP(9.99E+307,--MID(SUBSTITUTE($B708,CHAR(160)," "),SUMPRODUCT(MIN(FIND({0,1,2,3,4,5,6,7,8,9},SUBSTITUTE($B708,CHAR(160)," ")&amp;"0123456789"))),ROW(INDIRECT("1:6")))),"0"),"SIN NUMERO"))</f>
        <v/>
      </c>
      <c r="O708" t="str">
        <f ca="1">IF($N708="","",IF(LEFT(UPPER($P708),9)="VERIFICAR","VERIFICAR",IF(AND($H708&lt;&gt;"",COUNTIFS($N$2:$N$1000,$N708,$H$2:$H$1000,$H708)&gt;1),"DUPLICADA",IF(TRIM(IF($A708="","tipo ","")&amp;IF($F708="","fecha de firma ","")&amp;IF($G708="","decisión ","")&amp;IF($H708="","N° resolución ","")&amp;IF($I708="","N° dictamen",""))&lt;&gt;"","INCOMPLETA: "&amp;TRIM(IF($A708="","tipo ","")&amp;IF($F708="","fecha de firma ","")&amp;IF($G708="","decisión ","")&amp;IF($H708="","N° resolución ","")&amp;IF($I708="","N° dictamen","")),IF(LEFT($N708,4)&lt;&gt;"CONC","OK",IF(N($Q708)=0,IF(AND(ISNUMBER($E708),$E708&gt;=DATE(2024,1,1)),"FALTA EN evol_conc","OK"),IF(INDEX(evol_conc!$H:$H,$Q708)&lt;&gt;$F708,"FIRMA DISTINTA EN evol_conc ("&amp;IF(INDEX(evol_conc!$H:$H,$Q708)="","vacía",DAY(INDEX(evol_conc!$H:$H,$Q708))&amp;"/"&amp;MONTH(INDEX(evol_conc!$H:$H,$Q708))&amp;"/"&amp;YEAR(INDEX(evol_conc!$H:$H,$Q708)))&amp;")",IF(INDEX(evol_conc!$G:$G,$Q708)&lt;&gt;$E708,"INGRESO DISTINTO EN evol_conc ("&amp;IF(INDEX(evol_conc!$G:$G,$Q708)="","vacía",DAY(INDEX(evol_conc!$G:$G,$Q708))&amp;"/"&amp;MONTH(INDEX(evol_conc!$G:$G,$Q708))&amp;"/"&amp;YEAR(INDEX(evol_conc!$G:$G,$Q708)))&amp;")","OK"))))))))</f>
        <v/>
      </c>
      <c r="Q708" t="str">
        <f ca="1">IF($N708="","",IFERROR(MATCH($N708,evol_conc!$P:$P,0),0))</f>
        <v/>
      </c>
    </row>
    <row r="709" spans="12:17" ht="18" hidden="1" customHeight="1" x14ac:dyDescent="0.25">
      <c r="L709" s="53" t="str">
        <f t="shared" si="22"/>
        <v/>
      </c>
      <c r="M709" s="19" t="str">
        <f t="shared" si="23"/>
        <v/>
      </c>
      <c r="N709" t="str">
        <f ca="1">IF(TRIM(SUBSTITUTE($B709,CHAR(160)," "))="","",IFERROR(IF(ISNUMBER(SEARCH("INC",$B709)),"INC",IF(ISNUMBER(SEARCH("OPI",$B709)),"OPI",IF(ISNUMBER(SEARCH("DP",$B709)),"DP","CONC")))&amp;" "&amp;TEXT(LOOKUP(9.99E+307,--MID(SUBSTITUTE($B709,CHAR(160)," "),SUMPRODUCT(MIN(FIND({0,1,2,3,4,5,6,7,8,9},SUBSTITUTE($B709,CHAR(160)," ")&amp;"0123456789"))),ROW(INDIRECT("1:6")))),"0"),"SIN NUMERO"))</f>
        <v/>
      </c>
      <c r="O709" t="str">
        <f ca="1">IF($N709="","",IF(LEFT(UPPER($P709),9)="VERIFICAR","VERIFICAR",IF(AND($H709&lt;&gt;"",COUNTIFS($N$2:$N$1000,$N709,$H$2:$H$1000,$H709)&gt;1),"DUPLICADA",IF(TRIM(IF($A709="","tipo ","")&amp;IF($F709="","fecha de firma ","")&amp;IF($G709="","decisión ","")&amp;IF($H709="","N° resolución ","")&amp;IF($I709="","N° dictamen",""))&lt;&gt;"","INCOMPLETA: "&amp;TRIM(IF($A709="","tipo ","")&amp;IF($F709="","fecha de firma ","")&amp;IF($G709="","decisión ","")&amp;IF($H709="","N° resolución ","")&amp;IF($I709="","N° dictamen","")),IF(LEFT($N709,4)&lt;&gt;"CONC","OK",IF(N($Q709)=0,IF(AND(ISNUMBER($E709),$E709&gt;=DATE(2024,1,1)),"FALTA EN evol_conc","OK"),IF(INDEX(evol_conc!$H:$H,$Q709)&lt;&gt;$F709,"FIRMA DISTINTA EN evol_conc ("&amp;IF(INDEX(evol_conc!$H:$H,$Q709)="","vacía",DAY(INDEX(evol_conc!$H:$H,$Q709))&amp;"/"&amp;MONTH(INDEX(evol_conc!$H:$H,$Q709))&amp;"/"&amp;YEAR(INDEX(evol_conc!$H:$H,$Q709)))&amp;")",IF(INDEX(evol_conc!$G:$G,$Q709)&lt;&gt;$E709,"INGRESO DISTINTO EN evol_conc ("&amp;IF(INDEX(evol_conc!$G:$G,$Q709)="","vacía",DAY(INDEX(evol_conc!$G:$G,$Q709))&amp;"/"&amp;MONTH(INDEX(evol_conc!$G:$G,$Q709))&amp;"/"&amp;YEAR(INDEX(evol_conc!$G:$G,$Q709)))&amp;")","OK"))))))))</f>
        <v/>
      </c>
      <c r="Q709" t="str">
        <f ca="1">IF($N709="","",IFERROR(MATCH($N709,evol_conc!$P:$P,0),0))</f>
        <v/>
      </c>
    </row>
    <row r="710" spans="12:17" ht="18" hidden="1" customHeight="1" x14ac:dyDescent="0.25">
      <c r="L710" s="53" t="str">
        <f t="shared" si="22"/>
        <v/>
      </c>
      <c r="M710" s="19" t="str">
        <f t="shared" si="23"/>
        <v/>
      </c>
      <c r="N710" t="str">
        <f ca="1">IF(TRIM(SUBSTITUTE($B710,CHAR(160)," "))="","",IFERROR(IF(ISNUMBER(SEARCH("INC",$B710)),"INC",IF(ISNUMBER(SEARCH("OPI",$B710)),"OPI",IF(ISNUMBER(SEARCH("DP",$B710)),"DP","CONC")))&amp;" "&amp;TEXT(LOOKUP(9.99E+307,--MID(SUBSTITUTE($B710,CHAR(160)," "),SUMPRODUCT(MIN(FIND({0,1,2,3,4,5,6,7,8,9},SUBSTITUTE($B710,CHAR(160)," ")&amp;"0123456789"))),ROW(INDIRECT("1:6")))),"0"),"SIN NUMERO"))</f>
        <v/>
      </c>
      <c r="O710" t="str">
        <f ca="1">IF($N710="","",IF(LEFT(UPPER($P710),9)="VERIFICAR","VERIFICAR",IF(AND($H710&lt;&gt;"",COUNTIFS($N$2:$N$1000,$N710,$H$2:$H$1000,$H710)&gt;1),"DUPLICADA",IF(TRIM(IF($A710="","tipo ","")&amp;IF($F710="","fecha de firma ","")&amp;IF($G710="","decisión ","")&amp;IF($H710="","N° resolución ","")&amp;IF($I710="","N° dictamen",""))&lt;&gt;"","INCOMPLETA: "&amp;TRIM(IF($A710="","tipo ","")&amp;IF($F710="","fecha de firma ","")&amp;IF($G710="","decisión ","")&amp;IF($H710="","N° resolución ","")&amp;IF($I710="","N° dictamen","")),IF(LEFT($N710,4)&lt;&gt;"CONC","OK",IF(N($Q710)=0,IF(AND(ISNUMBER($E710),$E710&gt;=DATE(2024,1,1)),"FALTA EN evol_conc","OK"),IF(INDEX(evol_conc!$H:$H,$Q710)&lt;&gt;$F710,"FIRMA DISTINTA EN evol_conc ("&amp;IF(INDEX(evol_conc!$H:$H,$Q710)="","vacía",DAY(INDEX(evol_conc!$H:$H,$Q710))&amp;"/"&amp;MONTH(INDEX(evol_conc!$H:$H,$Q710))&amp;"/"&amp;YEAR(INDEX(evol_conc!$H:$H,$Q710)))&amp;")",IF(INDEX(evol_conc!$G:$G,$Q710)&lt;&gt;$E710,"INGRESO DISTINTO EN evol_conc ("&amp;IF(INDEX(evol_conc!$G:$G,$Q710)="","vacía",DAY(INDEX(evol_conc!$G:$G,$Q710))&amp;"/"&amp;MONTH(INDEX(evol_conc!$G:$G,$Q710))&amp;"/"&amp;YEAR(INDEX(evol_conc!$G:$G,$Q710)))&amp;")","OK"))))))))</f>
        <v/>
      </c>
      <c r="Q710" t="str">
        <f ca="1">IF($N710="","",IFERROR(MATCH($N710,evol_conc!$P:$P,0),0))</f>
        <v/>
      </c>
    </row>
    <row r="711" spans="12:17" ht="18" hidden="1" customHeight="1" x14ac:dyDescent="0.25">
      <c r="L711" s="53" t="str">
        <f t="shared" si="22"/>
        <v/>
      </c>
      <c r="M711" s="19" t="str">
        <f t="shared" si="23"/>
        <v/>
      </c>
      <c r="N711" t="str">
        <f ca="1">IF(TRIM(SUBSTITUTE($B711,CHAR(160)," "))="","",IFERROR(IF(ISNUMBER(SEARCH("INC",$B711)),"INC",IF(ISNUMBER(SEARCH("OPI",$B711)),"OPI",IF(ISNUMBER(SEARCH("DP",$B711)),"DP","CONC")))&amp;" "&amp;TEXT(LOOKUP(9.99E+307,--MID(SUBSTITUTE($B711,CHAR(160)," "),SUMPRODUCT(MIN(FIND({0,1,2,3,4,5,6,7,8,9},SUBSTITUTE($B711,CHAR(160)," ")&amp;"0123456789"))),ROW(INDIRECT("1:6")))),"0"),"SIN NUMERO"))</f>
        <v/>
      </c>
      <c r="O711" t="str">
        <f ca="1">IF($N711="","",IF(LEFT(UPPER($P711),9)="VERIFICAR","VERIFICAR",IF(AND($H711&lt;&gt;"",COUNTIFS($N$2:$N$1000,$N711,$H$2:$H$1000,$H711)&gt;1),"DUPLICADA",IF(TRIM(IF($A711="","tipo ","")&amp;IF($F711="","fecha de firma ","")&amp;IF($G711="","decisión ","")&amp;IF($H711="","N° resolución ","")&amp;IF($I711="","N° dictamen",""))&lt;&gt;"","INCOMPLETA: "&amp;TRIM(IF($A711="","tipo ","")&amp;IF($F711="","fecha de firma ","")&amp;IF($G711="","decisión ","")&amp;IF($H711="","N° resolución ","")&amp;IF($I711="","N° dictamen","")),IF(LEFT($N711,4)&lt;&gt;"CONC","OK",IF(N($Q711)=0,IF(AND(ISNUMBER($E711),$E711&gt;=DATE(2024,1,1)),"FALTA EN evol_conc","OK"),IF(INDEX(evol_conc!$H:$H,$Q711)&lt;&gt;$F711,"FIRMA DISTINTA EN evol_conc ("&amp;IF(INDEX(evol_conc!$H:$H,$Q711)="","vacía",DAY(INDEX(evol_conc!$H:$H,$Q711))&amp;"/"&amp;MONTH(INDEX(evol_conc!$H:$H,$Q711))&amp;"/"&amp;YEAR(INDEX(evol_conc!$H:$H,$Q711)))&amp;")",IF(INDEX(evol_conc!$G:$G,$Q711)&lt;&gt;$E711,"INGRESO DISTINTO EN evol_conc ("&amp;IF(INDEX(evol_conc!$G:$G,$Q711)="","vacía",DAY(INDEX(evol_conc!$G:$G,$Q711))&amp;"/"&amp;MONTH(INDEX(evol_conc!$G:$G,$Q711))&amp;"/"&amp;YEAR(INDEX(evol_conc!$G:$G,$Q711)))&amp;")","OK"))))))))</f>
        <v/>
      </c>
      <c r="Q711" t="str">
        <f ca="1">IF($N711="","",IFERROR(MATCH($N711,evol_conc!$P:$P,0),0))</f>
        <v/>
      </c>
    </row>
    <row r="712" spans="12:17" ht="18" hidden="1" customHeight="1" x14ac:dyDescent="0.25">
      <c r="L712" s="53" t="str">
        <f t="shared" si="22"/>
        <v/>
      </c>
      <c r="M712" s="19" t="str">
        <f t="shared" si="23"/>
        <v/>
      </c>
      <c r="N712" t="str">
        <f ca="1">IF(TRIM(SUBSTITUTE($B712,CHAR(160)," "))="","",IFERROR(IF(ISNUMBER(SEARCH("INC",$B712)),"INC",IF(ISNUMBER(SEARCH("OPI",$B712)),"OPI",IF(ISNUMBER(SEARCH("DP",$B712)),"DP","CONC")))&amp;" "&amp;TEXT(LOOKUP(9.99E+307,--MID(SUBSTITUTE($B712,CHAR(160)," "),SUMPRODUCT(MIN(FIND({0,1,2,3,4,5,6,7,8,9},SUBSTITUTE($B712,CHAR(160)," ")&amp;"0123456789"))),ROW(INDIRECT("1:6")))),"0"),"SIN NUMERO"))</f>
        <v/>
      </c>
      <c r="O712" t="str">
        <f ca="1">IF($N712="","",IF(LEFT(UPPER($P712),9)="VERIFICAR","VERIFICAR",IF(AND($H712&lt;&gt;"",COUNTIFS($N$2:$N$1000,$N712,$H$2:$H$1000,$H712)&gt;1),"DUPLICADA",IF(TRIM(IF($A712="","tipo ","")&amp;IF($F712="","fecha de firma ","")&amp;IF($G712="","decisión ","")&amp;IF($H712="","N° resolución ","")&amp;IF($I712="","N° dictamen",""))&lt;&gt;"","INCOMPLETA: "&amp;TRIM(IF($A712="","tipo ","")&amp;IF($F712="","fecha de firma ","")&amp;IF($G712="","decisión ","")&amp;IF($H712="","N° resolución ","")&amp;IF($I712="","N° dictamen","")),IF(LEFT($N712,4)&lt;&gt;"CONC","OK",IF(N($Q712)=0,IF(AND(ISNUMBER($E712),$E712&gt;=DATE(2024,1,1)),"FALTA EN evol_conc","OK"),IF(INDEX(evol_conc!$H:$H,$Q712)&lt;&gt;$F712,"FIRMA DISTINTA EN evol_conc ("&amp;IF(INDEX(evol_conc!$H:$H,$Q712)="","vacía",DAY(INDEX(evol_conc!$H:$H,$Q712))&amp;"/"&amp;MONTH(INDEX(evol_conc!$H:$H,$Q712))&amp;"/"&amp;YEAR(INDEX(evol_conc!$H:$H,$Q712)))&amp;")",IF(INDEX(evol_conc!$G:$G,$Q712)&lt;&gt;$E712,"INGRESO DISTINTO EN evol_conc ("&amp;IF(INDEX(evol_conc!$G:$G,$Q712)="","vacía",DAY(INDEX(evol_conc!$G:$G,$Q712))&amp;"/"&amp;MONTH(INDEX(evol_conc!$G:$G,$Q712))&amp;"/"&amp;YEAR(INDEX(evol_conc!$G:$G,$Q712)))&amp;")","OK"))))))))</f>
        <v/>
      </c>
      <c r="Q712" t="str">
        <f ca="1">IF($N712="","",IFERROR(MATCH($N712,evol_conc!$P:$P,0),0))</f>
        <v/>
      </c>
    </row>
    <row r="713" spans="12:17" ht="18" hidden="1" customHeight="1" x14ac:dyDescent="0.25">
      <c r="L713" s="53" t="str">
        <f t="shared" si="22"/>
        <v/>
      </c>
      <c r="M713" s="19" t="str">
        <f t="shared" si="23"/>
        <v/>
      </c>
      <c r="N713" t="str">
        <f ca="1">IF(TRIM(SUBSTITUTE($B713,CHAR(160)," "))="","",IFERROR(IF(ISNUMBER(SEARCH("INC",$B713)),"INC",IF(ISNUMBER(SEARCH("OPI",$B713)),"OPI",IF(ISNUMBER(SEARCH("DP",$B713)),"DP","CONC")))&amp;" "&amp;TEXT(LOOKUP(9.99E+307,--MID(SUBSTITUTE($B713,CHAR(160)," "),SUMPRODUCT(MIN(FIND({0,1,2,3,4,5,6,7,8,9},SUBSTITUTE($B713,CHAR(160)," ")&amp;"0123456789"))),ROW(INDIRECT("1:6")))),"0"),"SIN NUMERO"))</f>
        <v/>
      </c>
      <c r="O713" t="str">
        <f ca="1">IF($N713="","",IF(LEFT(UPPER($P713),9)="VERIFICAR","VERIFICAR",IF(AND($H713&lt;&gt;"",COUNTIFS($N$2:$N$1000,$N713,$H$2:$H$1000,$H713)&gt;1),"DUPLICADA",IF(TRIM(IF($A713="","tipo ","")&amp;IF($F713="","fecha de firma ","")&amp;IF($G713="","decisión ","")&amp;IF($H713="","N° resolución ","")&amp;IF($I713="","N° dictamen",""))&lt;&gt;"","INCOMPLETA: "&amp;TRIM(IF($A713="","tipo ","")&amp;IF($F713="","fecha de firma ","")&amp;IF($G713="","decisión ","")&amp;IF($H713="","N° resolución ","")&amp;IF($I713="","N° dictamen","")),IF(LEFT($N713,4)&lt;&gt;"CONC","OK",IF(N($Q713)=0,IF(AND(ISNUMBER($E713),$E713&gt;=DATE(2024,1,1)),"FALTA EN evol_conc","OK"),IF(INDEX(evol_conc!$H:$H,$Q713)&lt;&gt;$F713,"FIRMA DISTINTA EN evol_conc ("&amp;IF(INDEX(evol_conc!$H:$H,$Q713)="","vacía",DAY(INDEX(evol_conc!$H:$H,$Q713))&amp;"/"&amp;MONTH(INDEX(evol_conc!$H:$H,$Q713))&amp;"/"&amp;YEAR(INDEX(evol_conc!$H:$H,$Q713)))&amp;")",IF(INDEX(evol_conc!$G:$G,$Q713)&lt;&gt;$E713,"INGRESO DISTINTO EN evol_conc ("&amp;IF(INDEX(evol_conc!$G:$G,$Q713)="","vacía",DAY(INDEX(evol_conc!$G:$G,$Q713))&amp;"/"&amp;MONTH(INDEX(evol_conc!$G:$G,$Q713))&amp;"/"&amp;YEAR(INDEX(evol_conc!$G:$G,$Q713)))&amp;")","OK"))))))))</f>
        <v/>
      </c>
      <c r="Q713" t="str">
        <f ca="1">IF($N713="","",IFERROR(MATCH($N713,evol_conc!$P:$P,0),0))</f>
        <v/>
      </c>
    </row>
    <row r="714" spans="12:17" ht="18" hidden="1" customHeight="1" x14ac:dyDescent="0.25">
      <c r="L714" s="53" t="str">
        <f t="shared" si="22"/>
        <v/>
      </c>
      <c r="M714" s="19" t="str">
        <f t="shared" si="23"/>
        <v/>
      </c>
      <c r="N714" t="str">
        <f ca="1">IF(TRIM(SUBSTITUTE($B714,CHAR(160)," "))="","",IFERROR(IF(ISNUMBER(SEARCH("INC",$B714)),"INC",IF(ISNUMBER(SEARCH("OPI",$B714)),"OPI",IF(ISNUMBER(SEARCH("DP",$B714)),"DP","CONC")))&amp;" "&amp;TEXT(LOOKUP(9.99E+307,--MID(SUBSTITUTE($B714,CHAR(160)," "),SUMPRODUCT(MIN(FIND({0,1,2,3,4,5,6,7,8,9},SUBSTITUTE($B714,CHAR(160)," ")&amp;"0123456789"))),ROW(INDIRECT("1:6")))),"0"),"SIN NUMERO"))</f>
        <v/>
      </c>
      <c r="O714" t="str">
        <f ca="1">IF($N714="","",IF(LEFT(UPPER($P714),9)="VERIFICAR","VERIFICAR",IF(AND($H714&lt;&gt;"",COUNTIFS($N$2:$N$1000,$N714,$H$2:$H$1000,$H714)&gt;1),"DUPLICADA",IF(TRIM(IF($A714="","tipo ","")&amp;IF($F714="","fecha de firma ","")&amp;IF($G714="","decisión ","")&amp;IF($H714="","N° resolución ","")&amp;IF($I714="","N° dictamen",""))&lt;&gt;"","INCOMPLETA: "&amp;TRIM(IF($A714="","tipo ","")&amp;IF($F714="","fecha de firma ","")&amp;IF($G714="","decisión ","")&amp;IF($H714="","N° resolución ","")&amp;IF($I714="","N° dictamen","")),IF(LEFT($N714,4)&lt;&gt;"CONC","OK",IF(N($Q714)=0,IF(AND(ISNUMBER($E714),$E714&gt;=DATE(2024,1,1)),"FALTA EN evol_conc","OK"),IF(INDEX(evol_conc!$H:$H,$Q714)&lt;&gt;$F714,"FIRMA DISTINTA EN evol_conc ("&amp;IF(INDEX(evol_conc!$H:$H,$Q714)="","vacía",DAY(INDEX(evol_conc!$H:$H,$Q714))&amp;"/"&amp;MONTH(INDEX(evol_conc!$H:$H,$Q714))&amp;"/"&amp;YEAR(INDEX(evol_conc!$H:$H,$Q714)))&amp;")",IF(INDEX(evol_conc!$G:$G,$Q714)&lt;&gt;$E714,"INGRESO DISTINTO EN evol_conc ("&amp;IF(INDEX(evol_conc!$G:$G,$Q714)="","vacía",DAY(INDEX(evol_conc!$G:$G,$Q714))&amp;"/"&amp;MONTH(INDEX(evol_conc!$G:$G,$Q714))&amp;"/"&amp;YEAR(INDEX(evol_conc!$G:$G,$Q714)))&amp;")","OK"))))))))</f>
        <v/>
      </c>
      <c r="Q714" t="str">
        <f ca="1">IF($N714="","",IFERROR(MATCH($N714,evol_conc!$P:$P,0),0))</f>
        <v/>
      </c>
    </row>
    <row r="715" spans="12:17" ht="18" hidden="1" customHeight="1" x14ac:dyDescent="0.25">
      <c r="L715" s="53" t="str">
        <f t="shared" si="22"/>
        <v/>
      </c>
      <c r="M715" s="19" t="str">
        <f t="shared" si="23"/>
        <v/>
      </c>
      <c r="N715" t="str">
        <f ca="1">IF(TRIM(SUBSTITUTE($B715,CHAR(160)," "))="","",IFERROR(IF(ISNUMBER(SEARCH("INC",$B715)),"INC",IF(ISNUMBER(SEARCH("OPI",$B715)),"OPI",IF(ISNUMBER(SEARCH("DP",$B715)),"DP","CONC")))&amp;" "&amp;TEXT(LOOKUP(9.99E+307,--MID(SUBSTITUTE($B715,CHAR(160)," "),SUMPRODUCT(MIN(FIND({0,1,2,3,4,5,6,7,8,9},SUBSTITUTE($B715,CHAR(160)," ")&amp;"0123456789"))),ROW(INDIRECT("1:6")))),"0"),"SIN NUMERO"))</f>
        <v/>
      </c>
      <c r="O715" t="str">
        <f ca="1">IF($N715="","",IF(LEFT(UPPER($P715),9)="VERIFICAR","VERIFICAR",IF(AND($H715&lt;&gt;"",COUNTIFS($N$2:$N$1000,$N715,$H$2:$H$1000,$H715)&gt;1),"DUPLICADA",IF(TRIM(IF($A715="","tipo ","")&amp;IF($F715="","fecha de firma ","")&amp;IF($G715="","decisión ","")&amp;IF($H715="","N° resolución ","")&amp;IF($I715="","N° dictamen",""))&lt;&gt;"","INCOMPLETA: "&amp;TRIM(IF($A715="","tipo ","")&amp;IF($F715="","fecha de firma ","")&amp;IF($G715="","decisión ","")&amp;IF($H715="","N° resolución ","")&amp;IF($I715="","N° dictamen","")),IF(LEFT($N715,4)&lt;&gt;"CONC","OK",IF(N($Q715)=0,IF(AND(ISNUMBER($E715),$E715&gt;=DATE(2024,1,1)),"FALTA EN evol_conc","OK"),IF(INDEX(evol_conc!$H:$H,$Q715)&lt;&gt;$F715,"FIRMA DISTINTA EN evol_conc ("&amp;IF(INDEX(evol_conc!$H:$H,$Q715)="","vacía",DAY(INDEX(evol_conc!$H:$H,$Q715))&amp;"/"&amp;MONTH(INDEX(evol_conc!$H:$H,$Q715))&amp;"/"&amp;YEAR(INDEX(evol_conc!$H:$H,$Q715)))&amp;")",IF(INDEX(evol_conc!$G:$G,$Q715)&lt;&gt;$E715,"INGRESO DISTINTO EN evol_conc ("&amp;IF(INDEX(evol_conc!$G:$G,$Q715)="","vacía",DAY(INDEX(evol_conc!$G:$G,$Q715))&amp;"/"&amp;MONTH(INDEX(evol_conc!$G:$G,$Q715))&amp;"/"&amp;YEAR(INDEX(evol_conc!$G:$G,$Q715)))&amp;")","OK"))))))))</f>
        <v/>
      </c>
      <c r="Q715" t="str">
        <f ca="1">IF($N715="","",IFERROR(MATCH($N715,evol_conc!$P:$P,0),0))</f>
        <v/>
      </c>
    </row>
    <row r="716" spans="12:17" ht="18" hidden="1" customHeight="1" x14ac:dyDescent="0.25">
      <c r="L716" s="53" t="str">
        <f t="shared" si="22"/>
        <v/>
      </c>
      <c r="M716" s="19" t="str">
        <f t="shared" si="23"/>
        <v/>
      </c>
      <c r="N716" t="str">
        <f ca="1">IF(TRIM(SUBSTITUTE($B716,CHAR(160)," "))="","",IFERROR(IF(ISNUMBER(SEARCH("INC",$B716)),"INC",IF(ISNUMBER(SEARCH("OPI",$B716)),"OPI",IF(ISNUMBER(SEARCH("DP",$B716)),"DP","CONC")))&amp;" "&amp;TEXT(LOOKUP(9.99E+307,--MID(SUBSTITUTE($B716,CHAR(160)," "),SUMPRODUCT(MIN(FIND({0,1,2,3,4,5,6,7,8,9},SUBSTITUTE($B716,CHAR(160)," ")&amp;"0123456789"))),ROW(INDIRECT("1:6")))),"0"),"SIN NUMERO"))</f>
        <v/>
      </c>
      <c r="O716" t="str">
        <f ca="1">IF($N716="","",IF(LEFT(UPPER($P716),9)="VERIFICAR","VERIFICAR",IF(AND($H716&lt;&gt;"",COUNTIFS($N$2:$N$1000,$N716,$H$2:$H$1000,$H716)&gt;1),"DUPLICADA",IF(TRIM(IF($A716="","tipo ","")&amp;IF($F716="","fecha de firma ","")&amp;IF($G716="","decisión ","")&amp;IF($H716="","N° resolución ","")&amp;IF($I716="","N° dictamen",""))&lt;&gt;"","INCOMPLETA: "&amp;TRIM(IF($A716="","tipo ","")&amp;IF($F716="","fecha de firma ","")&amp;IF($G716="","decisión ","")&amp;IF($H716="","N° resolución ","")&amp;IF($I716="","N° dictamen","")),IF(LEFT($N716,4)&lt;&gt;"CONC","OK",IF(N($Q716)=0,IF(AND(ISNUMBER($E716),$E716&gt;=DATE(2024,1,1)),"FALTA EN evol_conc","OK"),IF(INDEX(evol_conc!$H:$H,$Q716)&lt;&gt;$F716,"FIRMA DISTINTA EN evol_conc ("&amp;IF(INDEX(evol_conc!$H:$H,$Q716)="","vacía",DAY(INDEX(evol_conc!$H:$H,$Q716))&amp;"/"&amp;MONTH(INDEX(evol_conc!$H:$H,$Q716))&amp;"/"&amp;YEAR(INDEX(evol_conc!$H:$H,$Q716)))&amp;")",IF(INDEX(evol_conc!$G:$G,$Q716)&lt;&gt;$E716,"INGRESO DISTINTO EN evol_conc ("&amp;IF(INDEX(evol_conc!$G:$G,$Q716)="","vacía",DAY(INDEX(evol_conc!$G:$G,$Q716))&amp;"/"&amp;MONTH(INDEX(evol_conc!$G:$G,$Q716))&amp;"/"&amp;YEAR(INDEX(evol_conc!$G:$G,$Q716)))&amp;")","OK"))))))))</f>
        <v/>
      </c>
      <c r="Q716" t="str">
        <f ca="1">IF($N716="","",IFERROR(MATCH($N716,evol_conc!$P:$P,0),0))</f>
        <v/>
      </c>
    </row>
    <row r="717" spans="12:17" ht="18" hidden="1" customHeight="1" x14ac:dyDescent="0.25">
      <c r="L717" s="53" t="str">
        <f t="shared" si="22"/>
        <v/>
      </c>
      <c r="M717" s="19" t="str">
        <f t="shared" si="23"/>
        <v/>
      </c>
      <c r="N717" t="str">
        <f ca="1">IF(TRIM(SUBSTITUTE($B717,CHAR(160)," "))="","",IFERROR(IF(ISNUMBER(SEARCH("INC",$B717)),"INC",IF(ISNUMBER(SEARCH("OPI",$B717)),"OPI",IF(ISNUMBER(SEARCH("DP",$B717)),"DP","CONC")))&amp;" "&amp;TEXT(LOOKUP(9.99E+307,--MID(SUBSTITUTE($B717,CHAR(160)," "),SUMPRODUCT(MIN(FIND({0,1,2,3,4,5,6,7,8,9},SUBSTITUTE($B717,CHAR(160)," ")&amp;"0123456789"))),ROW(INDIRECT("1:6")))),"0"),"SIN NUMERO"))</f>
        <v/>
      </c>
      <c r="O717" t="str">
        <f ca="1">IF($N717="","",IF(LEFT(UPPER($P717),9)="VERIFICAR","VERIFICAR",IF(AND($H717&lt;&gt;"",COUNTIFS($N$2:$N$1000,$N717,$H$2:$H$1000,$H717)&gt;1),"DUPLICADA",IF(TRIM(IF($A717="","tipo ","")&amp;IF($F717="","fecha de firma ","")&amp;IF($G717="","decisión ","")&amp;IF($H717="","N° resolución ","")&amp;IF($I717="","N° dictamen",""))&lt;&gt;"","INCOMPLETA: "&amp;TRIM(IF($A717="","tipo ","")&amp;IF($F717="","fecha de firma ","")&amp;IF($G717="","decisión ","")&amp;IF($H717="","N° resolución ","")&amp;IF($I717="","N° dictamen","")),IF(LEFT($N717,4)&lt;&gt;"CONC","OK",IF(N($Q717)=0,IF(AND(ISNUMBER($E717),$E717&gt;=DATE(2024,1,1)),"FALTA EN evol_conc","OK"),IF(INDEX(evol_conc!$H:$H,$Q717)&lt;&gt;$F717,"FIRMA DISTINTA EN evol_conc ("&amp;IF(INDEX(evol_conc!$H:$H,$Q717)="","vacía",DAY(INDEX(evol_conc!$H:$H,$Q717))&amp;"/"&amp;MONTH(INDEX(evol_conc!$H:$H,$Q717))&amp;"/"&amp;YEAR(INDEX(evol_conc!$H:$H,$Q717)))&amp;")",IF(INDEX(evol_conc!$G:$G,$Q717)&lt;&gt;$E717,"INGRESO DISTINTO EN evol_conc ("&amp;IF(INDEX(evol_conc!$G:$G,$Q717)="","vacía",DAY(INDEX(evol_conc!$G:$G,$Q717))&amp;"/"&amp;MONTH(INDEX(evol_conc!$G:$G,$Q717))&amp;"/"&amp;YEAR(INDEX(evol_conc!$G:$G,$Q717)))&amp;")","OK"))))))))</f>
        <v/>
      </c>
      <c r="Q717" t="str">
        <f ca="1">IF($N717="","",IFERROR(MATCH($N717,evol_conc!$P:$P,0),0))</f>
        <v/>
      </c>
    </row>
    <row r="718" spans="12:17" ht="18" hidden="1" customHeight="1" x14ac:dyDescent="0.25">
      <c r="L718" s="53" t="str">
        <f t="shared" si="22"/>
        <v/>
      </c>
      <c r="M718" s="19" t="str">
        <f t="shared" si="23"/>
        <v/>
      </c>
      <c r="N718" t="str">
        <f ca="1">IF(TRIM(SUBSTITUTE($B718,CHAR(160)," "))="","",IFERROR(IF(ISNUMBER(SEARCH("INC",$B718)),"INC",IF(ISNUMBER(SEARCH("OPI",$B718)),"OPI",IF(ISNUMBER(SEARCH("DP",$B718)),"DP","CONC")))&amp;" "&amp;TEXT(LOOKUP(9.99E+307,--MID(SUBSTITUTE($B718,CHAR(160)," "),SUMPRODUCT(MIN(FIND({0,1,2,3,4,5,6,7,8,9},SUBSTITUTE($B718,CHAR(160)," ")&amp;"0123456789"))),ROW(INDIRECT("1:6")))),"0"),"SIN NUMERO"))</f>
        <v/>
      </c>
      <c r="O718" t="str">
        <f ca="1">IF($N718="","",IF(LEFT(UPPER($P718),9)="VERIFICAR","VERIFICAR",IF(AND($H718&lt;&gt;"",COUNTIFS($N$2:$N$1000,$N718,$H$2:$H$1000,$H718)&gt;1),"DUPLICADA",IF(TRIM(IF($A718="","tipo ","")&amp;IF($F718="","fecha de firma ","")&amp;IF($G718="","decisión ","")&amp;IF($H718="","N° resolución ","")&amp;IF($I718="","N° dictamen",""))&lt;&gt;"","INCOMPLETA: "&amp;TRIM(IF($A718="","tipo ","")&amp;IF($F718="","fecha de firma ","")&amp;IF($G718="","decisión ","")&amp;IF($H718="","N° resolución ","")&amp;IF($I718="","N° dictamen","")),IF(LEFT($N718,4)&lt;&gt;"CONC","OK",IF(N($Q718)=0,IF(AND(ISNUMBER($E718),$E718&gt;=DATE(2024,1,1)),"FALTA EN evol_conc","OK"),IF(INDEX(evol_conc!$H:$H,$Q718)&lt;&gt;$F718,"FIRMA DISTINTA EN evol_conc ("&amp;IF(INDEX(evol_conc!$H:$H,$Q718)="","vacía",DAY(INDEX(evol_conc!$H:$H,$Q718))&amp;"/"&amp;MONTH(INDEX(evol_conc!$H:$H,$Q718))&amp;"/"&amp;YEAR(INDEX(evol_conc!$H:$H,$Q718)))&amp;")",IF(INDEX(evol_conc!$G:$G,$Q718)&lt;&gt;$E718,"INGRESO DISTINTO EN evol_conc ("&amp;IF(INDEX(evol_conc!$G:$G,$Q718)="","vacía",DAY(INDEX(evol_conc!$G:$G,$Q718))&amp;"/"&amp;MONTH(INDEX(evol_conc!$G:$G,$Q718))&amp;"/"&amp;YEAR(INDEX(evol_conc!$G:$G,$Q718)))&amp;")","OK"))))))))</f>
        <v/>
      </c>
      <c r="Q718" t="str">
        <f ca="1">IF($N718="","",IFERROR(MATCH($N718,evol_conc!$P:$P,0),0))</f>
        <v/>
      </c>
    </row>
    <row r="719" spans="12:17" ht="18" hidden="1" customHeight="1" x14ac:dyDescent="0.25">
      <c r="L719" s="53" t="str">
        <f t="shared" si="22"/>
        <v/>
      </c>
      <c r="M719" s="19" t="str">
        <f t="shared" si="23"/>
        <v/>
      </c>
      <c r="N719" t="str">
        <f ca="1">IF(TRIM(SUBSTITUTE($B719,CHAR(160)," "))="","",IFERROR(IF(ISNUMBER(SEARCH("INC",$B719)),"INC",IF(ISNUMBER(SEARCH("OPI",$B719)),"OPI",IF(ISNUMBER(SEARCH("DP",$B719)),"DP","CONC")))&amp;" "&amp;TEXT(LOOKUP(9.99E+307,--MID(SUBSTITUTE($B719,CHAR(160)," "),SUMPRODUCT(MIN(FIND({0,1,2,3,4,5,6,7,8,9},SUBSTITUTE($B719,CHAR(160)," ")&amp;"0123456789"))),ROW(INDIRECT("1:6")))),"0"),"SIN NUMERO"))</f>
        <v/>
      </c>
      <c r="O719" t="str">
        <f ca="1">IF($N719="","",IF(LEFT(UPPER($P719),9)="VERIFICAR","VERIFICAR",IF(AND($H719&lt;&gt;"",COUNTIFS($N$2:$N$1000,$N719,$H$2:$H$1000,$H719)&gt;1),"DUPLICADA",IF(TRIM(IF($A719="","tipo ","")&amp;IF($F719="","fecha de firma ","")&amp;IF($G719="","decisión ","")&amp;IF($H719="","N° resolución ","")&amp;IF($I719="","N° dictamen",""))&lt;&gt;"","INCOMPLETA: "&amp;TRIM(IF($A719="","tipo ","")&amp;IF($F719="","fecha de firma ","")&amp;IF($G719="","decisión ","")&amp;IF($H719="","N° resolución ","")&amp;IF($I719="","N° dictamen","")),IF(LEFT($N719,4)&lt;&gt;"CONC","OK",IF(N($Q719)=0,IF(AND(ISNUMBER($E719),$E719&gt;=DATE(2024,1,1)),"FALTA EN evol_conc","OK"),IF(INDEX(evol_conc!$H:$H,$Q719)&lt;&gt;$F719,"FIRMA DISTINTA EN evol_conc ("&amp;IF(INDEX(evol_conc!$H:$H,$Q719)="","vacía",DAY(INDEX(evol_conc!$H:$H,$Q719))&amp;"/"&amp;MONTH(INDEX(evol_conc!$H:$H,$Q719))&amp;"/"&amp;YEAR(INDEX(evol_conc!$H:$H,$Q719)))&amp;")",IF(INDEX(evol_conc!$G:$G,$Q719)&lt;&gt;$E719,"INGRESO DISTINTO EN evol_conc ("&amp;IF(INDEX(evol_conc!$G:$G,$Q719)="","vacía",DAY(INDEX(evol_conc!$G:$G,$Q719))&amp;"/"&amp;MONTH(INDEX(evol_conc!$G:$G,$Q719))&amp;"/"&amp;YEAR(INDEX(evol_conc!$G:$G,$Q719)))&amp;")","OK"))))))))</f>
        <v/>
      </c>
      <c r="Q719" t="str">
        <f ca="1">IF($N719="","",IFERROR(MATCH($N719,evol_conc!$P:$P,0),0))</f>
        <v/>
      </c>
    </row>
    <row r="720" spans="12:17" ht="18" hidden="1" customHeight="1" x14ac:dyDescent="0.25">
      <c r="L720" s="53" t="str">
        <f t="shared" si="22"/>
        <v/>
      </c>
      <c r="M720" s="19" t="str">
        <f t="shared" si="23"/>
        <v/>
      </c>
      <c r="N720" t="str">
        <f ca="1">IF(TRIM(SUBSTITUTE($B720,CHAR(160)," "))="","",IFERROR(IF(ISNUMBER(SEARCH("INC",$B720)),"INC",IF(ISNUMBER(SEARCH("OPI",$B720)),"OPI",IF(ISNUMBER(SEARCH("DP",$B720)),"DP","CONC")))&amp;" "&amp;TEXT(LOOKUP(9.99E+307,--MID(SUBSTITUTE($B720,CHAR(160)," "),SUMPRODUCT(MIN(FIND({0,1,2,3,4,5,6,7,8,9},SUBSTITUTE($B720,CHAR(160)," ")&amp;"0123456789"))),ROW(INDIRECT("1:6")))),"0"),"SIN NUMERO"))</f>
        <v/>
      </c>
      <c r="O720" t="str">
        <f ca="1">IF($N720="","",IF(LEFT(UPPER($P720),9)="VERIFICAR","VERIFICAR",IF(AND($H720&lt;&gt;"",COUNTIFS($N$2:$N$1000,$N720,$H$2:$H$1000,$H720)&gt;1),"DUPLICADA",IF(TRIM(IF($A720="","tipo ","")&amp;IF($F720="","fecha de firma ","")&amp;IF($G720="","decisión ","")&amp;IF($H720="","N° resolución ","")&amp;IF($I720="","N° dictamen",""))&lt;&gt;"","INCOMPLETA: "&amp;TRIM(IF($A720="","tipo ","")&amp;IF($F720="","fecha de firma ","")&amp;IF($G720="","decisión ","")&amp;IF($H720="","N° resolución ","")&amp;IF($I720="","N° dictamen","")),IF(LEFT($N720,4)&lt;&gt;"CONC","OK",IF(N($Q720)=0,IF(AND(ISNUMBER($E720),$E720&gt;=DATE(2024,1,1)),"FALTA EN evol_conc","OK"),IF(INDEX(evol_conc!$H:$H,$Q720)&lt;&gt;$F720,"FIRMA DISTINTA EN evol_conc ("&amp;IF(INDEX(evol_conc!$H:$H,$Q720)="","vacía",DAY(INDEX(evol_conc!$H:$H,$Q720))&amp;"/"&amp;MONTH(INDEX(evol_conc!$H:$H,$Q720))&amp;"/"&amp;YEAR(INDEX(evol_conc!$H:$H,$Q720)))&amp;")",IF(INDEX(evol_conc!$G:$G,$Q720)&lt;&gt;$E720,"INGRESO DISTINTO EN evol_conc ("&amp;IF(INDEX(evol_conc!$G:$G,$Q720)="","vacía",DAY(INDEX(evol_conc!$G:$G,$Q720))&amp;"/"&amp;MONTH(INDEX(evol_conc!$G:$G,$Q720))&amp;"/"&amp;YEAR(INDEX(evol_conc!$G:$G,$Q720)))&amp;")","OK"))))))))</f>
        <v/>
      </c>
      <c r="Q720" t="str">
        <f ca="1">IF($N720="","",IFERROR(MATCH($N720,evol_conc!$P:$P,0),0))</f>
        <v/>
      </c>
    </row>
    <row r="721" spans="12:17" ht="18" hidden="1" customHeight="1" x14ac:dyDescent="0.25">
      <c r="L721" s="53" t="str">
        <f t="shared" si="22"/>
        <v/>
      </c>
      <c r="M721" s="19" t="str">
        <f t="shared" si="23"/>
        <v/>
      </c>
      <c r="N721" t="str">
        <f ca="1">IF(TRIM(SUBSTITUTE($B721,CHAR(160)," "))="","",IFERROR(IF(ISNUMBER(SEARCH("INC",$B721)),"INC",IF(ISNUMBER(SEARCH("OPI",$B721)),"OPI",IF(ISNUMBER(SEARCH("DP",$B721)),"DP","CONC")))&amp;" "&amp;TEXT(LOOKUP(9.99E+307,--MID(SUBSTITUTE($B721,CHAR(160)," "),SUMPRODUCT(MIN(FIND({0,1,2,3,4,5,6,7,8,9},SUBSTITUTE($B721,CHAR(160)," ")&amp;"0123456789"))),ROW(INDIRECT("1:6")))),"0"),"SIN NUMERO"))</f>
        <v/>
      </c>
      <c r="O721" t="str">
        <f ca="1">IF($N721="","",IF(LEFT(UPPER($P721),9)="VERIFICAR","VERIFICAR",IF(AND($H721&lt;&gt;"",COUNTIFS($N$2:$N$1000,$N721,$H$2:$H$1000,$H721)&gt;1),"DUPLICADA",IF(TRIM(IF($A721="","tipo ","")&amp;IF($F721="","fecha de firma ","")&amp;IF($G721="","decisión ","")&amp;IF($H721="","N° resolución ","")&amp;IF($I721="","N° dictamen",""))&lt;&gt;"","INCOMPLETA: "&amp;TRIM(IF($A721="","tipo ","")&amp;IF($F721="","fecha de firma ","")&amp;IF($G721="","decisión ","")&amp;IF($H721="","N° resolución ","")&amp;IF($I721="","N° dictamen","")),IF(LEFT($N721,4)&lt;&gt;"CONC","OK",IF(N($Q721)=0,IF(AND(ISNUMBER($E721),$E721&gt;=DATE(2024,1,1)),"FALTA EN evol_conc","OK"),IF(INDEX(evol_conc!$H:$H,$Q721)&lt;&gt;$F721,"FIRMA DISTINTA EN evol_conc ("&amp;IF(INDEX(evol_conc!$H:$H,$Q721)="","vacía",DAY(INDEX(evol_conc!$H:$H,$Q721))&amp;"/"&amp;MONTH(INDEX(evol_conc!$H:$H,$Q721))&amp;"/"&amp;YEAR(INDEX(evol_conc!$H:$H,$Q721)))&amp;")",IF(INDEX(evol_conc!$G:$G,$Q721)&lt;&gt;$E721,"INGRESO DISTINTO EN evol_conc ("&amp;IF(INDEX(evol_conc!$G:$G,$Q721)="","vacía",DAY(INDEX(evol_conc!$G:$G,$Q721))&amp;"/"&amp;MONTH(INDEX(evol_conc!$G:$G,$Q721))&amp;"/"&amp;YEAR(INDEX(evol_conc!$G:$G,$Q721)))&amp;")","OK"))))))))</f>
        <v/>
      </c>
      <c r="Q721" t="str">
        <f ca="1">IF($N721="","",IFERROR(MATCH($N721,evol_conc!$P:$P,0),0))</f>
        <v/>
      </c>
    </row>
    <row r="722" spans="12:17" ht="18" hidden="1" customHeight="1" x14ac:dyDescent="0.25">
      <c r="L722" s="53" t="str">
        <f t="shared" si="22"/>
        <v/>
      </c>
      <c r="M722" s="19" t="str">
        <f t="shared" si="23"/>
        <v/>
      </c>
      <c r="N722" t="str">
        <f ca="1">IF(TRIM(SUBSTITUTE($B722,CHAR(160)," "))="","",IFERROR(IF(ISNUMBER(SEARCH("INC",$B722)),"INC",IF(ISNUMBER(SEARCH("OPI",$B722)),"OPI",IF(ISNUMBER(SEARCH("DP",$B722)),"DP","CONC")))&amp;" "&amp;TEXT(LOOKUP(9.99E+307,--MID(SUBSTITUTE($B722,CHAR(160)," "),SUMPRODUCT(MIN(FIND({0,1,2,3,4,5,6,7,8,9},SUBSTITUTE($B722,CHAR(160)," ")&amp;"0123456789"))),ROW(INDIRECT("1:6")))),"0"),"SIN NUMERO"))</f>
        <v/>
      </c>
      <c r="O722" t="str">
        <f ca="1">IF($N722="","",IF(LEFT(UPPER($P722),9)="VERIFICAR","VERIFICAR",IF(AND($H722&lt;&gt;"",COUNTIFS($N$2:$N$1000,$N722,$H$2:$H$1000,$H722)&gt;1),"DUPLICADA",IF(TRIM(IF($A722="","tipo ","")&amp;IF($F722="","fecha de firma ","")&amp;IF($G722="","decisión ","")&amp;IF($H722="","N° resolución ","")&amp;IF($I722="","N° dictamen",""))&lt;&gt;"","INCOMPLETA: "&amp;TRIM(IF($A722="","tipo ","")&amp;IF($F722="","fecha de firma ","")&amp;IF($G722="","decisión ","")&amp;IF($H722="","N° resolución ","")&amp;IF($I722="","N° dictamen","")),IF(LEFT($N722,4)&lt;&gt;"CONC","OK",IF(N($Q722)=0,IF(AND(ISNUMBER($E722),$E722&gt;=DATE(2024,1,1)),"FALTA EN evol_conc","OK"),IF(INDEX(evol_conc!$H:$H,$Q722)&lt;&gt;$F722,"FIRMA DISTINTA EN evol_conc ("&amp;IF(INDEX(evol_conc!$H:$H,$Q722)="","vacía",DAY(INDEX(evol_conc!$H:$H,$Q722))&amp;"/"&amp;MONTH(INDEX(evol_conc!$H:$H,$Q722))&amp;"/"&amp;YEAR(INDEX(evol_conc!$H:$H,$Q722)))&amp;")",IF(INDEX(evol_conc!$G:$G,$Q722)&lt;&gt;$E722,"INGRESO DISTINTO EN evol_conc ("&amp;IF(INDEX(evol_conc!$G:$G,$Q722)="","vacía",DAY(INDEX(evol_conc!$G:$G,$Q722))&amp;"/"&amp;MONTH(INDEX(evol_conc!$G:$G,$Q722))&amp;"/"&amp;YEAR(INDEX(evol_conc!$G:$G,$Q722)))&amp;")","OK"))))))))</f>
        <v/>
      </c>
      <c r="Q722" t="str">
        <f ca="1">IF($N722="","",IFERROR(MATCH($N722,evol_conc!$P:$P,0),0))</f>
        <v/>
      </c>
    </row>
    <row r="723" spans="12:17" ht="18" hidden="1" customHeight="1" x14ac:dyDescent="0.25">
      <c r="L723" s="53" t="str">
        <f t="shared" si="22"/>
        <v/>
      </c>
      <c r="M723" s="19" t="str">
        <f t="shared" si="23"/>
        <v/>
      </c>
      <c r="N723" t="str">
        <f ca="1">IF(TRIM(SUBSTITUTE($B723,CHAR(160)," "))="","",IFERROR(IF(ISNUMBER(SEARCH("INC",$B723)),"INC",IF(ISNUMBER(SEARCH("OPI",$B723)),"OPI",IF(ISNUMBER(SEARCH("DP",$B723)),"DP","CONC")))&amp;" "&amp;TEXT(LOOKUP(9.99E+307,--MID(SUBSTITUTE($B723,CHAR(160)," "),SUMPRODUCT(MIN(FIND({0,1,2,3,4,5,6,7,8,9},SUBSTITUTE($B723,CHAR(160)," ")&amp;"0123456789"))),ROW(INDIRECT("1:6")))),"0"),"SIN NUMERO"))</f>
        <v/>
      </c>
      <c r="O723" t="str">
        <f ca="1">IF($N723="","",IF(LEFT(UPPER($P723),9)="VERIFICAR","VERIFICAR",IF(AND($H723&lt;&gt;"",COUNTIFS($N$2:$N$1000,$N723,$H$2:$H$1000,$H723)&gt;1),"DUPLICADA",IF(TRIM(IF($A723="","tipo ","")&amp;IF($F723="","fecha de firma ","")&amp;IF($G723="","decisión ","")&amp;IF($H723="","N° resolución ","")&amp;IF($I723="","N° dictamen",""))&lt;&gt;"","INCOMPLETA: "&amp;TRIM(IF($A723="","tipo ","")&amp;IF($F723="","fecha de firma ","")&amp;IF($G723="","decisión ","")&amp;IF($H723="","N° resolución ","")&amp;IF($I723="","N° dictamen","")),IF(LEFT($N723,4)&lt;&gt;"CONC","OK",IF(N($Q723)=0,IF(AND(ISNUMBER($E723),$E723&gt;=DATE(2024,1,1)),"FALTA EN evol_conc","OK"),IF(INDEX(evol_conc!$H:$H,$Q723)&lt;&gt;$F723,"FIRMA DISTINTA EN evol_conc ("&amp;IF(INDEX(evol_conc!$H:$H,$Q723)="","vacía",DAY(INDEX(evol_conc!$H:$H,$Q723))&amp;"/"&amp;MONTH(INDEX(evol_conc!$H:$H,$Q723))&amp;"/"&amp;YEAR(INDEX(evol_conc!$H:$H,$Q723)))&amp;")",IF(INDEX(evol_conc!$G:$G,$Q723)&lt;&gt;$E723,"INGRESO DISTINTO EN evol_conc ("&amp;IF(INDEX(evol_conc!$G:$G,$Q723)="","vacía",DAY(INDEX(evol_conc!$G:$G,$Q723))&amp;"/"&amp;MONTH(INDEX(evol_conc!$G:$G,$Q723))&amp;"/"&amp;YEAR(INDEX(evol_conc!$G:$G,$Q723)))&amp;")","OK"))))))))</f>
        <v/>
      </c>
      <c r="Q723" t="str">
        <f ca="1">IF($N723="","",IFERROR(MATCH($N723,evol_conc!$P:$P,0),0))</f>
        <v/>
      </c>
    </row>
    <row r="724" spans="12:17" ht="18" hidden="1" customHeight="1" x14ac:dyDescent="0.25">
      <c r="L724" s="53" t="str">
        <f t="shared" si="22"/>
        <v/>
      </c>
      <c r="M724" s="19" t="str">
        <f t="shared" si="23"/>
        <v/>
      </c>
      <c r="N724" t="str">
        <f ca="1">IF(TRIM(SUBSTITUTE($B724,CHAR(160)," "))="","",IFERROR(IF(ISNUMBER(SEARCH("INC",$B724)),"INC",IF(ISNUMBER(SEARCH("OPI",$B724)),"OPI",IF(ISNUMBER(SEARCH("DP",$B724)),"DP","CONC")))&amp;" "&amp;TEXT(LOOKUP(9.99E+307,--MID(SUBSTITUTE($B724,CHAR(160)," "),SUMPRODUCT(MIN(FIND({0,1,2,3,4,5,6,7,8,9},SUBSTITUTE($B724,CHAR(160)," ")&amp;"0123456789"))),ROW(INDIRECT("1:6")))),"0"),"SIN NUMERO"))</f>
        <v/>
      </c>
      <c r="O724" t="str">
        <f ca="1">IF($N724="","",IF(LEFT(UPPER($P724),9)="VERIFICAR","VERIFICAR",IF(AND($H724&lt;&gt;"",COUNTIFS($N$2:$N$1000,$N724,$H$2:$H$1000,$H724)&gt;1),"DUPLICADA",IF(TRIM(IF($A724="","tipo ","")&amp;IF($F724="","fecha de firma ","")&amp;IF($G724="","decisión ","")&amp;IF($H724="","N° resolución ","")&amp;IF($I724="","N° dictamen",""))&lt;&gt;"","INCOMPLETA: "&amp;TRIM(IF($A724="","tipo ","")&amp;IF($F724="","fecha de firma ","")&amp;IF($G724="","decisión ","")&amp;IF($H724="","N° resolución ","")&amp;IF($I724="","N° dictamen","")),IF(LEFT($N724,4)&lt;&gt;"CONC","OK",IF(N($Q724)=0,IF(AND(ISNUMBER($E724),$E724&gt;=DATE(2024,1,1)),"FALTA EN evol_conc","OK"),IF(INDEX(evol_conc!$H:$H,$Q724)&lt;&gt;$F724,"FIRMA DISTINTA EN evol_conc ("&amp;IF(INDEX(evol_conc!$H:$H,$Q724)="","vacía",DAY(INDEX(evol_conc!$H:$H,$Q724))&amp;"/"&amp;MONTH(INDEX(evol_conc!$H:$H,$Q724))&amp;"/"&amp;YEAR(INDEX(evol_conc!$H:$H,$Q724)))&amp;")",IF(INDEX(evol_conc!$G:$G,$Q724)&lt;&gt;$E724,"INGRESO DISTINTO EN evol_conc ("&amp;IF(INDEX(evol_conc!$G:$G,$Q724)="","vacía",DAY(INDEX(evol_conc!$G:$G,$Q724))&amp;"/"&amp;MONTH(INDEX(evol_conc!$G:$G,$Q724))&amp;"/"&amp;YEAR(INDEX(evol_conc!$G:$G,$Q724)))&amp;")","OK"))))))))</f>
        <v/>
      </c>
      <c r="Q724" t="str">
        <f ca="1">IF($N724="","",IFERROR(MATCH($N724,evol_conc!$P:$P,0),0))</f>
        <v/>
      </c>
    </row>
    <row r="725" spans="12:17" ht="18" hidden="1" customHeight="1" x14ac:dyDescent="0.25">
      <c r="L725" s="53" t="str">
        <f t="shared" si="22"/>
        <v/>
      </c>
      <c r="M725" s="19" t="str">
        <f t="shared" si="23"/>
        <v/>
      </c>
      <c r="N725" t="str">
        <f ca="1">IF(TRIM(SUBSTITUTE($B725,CHAR(160)," "))="","",IFERROR(IF(ISNUMBER(SEARCH("INC",$B725)),"INC",IF(ISNUMBER(SEARCH("OPI",$B725)),"OPI",IF(ISNUMBER(SEARCH("DP",$B725)),"DP","CONC")))&amp;" "&amp;TEXT(LOOKUP(9.99E+307,--MID(SUBSTITUTE($B725,CHAR(160)," "),SUMPRODUCT(MIN(FIND({0,1,2,3,4,5,6,7,8,9},SUBSTITUTE($B725,CHAR(160)," ")&amp;"0123456789"))),ROW(INDIRECT("1:6")))),"0"),"SIN NUMERO"))</f>
        <v/>
      </c>
      <c r="O725" t="str">
        <f ca="1">IF($N725="","",IF(LEFT(UPPER($P725),9)="VERIFICAR","VERIFICAR",IF(AND($H725&lt;&gt;"",COUNTIFS($N$2:$N$1000,$N725,$H$2:$H$1000,$H725)&gt;1),"DUPLICADA",IF(TRIM(IF($A725="","tipo ","")&amp;IF($F725="","fecha de firma ","")&amp;IF($G725="","decisión ","")&amp;IF($H725="","N° resolución ","")&amp;IF($I725="","N° dictamen",""))&lt;&gt;"","INCOMPLETA: "&amp;TRIM(IF($A725="","tipo ","")&amp;IF($F725="","fecha de firma ","")&amp;IF($G725="","decisión ","")&amp;IF($H725="","N° resolución ","")&amp;IF($I725="","N° dictamen","")),IF(LEFT($N725,4)&lt;&gt;"CONC","OK",IF(N($Q725)=0,IF(AND(ISNUMBER($E725),$E725&gt;=DATE(2024,1,1)),"FALTA EN evol_conc","OK"),IF(INDEX(evol_conc!$H:$H,$Q725)&lt;&gt;$F725,"FIRMA DISTINTA EN evol_conc ("&amp;IF(INDEX(evol_conc!$H:$H,$Q725)="","vacía",DAY(INDEX(evol_conc!$H:$H,$Q725))&amp;"/"&amp;MONTH(INDEX(evol_conc!$H:$H,$Q725))&amp;"/"&amp;YEAR(INDEX(evol_conc!$H:$H,$Q725)))&amp;")",IF(INDEX(evol_conc!$G:$G,$Q725)&lt;&gt;$E725,"INGRESO DISTINTO EN evol_conc ("&amp;IF(INDEX(evol_conc!$G:$G,$Q725)="","vacía",DAY(INDEX(evol_conc!$G:$G,$Q725))&amp;"/"&amp;MONTH(INDEX(evol_conc!$G:$G,$Q725))&amp;"/"&amp;YEAR(INDEX(evol_conc!$G:$G,$Q725)))&amp;")","OK"))))))))</f>
        <v/>
      </c>
      <c r="Q725" t="str">
        <f ca="1">IF($N725="","",IFERROR(MATCH($N725,evol_conc!$P:$P,0),0))</f>
        <v/>
      </c>
    </row>
    <row r="726" spans="12:17" ht="18" hidden="1" customHeight="1" x14ac:dyDescent="0.25">
      <c r="L726" s="53" t="str">
        <f t="shared" si="22"/>
        <v/>
      </c>
      <c r="M726" s="19" t="str">
        <f t="shared" si="23"/>
        <v/>
      </c>
      <c r="N726" t="str">
        <f ca="1">IF(TRIM(SUBSTITUTE($B726,CHAR(160)," "))="","",IFERROR(IF(ISNUMBER(SEARCH("INC",$B726)),"INC",IF(ISNUMBER(SEARCH("OPI",$B726)),"OPI",IF(ISNUMBER(SEARCH("DP",$B726)),"DP","CONC")))&amp;" "&amp;TEXT(LOOKUP(9.99E+307,--MID(SUBSTITUTE($B726,CHAR(160)," "),SUMPRODUCT(MIN(FIND({0,1,2,3,4,5,6,7,8,9},SUBSTITUTE($B726,CHAR(160)," ")&amp;"0123456789"))),ROW(INDIRECT("1:6")))),"0"),"SIN NUMERO"))</f>
        <v/>
      </c>
      <c r="O726" t="str">
        <f ca="1">IF($N726="","",IF(LEFT(UPPER($P726),9)="VERIFICAR","VERIFICAR",IF(AND($H726&lt;&gt;"",COUNTIFS($N$2:$N$1000,$N726,$H$2:$H$1000,$H726)&gt;1),"DUPLICADA",IF(TRIM(IF($A726="","tipo ","")&amp;IF($F726="","fecha de firma ","")&amp;IF($G726="","decisión ","")&amp;IF($H726="","N° resolución ","")&amp;IF($I726="","N° dictamen",""))&lt;&gt;"","INCOMPLETA: "&amp;TRIM(IF($A726="","tipo ","")&amp;IF($F726="","fecha de firma ","")&amp;IF($G726="","decisión ","")&amp;IF($H726="","N° resolución ","")&amp;IF($I726="","N° dictamen","")),IF(LEFT($N726,4)&lt;&gt;"CONC","OK",IF(N($Q726)=0,IF(AND(ISNUMBER($E726),$E726&gt;=DATE(2024,1,1)),"FALTA EN evol_conc","OK"),IF(INDEX(evol_conc!$H:$H,$Q726)&lt;&gt;$F726,"FIRMA DISTINTA EN evol_conc ("&amp;IF(INDEX(evol_conc!$H:$H,$Q726)="","vacía",DAY(INDEX(evol_conc!$H:$H,$Q726))&amp;"/"&amp;MONTH(INDEX(evol_conc!$H:$H,$Q726))&amp;"/"&amp;YEAR(INDEX(evol_conc!$H:$H,$Q726)))&amp;")",IF(INDEX(evol_conc!$G:$G,$Q726)&lt;&gt;$E726,"INGRESO DISTINTO EN evol_conc ("&amp;IF(INDEX(evol_conc!$G:$G,$Q726)="","vacía",DAY(INDEX(evol_conc!$G:$G,$Q726))&amp;"/"&amp;MONTH(INDEX(evol_conc!$G:$G,$Q726))&amp;"/"&amp;YEAR(INDEX(evol_conc!$G:$G,$Q726)))&amp;")","OK"))))))))</f>
        <v/>
      </c>
      <c r="Q726" t="str">
        <f ca="1">IF($N726="","",IFERROR(MATCH($N726,evol_conc!$P:$P,0),0))</f>
        <v/>
      </c>
    </row>
    <row r="727" spans="12:17" ht="18" hidden="1" customHeight="1" x14ac:dyDescent="0.25">
      <c r="L727" s="53" t="str">
        <f t="shared" si="22"/>
        <v/>
      </c>
      <c r="M727" s="19" t="str">
        <f t="shared" si="23"/>
        <v/>
      </c>
      <c r="N727" t="str">
        <f ca="1">IF(TRIM(SUBSTITUTE($B727,CHAR(160)," "))="","",IFERROR(IF(ISNUMBER(SEARCH("INC",$B727)),"INC",IF(ISNUMBER(SEARCH("OPI",$B727)),"OPI",IF(ISNUMBER(SEARCH("DP",$B727)),"DP","CONC")))&amp;" "&amp;TEXT(LOOKUP(9.99E+307,--MID(SUBSTITUTE($B727,CHAR(160)," "),SUMPRODUCT(MIN(FIND({0,1,2,3,4,5,6,7,8,9},SUBSTITUTE($B727,CHAR(160)," ")&amp;"0123456789"))),ROW(INDIRECT("1:6")))),"0"),"SIN NUMERO"))</f>
        <v/>
      </c>
      <c r="O727" t="str">
        <f ca="1">IF($N727="","",IF(LEFT(UPPER($P727),9)="VERIFICAR","VERIFICAR",IF(AND($H727&lt;&gt;"",COUNTIFS($N$2:$N$1000,$N727,$H$2:$H$1000,$H727)&gt;1),"DUPLICADA",IF(TRIM(IF($A727="","tipo ","")&amp;IF($F727="","fecha de firma ","")&amp;IF($G727="","decisión ","")&amp;IF($H727="","N° resolución ","")&amp;IF($I727="","N° dictamen",""))&lt;&gt;"","INCOMPLETA: "&amp;TRIM(IF($A727="","tipo ","")&amp;IF($F727="","fecha de firma ","")&amp;IF($G727="","decisión ","")&amp;IF($H727="","N° resolución ","")&amp;IF($I727="","N° dictamen","")),IF(LEFT($N727,4)&lt;&gt;"CONC","OK",IF(N($Q727)=0,IF(AND(ISNUMBER($E727),$E727&gt;=DATE(2024,1,1)),"FALTA EN evol_conc","OK"),IF(INDEX(evol_conc!$H:$H,$Q727)&lt;&gt;$F727,"FIRMA DISTINTA EN evol_conc ("&amp;IF(INDEX(evol_conc!$H:$H,$Q727)="","vacía",DAY(INDEX(evol_conc!$H:$H,$Q727))&amp;"/"&amp;MONTH(INDEX(evol_conc!$H:$H,$Q727))&amp;"/"&amp;YEAR(INDEX(evol_conc!$H:$H,$Q727)))&amp;")",IF(INDEX(evol_conc!$G:$G,$Q727)&lt;&gt;$E727,"INGRESO DISTINTO EN evol_conc ("&amp;IF(INDEX(evol_conc!$G:$G,$Q727)="","vacía",DAY(INDEX(evol_conc!$G:$G,$Q727))&amp;"/"&amp;MONTH(INDEX(evol_conc!$G:$G,$Q727))&amp;"/"&amp;YEAR(INDEX(evol_conc!$G:$G,$Q727)))&amp;")","OK"))))))))</f>
        <v/>
      </c>
      <c r="Q727" t="str">
        <f ca="1">IF($N727="","",IFERROR(MATCH($N727,evol_conc!$P:$P,0),0))</f>
        <v/>
      </c>
    </row>
    <row r="728" spans="12:17" ht="18" hidden="1" customHeight="1" x14ac:dyDescent="0.25">
      <c r="L728" s="53" t="str">
        <f t="shared" si="22"/>
        <v/>
      </c>
      <c r="M728" s="19" t="str">
        <f t="shared" si="23"/>
        <v/>
      </c>
      <c r="N728" t="str">
        <f ca="1">IF(TRIM(SUBSTITUTE($B728,CHAR(160)," "))="","",IFERROR(IF(ISNUMBER(SEARCH("INC",$B728)),"INC",IF(ISNUMBER(SEARCH("OPI",$B728)),"OPI",IF(ISNUMBER(SEARCH("DP",$B728)),"DP","CONC")))&amp;" "&amp;TEXT(LOOKUP(9.99E+307,--MID(SUBSTITUTE($B728,CHAR(160)," "),SUMPRODUCT(MIN(FIND({0,1,2,3,4,5,6,7,8,9},SUBSTITUTE($B728,CHAR(160)," ")&amp;"0123456789"))),ROW(INDIRECT("1:6")))),"0"),"SIN NUMERO"))</f>
        <v/>
      </c>
      <c r="O728" t="str">
        <f ca="1">IF($N728="","",IF(LEFT(UPPER($P728),9)="VERIFICAR","VERIFICAR",IF(AND($H728&lt;&gt;"",COUNTIFS($N$2:$N$1000,$N728,$H$2:$H$1000,$H728)&gt;1),"DUPLICADA",IF(TRIM(IF($A728="","tipo ","")&amp;IF($F728="","fecha de firma ","")&amp;IF($G728="","decisión ","")&amp;IF($H728="","N° resolución ","")&amp;IF($I728="","N° dictamen",""))&lt;&gt;"","INCOMPLETA: "&amp;TRIM(IF($A728="","tipo ","")&amp;IF($F728="","fecha de firma ","")&amp;IF($G728="","decisión ","")&amp;IF($H728="","N° resolución ","")&amp;IF($I728="","N° dictamen","")),IF(LEFT($N728,4)&lt;&gt;"CONC","OK",IF(N($Q728)=0,IF(AND(ISNUMBER($E728),$E728&gt;=DATE(2024,1,1)),"FALTA EN evol_conc","OK"),IF(INDEX(evol_conc!$H:$H,$Q728)&lt;&gt;$F728,"FIRMA DISTINTA EN evol_conc ("&amp;IF(INDEX(evol_conc!$H:$H,$Q728)="","vacía",DAY(INDEX(evol_conc!$H:$H,$Q728))&amp;"/"&amp;MONTH(INDEX(evol_conc!$H:$H,$Q728))&amp;"/"&amp;YEAR(INDEX(evol_conc!$H:$H,$Q728)))&amp;")",IF(INDEX(evol_conc!$G:$G,$Q728)&lt;&gt;$E728,"INGRESO DISTINTO EN evol_conc ("&amp;IF(INDEX(evol_conc!$G:$G,$Q728)="","vacía",DAY(INDEX(evol_conc!$G:$G,$Q728))&amp;"/"&amp;MONTH(INDEX(evol_conc!$G:$G,$Q728))&amp;"/"&amp;YEAR(INDEX(evol_conc!$G:$G,$Q728)))&amp;")","OK"))))))))</f>
        <v/>
      </c>
      <c r="Q728" t="str">
        <f ca="1">IF($N728="","",IFERROR(MATCH($N728,evol_conc!$P:$P,0),0))</f>
        <v/>
      </c>
    </row>
    <row r="729" spans="12:17" ht="18" hidden="1" customHeight="1" x14ac:dyDescent="0.25">
      <c r="L729" s="53" t="str">
        <f t="shared" si="22"/>
        <v/>
      </c>
      <c r="M729" s="19" t="str">
        <f t="shared" si="23"/>
        <v/>
      </c>
      <c r="N729" t="str">
        <f ca="1">IF(TRIM(SUBSTITUTE($B729,CHAR(160)," "))="","",IFERROR(IF(ISNUMBER(SEARCH("INC",$B729)),"INC",IF(ISNUMBER(SEARCH("OPI",$B729)),"OPI",IF(ISNUMBER(SEARCH("DP",$B729)),"DP","CONC")))&amp;" "&amp;TEXT(LOOKUP(9.99E+307,--MID(SUBSTITUTE($B729,CHAR(160)," "),SUMPRODUCT(MIN(FIND({0,1,2,3,4,5,6,7,8,9},SUBSTITUTE($B729,CHAR(160)," ")&amp;"0123456789"))),ROW(INDIRECT("1:6")))),"0"),"SIN NUMERO"))</f>
        <v/>
      </c>
      <c r="O729" t="str">
        <f ca="1">IF($N729="","",IF(LEFT(UPPER($P729),9)="VERIFICAR","VERIFICAR",IF(AND($H729&lt;&gt;"",COUNTIFS($N$2:$N$1000,$N729,$H$2:$H$1000,$H729)&gt;1),"DUPLICADA",IF(TRIM(IF($A729="","tipo ","")&amp;IF($F729="","fecha de firma ","")&amp;IF($G729="","decisión ","")&amp;IF($H729="","N° resolución ","")&amp;IF($I729="","N° dictamen",""))&lt;&gt;"","INCOMPLETA: "&amp;TRIM(IF($A729="","tipo ","")&amp;IF($F729="","fecha de firma ","")&amp;IF($G729="","decisión ","")&amp;IF($H729="","N° resolución ","")&amp;IF($I729="","N° dictamen","")),IF(LEFT($N729,4)&lt;&gt;"CONC","OK",IF(N($Q729)=0,IF(AND(ISNUMBER($E729),$E729&gt;=DATE(2024,1,1)),"FALTA EN evol_conc","OK"),IF(INDEX(evol_conc!$H:$H,$Q729)&lt;&gt;$F729,"FIRMA DISTINTA EN evol_conc ("&amp;IF(INDEX(evol_conc!$H:$H,$Q729)="","vacía",DAY(INDEX(evol_conc!$H:$H,$Q729))&amp;"/"&amp;MONTH(INDEX(evol_conc!$H:$H,$Q729))&amp;"/"&amp;YEAR(INDEX(evol_conc!$H:$H,$Q729)))&amp;")",IF(INDEX(evol_conc!$G:$G,$Q729)&lt;&gt;$E729,"INGRESO DISTINTO EN evol_conc ("&amp;IF(INDEX(evol_conc!$G:$G,$Q729)="","vacía",DAY(INDEX(evol_conc!$G:$G,$Q729))&amp;"/"&amp;MONTH(INDEX(evol_conc!$G:$G,$Q729))&amp;"/"&amp;YEAR(INDEX(evol_conc!$G:$G,$Q729)))&amp;")","OK"))))))))</f>
        <v/>
      </c>
      <c r="Q729" t="str">
        <f ca="1">IF($N729="","",IFERROR(MATCH($N729,evol_conc!$P:$P,0),0))</f>
        <v/>
      </c>
    </row>
    <row r="730" spans="12:17" ht="18" hidden="1" customHeight="1" x14ac:dyDescent="0.25">
      <c r="L730" s="53" t="str">
        <f t="shared" si="22"/>
        <v/>
      </c>
      <c r="M730" s="19" t="str">
        <f t="shared" si="23"/>
        <v/>
      </c>
      <c r="N730" t="str">
        <f ca="1">IF(TRIM(SUBSTITUTE($B730,CHAR(160)," "))="","",IFERROR(IF(ISNUMBER(SEARCH("INC",$B730)),"INC",IF(ISNUMBER(SEARCH("OPI",$B730)),"OPI",IF(ISNUMBER(SEARCH("DP",$B730)),"DP","CONC")))&amp;" "&amp;TEXT(LOOKUP(9.99E+307,--MID(SUBSTITUTE($B730,CHAR(160)," "),SUMPRODUCT(MIN(FIND({0,1,2,3,4,5,6,7,8,9},SUBSTITUTE($B730,CHAR(160)," ")&amp;"0123456789"))),ROW(INDIRECT("1:6")))),"0"),"SIN NUMERO"))</f>
        <v/>
      </c>
      <c r="O730" t="str">
        <f ca="1">IF($N730="","",IF(LEFT(UPPER($P730),9)="VERIFICAR","VERIFICAR",IF(AND($H730&lt;&gt;"",COUNTIFS($N$2:$N$1000,$N730,$H$2:$H$1000,$H730)&gt;1),"DUPLICADA",IF(TRIM(IF($A730="","tipo ","")&amp;IF($F730="","fecha de firma ","")&amp;IF($G730="","decisión ","")&amp;IF($H730="","N° resolución ","")&amp;IF($I730="","N° dictamen",""))&lt;&gt;"","INCOMPLETA: "&amp;TRIM(IF($A730="","tipo ","")&amp;IF($F730="","fecha de firma ","")&amp;IF($G730="","decisión ","")&amp;IF($H730="","N° resolución ","")&amp;IF($I730="","N° dictamen","")),IF(LEFT($N730,4)&lt;&gt;"CONC","OK",IF(N($Q730)=0,IF(AND(ISNUMBER($E730),$E730&gt;=DATE(2024,1,1)),"FALTA EN evol_conc","OK"),IF(INDEX(evol_conc!$H:$H,$Q730)&lt;&gt;$F730,"FIRMA DISTINTA EN evol_conc ("&amp;IF(INDEX(evol_conc!$H:$H,$Q730)="","vacía",DAY(INDEX(evol_conc!$H:$H,$Q730))&amp;"/"&amp;MONTH(INDEX(evol_conc!$H:$H,$Q730))&amp;"/"&amp;YEAR(INDEX(evol_conc!$H:$H,$Q730)))&amp;")",IF(INDEX(evol_conc!$G:$G,$Q730)&lt;&gt;$E730,"INGRESO DISTINTO EN evol_conc ("&amp;IF(INDEX(evol_conc!$G:$G,$Q730)="","vacía",DAY(INDEX(evol_conc!$G:$G,$Q730))&amp;"/"&amp;MONTH(INDEX(evol_conc!$G:$G,$Q730))&amp;"/"&amp;YEAR(INDEX(evol_conc!$G:$G,$Q730)))&amp;")","OK"))))))))</f>
        <v/>
      </c>
      <c r="Q730" t="str">
        <f ca="1">IF($N730="","",IFERROR(MATCH($N730,evol_conc!$P:$P,0),0))</f>
        <v/>
      </c>
    </row>
    <row r="731" spans="12:17" ht="18" hidden="1" customHeight="1" x14ac:dyDescent="0.25">
      <c r="L731" s="53" t="str">
        <f t="shared" si="22"/>
        <v/>
      </c>
      <c r="M731" s="19" t="str">
        <f t="shared" si="23"/>
        <v/>
      </c>
      <c r="N731" t="str">
        <f ca="1">IF(TRIM(SUBSTITUTE($B731,CHAR(160)," "))="","",IFERROR(IF(ISNUMBER(SEARCH("INC",$B731)),"INC",IF(ISNUMBER(SEARCH("OPI",$B731)),"OPI",IF(ISNUMBER(SEARCH("DP",$B731)),"DP","CONC")))&amp;" "&amp;TEXT(LOOKUP(9.99E+307,--MID(SUBSTITUTE($B731,CHAR(160)," "),SUMPRODUCT(MIN(FIND({0,1,2,3,4,5,6,7,8,9},SUBSTITUTE($B731,CHAR(160)," ")&amp;"0123456789"))),ROW(INDIRECT("1:6")))),"0"),"SIN NUMERO"))</f>
        <v/>
      </c>
      <c r="O731" t="str">
        <f ca="1">IF($N731="","",IF(LEFT(UPPER($P731),9)="VERIFICAR","VERIFICAR",IF(AND($H731&lt;&gt;"",COUNTIFS($N$2:$N$1000,$N731,$H$2:$H$1000,$H731)&gt;1),"DUPLICADA",IF(TRIM(IF($A731="","tipo ","")&amp;IF($F731="","fecha de firma ","")&amp;IF($G731="","decisión ","")&amp;IF($H731="","N° resolución ","")&amp;IF($I731="","N° dictamen",""))&lt;&gt;"","INCOMPLETA: "&amp;TRIM(IF($A731="","tipo ","")&amp;IF($F731="","fecha de firma ","")&amp;IF($G731="","decisión ","")&amp;IF($H731="","N° resolución ","")&amp;IF($I731="","N° dictamen","")),IF(LEFT($N731,4)&lt;&gt;"CONC","OK",IF(N($Q731)=0,IF(AND(ISNUMBER($E731),$E731&gt;=DATE(2024,1,1)),"FALTA EN evol_conc","OK"),IF(INDEX(evol_conc!$H:$H,$Q731)&lt;&gt;$F731,"FIRMA DISTINTA EN evol_conc ("&amp;IF(INDEX(evol_conc!$H:$H,$Q731)="","vacía",DAY(INDEX(evol_conc!$H:$H,$Q731))&amp;"/"&amp;MONTH(INDEX(evol_conc!$H:$H,$Q731))&amp;"/"&amp;YEAR(INDEX(evol_conc!$H:$H,$Q731)))&amp;")",IF(INDEX(evol_conc!$G:$G,$Q731)&lt;&gt;$E731,"INGRESO DISTINTO EN evol_conc ("&amp;IF(INDEX(evol_conc!$G:$G,$Q731)="","vacía",DAY(INDEX(evol_conc!$G:$G,$Q731))&amp;"/"&amp;MONTH(INDEX(evol_conc!$G:$G,$Q731))&amp;"/"&amp;YEAR(INDEX(evol_conc!$G:$G,$Q731)))&amp;")","OK"))))))))</f>
        <v/>
      </c>
      <c r="Q731" t="str">
        <f ca="1">IF($N731="","",IFERROR(MATCH($N731,evol_conc!$P:$P,0),0))</f>
        <v/>
      </c>
    </row>
    <row r="732" spans="12:17" ht="18" hidden="1" customHeight="1" x14ac:dyDescent="0.25">
      <c r="L732" s="53" t="str">
        <f t="shared" si="22"/>
        <v/>
      </c>
      <c r="M732" s="19" t="str">
        <f t="shared" si="23"/>
        <v/>
      </c>
      <c r="N732" t="str">
        <f ca="1">IF(TRIM(SUBSTITUTE($B732,CHAR(160)," "))="","",IFERROR(IF(ISNUMBER(SEARCH("INC",$B732)),"INC",IF(ISNUMBER(SEARCH("OPI",$B732)),"OPI",IF(ISNUMBER(SEARCH("DP",$B732)),"DP","CONC")))&amp;" "&amp;TEXT(LOOKUP(9.99E+307,--MID(SUBSTITUTE($B732,CHAR(160)," "),SUMPRODUCT(MIN(FIND({0,1,2,3,4,5,6,7,8,9},SUBSTITUTE($B732,CHAR(160)," ")&amp;"0123456789"))),ROW(INDIRECT("1:6")))),"0"),"SIN NUMERO"))</f>
        <v/>
      </c>
      <c r="O732" t="str">
        <f ca="1">IF($N732="","",IF(LEFT(UPPER($P732),9)="VERIFICAR","VERIFICAR",IF(AND($H732&lt;&gt;"",COUNTIFS($N$2:$N$1000,$N732,$H$2:$H$1000,$H732)&gt;1),"DUPLICADA",IF(TRIM(IF($A732="","tipo ","")&amp;IF($F732="","fecha de firma ","")&amp;IF($G732="","decisión ","")&amp;IF($H732="","N° resolución ","")&amp;IF($I732="","N° dictamen",""))&lt;&gt;"","INCOMPLETA: "&amp;TRIM(IF($A732="","tipo ","")&amp;IF($F732="","fecha de firma ","")&amp;IF($G732="","decisión ","")&amp;IF($H732="","N° resolución ","")&amp;IF($I732="","N° dictamen","")),IF(LEFT($N732,4)&lt;&gt;"CONC","OK",IF(N($Q732)=0,IF(AND(ISNUMBER($E732),$E732&gt;=DATE(2024,1,1)),"FALTA EN evol_conc","OK"),IF(INDEX(evol_conc!$H:$H,$Q732)&lt;&gt;$F732,"FIRMA DISTINTA EN evol_conc ("&amp;IF(INDEX(evol_conc!$H:$H,$Q732)="","vacía",DAY(INDEX(evol_conc!$H:$H,$Q732))&amp;"/"&amp;MONTH(INDEX(evol_conc!$H:$H,$Q732))&amp;"/"&amp;YEAR(INDEX(evol_conc!$H:$H,$Q732)))&amp;")",IF(INDEX(evol_conc!$G:$G,$Q732)&lt;&gt;$E732,"INGRESO DISTINTO EN evol_conc ("&amp;IF(INDEX(evol_conc!$G:$G,$Q732)="","vacía",DAY(INDEX(evol_conc!$G:$G,$Q732))&amp;"/"&amp;MONTH(INDEX(evol_conc!$G:$G,$Q732))&amp;"/"&amp;YEAR(INDEX(evol_conc!$G:$G,$Q732)))&amp;")","OK"))))))))</f>
        <v/>
      </c>
      <c r="Q732" t="str">
        <f ca="1">IF($N732="","",IFERROR(MATCH($N732,evol_conc!$P:$P,0),0))</f>
        <v/>
      </c>
    </row>
    <row r="733" spans="12:17" ht="18" hidden="1" customHeight="1" x14ac:dyDescent="0.25">
      <c r="L733" s="53" t="str">
        <f t="shared" si="22"/>
        <v/>
      </c>
      <c r="M733" s="19" t="str">
        <f t="shared" si="23"/>
        <v/>
      </c>
      <c r="N733" t="str">
        <f ca="1">IF(TRIM(SUBSTITUTE($B733,CHAR(160)," "))="","",IFERROR(IF(ISNUMBER(SEARCH("INC",$B733)),"INC",IF(ISNUMBER(SEARCH("OPI",$B733)),"OPI",IF(ISNUMBER(SEARCH("DP",$B733)),"DP","CONC")))&amp;" "&amp;TEXT(LOOKUP(9.99E+307,--MID(SUBSTITUTE($B733,CHAR(160)," "),SUMPRODUCT(MIN(FIND({0,1,2,3,4,5,6,7,8,9},SUBSTITUTE($B733,CHAR(160)," ")&amp;"0123456789"))),ROW(INDIRECT("1:6")))),"0"),"SIN NUMERO"))</f>
        <v/>
      </c>
      <c r="O733" t="str">
        <f ca="1">IF($N733="","",IF(LEFT(UPPER($P733),9)="VERIFICAR","VERIFICAR",IF(AND($H733&lt;&gt;"",COUNTIFS($N$2:$N$1000,$N733,$H$2:$H$1000,$H733)&gt;1),"DUPLICADA",IF(TRIM(IF($A733="","tipo ","")&amp;IF($F733="","fecha de firma ","")&amp;IF($G733="","decisión ","")&amp;IF($H733="","N° resolución ","")&amp;IF($I733="","N° dictamen",""))&lt;&gt;"","INCOMPLETA: "&amp;TRIM(IF($A733="","tipo ","")&amp;IF($F733="","fecha de firma ","")&amp;IF($G733="","decisión ","")&amp;IF($H733="","N° resolución ","")&amp;IF($I733="","N° dictamen","")),IF(LEFT($N733,4)&lt;&gt;"CONC","OK",IF(N($Q733)=0,IF(AND(ISNUMBER($E733),$E733&gt;=DATE(2024,1,1)),"FALTA EN evol_conc","OK"),IF(INDEX(evol_conc!$H:$H,$Q733)&lt;&gt;$F733,"FIRMA DISTINTA EN evol_conc ("&amp;IF(INDEX(evol_conc!$H:$H,$Q733)="","vacía",DAY(INDEX(evol_conc!$H:$H,$Q733))&amp;"/"&amp;MONTH(INDEX(evol_conc!$H:$H,$Q733))&amp;"/"&amp;YEAR(INDEX(evol_conc!$H:$H,$Q733)))&amp;")",IF(INDEX(evol_conc!$G:$G,$Q733)&lt;&gt;$E733,"INGRESO DISTINTO EN evol_conc ("&amp;IF(INDEX(evol_conc!$G:$G,$Q733)="","vacía",DAY(INDEX(evol_conc!$G:$G,$Q733))&amp;"/"&amp;MONTH(INDEX(evol_conc!$G:$G,$Q733))&amp;"/"&amp;YEAR(INDEX(evol_conc!$G:$G,$Q733)))&amp;")","OK"))))))))</f>
        <v/>
      </c>
      <c r="Q733" t="str">
        <f ca="1">IF($N733="","",IFERROR(MATCH($N733,evol_conc!$P:$P,0),0))</f>
        <v/>
      </c>
    </row>
    <row r="734" spans="12:17" ht="18" hidden="1" customHeight="1" x14ac:dyDescent="0.25">
      <c r="L734" s="53" t="str">
        <f t="shared" si="22"/>
        <v/>
      </c>
      <c r="M734" s="19" t="str">
        <f t="shared" si="23"/>
        <v/>
      </c>
      <c r="N734" t="str">
        <f ca="1">IF(TRIM(SUBSTITUTE($B734,CHAR(160)," "))="","",IFERROR(IF(ISNUMBER(SEARCH("INC",$B734)),"INC",IF(ISNUMBER(SEARCH("OPI",$B734)),"OPI",IF(ISNUMBER(SEARCH("DP",$B734)),"DP","CONC")))&amp;" "&amp;TEXT(LOOKUP(9.99E+307,--MID(SUBSTITUTE($B734,CHAR(160)," "),SUMPRODUCT(MIN(FIND({0,1,2,3,4,5,6,7,8,9},SUBSTITUTE($B734,CHAR(160)," ")&amp;"0123456789"))),ROW(INDIRECT("1:6")))),"0"),"SIN NUMERO"))</f>
        <v/>
      </c>
      <c r="O734" t="str">
        <f ca="1">IF($N734="","",IF(LEFT(UPPER($P734),9)="VERIFICAR","VERIFICAR",IF(AND($H734&lt;&gt;"",COUNTIFS($N$2:$N$1000,$N734,$H$2:$H$1000,$H734)&gt;1),"DUPLICADA",IF(TRIM(IF($A734="","tipo ","")&amp;IF($F734="","fecha de firma ","")&amp;IF($G734="","decisión ","")&amp;IF($H734="","N° resolución ","")&amp;IF($I734="","N° dictamen",""))&lt;&gt;"","INCOMPLETA: "&amp;TRIM(IF($A734="","tipo ","")&amp;IF($F734="","fecha de firma ","")&amp;IF($G734="","decisión ","")&amp;IF($H734="","N° resolución ","")&amp;IF($I734="","N° dictamen","")),IF(LEFT($N734,4)&lt;&gt;"CONC","OK",IF(N($Q734)=0,IF(AND(ISNUMBER($E734),$E734&gt;=DATE(2024,1,1)),"FALTA EN evol_conc","OK"),IF(INDEX(evol_conc!$H:$H,$Q734)&lt;&gt;$F734,"FIRMA DISTINTA EN evol_conc ("&amp;IF(INDEX(evol_conc!$H:$H,$Q734)="","vacía",DAY(INDEX(evol_conc!$H:$H,$Q734))&amp;"/"&amp;MONTH(INDEX(evol_conc!$H:$H,$Q734))&amp;"/"&amp;YEAR(INDEX(evol_conc!$H:$H,$Q734)))&amp;")",IF(INDEX(evol_conc!$G:$G,$Q734)&lt;&gt;$E734,"INGRESO DISTINTO EN evol_conc ("&amp;IF(INDEX(evol_conc!$G:$G,$Q734)="","vacía",DAY(INDEX(evol_conc!$G:$G,$Q734))&amp;"/"&amp;MONTH(INDEX(evol_conc!$G:$G,$Q734))&amp;"/"&amp;YEAR(INDEX(evol_conc!$G:$G,$Q734)))&amp;")","OK"))))))))</f>
        <v/>
      </c>
      <c r="Q734" t="str">
        <f ca="1">IF($N734="","",IFERROR(MATCH($N734,evol_conc!$P:$P,0),0))</f>
        <v/>
      </c>
    </row>
    <row r="735" spans="12:17" ht="18" hidden="1" customHeight="1" x14ac:dyDescent="0.25">
      <c r="L735" s="53" t="str">
        <f t="shared" si="22"/>
        <v/>
      </c>
      <c r="M735" s="19" t="str">
        <f t="shared" si="23"/>
        <v/>
      </c>
      <c r="N735" t="str">
        <f ca="1">IF(TRIM(SUBSTITUTE($B735,CHAR(160)," "))="","",IFERROR(IF(ISNUMBER(SEARCH("INC",$B735)),"INC",IF(ISNUMBER(SEARCH("OPI",$B735)),"OPI",IF(ISNUMBER(SEARCH("DP",$B735)),"DP","CONC")))&amp;" "&amp;TEXT(LOOKUP(9.99E+307,--MID(SUBSTITUTE($B735,CHAR(160)," "),SUMPRODUCT(MIN(FIND({0,1,2,3,4,5,6,7,8,9},SUBSTITUTE($B735,CHAR(160)," ")&amp;"0123456789"))),ROW(INDIRECT("1:6")))),"0"),"SIN NUMERO"))</f>
        <v/>
      </c>
      <c r="O735" t="str">
        <f ca="1">IF($N735="","",IF(LEFT(UPPER($P735),9)="VERIFICAR","VERIFICAR",IF(AND($H735&lt;&gt;"",COUNTIFS($N$2:$N$1000,$N735,$H$2:$H$1000,$H735)&gt;1),"DUPLICADA",IF(TRIM(IF($A735="","tipo ","")&amp;IF($F735="","fecha de firma ","")&amp;IF($G735="","decisión ","")&amp;IF($H735="","N° resolución ","")&amp;IF($I735="","N° dictamen",""))&lt;&gt;"","INCOMPLETA: "&amp;TRIM(IF($A735="","tipo ","")&amp;IF($F735="","fecha de firma ","")&amp;IF($G735="","decisión ","")&amp;IF($H735="","N° resolución ","")&amp;IF($I735="","N° dictamen","")),IF(LEFT($N735,4)&lt;&gt;"CONC","OK",IF(N($Q735)=0,IF(AND(ISNUMBER($E735),$E735&gt;=DATE(2024,1,1)),"FALTA EN evol_conc","OK"),IF(INDEX(evol_conc!$H:$H,$Q735)&lt;&gt;$F735,"FIRMA DISTINTA EN evol_conc ("&amp;IF(INDEX(evol_conc!$H:$H,$Q735)="","vacía",DAY(INDEX(evol_conc!$H:$H,$Q735))&amp;"/"&amp;MONTH(INDEX(evol_conc!$H:$H,$Q735))&amp;"/"&amp;YEAR(INDEX(evol_conc!$H:$H,$Q735)))&amp;")",IF(INDEX(evol_conc!$G:$G,$Q735)&lt;&gt;$E735,"INGRESO DISTINTO EN evol_conc ("&amp;IF(INDEX(evol_conc!$G:$G,$Q735)="","vacía",DAY(INDEX(evol_conc!$G:$G,$Q735))&amp;"/"&amp;MONTH(INDEX(evol_conc!$G:$G,$Q735))&amp;"/"&amp;YEAR(INDEX(evol_conc!$G:$G,$Q735)))&amp;")","OK"))))))))</f>
        <v/>
      </c>
      <c r="Q735" t="str">
        <f ca="1">IF($N735="","",IFERROR(MATCH($N735,evol_conc!$P:$P,0),0))</f>
        <v/>
      </c>
    </row>
    <row r="736" spans="12:17" ht="18" hidden="1" customHeight="1" x14ac:dyDescent="0.25">
      <c r="L736" s="53" t="str">
        <f t="shared" si="22"/>
        <v/>
      </c>
      <c r="M736" s="19" t="str">
        <f t="shared" si="23"/>
        <v/>
      </c>
      <c r="N736" t="str">
        <f ca="1">IF(TRIM(SUBSTITUTE($B736,CHAR(160)," "))="","",IFERROR(IF(ISNUMBER(SEARCH("INC",$B736)),"INC",IF(ISNUMBER(SEARCH("OPI",$B736)),"OPI",IF(ISNUMBER(SEARCH("DP",$B736)),"DP","CONC")))&amp;" "&amp;TEXT(LOOKUP(9.99E+307,--MID(SUBSTITUTE($B736,CHAR(160)," "),SUMPRODUCT(MIN(FIND({0,1,2,3,4,5,6,7,8,9},SUBSTITUTE($B736,CHAR(160)," ")&amp;"0123456789"))),ROW(INDIRECT("1:6")))),"0"),"SIN NUMERO"))</f>
        <v/>
      </c>
      <c r="O736" t="str">
        <f ca="1">IF($N736="","",IF(LEFT(UPPER($P736),9)="VERIFICAR","VERIFICAR",IF(AND($H736&lt;&gt;"",COUNTIFS($N$2:$N$1000,$N736,$H$2:$H$1000,$H736)&gt;1),"DUPLICADA",IF(TRIM(IF($A736="","tipo ","")&amp;IF($F736="","fecha de firma ","")&amp;IF($G736="","decisión ","")&amp;IF($H736="","N° resolución ","")&amp;IF($I736="","N° dictamen",""))&lt;&gt;"","INCOMPLETA: "&amp;TRIM(IF($A736="","tipo ","")&amp;IF($F736="","fecha de firma ","")&amp;IF($G736="","decisión ","")&amp;IF($H736="","N° resolución ","")&amp;IF($I736="","N° dictamen","")),IF(LEFT($N736,4)&lt;&gt;"CONC","OK",IF(N($Q736)=0,IF(AND(ISNUMBER($E736),$E736&gt;=DATE(2024,1,1)),"FALTA EN evol_conc","OK"),IF(INDEX(evol_conc!$H:$H,$Q736)&lt;&gt;$F736,"FIRMA DISTINTA EN evol_conc ("&amp;IF(INDEX(evol_conc!$H:$H,$Q736)="","vacía",DAY(INDEX(evol_conc!$H:$H,$Q736))&amp;"/"&amp;MONTH(INDEX(evol_conc!$H:$H,$Q736))&amp;"/"&amp;YEAR(INDEX(evol_conc!$H:$H,$Q736)))&amp;")",IF(INDEX(evol_conc!$G:$G,$Q736)&lt;&gt;$E736,"INGRESO DISTINTO EN evol_conc ("&amp;IF(INDEX(evol_conc!$G:$G,$Q736)="","vacía",DAY(INDEX(evol_conc!$G:$G,$Q736))&amp;"/"&amp;MONTH(INDEX(evol_conc!$G:$G,$Q736))&amp;"/"&amp;YEAR(INDEX(evol_conc!$G:$G,$Q736)))&amp;")","OK"))))))))</f>
        <v/>
      </c>
      <c r="Q736" t="str">
        <f ca="1">IF($N736="","",IFERROR(MATCH($N736,evol_conc!$P:$P,0),0))</f>
        <v/>
      </c>
    </row>
    <row r="737" spans="12:17" ht="18" hidden="1" customHeight="1" x14ac:dyDescent="0.25">
      <c r="L737" s="53" t="str">
        <f t="shared" si="22"/>
        <v/>
      </c>
      <c r="M737" s="19" t="str">
        <f t="shared" si="23"/>
        <v/>
      </c>
      <c r="N737" t="str">
        <f ca="1">IF(TRIM(SUBSTITUTE($B737,CHAR(160)," "))="","",IFERROR(IF(ISNUMBER(SEARCH("INC",$B737)),"INC",IF(ISNUMBER(SEARCH("OPI",$B737)),"OPI",IF(ISNUMBER(SEARCH("DP",$B737)),"DP","CONC")))&amp;" "&amp;TEXT(LOOKUP(9.99E+307,--MID(SUBSTITUTE($B737,CHAR(160)," "),SUMPRODUCT(MIN(FIND({0,1,2,3,4,5,6,7,8,9},SUBSTITUTE($B737,CHAR(160)," ")&amp;"0123456789"))),ROW(INDIRECT("1:6")))),"0"),"SIN NUMERO"))</f>
        <v/>
      </c>
      <c r="O737" t="str">
        <f ca="1">IF($N737="","",IF(LEFT(UPPER($P737),9)="VERIFICAR","VERIFICAR",IF(AND($H737&lt;&gt;"",COUNTIFS($N$2:$N$1000,$N737,$H$2:$H$1000,$H737)&gt;1),"DUPLICADA",IF(TRIM(IF($A737="","tipo ","")&amp;IF($F737="","fecha de firma ","")&amp;IF($G737="","decisión ","")&amp;IF($H737="","N° resolución ","")&amp;IF($I737="","N° dictamen",""))&lt;&gt;"","INCOMPLETA: "&amp;TRIM(IF($A737="","tipo ","")&amp;IF($F737="","fecha de firma ","")&amp;IF($G737="","decisión ","")&amp;IF($H737="","N° resolución ","")&amp;IF($I737="","N° dictamen","")),IF(LEFT($N737,4)&lt;&gt;"CONC","OK",IF(N($Q737)=0,IF(AND(ISNUMBER($E737),$E737&gt;=DATE(2024,1,1)),"FALTA EN evol_conc","OK"),IF(INDEX(evol_conc!$H:$H,$Q737)&lt;&gt;$F737,"FIRMA DISTINTA EN evol_conc ("&amp;IF(INDEX(evol_conc!$H:$H,$Q737)="","vacía",DAY(INDEX(evol_conc!$H:$H,$Q737))&amp;"/"&amp;MONTH(INDEX(evol_conc!$H:$H,$Q737))&amp;"/"&amp;YEAR(INDEX(evol_conc!$H:$H,$Q737)))&amp;")",IF(INDEX(evol_conc!$G:$G,$Q737)&lt;&gt;$E737,"INGRESO DISTINTO EN evol_conc ("&amp;IF(INDEX(evol_conc!$G:$G,$Q737)="","vacía",DAY(INDEX(evol_conc!$G:$G,$Q737))&amp;"/"&amp;MONTH(INDEX(evol_conc!$G:$G,$Q737))&amp;"/"&amp;YEAR(INDEX(evol_conc!$G:$G,$Q737)))&amp;")","OK"))))))))</f>
        <v/>
      </c>
      <c r="Q737" t="str">
        <f ca="1">IF($N737="","",IFERROR(MATCH($N737,evol_conc!$P:$P,0),0))</f>
        <v/>
      </c>
    </row>
    <row r="738" spans="12:17" ht="18" hidden="1" customHeight="1" x14ac:dyDescent="0.25">
      <c r="L738" s="53" t="str">
        <f t="shared" si="22"/>
        <v/>
      </c>
      <c r="M738" s="19" t="str">
        <f t="shared" si="23"/>
        <v/>
      </c>
      <c r="N738" t="str">
        <f ca="1">IF(TRIM(SUBSTITUTE($B738,CHAR(160)," "))="","",IFERROR(IF(ISNUMBER(SEARCH("INC",$B738)),"INC",IF(ISNUMBER(SEARCH("OPI",$B738)),"OPI",IF(ISNUMBER(SEARCH("DP",$B738)),"DP","CONC")))&amp;" "&amp;TEXT(LOOKUP(9.99E+307,--MID(SUBSTITUTE($B738,CHAR(160)," "),SUMPRODUCT(MIN(FIND({0,1,2,3,4,5,6,7,8,9},SUBSTITUTE($B738,CHAR(160)," ")&amp;"0123456789"))),ROW(INDIRECT("1:6")))),"0"),"SIN NUMERO"))</f>
        <v/>
      </c>
      <c r="O738" t="str">
        <f ca="1">IF($N738="","",IF(LEFT(UPPER($P738),9)="VERIFICAR","VERIFICAR",IF(AND($H738&lt;&gt;"",COUNTIFS($N$2:$N$1000,$N738,$H$2:$H$1000,$H738)&gt;1),"DUPLICADA",IF(TRIM(IF($A738="","tipo ","")&amp;IF($F738="","fecha de firma ","")&amp;IF($G738="","decisión ","")&amp;IF($H738="","N° resolución ","")&amp;IF($I738="","N° dictamen",""))&lt;&gt;"","INCOMPLETA: "&amp;TRIM(IF($A738="","tipo ","")&amp;IF($F738="","fecha de firma ","")&amp;IF($G738="","decisión ","")&amp;IF($H738="","N° resolución ","")&amp;IF($I738="","N° dictamen","")),IF(LEFT($N738,4)&lt;&gt;"CONC","OK",IF(N($Q738)=0,IF(AND(ISNUMBER($E738),$E738&gt;=DATE(2024,1,1)),"FALTA EN evol_conc","OK"),IF(INDEX(evol_conc!$H:$H,$Q738)&lt;&gt;$F738,"FIRMA DISTINTA EN evol_conc ("&amp;IF(INDEX(evol_conc!$H:$H,$Q738)="","vacía",DAY(INDEX(evol_conc!$H:$H,$Q738))&amp;"/"&amp;MONTH(INDEX(evol_conc!$H:$H,$Q738))&amp;"/"&amp;YEAR(INDEX(evol_conc!$H:$H,$Q738)))&amp;")",IF(INDEX(evol_conc!$G:$G,$Q738)&lt;&gt;$E738,"INGRESO DISTINTO EN evol_conc ("&amp;IF(INDEX(evol_conc!$G:$G,$Q738)="","vacía",DAY(INDEX(evol_conc!$G:$G,$Q738))&amp;"/"&amp;MONTH(INDEX(evol_conc!$G:$G,$Q738))&amp;"/"&amp;YEAR(INDEX(evol_conc!$G:$G,$Q738)))&amp;")","OK"))))))))</f>
        <v/>
      </c>
      <c r="Q738" t="str">
        <f ca="1">IF($N738="","",IFERROR(MATCH($N738,evol_conc!$P:$P,0),0))</f>
        <v/>
      </c>
    </row>
    <row r="739" spans="12:17" ht="18" hidden="1" customHeight="1" x14ac:dyDescent="0.25">
      <c r="L739" s="53" t="str">
        <f t="shared" si="22"/>
        <v/>
      </c>
      <c r="M739" s="19" t="str">
        <f t="shared" si="23"/>
        <v/>
      </c>
      <c r="N739" t="str">
        <f ca="1">IF(TRIM(SUBSTITUTE($B739,CHAR(160)," "))="","",IFERROR(IF(ISNUMBER(SEARCH("INC",$B739)),"INC",IF(ISNUMBER(SEARCH("OPI",$B739)),"OPI",IF(ISNUMBER(SEARCH("DP",$B739)),"DP","CONC")))&amp;" "&amp;TEXT(LOOKUP(9.99E+307,--MID(SUBSTITUTE($B739,CHAR(160)," "),SUMPRODUCT(MIN(FIND({0,1,2,3,4,5,6,7,8,9},SUBSTITUTE($B739,CHAR(160)," ")&amp;"0123456789"))),ROW(INDIRECT("1:6")))),"0"),"SIN NUMERO"))</f>
        <v/>
      </c>
      <c r="O739" t="str">
        <f ca="1">IF($N739="","",IF(LEFT(UPPER($P739),9)="VERIFICAR","VERIFICAR",IF(AND($H739&lt;&gt;"",COUNTIFS($N$2:$N$1000,$N739,$H$2:$H$1000,$H739)&gt;1),"DUPLICADA",IF(TRIM(IF($A739="","tipo ","")&amp;IF($F739="","fecha de firma ","")&amp;IF($G739="","decisión ","")&amp;IF($H739="","N° resolución ","")&amp;IF($I739="","N° dictamen",""))&lt;&gt;"","INCOMPLETA: "&amp;TRIM(IF($A739="","tipo ","")&amp;IF($F739="","fecha de firma ","")&amp;IF($G739="","decisión ","")&amp;IF($H739="","N° resolución ","")&amp;IF($I739="","N° dictamen","")),IF(LEFT($N739,4)&lt;&gt;"CONC","OK",IF(N($Q739)=0,IF(AND(ISNUMBER($E739),$E739&gt;=DATE(2024,1,1)),"FALTA EN evol_conc","OK"),IF(INDEX(evol_conc!$H:$H,$Q739)&lt;&gt;$F739,"FIRMA DISTINTA EN evol_conc ("&amp;IF(INDEX(evol_conc!$H:$H,$Q739)="","vacía",DAY(INDEX(evol_conc!$H:$H,$Q739))&amp;"/"&amp;MONTH(INDEX(evol_conc!$H:$H,$Q739))&amp;"/"&amp;YEAR(INDEX(evol_conc!$H:$H,$Q739)))&amp;")",IF(INDEX(evol_conc!$G:$G,$Q739)&lt;&gt;$E739,"INGRESO DISTINTO EN evol_conc ("&amp;IF(INDEX(evol_conc!$G:$G,$Q739)="","vacía",DAY(INDEX(evol_conc!$G:$G,$Q739))&amp;"/"&amp;MONTH(INDEX(evol_conc!$G:$G,$Q739))&amp;"/"&amp;YEAR(INDEX(evol_conc!$G:$G,$Q739)))&amp;")","OK"))))))))</f>
        <v/>
      </c>
      <c r="Q739" t="str">
        <f ca="1">IF($N739="","",IFERROR(MATCH($N739,evol_conc!$P:$P,0),0))</f>
        <v/>
      </c>
    </row>
    <row r="740" spans="12:17" ht="18" hidden="1" customHeight="1" x14ac:dyDescent="0.25">
      <c r="L740" s="53" t="str">
        <f t="shared" si="22"/>
        <v/>
      </c>
      <c r="M740" s="19" t="str">
        <f t="shared" si="23"/>
        <v/>
      </c>
      <c r="N740" t="str">
        <f ca="1">IF(TRIM(SUBSTITUTE($B740,CHAR(160)," "))="","",IFERROR(IF(ISNUMBER(SEARCH("INC",$B740)),"INC",IF(ISNUMBER(SEARCH("OPI",$B740)),"OPI",IF(ISNUMBER(SEARCH("DP",$B740)),"DP","CONC")))&amp;" "&amp;TEXT(LOOKUP(9.99E+307,--MID(SUBSTITUTE($B740,CHAR(160)," "),SUMPRODUCT(MIN(FIND({0,1,2,3,4,5,6,7,8,9},SUBSTITUTE($B740,CHAR(160)," ")&amp;"0123456789"))),ROW(INDIRECT("1:6")))),"0"),"SIN NUMERO"))</f>
        <v/>
      </c>
      <c r="O740" t="str">
        <f ca="1">IF($N740="","",IF(LEFT(UPPER($P740),9)="VERIFICAR","VERIFICAR",IF(AND($H740&lt;&gt;"",COUNTIFS($N$2:$N$1000,$N740,$H$2:$H$1000,$H740)&gt;1),"DUPLICADA",IF(TRIM(IF($A740="","tipo ","")&amp;IF($F740="","fecha de firma ","")&amp;IF($G740="","decisión ","")&amp;IF($H740="","N° resolución ","")&amp;IF($I740="","N° dictamen",""))&lt;&gt;"","INCOMPLETA: "&amp;TRIM(IF($A740="","tipo ","")&amp;IF($F740="","fecha de firma ","")&amp;IF($G740="","decisión ","")&amp;IF($H740="","N° resolución ","")&amp;IF($I740="","N° dictamen","")),IF(LEFT($N740,4)&lt;&gt;"CONC","OK",IF(N($Q740)=0,IF(AND(ISNUMBER($E740),$E740&gt;=DATE(2024,1,1)),"FALTA EN evol_conc","OK"),IF(INDEX(evol_conc!$H:$H,$Q740)&lt;&gt;$F740,"FIRMA DISTINTA EN evol_conc ("&amp;IF(INDEX(evol_conc!$H:$H,$Q740)="","vacía",DAY(INDEX(evol_conc!$H:$H,$Q740))&amp;"/"&amp;MONTH(INDEX(evol_conc!$H:$H,$Q740))&amp;"/"&amp;YEAR(INDEX(evol_conc!$H:$H,$Q740)))&amp;")",IF(INDEX(evol_conc!$G:$G,$Q740)&lt;&gt;$E740,"INGRESO DISTINTO EN evol_conc ("&amp;IF(INDEX(evol_conc!$G:$G,$Q740)="","vacía",DAY(INDEX(evol_conc!$G:$G,$Q740))&amp;"/"&amp;MONTH(INDEX(evol_conc!$G:$G,$Q740))&amp;"/"&amp;YEAR(INDEX(evol_conc!$G:$G,$Q740)))&amp;")","OK"))))))))</f>
        <v/>
      </c>
      <c r="Q740" t="str">
        <f ca="1">IF($N740="","",IFERROR(MATCH($N740,evol_conc!$P:$P,0),0))</f>
        <v/>
      </c>
    </row>
    <row r="741" spans="12:17" ht="18" hidden="1" customHeight="1" x14ac:dyDescent="0.25">
      <c r="L741" s="53" t="str">
        <f t="shared" si="22"/>
        <v/>
      </c>
      <c r="M741" s="19" t="str">
        <f t="shared" si="23"/>
        <v/>
      </c>
      <c r="N741" t="str">
        <f ca="1">IF(TRIM(SUBSTITUTE($B741,CHAR(160)," "))="","",IFERROR(IF(ISNUMBER(SEARCH("INC",$B741)),"INC",IF(ISNUMBER(SEARCH("OPI",$B741)),"OPI",IF(ISNUMBER(SEARCH("DP",$B741)),"DP","CONC")))&amp;" "&amp;TEXT(LOOKUP(9.99E+307,--MID(SUBSTITUTE($B741,CHAR(160)," "),SUMPRODUCT(MIN(FIND({0,1,2,3,4,5,6,7,8,9},SUBSTITUTE($B741,CHAR(160)," ")&amp;"0123456789"))),ROW(INDIRECT("1:6")))),"0"),"SIN NUMERO"))</f>
        <v/>
      </c>
      <c r="O741" t="str">
        <f ca="1">IF($N741="","",IF(LEFT(UPPER($P741),9)="VERIFICAR","VERIFICAR",IF(AND($H741&lt;&gt;"",COUNTIFS($N$2:$N$1000,$N741,$H$2:$H$1000,$H741)&gt;1),"DUPLICADA",IF(TRIM(IF($A741="","tipo ","")&amp;IF($F741="","fecha de firma ","")&amp;IF($G741="","decisión ","")&amp;IF($H741="","N° resolución ","")&amp;IF($I741="","N° dictamen",""))&lt;&gt;"","INCOMPLETA: "&amp;TRIM(IF($A741="","tipo ","")&amp;IF($F741="","fecha de firma ","")&amp;IF($G741="","decisión ","")&amp;IF($H741="","N° resolución ","")&amp;IF($I741="","N° dictamen","")),IF(LEFT($N741,4)&lt;&gt;"CONC","OK",IF(N($Q741)=0,IF(AND(ISNUMBER($E741),$E741&gt;=DATE(2024,1,1)),"FALTA EN evol_conc","OK"),IF(INDEX(evol_conc!$H:$H,$Q741)&lt;&gt;$F741,"FIRMA DISTINTA EN evol_conc ("&amp;IF(INDEX(evol_conc!$H:$H,$Q741)="","vacía",DAY(INDEX(evol_conc!$H:$H,$Q741))&amp;"/"&amp;MONTH(INDEX(evol_conc!$H:$H,$Q741))&amp;"/"&amp;YEAR(INDEX(evol_conc!$H:$H,$Q741)))&amp;")",IF(INDEX(evol_conc!$G:$G,$Q741)&lt;&gt;$E741,"INGRESO DISTINTO EN evol_conc ("&amp;IF(INDEX(evol_conc!$G:$G,$Q741)="","vacía",DAY(INDEX(evol_conc!$G:$G,$Q741))&amp;"/"&amp;MONTH(INDEX(evol_conc!$G:$G,$Q741))&amp;"/"&amp;YEAR(INDEX(evol_conc!$G:$G,$Q741)))&amp;")","OK"))))))))</f>
        <v/>
      </c>
      <c r="Q741" t="str">
        <f ca="1">IF($N741="","",IFERROR(MATCH($N741,evol_conc!$P:$P,0),0))</f>
        <v/>
      </c>
    </row>
    <row r="742" spans="12:17" ht="18" hidden="1" customHeight="1" x14ac:dyDescent="0.25">
      <c r="L742" s="53" t="str">
        <f t="shared" si="22"/>
        <v/>
      </c>
      <c r="M742" s="19" t="str">
        <f t="shared" si="23"/>
        <v/>
      </c>
      <c r="N742" t="str">
        <f ca="1">IF(TRIM(SUBSTITUTE($B742,CHAR(160)," "))="","",IFERROR(IF(ISNUMBER(SEARCH("INC",$B742)),"INC",IF(ISNUMBER(SEARCH("OPI",$B742)),"OPI",IF(ISNUMBER(SEARCH("DP",$B742)),"DP","CONC")))&amp;" "&amp;TEXT(LOOKUP(9.99E+307,--MID(SUBSTITUTE($B742,CHAR(160)," "),SUMPRODUCT(MIN(FIND({0,1,2,3,4,5,6,7,8,9},SUBSTITUTE($B742,CHAR(160)," ")&amp;"0123456789"))),ROW(INDIRECT("1:6")))),"0"),"SIN NUMERO"))</f>
        <v/>
      </c>
      <c r="O742" t="str">
        <f ca="1">IF($N742="","",IF(LEFT(UPPER($P742),9)="VERIFICAR","VERIFICAR",IF(AND($H742&lt;&gt;"",COUNTIFS($N$2:$N$1000,$N742,$H$2:$H$1000,$H742)&gt;1),"DUPLICADA",IF(TRIM(IF($A742="","tipo ","")&amp;IF($F742="","fecha de firma ","")&amp;IF($G742="","decisión ","")&amp;IF($H742="","N° resolución ","")&amp;IF($I742="","N° dictamen",""))&lt;&gt;"","INCOMPLETA: "&amp;TRIM(IF($A742="","tipo ","")&amp;IF($F742="","fecha de firma ","")&amp;IF($G742="","decisión ","")&amp;IF($H742="","N° resolución ","")&amp;IF($I742="","N° dictamen","")),IF(LEFT($N742,4)&lt;&gt;"CONC","OK",IF(N($Q742)=0,IF(AND(ISNUMBER($E742),$E742&gt;=DATE(2024,1,1)),"FALTA EN evol_conc","OK"),IF(INDEX(evol_conc!$H:$H,$Q742)&lt;&gt;$F742,"FIRMA DISTINTA EN evol_conc ("&amp;IF(INDEX(evol_conc!$H:$H,$Q742)="","vacía",DAY(INDEX(evol_conc!$H:$H,$Q742))&amp;"/"&amp;MONTH(INDEX(evol_conc!$H:$H,$Q742))&amp;"/"&amp;YEAR(INDEX(evol_conc!$H:$H,$Q742)))&amp;")",IF(INDEX(evol_conc!$G:$G,$Q742)&lt;&gt;$E742,"INGRESO DISTINTO EN evol_conc ("&amp;IF(INDEX(evol_conc!$G:$G,$Q742)="","vacía",DAY(INDEX(evol_conc!$G:$G,$Q742))&amp;"/"&amp;MONTH(INDEX(evol_conc!$G:$G,$Q742))&amp;"/"&amp;YEAR(INDEX(evol_conc!$G:$G,$Q742)))&amp;")","OK"))))))))</f>
        <v/>
      </c>
      <c r="Q742" t="str">
        <f ca="1">IF($N742="","",IFERROR(MATCH($N742,evol_conc!$P:$P,0),0))</f>
        <v/>
      </c>
    </row>
    <row r="743" spans="12:17" ht="18" hidden="1" customHeight="1" x14ac:dyDescent="0.25">
      <c r="L743" s="53" t="str">
        <f t="shared" si="22"/>
        <v/>
      </c>
      <c r="M743" s="19" t="str">
        <f t="shared" si="23"/>
        <v/>
      </c>
      <c r="N743" t="str">
        <f ca="1">IF(TRIM(SUBSTITUTE($B743,CHAR(160)," "))="","",IFERROR(IF(ISNUMBER(SEARCH("INC",$B743)),"INC",IF(ISNUMBER(SEARCH("OPI",$B743)),"OPI",IF(ISNUMBER(SEARCH("DP",$B743)),"DP","CONC")))&amp;" "&amp;TEXT(LOOKUP(9.99E+307,--MID(SUBSTITUTE($B743,CHAR(160)," "),SUMPRODUCT(MIN(FIND({0,1,2,3,4,5,6,7,8,9},SUBSTITUTE($B743,CHAR(160)," ")&amp;"0123456789"))),ROW(INDIRECT("1:6")))),"0"),"SIN NUMERO"))</f>
        <v/>
      </c>
      <c r="O743" t="str">
        <f ca="1">IF($N743="","",IF(LEFT(UPPER($P743),9)="VERIFICAR","VERIFICAR",IF(AND($H743&lt;&gt;"",COUNTIFS($N$2:$N$1000,$N743,$H$2:$H$1000,$H743)&gt;1),"DUPLICADA",IF(TRIM(IF($A743="","tipo ","")&amp;IF($F743="","fecha de firma ","")&amp;IF($G743="","decisión ","")&amp;IF($H743="","N° resolución ","")&amp;IF($I743="","N° dictamen",""))&lt;&gt;"","INCOMPLETA: "&amp;TRIM(IF($A743="","tipo ","")&amp;IF($F743="","fecha de firma ","")&amp;IF($G743="","decisión ","")&amp;IF($H743="","N° resolución ","")&amp;IF($I743="","N° dictamen","")),IF(LEFT($N743,4)&lt;&gt;"CONC","OK",IF(N($Q743)=0,IF(AND(ISNUMBER($E743),$E743&gt;=DATE(2024,1,1)),"FALTA EN evol_conc","OK"),IF(INDEX(evol_conc!$H:$H,$Q743)&lt;&gt;$F743,"FIRMA DISTINTA EN evol_conc ("&amp;IF(INDEX(evol_conc!$H:$H,$Q743)="","vacía",DAY(INDEX(evol_conc!$H:$H,$Q743))&amp;"/"&amp;MONTH(INDEX(evol_conc!$H:$H,$Q743))&amp;"/"&amp;YEAR(INDEX(evol_conc!$H:$H,$Q743)))&amp;")",IF(INDEX(evol_conc!$G:$G,$Q743)&lt;&gt;$E743,"INGRESO DISTINTO EN evol_conc ("&amp;IF(INDEX(evol_conc!$G:$G,$Q743)="","vacía",DAY(INDEX(evol_conc!$G:$G,$Q743))&amp;"/"&amp;MONTH(INDEX(evol_conc!$G:$G,$Q743))&amp;"/"&amp;YEAR(INDEX(evol_conc!$G:$G,$Q743)))&amp;")","OK"))))))))</f>
        <v/>
      </c>
      <c r="Q743" t="str">
        <f ca="1">IF($N743="","",IFERROR(MATCH($N743,evol_conc!$P:$P,0),0))</f>
        <v/>
      </c>
    </row>
    <row r="744" spans="12:17" ht="18" hidden="1" customHeight="1" x14ac:dyDescent="0.25">
      <c r="L744" s="53" t="str">
        <f t="shared" si="22"/>
        <v/>
      </c>
      <c r="M744" s="19" t="str">
        <f t="shared" si="23"/>
        <v/>
      </c>
      <c r="N744" t="str">
        <f ca="1">IF(TRIM(SUBSTITUTE($B744,CHAR(160)," "))="","",IFERROR(IF(ISNUMBER(SEARCH("INC",$B744)),"INC",IF(ISNUMBER(SEARCH("OPI",$B744)),"OPI",IF(ISNUMBER(SEARCH("DP",$B744)),"DP","CONC")))&amp;" "&amp;TEXT(LOOKUP(9.99E+307,--MID(SUBSTITUTE($B744,CHAR(160)," "),SUMPRODUCT(MIN(FIND({0,1,2,3,4,5,6,7,8,9},SUBSTITUTE($B744,CHAR(160)," ")&amp;"0123456789"))),ROW(INDIRECT("1:6")))),"0"),"SIN NUMERO"))</f>
        <v/>
      </c>
      <c r="O744" t="str">
        <f ca="1">IF($N744="","",IF(LEFT(UPPER($P744),9)="VERIFICAR","VERIFICAR",IF(AND($H744&lt;&gt;"",COUNTIFS($N$2:$N$1000,$N744,$H$2:$H$1000,$H744)&gt;1),"DUPLICADA",IF(TRIM(IF($A744="","tipo ","")&amp;IF($F744="","fecha de firma ","")&amp;IF($G744="","decisión ","")&amp;IF($H744="","N° resolución ","")&amp;IF($I744="","N° dictamen",""))&lt;&gt;"","INCOMPLETA: "&amp;TRIM(IF($A744="","tipo ","")&amp;IF($F744="","fecha de firma ","")&amp;IF($G744="","decisión ","")&amp;IF($H744="","N° resolución ","")&amp;IF($I744="","N° dictamen","")),IF(LEFT($N744,4)&lt;&gt;"CONC","OK",IF(N($Q744)=0,IF(AND(ISNUMBER($E744),$E744&gt;=DATE(2024,1,1)),"FALTA EN evol_conc","OK"),IF(INDEX(evol_conc!$H:$H,$Q744)&lt;&gt;$F744,"FIRMA DISTINTA EN evol_conc ("&amp;IF(INDEX(evol_conc!$H:$H,$Q744)="","vacía",DAY(INDEX(evol_conc!$H:$H,$Q744))&amp;"/"&amp;MONTH(INDEX(evol_conc!$H:$H,$Q744))&amp;"/"&amp;YEAR(INDEX(evol_conc!$H:$H,$Q744)))&amp;")",IF(INDEX(evol_conc!$G:$G,$Q744)&lt;&gt;$E744,"INGRESO DISTINTO EN evol_conc ("&amp;IF(INDEX(evol_conc!$G:$G,$Q744)="","vacía",DAY(INDEX(evol_conc!$G:$G,$Q744))&amp;"/"&amp;MONTH(INDEX(evol_conc!$G:$G,$Q744))&amp;"/"&amp;YEAR(INDEX(evol_conc!$G:$G,$Q744)))&amp;")","OK"))))))))</f>
        <v/>
      </c>
      <c r="Q744" t="str">
        <f ca="1">IF($N744="","",IFERROR(MATCH($N744,evol_conc!$P:$P,0),0))</f>
        <v/>
      </c>
    </row>
    <row r="745" spans="12:17" ht="18" hidden="1" customHeight="1" x14ac:dyDescent="0.25">
      <c r="L745" s="53" t="str">
        <f t="shared" si="22"/>
        <v/>
      </c>
      <c r="M745" s="19" t="str">
        <f t="shared" si="23"/>
        <v/>
      </c>
      <c r="N745" t="str">
        <f ca="1">IF(TRIM(SUBSTITUTE($B745,CHAR(160)," "))="","",IFERROR(IF(ISNUMBER(SEARCH("INC",$B745)),"INC",IF(ISNUMBER(SEARCH("OPI",$B745)),"OPI",IF(ISNUMBER(SEARCH("DP",$B745)),"DP","CONC")))&amp;" "&amp;TEXT(LOOKUP(9.99E+307,--MID(SUBSTITUTE($B745,CHAR(160)," "),SUMPRODUCT(MIN(FIND({0,1,2,3,4,5,6,7,8,9},SUBSTITUTE($B745,CHAR(160)," ")&amp;"0123456789"))),ROW(INDIRECT("1:6")))),"0"),"SIN NUMERO"))</f>
        <v/>
      </c>
      <c r="O745" t="str">
        <f ca="1">IF($N745="","",IF(LEFT(UPPER($P745),9)="VERIFICAR","VERIFICAR",IF(AND($H745&lt;&gt;"",COUNTIFS($N$2:$N$1000,$N745,$H$2:$H$1000,$H745)&gt;1),"DUPLICADA",IF(TRIM(IF($A745="","tipo ","")&amp;IF($F745="","fecha de firma ","")&amp;IF($G745="","decisión ","")&amp;IF($H745="","N° resolución ","")&amp;IF($I745="","N° dictamen",""))&lt;&gt;"","INCOMPLETA: "&amp;TRIM(IF($A745="","tipo ","")&amp;IF($F745="","fecha de firma ","")&amp;IF($G745="","decisión ","")&amp;IF($H745="","N° resolución ","")&amp;IF($I745="","N° dictamen","")),IF(LEFT($N745,4)&lt;&gt;"CONC","OK",IF(N($Q745)=0,IF(AND(ISNUMBER($E745),$E745&gt;=DATE(2024,1,1)),"FALTA EN evol_conc","OK"),IF(INDEX(evol_conc!$H:$H,$Q745)&lt;&gt;$F745,"FIRMA DISTINTA EN evol_conc ("&amp;IF(INDEX(evol_conc!$H:$H,$Q745)="","vacía",DAY(INDEX(evol_conc!$H:$H,$Q745))&amp;"/"&amp;MONTH(INDEX(evol_conc!$H:$H,$Q745))&amp;"/"&amp;YEAR(INDEX(evol_conc!$H:$H,$Q745)))&amp;")",IF(INDEX(evol_conc!$G:$G,$Q745)&lt;&gt;$E745,"INGRESO DISTINTO EN evol_conc ("&amp;IF(INDEX(evol_conc!$G:$G,$Q745)="","vacía",DAY(INDEX(evol_conc!$G:$G,$Q745))&amp;"/"&amp;MONTH(INDEX(evol_conc!$G:$G,$Q745))&amp;"/"&amp;YEAR(INDEX(evol_conc!$G:$G,$Q745)))&amp;")","OK"))))))))</f>
        <v/>
      </c>
      <c r="Q745" t="str">
        <f ca="1">IF($N745="","",IFERROR(MATCH($N745,evol_conc!$P:$P,0),0))</f>
        <v/>
      </c>
    </row>
    <row r="746" spans="12:17" ht="18" hidden="1" customHeight="1" x14ac:dyDescent="0.25">
      <c r="L746" s="53" t="str">
        <f t="shared" si="22"/>
        <v/>
      </c>
      <c r="M746" s="19" t="str">
        <f t="shared" si="23"/>
        <v/>
      </c>
      <c r="N746" t="str">
        <f ca="1">IF(TRIM(SUBSTITUTE($B746,CHAR(160)," "))="","",IFERROR(IF(ISNUMBER(SEARCH("INC",$B746)),"INC",IF(ISNUMBER(SEARCH("OPI",$B746)),"OPI",IF(ISNUMBER(SEARCH("DP",$B746)),"DP","CONC")))&amp;" "&amp;TEXT(LOOKUP(9.99E+307,--MID(SUBSTITUTE($B746,CHAR(160)," "),SUMPRODUCT(MIN(FIND({0,1,2,3,4,5,6,7,8,9},SUBSTITUTE($B746,CHAR(160)," ")&amp;"0123456789"))),ROW(INDIRECT("1:6")))),"0"),"SIN NUMERO"))</f>
        <v/>
      </c>
      <c r="O746" t="str">
        <f ca="1">IF($N746="","",IF(LEFT(UPPER($P746),9)="VERIFICAR","VERIFICAR",IF(AND($H746&lt;&gt;"",COUNTIFS($N$2:$N$1000,$N746,$H$2:$H$1000,$H746)&gt;1),"DUPLICADA",IF(TRIM(IF($A746="","tipo ","")&amp;IF($F746="","fecha de firma ","")&amp;IF($G746="","decisión ","")&amp;IF($H746="","N° resolución ","")&amp;IF($I746="","N° dictamen",""))&lt;&gt;"","INCOMPLETA: "&amp;TRIM(IF($A746="","tipo ","")&amp;IF($F746="","fecha de firma ","")&amp;IF($G746="","decisión ","")&amp;IF($H746="","N° resolución ","")&amp;IF($I746="","N° dictamen","")),IF(LEFT($N746,4)&lt;&gt;"CONC","OK",IF(N($Q746)=0,IF(AND(ISNUMBER($E746),$E746&gt;=DATE(2024,1,1)),"FALTA EN evol_conc","OK"),IF(INDEX(evol_conc!$H:$H,$Q746)&lt;&gt;$F746,"FIRMA DISTINTA EN evol_conc ("&amp;IF(INDEX(evol_conc!$H:$H,$Q746)="","vacía",DAY(INDEX(evol_conc!$H:$H,$Q746))&amp;"/"&amp;MONTH(INDEX(evol_conc!$H:$H,$Q746))&amp;"/"&amp;YEAR(INDEX(evol_conc!$H:$H,$Q746)))&amp;")",IF(INDEX(evol_conc!$G:$G,$Q746)&lt;&gt;$E746,"INGRESO DISTINTO EN evol_conc ("&amp;IF(INDEX(evol_conc!$G:$G,$Q746)="","vacía",DAY(INDEX(evol_conc!$G:$G,$Q746))&amp;"/"&amp;MONTH(INDEX(evol_conc!$G:$G,$Q746))&amp;"/"&amp;YEAR(INDEX(evol_conc!$G:$G,$Q746)))&amp;")","OK"))))))))</f>
        <v/>
      </c>
      <c r="Q746" t="str">
        <f ca="1">IF($N746="","",IFERROR(MATCH($N746,evol_conc!$P:$P,0),0))</f>
        <v/>
      </c>
    </row>
    <row r="747" spans="12:17" ht="18" hidden="1" customHeight="1" x14ac:dyDescent="0.25">
      <c r="L747" s="53" t="str">
        <f t="shared" si="22"/>
        <v/>
      </c>
      <c r="M747" s="19" t="str">
        <f t="shared" si="23"/>
        <v/>
      </c>
      <c r="N747" t="str">
        <f ca="1">IF(TRIM(SUBSTITUTE($B747,CHAR(160)," "))="","",IFERROR(IF(ISNUMBER(SEARCH("INC",$B747)),"INC",IF(ISNUMBER(SEARCH("OPI",$B747)),"OPI",IF(ISNUMBER(SEARCH("DP",$B747)),"DP","CONC")))&amp;" "&amp;TEXT(LOOKUP(9.99E+307,--MID(SUBSTITUTE($B747,CHAR(160)," "),SUMPRODUCT(MIN(FIND({0,1,2,3,4,5,6,7,8,9},SUBSTITUTE($B747,CHAR(160)," ")&amp;"0123456789"))),ROW(INDIRECT("1:6")))),"0"),"SIN NUMERO"))</f>
        <v/>
      </c>
      <c r="O747" t="str">
        <f ca="1">IF($N747="","",IF(LEFT(UPPER($P747),9)="VERIFICAR","VERIFICAR",IF(AND($H747&lt;&gt;"",COUNTIFS($N$2:$N$1000,$N747,$H$2:$H$1000,$H747)&gt;1),"DUPLICADA",IF(TRIM(IF($A747="","tipo ","")&amp;IF($F747="","fecha de firma ","")&amp;IF($G747="","decisión ","")&amp;IF($H747="","N° resolución ","")&amp;IF($I747="","N° dictamen",""))&lt;&gt;"","INCOMPLETA: "&amp;TRIM(IF($A747="","tipo ","")&amp;IF($F747="","fecha de firma ","")&amp;IF($G747="","decisión ","")&amp;IF($H747="","N° resolución ","")&amp;IF($I747="","N° dictamen","")),IF(LEFT($N747,4)&lt;&gt;"CONC","OK",IF(N($Q747)=0,IF(AND(ISNUMBER($E747),$E747&gt;=DATE(2024,1,1)),"FALTA EN evol_conc","OK"),IF(INDEX(evol_conc!$H:$H,$Q747)&lt;&gt;$F747,"FIRMA DISTINTA EN evol_conc ("&amp;IF(INDEX(evol_conc!$H:$H,$Q747)="","vacía",DAY(INDEX(evol_conc!$H:$H,$Q747))&amp;"/"&amp;MONTH(INDEX(evol_conc!$H:$H,$Q747))&amp;"/"&amp;YEAR(INDEX(evol_conc!$H:$H,$Q747)))&amp;")",IF(INDEX(evol_conc!$G:$G,$Q747)&lt;&gt;$E747,"INGRESO DISTINTO EN evol_conc ("&amp;IF(INDEX(evol_conc!$G:$G,$Q747)="","vacía",DAY(INDEX(evol_conc!$G:$G,$Q747))&amp;"/"&amp;MONTH(INDEX(evol_conc!$G:$G,$Q747))&amp;"/"&amp;YEAR(INDEX(evol_conc!$G:$G,$Q747)))&amp;")","OK"))))))))</f>
        <v/>
      </c>
      <c r="Q747" t="str">
        <f ca="1">IF($N747="","",IFERROR(MATCH($N747,evol_conc!$P:$P,0),0))</f>
        <v/>
      </c>
    </row>
    <row r="748" spans="12:17" ht="18" hidden="1" customHeight="1" x14ac:dyDescent="0.25">
      <c r="L748" s="53" t="str">
        <f t="shared" si="22"/>
        <v/>
      </c>
      <c r="M748" s="19" t="str">
        <f t="shared" si="23"/>
        <v/>
      </c>
      <c r="N748" t="str">
        <f ca="1">IF(TRIM(SUBSTITUTE($B748,CHAR(160)," "))="","",IFERROR(IF(ISNUMBER(SEARCH("INC",$B748)),"INC",IF(ISNUMBER(SEARCH("OPI",$B748)),"OPI",IF(ISNUMBER(SEARCH("DP",$B748)),"DP","CONC")))&amp;" "&amp;TEXT(LOOKUP(9.99E+307,--MID(SUBSTITUTE($B748,CHAR(160)," "),SUMPRODUCT(MIN(FIND({0,1,2,3,4,5,6,7,8,9},SUBSTITUTE($B748,CHAR(160)," ")&amp;"0123456789"))),ROW(INDIRECT("1:6")))),"0"),"SIN NUMERO"))</f>
        <v/>
      </c>
      <c r="O748" t="str">
        <f ca="1">IF($N748="","",IF(LEFT(UPPER($P748),9)="VERIFICAR","VERIFICAR",IF(AND($H748&lt;&gt;"",COUNTIFS($N$2:$N$1000,$N748,$H$2:$H$1000,$H748)&gt;1),"DUPLICADA",IF(TRIM(IF($A748="","tipo ","")&amp;IF($F748="","fecha de firma ","")&amp;IF($G748="","decisión ","")&amp;IF($H748="","N° resolución ","")&amp;IF($I748="","N° dictamen",""))&lt;&gt;"","INCOMPLETA: "&amp;TRIM(IF($A748="","tipo ","")&amp;IF($F748="","fecha de firma ","")&amp;IF($G748="","decisión ","")&amp;IF($H748="","N° resolución ","")&amp;IF($I748="","N° dictamen","")),IF(LEFT($N748,4)&lt;&gt;"CONC","OK",IF(N($Q748)=0,IF(AND(ISNUMBER($E748),$E748&gt;=DATE(2024,1,1)),"FALTA EN evol_conc","OK"),IF(INDEX(evol_conc!$H:$H,$Q748)&lt;&gt;$F748,"FIRMA DISTINTA EN evol_conc ("&amp;IF(INDEX(evol_conc!$H:$H,$Q748)="","vacía",DAY(INDEX(evol_conc!$H:$H,$Q748))&amp;"/"&amp;MONTH(INDEX(evol_conc!$H:$H,$Q748))&amp;"/"&amp;YEAR(INDEX(evol_conc!$H:$H,$Q748)))&amp;")",IF(INDEX(evol_conc!$G:$G,$Q748)&lt;&gt;$E748,"INGRESO DISTINTO EN evol_conc ("&amp;IF(INDEX(evol_conc!$G:$G,$Q748)="","vacía",DAY(INDEX(evol_conc!$G:$G,$Q748))&amp;"/"&amp;MONTH(INDEX(evol_conc!$G:$G,$Q748))&amp;"/"&amp;YEAR(INDEX(evol_conc!$G:$G,$Q748)))&amp;")","OK"))))))))</f>
        <v/>
      </c>
      <c r="Q748" t="str">
        <f ca="1">IF($N748="","",IFERROR(MATCH($N748,evol_conc!$P:$P,0),0))</f>
        <v/>
      </c>
    </row>
    <row r="749" spans="12:17" ht="18" hidden="1" customHeight="1" x14ac:dyDescent="0.25">
      <c r="L749" s="53" t="str">
        <f t="shared" si="22"/>
        <v/>
      </c>
      <c r="M749" s="19" t="str">
        <f t="shared" si="23"/>
        <v/>
      </c>
      <c r="N749" t="str">
        <f ca="1">IF(TRIM(SUBSTITUTE($B749,CHAR(160)," "))="","",IFERROR(IF(ISNUMBER(SEARCH("INC",$B749)),"INC",IF(ISNUMBER(SEARCH("OPI",$B749)),"OPI",IF(ISNUMBER(SEARCH("DP",$B749)),"DP","CONC")))&amp;" "&amp;TEXT(LOOKUP(9.99E+307,--MID(SUBSTITUTE($B749,CHAR(160)," "),SUMPRODUCT(MIN(FIND({0,1,2,3,4,5,6,7,8,9},SUBSTITUTE($B749,CHAR(160)," ")&amp;"0123456789"))),ROW(INDIRECT("1:6")))),"0"),"SIN NUMERO"))</f>
        <v/>
      </c>
      <c r="O749" t="str">
        <f ca="1">IF($N749="","",IF(LEFT(UPPER($P749),9)="VERIFICAR","VERIFICAR",IF(AND($H749&lt;&gt;"",COUNTIFS($N$2:$N$1000,$N749,$H$2:$H$1000,$H749)&gt;1),"DUPLICADA",IF(TRIM(IF($A749="","tipo ","")&amp;IF($F749="","fecha de firma ","")&amp;IF($G749="","decisión ","")&amp;IF($H749="","N° resolución ","")&amp;IF($I749="","N° dictamen",""))&lt;&gt;"","INCOMPLETA: "&amp;TRIM(IF($A749="","tipo ","")&amp;IF($F749="","fecha de firma ","")&amp;IF($G749="","decisión ","")&amp;IF($H749="","N° resolución ","")&amp;IF($I749="","N° dictamen","")),IF(LEFT($N749,4)&lt;&gt;"CONC","OK",IF(N($Q749)=0,IF(AND(ISNUMBER($E749),$E749&gt;=DATE(2024,1,1)),"FALTA EN evol_conc","OK"),IF(INDEX(evol_conc!$H:$H,$Q749)&lt;&gt;$F749,"FIRMA DISTINTA EN evol_conc ("&amp;IF(INDEX(evol_conc!$H:$H,$Q749)="","vacía",DAY(INDEX(evol_conc!$H:$H,$Q749))&amp;"/"&amp;MONTH(INDEX(evol_conc!$H:$H,$Q749))&amp;"/"&amp;YEAR(INDEX(evol_conc!$H:$H,$Q749)))&amp;")",IF(INDEX(evol_conc!$G:$G,$Q749)&lt;&gt;$E749,"INGRESO DISTINTO EN evol_conc ("&amp;IF(INDEX(evol_conc!$G:$G,$Q749)="","vacía",DAY(INDEX(evol_conc!$G:$G,$Q749))&amp;"/"&amp;MONTH(INDEX(evol_conc!$G:$G,$Q749))&amp;"/"&amp;YEAR(INDEX(evol_conc!$G:$G,$Q749)))&amp;")","OK"))))))))</f>
        <v/>
      </c>
      <c r="Q749" t="str">
        <f ca="1">IF($N749="","",IFERROR(MATCH($N749,evol_conc!$P:$P,0),0))</f>
        <v/>
      </c>
    </row>
    <row r="750" spans="12:17" ht="18" hidden="1" customHeight="1" x14ac:dyDescent="0.25">
      <c r="L750" s="53" t="str">
        <f t="shared" si="22"/>
        <v/>
      </c>
      <c r="M750" s="19" t="str">
        <f t="shared" si="23"/>
        <v/>
      </c>
      <c r="N750" t="str">
        <f ca="1">IF(TRIM(SUBSTITUTE($B750,CHAR(160)," "))="","",IFERROR(IF(ISNUMBER(SEARCH("INC",$B750)),"INC",IF(ISNUMBER(SEARCH("OPI",$B750)),"OPI",IF(ISNUMBER(SEARCH("DP",$B750)),"DP","CONC")))&amp;" "&amp;TEXT(LOOKUP(9.99E+307,--MID(SUBSTITUTE($B750,CHAR(160)," "),SUMPRODUCT(MIN(FIND({0,1,2,3,4,5,6,7,8,9},SUBSTITUTE($B750,CHAR(160)," ")&amp;"0123456789"))),ROW(INDIRECT("1:6")))),"0"),"SIN NUMERO"))</f>
        <v/>
      </c>
      <c r="O750" t="str">
        <f ca="1">IF($N750="","",IF(LEFT(UPPER($P750),9)="VERIFICAR","VERIFICAR",IF(AND($H750&lt;&gt;"",COUNTIFS($N$2:$N$1000,$N750,$H$2:$H$1000,$H750)&gt;1),"DUPLICADA",IF(TRIM(IF($A750="","tipo ","")&amp;IF($F750="","fecha de firma ","")&amp;IF($G750="","decisión ","")&amp;IF($H750="","N° resolución ","")&amp;IF($I750="","N° dictamen",""))&lt;&gt;"","INCOMPLETA: "&amp;TRIM(IF($A750="","tipo ","")&amp;IF($F750="","fecha de firma ","")&amp;IF($G750="","decisión ","")&amp;IF($H750="","N° resolución ","")&amp;IF($I750="","N° dictamen","")),IF(LEFT($N750,4)&lt;&gt;"CONC","OK",IF(N($Q750)=0,IF(AND(ISNUMBER($E750),$E750&gt;=DATE(2024,1,1)),"FALTA EN evol_conc","OK"),IF(INDEX(evol_conc!$H:$H,$Q750)&lt;&gt;$F750,"FIRMA DISTINTA EN evol_conc ("&amp;IF(INDEX(evol_conc!$H:$H,$Q750)="","vacía",DAY(INDEX(evol_conc!$H:$H,$Q750))&amp;"/"&amp;MONTH(INDEX(evol_conc!$H:$H,$Q750))&amp;"/"&amp;YEAR(INDEX(evol_conc!$H:$H,$Q750)))&amp;")",IF(INDEX(evol_conc!$G:$G,$Q750)&lt;&gt;$E750,"INGRESO DISTINTO EN evol_conc ("&amp;IF(INDEX(evol_conc!$G:$G,$Q750)="","vacía",DAY(INDEX(evol_conc!$G:$G,$Q750))&amp;"/"&amp;MONTH(INDEX(evol_conc!$G:$G,$Q750))&amp;"/"&amp;YEAR(INDEX(evol_conc!$G:$G,$Q750)))&amp;")","OK"))))))))</f>
        <v/>
      </c>
      <c r="Q750" t="str">
        <f ca="1">IF($N750="","",IFERROR(MATCH($N750,evol_conc!$P:$P,0),0))</f>
        <v/>
      </c>
    </row>
    <row r="751" spans="12:17" ht="18" hidden="1" customHeight="1" x14ac:dyDescent="0.25">
      <c r="L751" s="53" t="str">
        <f t="shared" si="22"/>
        <v/>
      </c>
      <c r="M751" s="19" t="str">
        <f t="shared" si="23"/>
        <v/>
      </c>
      <c r="N751" t="str">
        <f ca="1">IF(TRIM(SUBSTITUTE($B751,CHAR(160)," "))="","",IFERROR(IF(ISNUMBER(SEARCH("INC",$B751)),"INC",IF(ISNUMBER(SEARCH("OPI",$B751)),"OPI",IF(ISNUMBER(SEARCH("DP",$B751)),"DP","CONC")))&amp;" "&amp;TEXT(LOOKUP(9.99E+307,--MID(SUBSTITUTE($B751,CHAR(160)," "),SUMPRODUCT(MIN(FIND({0,1,2,3,4,5,6,7,8,9},SUBSTITUTE($B751,CHAR(160)," ")&amp;"0123456789"))),ROW(INDIRECT("1:6")))),"0"),"SIN NUMERO"))</f>
        <v/>
      </c>
      <c r="O751" t="str">
        <f ca="1">IF($N751="","",IF(LEFT(UPPER($P751),9)="VERIFICAR","VERIFICAR",IF(AND($H751&lt;&gt;"",COUNTIFS($N$2:$N$1000,$N751,$H$2:$H$1000,$H751)&gt;1),"DUPLICADA",IF(TRIM(IF($A751="","tipo ","")&amp;IF($F751="","fecha de firma ","")&amp;IF($G751="","decisión ","")&amp;IF($H751="","N° resolución ","")&amp;IF($I751="","N° dictamen",""))&lt;&gt;"","INCOMPLETA: "&amp;TRIM(IF($A751="","tipo ","")&amp;IF($F751="","fecha de firma ","")&amp;IF($G751="","decisión ","")&amp;IF($H751="","N° resolución ","")&amp;IF($I751="","N° dictamen","")),IF(LEFT($N751,4)&lt;&gt;"CONC","OK",IF(N($Q751)=0,IF(AND(ISNUMBER($E751),$E751&gt;=DATE(2024,1,1)),"FALTA EN evol_conc","OK"),IF(INDEX(evol_conc!$H:$H,$Q751)&lt;&gt;$F751,"FIRMA DISTINTA EN evol_conc ("&amp;IF(INDEX(evol_conc!$H:$H,$Q751)="","vacía",DAY(INDEX(evol_conc!$H:$H,$Q751))&amp;"/"&amp;MONTH(INDEX(evol_conc!$H:$H,$Q751))&amp;"/"&amp;YEAR(INDEX(evol_conc!$H:$H,$Q751)))&amp;")",IF(INDEX(evol_conc!$G:$G,$Q751)&lt;&gt;$E751,"INGRESO DISTINTO EN evol_conc ("&amp;IF(INDEX(evol_conc!$G:$G,$Q751)="","vacía",DAY(INDEX(evol_conc!$G:$G,$Q751))&amp;"/"&amp;MONTH(INDEX(evol_conc!$G:$G,$Q751))&amp;"/"&amp;YEAR(INDEX(evol_conc!$G:$G,$Q751)))&amp;")","OK"))))))))</f>
        <v/>
      </c>
      <c r="Q751" t="str">
        <f ca="1">IF($N751="","",IFERROR(MATCH($N751,evol_conc!$P:$P,0),0))</f>
        <v/>
      </c>
    </row>
    <row r="752" spans="12:17" ht="18" hidden="1" customHeight="1" x14ac:dyDescent="0.25">
      <c r="L752" s="53" t="str">
        <f t="shared" si="22"/>
        <v/>
      </c>
      <c r="M752" s="19" t="str">
        <f t="shared" si="23"/>
        <v/>
      </c>
      <c r="N752" t="str">
        <f ca="1">IF(TRIM(SUBSTITUTE($B752,CHAR(160)," "))="","",IFERROR(IF(ISNUMBER(SEARCH("INC",$B752)),"INC",IF(ISNUMBER(SEARCH("OPI",$B752)),"OPI",IF(ISNUMBER(SEARCH("DP",$B752)),"DP","CONC")))&amp;" "&amp;TEXT(LOOKUP(9.99E+307,--MID(SUBSTITUTE($B752,CHAR(160)," "),SUMPRODUCT(MIN(FIND({0,1,2,3,4,5,6,7,8,9},SUBSTITUTE($B752,CHAR(160)," ")&amp;"0123456789"))),ROW(INDIRECT("1:6")))),"0"),"SIN NUMERO"))</f>
        <v/>
      </c>
      <c r="O752" t="str">
        <f ca="1">IF($N752="","",IF(LEFT(UPPER($P752),9)="VERIFICAR","VERIFICAR",IF(AND($H752&lt;&gt;"",COUNTIFS($N$2:$N$1000,$N752,$H$2:$H$1000,$H752)&gt;1),"DUPLICADA",IF(TRIM(IF($A752="","tipo ","")&amp;IF($F752="","fecha de firma ","")&amp;IF($G752="","decisión ","")&amp;IF($H752="","N° resolución ","")&amp;IF($I752="","N° dictamen",""))&lt;&gt;"","INCOMPLETA: "&amp;TRIM(IF($A752="","tipo ","")&amp;IF($F752="","fecha de firma ","")&amp;IF($G752="","decisión ","")&amp;IF($H752="","N° resolución ","")&amp;IF($I752="","N° dictamen","")),IF(LEFT($N752,4)&lt;&gt;"CONC","OK",IF(N($Q752)=0,IF(AND(ISNUMBER($E752),$E752&gt;=DATE(2024,1,1)),"FALTA EN evol_conc","OK"),IF(INDEX(evol_conc!$H:$H,$Q752)&lt;&gt;$F752,"FIRMA DISTINTA EN evol_conc ("&amp;IF(INDEX(evol_conc!$H:$H,$Q752)="","vacía",DAY(INDEX(evol_conc!$H:$H,$Q752))&amp;"/"&amp;MONTH(INDEX(evol_conc!$H:$H,$Q752))&amp;"/"&amp;YEAR(INDEX(evol_conc!$H:$H,$Q752)))&amp;")",IF(INDEX(evol_conc!$G:$G,$Q752)&lt;&gt;$E752,"INGRESO DISTINTO EN evol_conc ("&amp;IF(INDEX(evol_conc!$G:$G,$Q752)="","vacía",DAY(INDEX(evol_conc!$G:$G,$Q752))&amp;"/"&amp;MONTH(INDEX(evol_conc!$G:$G,$Q752))&amp;"/"&amp;YEAR(INDEX(evol_conc!$G:$G,$Q752)))&amp;")","OK"))))))))</f>
        <v/>
      </c>
      <c r="Q752" t="str">
        <f ca="1">IF($N752="","",IFERROR(MATCH($N752,evol_conc!$P:$P,0),0))</f>
        <v/>
      </c>
    </row>
    <row r="753" spans="12:17" ht="18" hidden="1" customHeight="1" x14ac:dyDescent="0.25">
      <c r="L753" s="53" t="str">
        <f t="shared" si="22"/>
        <v/>
      </c>
      <c r="M753" s="19" t="str">
        <f t="shared" si="23"/>
        <v/>
      </c>
      <c r="N753" t="str">
        <f ca="1">IF(TRIM(SUBSTITUTE($B753,CHAR(160)," "))="","",IFERROR(IF(ISNUMBER(SEARCH("INC",$B753)),"INC",IF(ISNUMBER(SEARCH("OPI",$B753)),"OPI",IF(ISNUMBER(SEARCH("DP",$B753)),"DP","CONC")))&amp;" "&amp;TEXT(LOOKUP(9.99E+307,--MID(SUBSTITUTE($B753,CHAR(160)," "),SUMPRODUCT(MIN(FIND({0,1,2,3,4,5,6,7,8,9},SUBSTITUTE($B753,CHAR(160)," ")&amp;"0123456789"))),ROW(INDIRECT("1:6")))),"0"),"SIN NUMERO"))</f>
        <v/>
      </c>
      <c r="O753" t="str">
        <f ca="1">IF($N753="","",IF(LEFT(UPPER($P753),9)="VERIFICAR","VERIFICAR",IF(AND($H753&lt;&gt;"",COUNTIFS($N$2:$N$1000,$N753,$H$2:$H$1000,$H753)&gt;1),"DUPLICADA",IF(TRIM(IF($A753="","tipo ","")&amp;IF($F753="","fecha de firma ","")&amp;IF($G753="","decisión ","")&amp;IF($H753="","N° resolución ","")&amp;IF($I753="","N° dictamen",""))&lt;&gt;"","INCOMPLETA: "&amp;TRIM(IF($A753="","tipo ","")&amp;IF($F753="","fecha de firma ","")&amp;IF($G753="","decisión ","")&amp;IF($H753="","N° resolución ","")&amp;IF($I753="","N° dictamen","")),IF(LEFT($N753,4)&lt;&gt;"CONC","OK",IF(N($Q753)=0,IF(AND(ISNUMBER($E753),$E753&gt;=DATE(2024,1,1)),"FALTA EN evol_conc","OK"),IF(INDEX(evol_conc!$H:$H,$Q753)&lt;&gt;$F753,"FIRMA DISTINTA EN evol_conc ("&amp;IF(INDEX(evol_conc!$H:$H,$Q753)="","vacía",DAY(INDEX(evol_conc!$H:$H,$Q753))&amp;"/"&amp;MONTH(INDEX(evol_conc!$H:$H,$Q753))&amp;"/"&amp;YEAR(INDEX(evol_conc!$H:$H,$Q753)))&amp;")",IF(INDEX(evol_conc!$G:$G,$Q753)&lt;&gt;$E753,"INGRESO DISTINTO EN evol_conc ("&amp;IF(INDEX(evol_conc!$G:$G,$Q753)="","vacía",DAY(INDEX(evol_conc!$G:$G,$Q753))&amp;"/"&amp;MONTH(INDEX(evol_conc!$G:$G,$Q753))&amp;"/"&amp;YEAR(INDEX(evol_conc!$G:$G,$Q753)))&amp;")","OK"))))))))</f>
        <v/>
      </c>
      <c r="Q753" t="str">
        <f ca="1">IF($N753="","",IFERROR(MATCH($N753,evol_conc!$P:$P,0),0))</f>
        <v/>
      </c>
    </row>
    <row r="754" spans="12:17" ht="18" hidden="1" customHeight="1" x14ac:dyDescent="0.25">
      <c r="L754" s="53" t="str">
        <f t="shared" si="22"/>
        <v/>
      </c>
      <c r="M754" s="19" t="str">
        <f t="shared" si="23"/>
        <v/>
      </c>
      <c r="N754" t="str">
        <f ca="1">IF(TRIM(SUBSTITUTE($B754,CHAR(160)," "))="","",IFERROR(IF(ISNUMBER(SEARCH("INC",$B754)),"INC",IF(ISNUMBER(SEARCH("OPI",$B754)),"OPI",IF(ISNUMBER(SEARCH("DP",$B754)),"DP","CONC")))&amp;" "&amp;TEXT(LOOKUP(9.99E+307,--MID(SUBSTITUTE($B754,CHAR(160)," "),SUMPRODUCT(MIN(FIND({0,1,2,3,4,5,6,7,8,9},SUBSTITUTE($B754,CHAR(160)," ")&amp;"0123456789"))),ROW(INDIRECT("1:6")))),"0"),"SIN NUMERO"))</f>
        <v/>
      </c>
      <c r="O754" t="str">
        <f ca="1">IF($N754="","",IF(LEFT(UPPER($P754),9)="VERIFICAR","VERIFICAR",IF(AND($H754&lt;&gt;"",COUNTIFS($N$2:$N$1000,$N754,$H$2:$H$1000,$H754)&gt;1),"DUPLICADA",IF(TRIM(IF($A754="","tipo ","")&amp;IF($F754="","fecha de firma ","")&amp;IF($G754="","decisión ","")&amp;IF($H754="","N° resolución ","")&amp;IF($I754="","N° dictamen",""))&lt;&gt;"","INCOMPLETA: "&amp;TRIM(IF($A754="","tipo ","")&amp;IF($F754="","fecha de firma ","")&amp;IF($G754="","decisión ","")&amp;IF($H754="","N° resolución ","")&amp;IF($I754="","N° dictamen","")),IF(LEFT($N754,4)&lt;&gt;"CONC","OK",IF(N($Q754)=0,IF(AND(ISNUMBER($E754),$E754&gt;=DATE(2024,1,1)),"FALTA EN evol_conc","OK"),IF(INDEX(evol_conc!$H:$H,$Q754)&lt;&gt;$F754,"FIRMA DISTINTA EN evol_conc ("&amp;IF(INDEX(evol_conc!$H:$H,$Q754)="","vacía",DAY(INDEX(evol_conc!$H:$H,$Q754))&amp;"/"&amp;MONTH(INDEX(evol_conc!$H:$H,$Q754))&amp;"/"&amp;YEAR(INDEX(evol_conc!$H:$H,$Q754)))&amp;")",IF(INDEX(evol_conc!$G:$G,$Q754)&lt;&gt;$E754,"INGRESO DISTINTO EN evol_conc ("&amp;IF(INDEX(evol_conc!$G:$G,$Q754)="","vacía",DAY(INDEX(evol_conc!$G:$G,$Q754))&amp;"/"&amp;MONTH(INDEX(evol_conc!$G:$G,$Q754))&amp;"/"&amp;YEAR(INDEX(evol_conc!$G:$G,$Q754)))&amp;")","OK"))))))))</f>
        <v/>
      </c>
      <c r="Q754" t="str">
        <f ca="1">IF($N754="","",IFERROR(MATCH($N754,evol_conc!$P:$P,0),0))</f>
        <v/>
      </c>
    </row>
    <row r="755" spans="12:17" ht="18" hidden="1" customHeight="1" x14ac:dyDescent="0.25">
      <c r="L755" s="53" t="str">
        <f t="shared" si="22"/>
        <v/>
      </c>
      <c r="M755" s="19" t="str">
        <f t="shared" si="23"/>
        <v/>
      </c>
      <c r="N755" t="str">
        <f ca="1">IF(TRIM(SUBSTITUTE($B755,CHAR(160)," "))="","",IFERROR(IF(ISNUMBER(SEARCH("INC",$B755)),"INC",IF(ISNUMBER(SEARCH("OPI",$B755)),"OPI",IF(ISNUMBER(SEARCH("DP",$B755)),"DP","CONC")))&amp;" "&amp;TEXT(LOOKUP(9.99E+307,--MID(SUBSTITUTE($B755,CHAR(160)," "),SUMPRODUCT(MIN(FIND({0,1,2,3,4,5,6,7,8,9},SUBSTITUTE($B755,CHAR(160)," ")&amp;"0123456789"))),ROW(INDIRECT("1:6")))),"0"),"SIN NUMERO"))</f>
        <v/>
      </c>
      <c r="O755" t="str">
        <f ca="1">IF($N755="","",IF(LEFT(UPPER($P755),9)="VERIFICAR","VERIFICAR",IF(AND($H755&lt;&gt;"",COUNTIFS($N$2:$N$1000,$N755,$H$2:$H$1000,$H755)&gt;1),"DUPLICADA",IF(TRIM(IF($A755="","tipo ","")&amp;IF($F755="","fecha de firma ","")&amp;IF($G755="","decisión ","")&amp;IF($H755="","N° resolución ","")&amp;IF($I755="","N° dictamen",""))&lt;&gt;"","INCOMPLETA: "&amp;TRIM(IF($A755="","tipo ","")&amp;IF($F755="","fecha de firma ","")&amp;IF($G755="","decisión ","")&amp;IF($H755="","N° resolución ","")&amp;IF($I755="","N° dictamen","")),IF(LEFT($N755,4)&lt;&gt;"CONC","OK",IF(N($Q755)=0,IF(AND(ISNUMBER($E755),$E755&gt;=DATE(2024,1,1)),"FALTA EN evol_conc","OK"),IF(INDEX(evol_conc!$H:$H,$Q755)&lt;&gt;$F755,"FIRMA DISTINTA EN evol_conc ("&amp;IF(INDEX(evol_conc!$H:$H,$Q755)="","vacía",DAY(INDEX(evol_conc!$H:$H,$Q755))&amp;"/"&amp;MONTH(INDEX(evol_conc!$H:$H,$Q755))&amp;"/"&amp;YEAR(INDEX(evol_conc!$H:$H,$Q755)))&amp;")",IF(INDEX(evol_conc!$G:$G,$Q755)&lt;&gt;$E755,"INGRESO DISTINTO EN evol_conc ("&amp;IF(INDEX(evol_conc!$G:$G,$Q755)="","vacía",DAY(INDEX(evol_conc!$G:$G,$Q755))&amp;"/"&amp;MONTH(INDEX(evol_conc!$G:$G,$Q755))&amp;"/"&amp;YEAR(INDEX(evol_conc!$G:$G,$Q755)))&amp;")","OK"))))))))</f>
        <v/>
      </c>
      <c r="Q755" t="str">
        <f ca="1">IF($N755="","",IFERROR(MATCH($N755,evol_conc!$P:$P,0),0))</f>
        <v/>
      </c>
    </row>
    <row r="756" spans="12:17" ht="18" hidden="1" customHeight="1" x14ac:dyDescent="0.25">
      <c r="L756" s="53" t="str">
        <f t="shared" si="22"/>
        <v/>
      </c>
      <c r="M756" s="19" t="str">
        <f t="shared" si="23"/>
        <v/>
      </c>
      <c r="N756" t="str">
        <f ca="1">IF(TRIM(SUBSTITUTE($B756,CHAR(160)," "))="","",IFERROR(IF(ISNUMBER(SEARCH("INC",$B756)),"INC",IF(ISNUMBER(SEARCH("OPI",$B756)),"OPI",IF(ISNUMBER(SEARCH("DP",$B756)),"DP","CONC")))&amp;" "&amp;TEXT(LOOKUP(9.99E+307,--MID(SUBSTITUTE($B756,CHAR(160)," "),SUMPRODUCT(MIN(FIND({0,1,2,3,4,5,6,7,8,9},SUBSTITUTE($B756,CHAR(160)," ")&amp;"0123456789"))),ROW(INDIRECT("1:6")))),"0"),"SIN NUMERO"))</f>
        <v/>
      </c>
      <c r="O756" t="str">
        <f ca="1">IF($N756="","",IF(LEFT(UPPER($P756),9)="VERIFICAR","VERIFICAR",IF(AND($H756&lt;&gt;"",COUNTIFS($N$2:$N$1000,$N756,$H$2:$H$1000,$H756)&gt;1),"DUPLICADA",IF(TRIM(IF($A756="","tipo ","")&amp;IF($F756="","fecha de firma ","")&amp;IF($G756="","decisión ","")&amp;IF($H756="","N° resolución ","")&amp;IF($I756="","N° dictamen",""))&lt;&gt;"","INCOMPLETA: "&amp;TRIM(IF($A756="","tipo ","")&amp;IF($F756="","fecha de firma ","")&amp;IF($G756="","decisión ","")&amp;IF($H756="","N° resolución ","")&amp;IF($I756="","N° dictamen","")),IF(LEFT($N756,4)&lt;&gt;"CONC","OK",IF(N($Q756)=0,IF(AND(ISNUMBER($E756),$E756&gt;=DATE(2024,1,1)),"FALTA EN evol_conc","OK"),IF(INDEX(evol_conc!$H:$H,$Q756)&lt;&gt;$F756,"FIRMA DISTINTA EN evol_conc ("&amp;IF(INDEX(evol_conc!$H:$H,$Q756)="","vacía",DAY(INDEX(evol_conc!$H:$H,$Q756))&amp;"/"&amp;MONTH(INDEX(evol_conc!$H:$H,$Q756))&amp;"/"&amp;YEAR(INDEX(evol_conc!$H:$H,$Q756)))&amp;")",IF(INDEX(evol_conc!$G:$G,$Q756)&lt;&gt;$E756,"INGRESO DISTINTO EN evol_conc ("&amp;IF(INDEX(evol_conc!$G:$G,$Q756)="","vacía",DAY(INDEX(evol_conc!$G:$G,$Q756))&amp;"/"&amp;MONTH(INDEX(evol_conc!$G:$G,$Q756))&amp;"/"&amp;YEAR(INDEX(evol_conc!$G:$G,$Q756)))&amp;")","OK"))))))))</f>
        <v/>
      </c>
      <c r="Q756" t="str">
        <f ca="1">IF($N756="","",IFERROR(MATCH($N756,evol_conc!$P:$P,0),0))</f>
        <v/>
      </c>
    </row>
    <row r="757" spans="12:17" ht="18" hidden="1" customHeight="1" x14ac:dyDescent="0.25">
      <c r="L757" s="53" t="str">
        <f t="shared" si="22"/>
        <v/>
      </c>
      <c r="M757" s="19" t="str">
        <f t="shared" si="23"/>
        <v/>
      </c>
      <c r="N757" t="str">
        <f ca="1">IF(TRIM(SUBSTITUTE($B757,CHAR(160)," "))="","",IFERROR(IF(ISNUMBER(SEARCH("INC",$B757)),"INC",IF(ISNUMBER(SEARCH("OPI",$B757)),"OPI",IF(ISNUMBER(SEARCH("DP",$B757)),"DP","CONC")))&amp;" "&amp;TEXT(LOOKUP(9.99E+307,--MID(SUBSTITUTE($B757,CHAR(160)," "),SUMPRODUCT(MIN(FIND({0,1,2,3,4,5,6,7,8,9},SUBSTITUTE($B757,CHAR(160)," ")&amp;"0123456789"))),ROW(INDIRECT("1:6")))),"0"),"SIN NUMERO"))</f>
        <v/>
      </c>
      <c r="O757" t="str">
        <f ca="1">IF($N757="","",IF(LEFT(UPPER($P757),9)="VERIFICAR","VERIFICAR",IF(AND($H757&lt;&gt;"",COUNTIFS($N$2:$N$1000,$N757,$H$2:$H$1000,$H757)&gt;1),"DUPLICADA",IF(TRIM(IF($A757="","tipo ","")&amp;IF($F757="","fecha de firma ","")&amp;IF($G757="","decisión ","")&amp;IF($H757="","N° resolución ","")&amp;IF($I757="","N° dictamen",""))&lt;&gt;"","INCOMPLETA: "&amp;TRIM(IF($A757="","tipo ","")&amp;IF($F757="","fecha de firma ","")&amp;IF($G757="","decisión ","")&amp;IF($H757="","N° resolución ","")&amp;IF($I757="","N° dictamen","")),IF(LEFT($N757,4)&lt;&gt;"CONC","OK",IF(N($Q757)=0,IF(AND(ISNUMBER($E757),$E757&gt;=DATE(2024,1,1)),"FALTA EN evol_conc","OK"),IF(INDEX(evol_conc!$H:$H,$Q757)&lt;&gt;$F757,"FIRMA DISTINTA EN evol_conc ("&amp;IF(INDEX(evol_conc!$H:$H,$Q757)="","vacía",DAY(INDEX(evol_conc!$H:$H,$Q757))&amp;"/"&amp;MONTH(INDEX(evol_conc!$H:$H,$Q757))&amp;"/"&amp;YEAR(INDEX(evol_conc!$H:$H,$Q757)))&amp;")",IF(INDEX(evol_conc!$G:$G,$Q757)&lt;&gt;$E757,"INGRESO DISTINTO EN evol_conc ("&amp;IF(INDEX(evol_conc!$G:$G,$Q757)="","vacía",DAY(INDEX(evol_conc!$G:$G,$Q757))&amp;"/"&amp;MONTH(INDEX(evol_conc!$G:$G,$Q757))&amp;"/"&amp;YEAR(INDEX(evol_conc!$G:$G,$Q757)))&amp;")","OK"))))))))</f>
        <v/>
      </c>
      <c r="Q757" t="str">
        <f ca="1">IF($N757="","",IFERROR(MATCH($N757,evol_conc!$P:$P,0),0))</f>
        <v/>
      </c>
    </row>
    <row r="758" spans="12:17" ht="18" hidden="1" customHeight="1" x14ac:dyDescent="0.25">
      <c r="L758" s="53" t="str">
        <f t="shared" si="22"/>
        <v/>
      </c>
      <c r="M758" s="19" t="str">
        <f t="shared" si="23"/>
        <v/>
      </c>
      <c r="N758" t="str">
        <f ca="1">IF(TRIM(SUBSTITUTE($B758,CHAR(160)," "))="","",IFERROR(IF(ISNUMBER(SEARCH("INC",$B758)),"INC",IF(ISNUMBER(SEARCH("OPI",$B758)),"OPI",IF(ISNUMBER(SEARCH("DP",$B758)),"DP","CONC")))&amp;" "&amp;TEXT(LOOKUP(9.99E+307,--MID(SUBSTITUTE($B758,CHAR(160)," "),SUMPRODUCT(MIN(FIND({0,1,2,3,4,5,6,7,8,9},SUBSTITUTE($B758,CHAR(160)," ")&amp;"0123456789"))),ROW(INDIRECT("1:6")))),"0"),"SIN NUMERO"))</f>
        <v/>
      </c>
      <c r="O758" t="str">
        <f ca="1">IF($N758="","",IF(LEFT(UPPER($P758),9)="VERIFICAR","VERIFICAR",IF(AND($H758&lt;&gt;"",COUNTIFS($N$2:$N$1000,$N758,$H$2:$H$1000,$H758)&gt;1),"DUPLICADA",IF(TRIM(IF($A758="","tipo ","")&amp;IF($F758="","fecha de firma ","")&amp;IF($G758="","decisión ","")&amp;IF($H758="","N° resolución ","")&amp;IF($I758="","N° dictamen",""))&lt;&gt;"","INCOMPLETA: "&amp;TRIM(IF($A758="","tipo ","")&amp;IF($F758="","fecha de firma ","")&amp;IF($G758="","decisión ","")&amp;IF($H758="","N° resolución ","")&amp;IF($I758="","N° dictamen","")),IF(LEFT($N758,4)&lt;&gt;"CONC","OK",IF(N($Q758)=0,IF(AND(ISNUMBER($E758),$E758&gt;=DATE(2024,1,1)),"FALTA EN evol_conc","OK"),IF(INDEX(evol_conc!$H:$H,$Q758)&lt;&gt;$F758,"FIRMA DISTINTA EN evol_conc ("&amp;IF(INDEX(evol_conc!$H:$H,$Q758)="","vacía",DAY(INDEX(evol_conc!$H:$H,$Q758))&amp;"/"&amp;MONTH(INDEX(evol_conc!$H:$H,$Q758))&amp;"/"&amp;YEAR(INDEX(evol_conc!$H:$H,$Q758)))&amp;")",IF(INDEX(evol_conc!$G:$G,$Q758)&lt;&gt;$E758,"INGRESO DISTINTO EN evol_conc ("&amp;IF(INDEX(evol_conc!$G:$G,$Q758)="","vacía",DAY(INDEX(evol_conc!$G:$G,$Q758))&amp;"/"&amp;MONTH(INDEX(evol_conc!$G:$G,$Q758))&amp;"/"&amp;YEAR(INDEX(evol_conc!$G:$G,$Q758)))&amp;")","OK"))))))))</f>
        <v/>
      </c>
      <c r="Q758" t="str">
        <f ca="1">IF($N758="","",IFERROR(MATCH($N758,evol_conc!$P:$P,0),0))</f>
        <v/>
      </c>
    </row>
    <row r="759" spans="12:17" ht="18" hidden="1" customHeight="1" x14ac:dyDescent="0.25">
      <c r="L759" s="53" t="str">
        <f t="shared" si="22"/>
        <v/>
      </c>
      <c r="M759" s="19" t="str">
        <f t="shared" si="23"/>
        <v/>
      </c>
      <c r="N759" t="str">
        <f ca="1">IF(TRIM(SUBSTITUTE($B759,CHAR(160)," "))="","",IFERROR(IF(ISNUMBER(SEARCH("INC",$B759)),"INC",IF(ISNUMBER(SEARCH("OPI",$B759)),"OPI",IF(ISNUMBER(SEARCH("DP",$B759)),"DP","CONC")))&amp;" "&amp;TEXT(LOOKUP(9.99E+307,--MID(SUBSTITUTE($B759,CHAR(160)," "),SUMPRODUCT(MIN(FIND({0,1,2,3,4,5,6,7,8,9},SUBSTITUTE($B759,CHAR(160)," ")&amp;"0123456789"))),ROW(INDIRECT("1:6")))),"0"),"SIN NUMERO"))</f>
        <v/>
      </c>
      <c r="O759" t="str">
        <f ca="1">IF($N759="","",IF(LEFT(UPPER($P759),9)="VERIFICAR","VERIFICAR",IF(AND($H759&lt;&gt;"",COUNTIFS($N$2:$N$1000,$N759,$H$2:$H$1000,$H759)&gt;1),"DUPLICADA",IF(TRIM(IF($A759="","tipo ","")&amp;IF($F759="","fecha de firma ","")&amp;IF($G759="","decisión ","")&amp;IF($H759="","N° resolución ","")&amp;IF($I759="","N° dictamen",""))&lt;&gt;"","INCOMPLETA: "&amp;TRIM(IF($A759="","tipo ","")&amp;IF($F759="","fecha de firma ","")&amp;IF($G759="","decisión ","")&amp;IF($H759="","N° resolución ","")&amp;IF($I759="","N° dictamen","")),IF(LEFT($N759,4)&lt;&gt;"CONC","OK",IF(N($Q759)=0,IF(AND(ISNUMBER($E759),$E759&gt;=DATE(2024,1,1)),"FALTA EN evol_conc","OK"),IF(INDEX(evol_conc!$H:$H,$Q759)&lt;&gt;$F759,"FIRMA DISTINTA EN evol_conc ("&amp;IF(INDEX(evol_conc!$H:$H,$Q759)="","vacía",DAY(INDEX(evol_conc!$H:$H,$Q759))&amp;"/"&amp;MONTH(INDEX(evol_conc!$H:$H,$Q759))&amp;"/"&amp;YEAR(INDEX(evol_conc!$H:$H,$Q759)))&amp;")",IF(INDEX(evol_conc!$G:$G,$Q759)&lt;&gt;$E759,"INGRESO DISTINTO EN evol_conc ("&amp;IF(INDEX(evol_conc!$G:$G,$Q759)="","vacía",DAY(INDEX(evol_conc!$G:$G,$Q759))&amp;"/"&amp;MONTH(INDEX(evol_conc!$G:$G,$Q759))&amp;"/"&amp;YEAR(INDEX(evol_conc!$G:$G,$Q759)))&amp;")","OK"))))))))</f>
        <v/>
      </c>
      <c r="Q759" t="str">
        <f ca="1">IF($N759="","",IFERROR(MATCH($N759,evol_conc!$P:$P,0),0))</f>
        <v/>
      </c>
    </row>
    <row r="760" spans="12:17" ht="18" hidden="1" customHeight="1" x14ac:dyDescent="0.25">
      <c r="L760" s="53" t="str">
        <f t="shared" si="22"/>
        <v/>
      </c>
      <c r="M760" s="19" t="str">
        <f t="shared" si="23"/>
        <v/>
      </c>
      <c r="N760" t="str">
        <f ca="1">IF(TRIM(SUBSTITUTE($B760,CHAR(160)," "))="","",IFERROR(IF(ISNUMBER(SEARCH("INC",$B760)),"INC",IF(ISNUMBER(SEARCH("OPI",$B760)),"OPI",IF(ISNUMBER(SEARCH("DP",$B760)),"DP","CONC")))&amp;" "&amp;TEXT(LOOKUP(9.99E+307,--MID(SUBSTITUTE($B760,CHAR(160)," "),SUMPRODUCT(MIN(FIND({0,1,2,3,4,5,6,7,8,9},SUBSTITUTE($B760,CHAR(160)," ")&amp;"0123456789"))),ROW(INDIRECT("1:6")))),"0"),"SIN NUMERO"))</f>
        <v/>
      </c>
      <c r="O760" t="str">
        <f ca="1">IF($N760="","",IF(LEFT(UPPER($P760),9)="VERIFICAR","VERIFICAR",IF(AND($H760&lt;&gt;"",COUNTIFS($N$2:$N$1000,$N760,$H$2:$H$1000,$H760)&gt;1),"DUPLICADA",IF(TRIM(IF($A760="","tipo ","")&amp;IF($F760="","fecha de firma ","")&amp;IF($G760="","decisión ","")&amp;IF($H760="","N° resolución ","")&amp;IF($I760="","N° dictamen",""))&lt;&gt;"","INCOMPLETA: "&amp;TRIM(IF($A760="","tipo ","")&amp;IF($F760="","fecha de firma ","")&amp;IF($G760="","decisión ","")&amp;IF($H760="","N° resolución ","")&amp;IF($I760="","N° dictamen","")),IF(LEFT($N760,4)&lt;&gt;"CONC","OK",IF(N($Q760)=0,IF(AND(ISNUMBER($E760),$E760&gt;=DATE(2024,1,1)),"FALTA EN evol_conc","OK"),IF(INDEX(evol_conc!$H:$H,$Q760)&lt;&gt;$F760,"FIRMA DISTINTA EN evol_conc ("&amp;IF(INDEX(evol_conc!$H:$H,$Q760)="","vacía",DAY(INDEX(evol_conc!$H:$H,$Q760))&amp;"/"&amp;MONTH(INDEX(evol_conc!$H:$H,$Q760))&amp;"/"&amp;YEAR(INDEX(evol_conc!$H:$H,$Q760)))&amp;")",IF(INDEX(evol_conc!$G:$G,$Q760)&lt;&gt;$E760,"INGRESO DISTINTO EN evol_conc ("&amp;IF(INDEX(evol_conc!$G:$G,$Q760)="","vacía",DAY(INDEX(evol_conc!$G:$G,$Q760))&amp;"/"&amp;MONTH(INDEX(evol_conc!$G:$G,$Q760))&amp;"/"&amp;YEAR(INDEX(evol_conc!$G:$G,$Q760)))&amp;")","OK"))))))))</f>
        <v/>
      </c>
      <c r="Q760" t="str">
        <f ca="1">IF($N760="","",IFERROR(MATCH($N760,evol_conc!$P:$P,0),0))</f>
        <v/>
      </c>
    </row>
    <row r="761" spans="12:17" ht="18" hidden="1" customHeight="1" x14ac:dyDescent="0.25">
      <c r="L761" s="53" t="str">
        <f t="shared" si="22"/>
        <v/>
      </c>
      <c r="M761" s="19" t="str">
        <f t="shared" si="23"/>
        <v/>
      </c>
      <c r="N761" t="str">
        <f ca="1">IF(TRIM(SUBSTITUTE($B761,CHAR(160)," "))="","",IFERROR(IF(ISNUMBER(SEARCH("INC",$B761)),"INC",IF(ISNUMBER(SEARCH("OPI",$B761)),"OPI",IF(ISNUMBER(SEARCH("DP",$B761)),"DP","CONC")))&amp;" "&amp;TEXT(LOOKUP(9.99E+307,--MID(SUBSTITUTE($B761,CHAR(160)," "),SUMPRODUCT(MIN(FIND({0,1,2,3,4,5,6,7,8,9},SUBSTITUTE($B761,CHAR(160)," ")&amp;"0123456789"))),ROW(INDIRECT("1:6")))),"0"),"SIN NUMERO"))</f>
        <v/>
      </c>
      <c r="O761" t="str">
        <f ca="1">IF($N761="","",IF(LEFT(UPPER($P761),9)="VERIFICAR","VERIFICAR",IF(AND($H761&lt;&gt;"",COUNTIFS($N$2:$N$1000,$N761,$H$2:$H$1000,$H761)&gt;1),"DUPLICADA",IF(TRIM(IF($A761="","tipo ","")&amp;IF($F761="","fecha de firma ","")&amp;IF($G761="","decisión ","")&amp;IF($H761="","N° resolución ","")&amp;IF($I761="","N° dictamen",""))&lt;&gt;"","INCOMPLETA: "&amp;TRIM(IF($A761="","tipo ","")&amp;IF($F761="","fecha de firma ","")&amp;IF($G761="","decisión ","")&amp;IF($H761="","N° resolución ","")&amp;IF($I761="","N° dictamen","")),IF(LEFT($N761,4)&lt;&gt;"CONC","OK",IF(N($Q761)=0,IF(AND(ISNUMBER($E761),$E761&gt;=DATE(2024,1,1)),"FALTA EN evol_conc","OK"),IF(INDEX(evol_conc!$H:$H,$Q761)&lt;&gt;$F761,"FIRMA DISTINTA EN evol_conc ("&amp;IF(INDEX(evol_conc!$H:$H,$Q761)="","vacía",DAY(INDEX(evol_conc!$H:$H,$Q761))&amp;"/"&amp;MONTH(INDEX(evol_conc!$H:$H,$Q761))&amp;"/"&amp;YEAR(INDEX(evol_conc!$H:$H,$Q761)))&amp;")",IF(INDEX(evol_conc!$G:$G,$Q761)&lt;&gt;$E761,"INGRESO DISTINTO EN evol_conc ("&amp;IF(INDEX(evol_conc!$G:$G,$Q761)="","vacía",DAY(INDEX(evol_conc!$G:$G,$Q761))&amp;"/"&amp;MONTH(INDEX(evol_conc!$G:$G,$Q761))&amp;"/"&amp;YEAR(INDEX(evol_conc!$G:$G,$Q761)))&amp;")","OK"))))))))</f>
        <v/>
      </c>
      <c r="Q761" t="str">
        <f ca="1">IF($N761="","",IFERROR(MATCH($N761,evol_conc!$P:$P,0),0))</f>
        <v/>
      </c>
    </row>
    <row r="762" spans="12:17" ht="18" hidden="1" customHeight="1" x14ac:dyDescent="0.25">
      <c r="L762" s="53" t="str">
        <f t="shared" si="22"/>
        <v/>
      </c>
      <c r="M762" s="19" t="str">
        <f t="shared" si="23"/>
        <v/>
      </c>
      <c r="N762" t="str">
        <f ca="1">IF(TRIM(SUBSTITUTE($B762,CHAR(160)," "))="","",IFERROR(IF(ISNUMBER(SEARCH("INC",$B762)),"INC",IF(ISNUMBER(SEARCH("OPI",$B762)),"OPI",IF(ISNUMBER(SEARCH("DP",$B762)),"DP","CONC")))&amp;" "&amp;TEXT(LOOKUP(9.99E+307,--MID(SUBSTITUTE($B762,CHAR(160)," "),SUMPRODUCT(MIN(FIND({0,1,2,3,4,5,6,7,8,9},SUBSTITUTE($B762,CHAR(160)," ")&amp;"0123456789"))),ROW(INDIRECT("1:6")))),"0"),"SIN NUMERO"))</f>
        <v/>
      </c>
      <c r="O762" t="str">
        <f ca="1">IF($N762="","",IF(LEFT(UPPER($P762),9)="VERIFICAR","VERIFICAR",IF(AND($H762&lt;&gt;"",COUNTIFS($N$2:$N$1000,$N762,$H$2:$H$1000,$H762)&gt;1),"DUPLICADA",IF(TRIM(IF($A762="","tipo ","")&amp;IF($F762="","fecha de firma ","")&amp;IF($G762="","decisión ","")&amp;IF($H762="","N° resolución ","")&amp;IF($I762="","N° dictamen",""))&lt;&gt;"","INCOMPLETA: "&amp;TRIM(IF($A762="","tipo ","")&amp;IF($F762="","fecha de firma ","")&amp;IF($G762="","decisión ","")&amp;IF($H762="","N° resolución ","")&amp;IF($I762="","N° dictamen","")),IF(LEFT($N762,4)&lt;&gt;"CONC","OK",IF(N($Q762)=0,IF(AND(ISNUMBER($E762),$E762&gt;=DATE(2024,1,1)),"FALTA EN evol_conc","OK"),IF(INDEX(evol_conc!$H:$H,$Q762)&lt;&gt;$F762,"FIRMA DISTINTA EN evol_conc ("&amp;IF(INDEX(evol_conc!$H:$H,$Q762)="","vacía",DAY(INDEX(evol_conc!$H:$H,$Q762))&amp;"/"&amp;MONTH(INDEX(evol_conc!$H:$H,$Q762))&amp;"/"&amp;YEAR(INDEX(evol_conc!$H:$H,$Q762)))&amp;")",IF(INDEX(evol_conc!$G:$G,$Q762)&lt;&gt;$E762,"INGRESO DISTINTO EN evol_conc ("&amp;IF(INDEX(evol_conc!$G:$G,$Q762)="","vacía",DAY(INDEX(evol_conc!$G:$G,$Q762))&amp;"/"&amp;MONTH(INDEX(evol_conc!$G:$G,$Q762))&amp;"/"&amp;YEAR(INDEX(evol_conc!$G:$G,$Q762)))&amp;")","OK"))))))))</f>
        <v/>
      </c>
      <c r="Q762" t="str">
        <f ca="1">IF($N762="","",IFERROR(MATCH($N762,evol_conc!$P:$P,0),0))</f>
        <v/>
      </c>
    </row>
    <row r="763" spans="12:17" ht="18" hidden="1" customHeight="1" x14ac:dyDescent="0.25">
      <c r="L763" s="53" t="str">
        <f t="shared" si="22"/>
        <v/>
      </c>
      <c r="M763" s="19" t="str">
        <f t="shared" si="23"/>
        <v/>
      </c>
      <c r="N763" t="str">
        <f ca="1">IF(TRIM(SUBSTITUTE($B763,CHAR(160)," "))="","",IFERROR(IF(ISNUMBER(SEARCH("INC",$B763)),"INC",IF(ISNUMBER(SEARCH("OPI",$B763)),"OPI",IF(ISNUMBER(SEARCH("DP",$B763)),"DP","CONC")))&amp;" "&amp;TEXT(LOOKUP(9.99E+307,--MID(SUBSTITUTE($B763,CHAR(160)," "),SUMPRODUCT(MIN(FIND({0,1,2,3,4,5,6,7,8,9},SUBSTITUTE($B763,CHAR(160)," ")&amp;"0123456789"))),ROW(INDIRECT("1:6")))),"0"),"SIN NUMERO"))</f>
        <v/>
      </c>
      <c r="O763" t="str">
        <f ca="1">IF($N763="","",IF(LEFT(UPPER($P763),9)="VERIFICAR","VERIFICAR",IF(AND($H763&lt;&gt;"",COUNTIFS($N$2:$N$1000,$N763,$H$2:$H$1000,$H763)&gt;1),"DUPLICADA",IF(TRIM(IF($A763="","tipo ","")&amp;IF($F763="","fecha de firma ","")&amp;IF($G763="","decisión ","")&amp;IF($H763="","N° resolución ","")&amp;IF($I763="","N° dictamen",""))&lt;&gt;"","INCOMPLETA: "&amp;TRIM(IF($A763="","tipo ","")&amp;IF($F763="","fecha de firma ","")&amp;IF($G763="","decisión ","")&amp;IF($H763="","N° resolución ","")&amp;IF($I763="","N° dictamen","")),IF(LEFT($N763,4)&lt;&gt;"CONC","OK",IF(N($Q763)=0,IF(AND(ISNUMBER($E763),$E763&gt;=DATE(2024,1,1)),"FALTA EN evol_conc","OK"),IF(INDEX(evol_conc!$H:$H,$Q763)&lt;&gt;$F763,"FIRMA DISTINTA EN evol_conc ("&amp;IF(INDEX(evol_conc!$H:$H,$Q763)="","vacía",DAY(INDEX(evol_conc!$H:$H,$Q763))&amp;"/"&amp;MONTH(INDEX(evol_conc!$H:$H,$Q763))&amp;"/"&amp;YEAR(INDEX(evol_conc!$H:$H,$Q763)))&amp;")",IF(INDEX(evol_conc!$G:$G,$Q763)&lt;&gt;$E763,"INGRESO DISTINTO EN evol_conc ("&amp;IF(INDEX(evol_conc!$G:$G,$Q763)="","vacía",DAY(INDEX(evol_conc!$G:$G,$Q763))&amp;"/"&amp;MONTH(INDEX(evol_conc!$G:$G,$Q763))&amp;"/"&amp;YEAR(INDEX(evol_conc!$G:$G,$Q763)))&amp;")","OK"))))))))</f>
        <v/>
      </c>
      <c r="Q763" t="str">
        <f ca="1">IF($N763="","",IFERROR(MATCH($N763,evol_conc!$P:$P,0),0))</f>
        <v/>
      </c>
    </row>
    <row r="764" spans="12:17" ht="18" hidden="1" customHeight="1" x14ac:dyDescent="0.25">
      <c r="L764" s="53" t="str">
        <f t="shared" si="22"/>
        <v/>
      </c>
      <c r="M764" s="19" t="str">
        <f t="shared" si="23"/>
        <v/>
      </c>
      <c r="N764" t="str">
        <f ca="1">IF(TRIM(SUBSTITUTE($B764,CHAR(160)," "))="","",IFERROR(IF(ISNUMBER(SEARCH("INC",$B764)),"INC",IF(ISNUMBER(SEARCH("OPI",$B764)),"OPI",IF(ISNUMBER(SEARCH("DP",$B764)),"DP","CONC")))&amp;" "&amp;TEXT(LOOKUP(9.99E+307,--MID(SUBSTITUTE($B764,CHAR(160)," "),SUMPRODUCT(MIN(FIND({0,1,2,3,4,5,6,7,8,9},SUBSTITUTE($B764,CHAR(160)," ")&amp;"0123456789"))),ROW(INDIRECT("1:6")))),"0"),"SIN NUMERO"))</f>
        <v/>
      </c>
      <c r="O764" t="str">
        <f ca="1">IF($N764="","",IF(LEFT(UPPER($P764),9)="VERIFICAR","VERIFICAR",IF(AND($H764&lt;&gt;"",COUNTIFS($N$2:$N$1000,$N764,$H$2:$H$1000,$H764)&gt;1),"DUPLICADA",IF(TRIM(IF($A764="","tipo ","")&amp;IF($F764="","fecha de firma ","")&amp;IF($G764="","decisión ","")&amp;IF($H764="","N° resolución ","")&amp;IF($I764="","N° dictamen",""))&lt;&gt;"","INCOMPLETA: "&amp;TRIM(IF($A764="","tipo ","")&amp;IF($F764="","fecha de firma ","")&amp;IF($G764="","decisión ","")&amp;IF($H764="","N° resolución ","")&amp;IF($I764="","N° dictamen","")),IF(LEFT($N764,4)&lt;&gt;"CONC","OK",IF(N($Q764)=0,IF(AND(ISNUMBER($E764),$E764&gt;=DATE(2024,1,1)),"FALTA EN evol_conc","OK"),IF(INDEX(evol_conc!$H:$H,$Q764)&lt;&gt;$F764,"FIRMA DISTINTA EN evol_conc ("&amp;IF(INDEX(evol_conc!$H:$H,$Q764)="","vacía",DAY(INDEX(evol_conc!$H:$H,$Q764))&amp;"/"&amp;MONTH(INDEX(evol_conc!$H:$H,$Q764))&amp;"/"&amp;YEAR(INDEX(evol_conc!$H:$H,$Q764)))&amp;")",IF(INDEX(evol_conc!$G:$G,$Q764)&lt;&gt;$E764,"INGRESO DISTINTO EN evol_conc ("&amp;IF(INDEX(evol_conc!$G:$G,$Q764)="","vacía",DAY(INDEX(evol_conc!$G:$G,$Q764))&amp;"/"&amp;MONTH(INDEX(evol_conc!$G:$G,$Q764))&amp;"/"&amp;YEAR(INDEX(evol_conc!$G:$G,$Q764)))&amp;")","OK"))))))))</f>
        <v/>
      </c>
      <c r="Q764" t="str">
        <f ca="1">IF($N764="","",IFERROR(MATCH($N764,evol_conc!$P:$P,0),0))</f>
        <v/>
      </c>
    </row>
    <row r="765" spans="12:17" ht="18" hidden="1" customHeight="1" x14ac:dyDescent="0.25">
      <c r="L765" s="53" t="str">
        <f t="shared" si="22"/>
        <v/>
      </c>
      <c r="M765" s="19" t="str">
        <f t="shared" si="23"/>
        <v/>
      </c>
      <c r="N765" t="str">
        <f ca="1">IF(TRIM(SUBSTITUTE($B765,CHAR(160)," "))="","",IFERROR(IF(ISNUMBER(SEARCH("INC",$B765)),"INC",IF(ISNUMBER(SEARCH("OPI",$B765)),"OPI",IF(ISNUMBER(SEARCH("DP",$B765)),"DP","CONC")))&amp;" "&amp;TEXT(LOOKUP(9.99E+307,--MID(SUBSTITUTE($B765,CHAR(160)," "),SUMPRODUCT(MIN(FIND({0,1,2,3,4,5,6,7,8,9},SUBSTITUTE($B765,CHAR(160)," ")&amp;"0123456789"))),ROW(INDIRECT("1:6")))),"0"),"SIN NUMERO"))</f>
        <v/>
      </c>
      <c r="O765" t="str">
        <f ca="1">IF($N765="","",IF(LEFT(UPPER($P765),9)="VERIFICAR","VERIFICAR",IF(AND($H765&lt;&gt;"",COUNTIFS($N$2:$N$1000,$N765,$H$2:$H$1000,$H765)&gt;1),"DUPLICADA",IF(TRIM(IF($A765="","tipo ","")&amp;IF($F765="","fecha de firma ","")&amp;IF($G765="","decisión ","")&amp;IF($H765="","N° resolución ","")&amp;IF($I765="","N° dictamen",""))&lt;&gt;"","INCOMPLETA: "&amp;TRIM(IF($A765="","tipo ","")&amp;IF($F765="","fecha de firma ","")&amp;IF($G765="","decisión ","")&amp;IF($H765="","N° resolución ","")&amp;IF($I765="","N° dictamen","")),IF(LEFT($N765,4)&lt;&gt;"CONC","OK",IF(N($Q765)=0,IF(AND(ISNUMBER($E765),$E765&gt;=DATE(2024,1,1)),"FALTA EN evol_conc","OK"),IF(INDEX(evol_conc!$H:$H,$Q765)&lt;&gt;$F765,"FIRMA DISTINTA EN evol_conc ("&amp;IF(INDEX(evol_conc!$H:$H,$Q765)="","vacía",DAY(INDEX(evol_conc!$H:$H,$Q765))&amp;"/"&amp;MONTH(INDEX(evol_conc!$H:$H,$Q765))&amp;"/"&amp;YEAR(INDEX(evol_conc!$H:$H,$Q765)))&amp;")",IF(INDEX(evol_conc!$G:$G,$Q765)&lt;&gt;$E765,"INGRESO DISTINTO EN evol_conc ("&amp;IF(INDEX(evol_conc!$G:$G,$Q765)="","vacía",DAY(INDEX(evol_conc!$G:$G,$Q765))&amp;"/"&amp;MONTH(INDEX(evol_conc!$G:$G,$Q765))&amp;"/"&amp;YEAR(INDEX(evol_conc!$G:$G,$Q765)))&amp;")","OK"))))))))</f>
        <v/>
      </c>
      <c r="Q765" t="str">
        <f ca="1">IF($N765="","",IFERROR(MATCH($N765,evol_conc!$P:$P,0),0))</f>
        <v/>
      </c>
    </row>
    <row r="766" spans="12:17" ht="18" hidden="1" customHeight="1" x14ac:dyDescent="0.25">
      <c r="L766" s="53" t="str">
        <f t="shared" si="22"/>
        <v/>
      </c>
      <c r="M766" s="19" t="str">
        <f t="shared" si="23"/>
        <v/>
      </c>
      <c r="N766" t="str">
        <f ca="1">IF(TRIM(SUBSTITUTE($B766,CHAR(160)," "))="","",IFERROR(IF(ISNUMBER(SEARCH("INC",$B766)),"INC",IF(ISNUMBER(SEARCH("OPI",$B766)),"OPI",IF(ISNUMBER(SEARCH("DP",$B766)),"DP","CONC")))&amp;" "&amp;TEXT(LOOKUP(9.99E+307,--MID(SUBSTITUTE($B766,CHAR(160)," "),SUMPRODUCT(MIN(FIND({0,1,2,3,4,5,6,7,8,9},SUBSTITUTE($B766,CHAR(160)," ")&amp;"0123456789"))),ROW(INDIRECT("1:6")))),"0"),"SIN NUMERO"))</f>
        <v/>
      </c>
      <c r="O766" t="str">
        <f ca="1">IF($N766="","",IF(LEFT(UPPER($P766),9)="VERIFICAR","VERIFICAR",IF(AND($H766&lt;&gt;"",COUNTIFS($N$2:$N$1000,$N766,$H$2:$H$1000,$H766)&gt;1),"DUPLICADA",IF(TRIM(IF($A766="","tipo ","")&amp;IF($F766="","fecha de firma ","")&amp;IF($G766="","decisión ","")&amp;IF($H766="","N° resolución ","")&amp;IF($I766="","N° dictamen",""))&lt;&gt;"","INCOMPLETA: "&amp;TRIM(IF($A766="","tipo ","")&amp;IF($F766="","fecha de firma ","")&amp;IF($G766="","decisión ","")&amp;IF($H766="","N° resolución ","")&amp;IF($I766="","N° dictamen","")),IF(LEFT($N766,4)&lt;&gt;"CONC","OK",IF(N($Q766)=0,IF(AND(ISNUMBER($E766),$E766&gt;=DATE(2024,1,1)),"FALTA EN evol_conc","OK"),IF(INDEX(evol_conc!$H:$H,$Q766)&lt;&gt;$F766,"FIRMA DISTINTA EN evol_conc ("&amp;IF(INDEX(evol_conc!$H:$H,$Q766)="","vacía",DAY(INDEX(evol_conc!$H:$H,$Q766))&amp;"/"&amp;MONTH(INDEX(evol_conc!$H:$H,$Q766))&amp;"/"&amp;YEAR(INDEX(evol_conc!$H:$H,$Q766)))&amp;")",IF(INDEX(evol_conc!$G:$G,$Q766)&lt;&gt;$E766,"INGRESO DISTINTO EN evol_conc ("&amp;IF(INDEX(evol_conc!$G:$G,$Q766)="","vacía",DAY(INDEX(evol_conc!$G:$G,$Q766))&amp;"/"&amp;MONTH(INDEX(evol_conc!$G:$G,$Q766))&amp;"/"&amp;YEAR(INDEX(evol_conc!$G:$G,$Q766)))&amp;")","OK"))))))))</f>
        <v/>
      </c>
      <c r="Q766" t="str">
        <f ca="1">IF($N766="","",IFERROR(MATCH($N766,evol_conc!$P:$P,0),0))</f>
        <v/>
      </c>
    </row>
    <row r="767" spans="12:17" ht="18" hidden="1" customHeight="1" x14ac:dyDescent="0.25">
      <c r="L767" s="53" t="str">
        <f t="shared" si="22"/>
        <v/>
      </c>
      <c r="M767" s="19" t="str">
        <f t="shared" si="23"/>
        <v/>
      </c>
      <c r="N767" t="str">
        <f ca="1">IF(TRIM(SUBSTITUTE($B767,CHAR(160)," "))="","",IFERROR(IF(ISNUMBER(SEARCH("INC",$B767)),"INC",IF(ISNUMBER(SEARCH("OPI",$B767)),"OPI",IF(ISNUMBER(SEARCH("DP",$B767)),"DP","CONC")))&amp;" "&amp;TEXT(LOOKUP(9.99E+307,--MID(SUBSTITUTE($B767,CHAR(160)," "),SUMPRODUCT(MIN(FIND({0,1,2,3,4,5,6,7,8,9},SUBSTITUTE($B767,CHAR(160)," ")&amp;"0123456789"))),ROW(INDIRECT("1:6")))),"0"),"SIN NUMERO"))</f>
        <v/>
      </c>
      <c r="O767" t="str">
        <f ca="1">IF($N767="","",IF(LEFT(UPPER($P767),9)="VERIFICAR","VERIFICAR",IF(AND($H767&lt;&gt;"",COUNTIFS($N$2:$N$1000,$N767,$H$2:$H$1000,$H767)&gt;1),"DUPLICADA",IF(TRIM(IF($A767="","tipo ","")&amp;IF($F767="","fecha de firma ","")&amp;IF($G767="","decisión ","")&amp;IF($H767="","N° resolución ","")&amp;IF($I767="","N° dictamen",""))&lt;&gt;"","INCOMPLETA: "&amp;TRIM(IF($A767="","tipo ","")&amp;IF($F767="","fecha de firma ","")&amp;IF($G767="","decisión ","")&amp;IF($H767="","N° resolución ","")&amp;IF($I767="","N° dictamen","")),IF(LEFT($N767,4)&lt;&gt;"CONC","OK",IF(N($Q767)=0,IF(AND(ISNUMBER($E767),$E767&gt;=DATE(2024,1,1)),"FALTA EN evol_conc","OK"),IF(INDEX(evol_conc!$H:$H,$Q767)&lt;&gt;$F767,"FIRMA DISTINTA EN evol_conc ("&amp;IF(INDEX(evol_conc!$H:$H,$Q767)="","vacía",DAY(INDEX(evol_conc!$H:$H,$Q767))&amp;"/"&amp;MONTH(INDEX(evol_conc!$H:$H,$Q767))&amp;"/"&amp;YEAR(INDEX(evol_conc!$H:$H,$Q767)))&amp;")",IF(INDEX(evol_conc!$G:$G,$Q767)&lt;&gt;$E767,"INGRESO DISTINTO EN evol_conc ("&amp;IF(INDEX(evol_conc!$G:$G,$Q767)="","vacía",DAY(INDEX(evol_conc!$G:$G,$Q767))&amp;"/"&amp;MONTH(INDEX(evol_conc!$G:$G,$Q767))&amp;"/"&amp;YEAR(INDEX(evol_conc!$G:$G,$Q767)))&amp;")","OK"))))))))</f>
        <v/>
      </c>
      <c r="Q767" t="str">
        <f ca="1">IF($N767="","",IFERROR(MATCH($N767,evol_conc!$P:$P,0),0))</f>
        <v/>
      </c>
    </row>
    <row r="768" spans="12:17" ht="18" hidden="1" customHeight="1" x14ac:dyDescent="0.25">
      <c r="L768" s="53" t="str">
        <f t="shared" si="22"/>
        <v/>
      </c>
      <c r="M768" s="19" t="str">
        <f t="shared" si="23"/>
        <v/>
      </c>
      <c r="N768" t="str">
        <f ca="1">IF(TRIM(SUBSTITUTE($B768,CHAR(160)," "))="","",IFERROR(IF(ISNUMBER(SEARCH("INC",$B768)),"INC",IF(ISNUMBER(SEARCH("OPI",$B768)),"OPI",IF(ISNUMBER(SEARCH("DP",$B768)),"DP","CONC")))&amp;" "&amp;TEXT(LOOKUP(9.99E+307,--MID(SUBSTITUTE($B768,CHAR(160)," "),SUMPRODUCT(MIN(FIND({0,1,2,3,4,5,6,7,8,9},SUBSTITUTE($B768,CHAR(160)," ")&amp;"0123456789"))),ROW(INDIRECT("1:6")))),"0"),"SIN NUMERO"))</f>
        <v/>
      </c>
      <c r="O768" t="str">
        <f ca="1">IF($N768="","",IF(LEFT(UPPER($P768),9)="VERIFICAR","VERIFICAR",IF(AND($H768&lt;&gt;"",COUNTIFS($N$2:$N$1000,$N768,$H$2:$H$1000,$H768)&gt;1),"DUPLICADA",IF(TRIM(IF($A768="","tipo ","")&amp;IF($F768="","fecha de firma ","")&amp;IF($G768="","decisión ","")&amp;IF($H768="","N° resolución ","")&amp;IF($I768="","N° dictamen",""))&lt;&gt;"","INCOMPLETA: "&amp;TRIM(IF($A768="","tipo ","")&amp;IF($F768="","fecha de firma ","")&amp;IF($G768="","decisión ","")&amp;IF($H768="","N° resolución ","")&amp;IF($I768="","N° dictamen","")),IF(LEFT($N768,4)&lt;&gt;"CONC","OK",IF(N($Q768)=0,IF(AND(ISNUMBER($E768),$E768&gt;=DATE(2024,1,1)),"FALTA EN evol_conc","OK"),IF(INDEX(evol_conc!$H:$H,$Q768)&lt;&gt;$F768,"FIRMA DISTINTA EN evol_conc ("&amp;IF(INDEX(evol_conc!$H:$H,$Q768)="","vacía",DAY(INDEX(evol_conc!$H:$H,$Q768))&amp;"/"&amp;MONTH(INDEX(evol_conc!$H:$H,$Q768))&amp;"/"&amp;YEAR(INDEX(evol_conc!$H:$H,$Q768)))&amp;")",IF(INDEX(evol_conc!$G:$G,$Q768)&lt;&gt;$E768,"INGRESO DISTINTO EN evol_conc ("&amp;IF(INDEX(evol_conc!$G:$G,$Q768)="","vacía",DAY(INDEX(evol_conc!$G:$G,$Q768))&amp;"/"&amp;MONTH(INDEX(evol_conc!$G:$G,$Q768))&amp;"/"&amp;YEAR(INDEX(evol_conc!$G:$G,$Q768)))&amp;")","OK"))))))))</f>
        <v/>
      </c>
      <c r="Q768" t="str">
        <f ca="1">IF($N768="","",IFERROR(MATCH($N768,evol_conc!$P:$P,0),0))</f>
        <v/>
      </c>
    </row>
    <row r="769" spans="12:17" ht="18" hidden="1" customHeight="1" x14ac:dyDescent="0.25">
      <c r="L769" s="53" t="str">
        <f t="shared" si="22"/>
        <v/>
      </c>
      <c r="M769" s="19" t="str">
        <f t="shared" si="23"/>
        <v/>
      </c>
      <c r="N769" t="str">
        <f ca="1">IF(TRIM(SUBSTITUTE($B769,CHAR(160)," "))="","",IFERROR(IF(ISNUMBER(SEARCH("INC",$B769)),"INC",IF(ISNUMBER(SEARCH("OPI",$B769)),"OPI",IF(ISNUMBER(SEARCH("DP",$B769)),"DP","CONC")))&amp;" "&amp;TEXT(LOOKUP(9.99E+307,--MID(SUBSTITUTE($B769,CHAR(160)," "),SUMPRODUCT(MIN(FIND({0,1,2,3,4,5,6,7,8,9},SUBSTITUTE($B769,CHAR(160)," ")&amp;"0123456789"))),ROW(INDIRECT("1:6")))),"0"),"SIN NUMERO"))</f>
        <v/>
      </c>
      <c r="O769" t="str">
        <f ca="1">IF($N769="","",IF(LEFT(UPPER($P769),9)="VERIFICAR","VERIFICAR",IF(AND($H769&lt;&gt;"",COUNTIFS($N$2:$N$1000,$N769,$H$2:$H$1000,$H769)&gt;1),"DUPLICADA",IF(TRIM(IF($A769="","tipo ","")&amp;IF($F769="","fecha de firma ","")&amp;IF($G769="","decisión ","")&amp;IF($H769="","N° resolución ","")&amp;IF($I769="","N° dictamen",""))&lt;&gt;"","INCOMPLETA: "&amp;TRIM(IF($A769="","tipo ","")&amp;IF($F769="","fecha de firma ","")&amp;IF($G769="","decisión ","")&amp;IF($H769="","N° resolución ","")&amp;IF($I769="","N° dictamen","")),IF(LEFT($N769,4)&lt;&gt;"CONC","OK",IF(N($Q769)=0,IF(AND(ISNUMBER($E769),$E769&gt;=DATE(2024,1,1)),"FALTA EN evol_conc","OK"),IF(INDEX(evol_conc!$H:$H,$Q769)&lt;&gt;$F769,"FIRMA DISTINTA EN evol_conc ("&amp;IF(INDEX(evol_conc!$H:$H,$Q769)="","vacía",DAY(INDEX(evol_conc!$H:$H,$Q769))&amp;"/"&amp;MONTH(INDEX(evol_conc!$H:$H,$Q769))&amp;"/"&amp;YEAR(INDEX(evol_conc!$H:$H,$Q769)))&amp;")",IF(INDEX(evol_conc!$G:$G,$Q769)&lt;&gt;$E769,"INGRESO DISTINTO EN evol_conc ("&amp;IF(INDEX(evol_conc!$G:$G,$Q769)="","vacía",DAY(INDEX(evol_conc!$G:$G,$Q769))&amp;"/"&amp;MONTH(INDEX(evol_conc!$G:$G,$Q769))&amp;"/"&amp;YEAR(INDEX(evol_conc!$G:$G,$Q769)))&amp;")","OK"))))))))</f>
        <v/>
      </c>
      <c r="Q769" t="str">
        <f ca="1">IF($N769="","",IFERROR(MATCH($N769,evol_conc!$P:$P,0),0))</f>
        <v/>
      </c>
    </row>
    <row r="770" spans="12:17" ht="18" hidden="1" customHeight="1" x14ac:dyDescent="0.25">
      <c r="L770" s="53" t="str">
        <f t="shared" ref="L770:L833" si="24">IF(OR($E770="",$F770=""),"",($F770-$E770)/30)</f>
        <v/>
      </c>
      <c r="M770" s="19" t="str">
        <f t="shared" ref="M770:M833" si="25">IF(OR($E770="",$F770=""),"",$F770-$E770)</f>
        <v/>
      </c>
      <c r="N770" t="str">
        <f ca="1">IF(TRIM(SUBSTITUTE($B770,CHAR(160)," "))="","",IFERROR(IF(ISNUMBER(SEARCH("INC",$B770)),"INC",IF(ISNUMBER(SEARCH("OPI",$B770)),"OPI",IF(ISNUMBER(SEARCH("DP",$B770)),"DP","CONC")))&amp;" "&amp;TEXT(LOOKUP(9.99E+307,--MID(SUBSTITUTE($B770,CHAR(160)," "),SUMPRODUCT(MIN(FIND({0,1,2,3,4,5,6,7,8,9},SUBSTITUTE($B770,CHAR(160)," ")&amp;"0123456789"))),ROW(INDIRECT("1:6")))),"0"),"SIN NUMERO"))</f>
        <v/>
      </c>
      <c r="O770" t="str">
        <f ca="1">IF($N770="","",IF(LEFT(UPPER($P770),9)="VERIFICAR","VERIFICAR",IF(AND($H770&lt;&gt;"",COUNTIFS($N$2:$N$1000,$N770,$H$2:$H$1000,$H770)&gt;1),"DUPLICADA",IF(TRIM(IF($A770="","tipo ","")&amp;IF($F770="","fecha de firma ","")&amp;IF($G770="","decisión ","")&amp;IF($H770="","N° resolución ","")&amp;IF($I770="","N° dictamen",""))&lt;&gt;"","INCOMPLETA: "&amp;TRIM(IF($A770="","tipo ","")&amp;IF($F770="","fecha de firma ","")&amp;IF($G770="","decisión ","")&amp;IF($H770="","N° resolución ","")&amp;IF($I770="","N° dictamen","")),IF(LEFT($N770,4)&lt;&gt;"CONC","OK",IF(N($Q770)=0,IF(AND(ISNUMBER($E770),$E770&gt;=DATE(2024,1,1)),"FALTA EN evol_conc","OK"),IF(INDEX(evol_conc!$H:$H,$Q770)&lt;&gt;$F770,"FIRMA DISTINTA EN evol_conc ("&amp;IF(INDEX(evol_conc!$H:$H,$Q770)="","vacía",DAY(INDEX(evol_conc!$H:$H,$Q770))&amp;"/"&amp;MONTH(INDEX(evol_conc!$H:$H,$Q770))&amp;"/"&amp;YEAR(INDEX(evol_conc!$H:$H,$Q770)))&amp;")",IF(INDEX(evol_conc!$G:$G,$Q770)&lt;&gt;$E770,"INGRESO DISTINTO EN evol_conc ("&amp;IF(INDEX(evol_conc!$G:$G,$Q770)="","vacía",DAY(INDEX(evol_conc!$G:$G,$Q770))&amp;"/"&amp;MONTH(INDEX(evol_conc!$G:$G,$Q770))&amp;"/"&amp;YEAR(INDEX(evol_conc!$G:$G,$Q770)))&amp;")","OK"))))))))</f>
        <v/>
      </c>
      <c r="Q770" t="str">
        <f ca="1">IF($N770="","",IFERROR(MATCH($N770,evol_conc!$P:$P,0),0))</f>
        <v/>
      </c>
    </row>
    <row r="771" spans="12:17" ht="18" hidden="1" customHeight="1" x14ac:dyDescent="0.25">
      <c r="L771" s="53" t="str">
        <f t="shared" si="24"/>
        <v/>
      </c>
      <c r="M771" s="19" t="str">
        <f t="shared" si="25"/>
        <v/>
      </c>
      <c r="N771" t="str">
        <f ca="1">IF(TRIM(SUBSTITUTE($B771,CHAR(160)," "))="","",IFERROR(IF(ISNUMBER(SEARCH("INC",$B771)),"INC",IF(ISNUMBER(SEARCH("OPI",$B771)),"OPI",IF(ISNUMBER(SEARCH("DP",$B771)),"DP","CONC")))&amp;" "&amp;TEXT(LOOKUP(9.99E+307,--MID(SUBSTITUTE($B771,CHAR(160)," "),SUMPRODUCT(MIN(FIND({0,1,2,3,4,5,6,7,8,9},SUBSTITUTE($B771,CHAR(160)," ")&amp;"0123456789"))),ROW(INDIRECT("1:6")))),"0"),"SIN NUMERO"))</f>
        <v/>
      </c>
      <c r="O771" t="str">
        <f ca="1">IF($N771="","",IF(LEFT(UPPER($P771),9)="VERIFICAR","VERIFICAR",IF(AND($H771&lt;&gt;"",COUNTIFS($N$2:$N$1000,$N771,$H$2:$H$1000,$H771)&gt;1),"DUPLICADA",IF(TRIM(IF($A771="","tipo ","")&amp;IF($F771="","fecha de firma ","")&amp;IF($G771="","decisión ","")&amp;IF($H771="","N° resolución ","")&amp;IF($I771="","N° dictamen",""))&lt;&gt;"","INCOMPLETA: "&amp;TRIM(IF($A771="","tipo ","")&amp;IF($F771="","fecha de firma ","")&amp;IF($G771="","decisión ","")&amp;IF($H771="","N° resolución ","")&amp;IF($I771="","N° dictamen","")),IF(LEFT($N771,4)&lt;&gt;"CONC","OK",IF(N($Q771)=0,IF(AND(ISNUMBER($E771),$E771&gt;=DATE(2024,1,1)),"FALTA EN evol_conc","OK"),IF(INDEX(evol_conc!$H:$H,$Q771)&lt;&gt;$F771,"FIRMA DISTINTA EN evol_conc ("&amp;IF(INDEX(evol_conc!$H:$H,$Q771)="","vacía",DAY(INDEX(evol_conc!$H:$H,$Q771))&amp;"/"&amp;MONTH(INDEX(evol_conc!$H:$H,$Q771))&amp;"/"&amp;YEAR(INDEX(evol_conc!$H:$H,$Q771)))&amp;")",IF(INDEX(evol_conc!$G:$G,$Q771)&lt;&gt;$E771,"INGRESO DISTINTO EN evol_conc ("&amp;IF(INDEX(evol_conc!$G:$G,$Q771)="","vacía",DAY(INDEX(evol_conc!$G:$G,$Q771))&amp;"/"&amp;MONTH(INDEX(evol_conc!$G:$G,$Q771))&amp;"/"&amp;YEAR(INDEX(evol_conc!$G:$G,$Q771)))&amp;")","OK"))))))))</f>
        <v/>
      </c>
      <c r="Q771" t="str">
        <f ca="1">IF($N771="","",IFERROR(MATCH($N771,evol_conc!$P:$P,0),0))</f>
        <v/>
      </c>
    </row>
    <row r="772" spans="12:17" ht="18" hidden="1" customHeight="1" x14ac:dyDescent="0.25">
      <c r="L772" s="53" t="str">
        <f t="shared" si="24"/>
        <v/>
      </c>
      <c r="M772" s="19" t="str">
        <f t="shared" si="25"/>
        <v/>
      </c>
      <c r="N772" t="str">
        <f ca="1">IF(TRIM(SUBSTITUTE($B772,CHAR(160)," "))="","",IFERROR(IF(ISNUMBER(SEARCH("INC",$B772)),"INC",IF(ISNUMBER(SEARCH("OPI",$B772)),"OPI",IF(ISNUMBER(SEARCH("DP",$B772)),"DP","CONC")))&amp;" "&amp;TEXT(LOOKUP(9.99E+307,--MID(SUBSTITUTE($B772,CHAR(160)," "),SUMPRODUCT(MIN(FIND({0,1,2,3,4,5,6,7,8,9},SUBSTITUTE($B772,CHAR(160)," ")&amp;"0123456789"))),ROW(INDIRECT("1:6")))),"0"),"SIN NUMERO"))</f>
        <v/>
      </c>
      <c r="O772" t="str">
        <f ca="1">IF($N772="","",IF(LEFT(UPPER($P772),9)="VERIFICAR","VERIFICAR",IF(AND($H772&lt;&gt;"",COUNTIFS($N$2:$N$1000,$N772,$H$2:$H$1000,$H772)&gt;1),"DUPLICADA",IF(TRIM(IF($A772="","tipo ","")&amp;IF($F772="","fecha de firma ","")&amp;IF($G772="","decisión ","")&amp;IF($H772="","N° resolución ","")&amp;IF($I772="","N° dictamen",""))&lt;&gt;"","INCOMPLETA: "&amp;TRIM(IF($A772="","tipo ","")&amp;IF($F772="","fecha de firma ","")&amp;IF($G772="","decisión ","")&amp;IF($H772="","N° resolución ","")&amp;IF($I772="","N° dictamen","")),IF(LEFT($N772,4)&lt;&gt;"CONC","OK",IF(N($Q772)=0,IF(AND(ISNUMBER($E772),$E772&gt;=DATE(2024,1,1)),"FALTA EN evol_conc","OK"),IF(INDEX(evol_conc!$H:$H,$Q772)&lt;&gt;$F772,"FIRMA DISTINTA EN evol_conc ("&amp;IF(INDEX(evol_conc!$H:$H,$Q772)="","vacía",DAY(INDEX(evol_conc!$H:$H,$Q772))&amp;"/"&amp;MONTH(INDEX(evol_conc!$H:$H,$Q772))&amp;"/"&amp;YEAR(INDEX(evol_conc!$H:$H,$Q772)))&amp;")",IF(INDEX(evol_conc!$G:$G,$Q772)&lt;&gt;$E772,"INGRESO DISTINTO EN evol_conc ("&amp;IF(INDEX(evol_conc!$G:$G,$Q772)="","vacía",DAY(INDEX(evol_conc!$G:$G,$Q772))&amp;"/"&amp;MONTH(INDEX(evol_conc!$G:$G,$Q772))&amp;"/"&amp;YEAR(INDEX(evol_conc!$G:$G,$Q772)))&amp;")","OK"))))))))</f>
        <v/>
      </c>
      <c r="Q772" t="str">
        <f ca="1">IF($N772="","",IFERROR(MATCH($N772,evol_conc!$P:$P,0),0))</f>
        <v/>
      </c>
    </row>
    <row r="773" spans="12:17" ht="18" hidden="1" customHeight="1" x14ac:dyDescent="0.25">
      <c r="L773" s="53" t="str">
        <f t="shared" si="24"/>
        <v/>
      </c>
      <c r="M773" s="19" t="str">
        <f t="shared" si="25"/>
        <v/>
      </c>
      <c r="N773" t="str">
        <f ca="1">IF(TRIM(SUBSTITUTE($B773,CHAR(160)," "))="","",IFERROR(IF(ISNUMBER(SEARCH("INC",$B773)),"INC",IF(ISNUMBER(SEARCH("OPI",$B773)),"OPI",IF(ISNUMBER(SEARCH("DP",$B773)),"DP","CONC")))&amp;" "&amp;TEXT(LOOKUP(9.99E+307,--MID(SUBSTITUTE($B773,CHAR(160)," "),SUMPRODUCT(MIN(FIND({0,1,2,3,4,5,6,7,8,9},SUBSTITUTE($B773,CHAR(160)," ")&amp;"0123456789"))),ROW(INDIRECT("1:6")))),"0"),"SIN NUMERO"))</f>
        <v/>
      </c>
      <c r="O773" t="str">
        <f ca="1">IF($N773="","",IF(LEFT(UPPER($P773),9)="VERIFICAR","VERIFICAR",IF(AND($H773&lt;&gt;"",COUNTIFS($N$2:$N$1000,$N773,$H$2:$H$1000,$H773)&gt;1),"DUPLICADA",IF(TRIM(IF($A773="","tipo ","")&amp;IF($F773="","fecha de firma ","")&amp;IF($G773="","decisión ","")&amp;IF($H773="","N° resolución ","")&amp;IF($I773="","N° dictamen",""))&lt;&gt;"","INCOMPLETA: "&amp;TRIM(IF($A773="","tipo ","")&amp;IF($F773="","fecha de firma ","")&amp;IF($G773="","decisión ","")&amp;IF($H773="","N° resolución ","")&amp;IF($I773="","N° dictamen","")),IF(LEFT($N773,4)&lt;&gt;"CONC","OK",IF(N($Q773)=0,IF(AND(ISNUMBER($E773),$E773&gt;=DATE(2024,1,1)),"FALTA EN evol_conc","OK"),IF(INDEX(evol_conc!$H:$H,$Q773)&lt;&gt;$F773,"FIRMA DISTINTA EN evol_conc ("&amp;IF(INDEX(evol_conc!$H:$H,$Q773)="","vacía",DAY(INDEX(evol_conc!$H:$H,$Q773))&amp;"/"&amp;MONTH(INDEX(evol_conc!$H:$H,$Q773))&amp;"/"&amp;YEAR(INDEX(evol_conc!$H:$H,$Q773)))&amp;")",IF(INDEX(evol_conc!$G:$G,$Q773)&lt;&gt;$E773,"INGRESO DISTINTO EN evol_conc ("&amp;IF(INDEX(evol_conc!$G:$G,$Q773)="","vacía",DAY(INDEX(evol_conc!$G:$G,$Q773))&amp;"/"&amp;MONTH(INDEX(evol_conc!$G:$G,$Q773))&amp;"/"&amp;YEAR(INDEX(evol_conc!$G:$G,$Q773)))&amp;")","OK"))))))))</f>
        <v/>
      </c>
      <c r="Q773" t="str">
        <f ca="1">IF($N773="","",IFERROR(MATCH($N773,evol_conc!$P:$P,0),0))</f>
        <v/>
      </c>
    </row>
    <row r="774" spans="12:17" ht="18" hidden="1" customHeight="1" x14ac:dyDescent="0.25">
      <c r="L774" s="53" t="str">
        <f t="shared" si="24"/>
        <v/>
      </c>
      <c r="M774" s="19" t="str">
        <f t="shared" si="25"/>
        <v/>
      </c>
      <c r="N774" t="str">
        <f ca="1">IF(TRIM(SUBSTITUTE($B774,CHAR(160)," "))="","",IFERROR(IF(ISNUMBER(SEARCH("INC",$B774)),"INC",IF(ISNUMBER(SEARCH("OPI",$B774)),"OPI",IF(ISNUMBER(SEARCH("DP",$B774)),"DP","CONC")))&amp;" "&amp;TEXT(LOOKUP(9.99E+307,--MID(SUBSTITUTE($B774,CHAR(160)," "),SUMPRODUCT(MIN(FIND({0,1,2,3,4,5,6,7,8,9},SUBSTITUTE($B774,CHAR(160)," ")&amp;"0123456789"))),ROW(INDIRECT("1:6")))),"0"),"SIN NUMERO"))</f>
        <v/>
      </c>
      <c r="O774" t="str">
        <f ca="1">IF($N774="","",IF(LEFT(UPPER($P774),9)="VERIFICAR","VERIFICAR",IF(AND($H774&lt;&gt;"",COUNTIFS($N$2:$N$1000,$N774,$H$2:$H$1000,$H774)&gt;1),"DUPLICADA",IF(TRIM(IF($A774="","tipo ","")&amp;IF($F774="","fecha de firma ","")&amp;IF($G774="","decisión ","")&amp;IF($H774="","N° resolución ","")&amp;IF($I774="","N° dictamen",""))&lt;&gt;"","INCOMPLETA: "&amp;TRIM(IF($A774="","tipo ","")&amp;IF($F774="","fecha de firma ","")&amp;IF($G774="","decisión ","")&amp;IF($H774="","N° resolución ","")&amp;IF($I774="","N° dictamen","")),IF(LEFT($N774,4)&lt;&gt;"CONC","OK",IF(N($Q774)=0,IF(AND(ISNUMBER($E774),$E774&gt;=DATE(2024,1,1)),"FALTA EN evol_conc","OK"),IF(INDEX(evol_conc!$H:$H,$Q774)&lt;&gt;$F774,"FIRMA DISTINTA EN evol_conc ("&amp;IF(INDEX(evol_conc!$H:$H,$Q774)="","vacía",DAY(INDEX(evol_conc!$H:$H,$Q774))&amp;"/"&amp;MONTH(INDEX(evol_conc!$H:$H,$Q774))&amp;"/"&amp;YEAR(INDEX(evol_conc!$H:$H,$Q774)))&amp;")",IF(INDEX(evol_conc!$G:$G,$Q774)&lt;&gt;$E774,"INGRESO DISTINTO EN evol_conc ("&amp;IF(INDEX(evol_conc!$G:$G,$Q774)="","vacía",DAY(INDEX(evol_conc!$G:$G,$Q774))&amp;"/"&amp;MONTH(INDEX(evol_conc!$G:$G,$Q774))&amp;"/"&amp;YEAR(INDEX(evol_conc!$G:$G,$Q774)))&amp;")","OK"))))))))</f>
        <v/>
      </c>
      <c r="Q774" t="str">
        <f ca="1">IF($N774="","",IFERROR(MATCH($N774,evol_conc!$P:$P,0),0))</f>
        <v/>
      </c>
    </row>
    <row r="775" spans="12:17" ht="18" hidden="1" customHeight="1" x14ac:dyDescent="0.25">
      <c r="L775" s="53" t="str">
        <f t="shared" si="24"/>
        <v/>
      </c>
      <c r="M775" s="19" t="str">
        <f t="shared" si="25"/>
        <v/>
      </c>
      <c r="N775" t="str">
        <f ca="1">IF(TRIM(SUBSTITUTE($B775,CHAR(160)," "))="","",IFERROR(IF(ISNUMBER(SEARCH("INC",$B775)),"INC",IF(ISNUMBER(SEARCH("OPI",$B775)),"OPI",IF(ISNUMBER(SEARCH("DP",$B775)),"DP","CONC")))&amp;" "&amp;TEXT(LOOKUP(9.99E+307,--MID(SUBSTITUTE($B775,CHAR(160)," "),SUMPRODUCT(MIN(FIND({0,1,2,3,4,5,6,7,8,9},SUBSTITUTE($B775,CHAR(160)," ")&amp;"0123456789"))),ROW(INDIRECT("1:6")))),"0"),"SIN NUMERO"))</f>
        <v/>
      </c>
      <c r="O775" t="str">
        <f ca="1">IF($N775="","",IF(LEFT(UPPER($P775),9)="VERIFICAR","VERIFICAR",IF(AND($H775&lt;&gt;"",COUNTIFS($N$2:$N$1000,$N775,$H$2:$H$1000,$H775)&gt;1),"DUPLICADA",IF(TRIM(IF($A775="","tipo ","")&amp;IF($F775="","fecha de firma ","")&amp;IF($G775="","decisión ","")&amp;IF($H775="","N° resolución ","")&amp;IF($I775="","N° dictamen",""))&lt;&gt;"","INCOMPLETA: "&amp;TRIM(IF($A775="","tipo ","")&amp;IF($F775="","fecha de firma ","")&amp;IF($G775="","decisión ","")&amp;IF($H775="","N° resolución ","")&amp;IF($I775="","N° dictamen","")),IF(LEFT($N775,4)&lt;&gt;"CONC","OK",IF(N($Q775)=0,IF(AND(ISNUMBER($E775),$E775&gt;=DATE(2024,1,1)),"FALTA EN evol_conc","OK"),IF(INDEX(evol_conc!$H:$H,$Q775)&lt;&gt;$F775,"FIRMA DISTINTA EN evol_conc ("&amp;IF(INDEX(evol_conc!$H:$H,$Q775)="","vacía",DAY(INDEX(evol_conc!$H:$H,$Q775))&amp;"/"&amp;MONTH(INDEX(evol_conc!$H:$H,$Q775))&amp;"/"&amp;YEAR(INDEX(evol_conc!$H:$H,$Q775)))&amp;")",IF(INDEX(evol_conc!$G:$G,$Q775)&lt;&gt;$E775,"INGRESO DISTINTO EN evol_conc ("&amp;IF(INDEX(evol_conc!$G:$G,$Q775)="","vacía",DAY(INDEX(evol_conc!$G:$G,$Q775))&amp;"/"&amp;MONTH(INDEX(evol_conc!$G:$G,$Q775))&amp;"/"&amp;YEAR(INDEX(evol_conc!$G:$G,$Q775)))&amp;")","OK"))))))))</f>
        <v/>
      </c>
      <c r="Q775" t="str">
        <f ca="1">IF($N775="","",IFERROR(MATCH($N775,evol_conc!$P:$P,0),0))</f>
        <v/>
      </c>
    </row>
    <row r="776" spans="12:17" ht="18" hidden="1" customHeight="1" x14ac:dyDescent="0.25">
      <c r="L776" s="53" t="str">
        <f t="shared" si="24"/>
        <v/>
      </c>
      <c r="M776" s="19" t="str">
        <f t="shared" si="25"/>
        <v/>
      </c>
      <c r="N776" t="str">
        <f ca="1">IF(TRIM(SUBSTITUTE($B776,CHAR(160)," "))="","",IFERROR(IF(ISNUMBER(SEARCH("INC",$B776)),"INC",IF(ISNUMBER(SEARCH("OPI",$B776)),"OPI",IF(ISNUMBER(SEARCH("DP",$B776)),"DP","CONC")))&amp;" "&amp;TEXT(LOOKUP(9.99E+307,--MID(SUBSTITUTE($B776,CHAR(160)," "),SUMPRODUCT(MIN(FIND({0,1,2,3,4,5,6,7,8,9},SUBSTITUTE($B776,CHAR(160)," ")&amp;"0123456789"))),ROW(INDIRECT("1:6")))),"0"),"SIN NUMERO"))</f>
        <v/>
      </c>
      <c r="O776" t="str">
        <f ca="1">IF($N776="","",IF(LEFT(UPPER($P776),9)="VERIFICAR","VERIFICAR",IF(AND($H776&lt;&gt;"",COUNTIFS($N$2:$N$1000,$N776,$H$2:$H$1000,$H776)&gt;1),"DUPLICADA",IF(TRIM(IF($A776="","tipo ","")&amp;IF($F776="","fecha de firma ","")&amp;IF($G776="","decisión ","")&amp;IF($H776="","N° resolución ","")&amp;IF($I776="","N° dictamen",""))&lt;&gt;"","INCOMPLETA: "&amp;TRIM(IF($A776="","tipo ","")&amp;IF($F776="","fecha de firma ","")&amp;IF($G776="","decisión ","")&amp;IF($H776="","N° resolución ","")&amp;IF($I776="","N° dictamen","")),IF(LEFT($N776,4)&lt;&gt;"CONC","OK",IF(N($Q776)=0,IF(AND(ISNUMBER($E776),$E776&gt;=DATE(2024,1,1)),"FALTA EN evol_conc","OK"),IF(INDEX(evol_conc!$H:$H,$Q776)&lt;&gt;$F776,"FIRMA DISTINTA EN evol_conc ("&amp;IF(INDEX(evol_conc!$H:$H,$Q776)="","vacía",DAY(INDEX(evol_conc!$H:$H,$Q776))&amp;"/"&amp;MONTH(INDEX(evol_conc!$H:$H,$Q776))&amp;"/"&amp;YEAR(INDEX(evol_conc!$H:$H,$Q776)))&amp;")",IF(INDEX(evol_conc!$G:$G,$Q776)&lt;&gt;$E776,"INGRESO DISTINTO EN evol_conc ("&amp;IF(INDEX(evol_conc!$G:$G,$Q776)="","vacía",DAY(INDEX(evol_conc!$G:$G,$Q776))&amp;"/"&amp;MONTH(INDEX(evol_conc!$G:$G,$Q776))&amp;"/"&amp;YEAR(INDEX(evol_conc!$G:$G,$Q776)))&amp;")","OK"))))))))</f>
        <v/>
      </c>
      <c r="Q776" t="str">
        <f ca="1">IF($N776="","",IFERROR(MATCH($N776,evol_conc!$P:$P,0),0))</f>
        <v/>
      </c>
    </row>
    <row r="777" spans="12:17" ht="18" hidden="1" customHeight="1" x14ac:dyDescent="0.25">
      <c r="L777" s="53" t="str">
        <f t="shared" si="24"/>
        <v/>
      </c>
      <c r="M777" s="19" t="str">
        <f t="shared" si="25"/>
        <v/>
      </c>
      <c r="N777" t="str">
        <f ca="1">IF(TRIM(SUBSTITUTE($B777,CHAR(160)," "))="","",IFERROR(IF(ISNUMBER(SEARCH("INC",$B777)),"INC",IF(ISNUMBER(SEARCH("OPI",$B777)),"OPI",IF(ISNUMBER(SEARCH("DP",$B777)),"DP","CONC")))&amp;" "&amp;TEXT(LOOKUP(9.99E+307,--MID(SUBSTITUTE($B777,CHAR(160)," "),SUMPRODUCT(MIN(FIND({0,1,2,3,4,5,6,7,8,9},SUBSTITUTE($B777,CHAR(160)," ")&amp;"0123456789"))),ROW(INDIRECT("1:6")))),"0"),"SIN NUMERO"))</f>
        <v/>
      </c>
      <c r="O777" t="str">
        <f ca="1">IF($N777="","",IF(LEFT(UPPER($P777),9)="VERIFICAR","VERIFICAR",IF(AND($H777&lt;&gt;"",COUNTIFS($N$2:$N$1000,$N777,$H$2:$H$1000,$H777)&gt;1),"DUPLICADA",IF(TRIM(IF($A777="","tipo ","")&amp;IF($F777="","fecha de firma ","")&amp;IF($G777="","decisión ","")&amp;IF($H777="","N° resolución ","")&amp;IF($I777="","N° dictamen",""))&lt;&gt;"","INCOMPLETA: "&amp;TRIM(IF($A777="","tipo ","")&amp;IF($F777="","fecha de firma ","")&amp;IF($G777="","decisión ","")&amp;IF($H777="","N° resolución ","")&amp;IF($I777="","N° dictamen","")),IF(LEFT($N777,4)&lt;&gt;"CONC","OK",IF(N($Q777)=0,IF(AND(ISNUMBER($E777),$E777&gt;=DATE(2024,1,1)),"FALTA EN evol_conc","OK"),IF(INDEX(evol_conc!$H:$H,$Q777)&lt;&gt;$F777,"FIRMA DISTINTA EN evol_conc ("&amp;IF(INDEX(evol_conc!$H:$H,$Q777)="","vacía",DAY(INDEX(evol_conc!$H:$H,$Q777))&amp;"/"&amp;MONTH(INDEX(evol_conc!$H:$H,$Q777))&amp;"/"&amp;YEAR(INDEX(evol_conc!$H:$H,$Q777)))&amp;")",IF(INDEX(evol_conc!$G:$G,$Q777)&lt;&gt;$E777,"INGRESO DISTINTO EN evol_conc ("&amp;IF(INDEX(evol_conc!$G:$G,$Q777)="","vacía",DAY(INDEX(evol_conc!$G:$G,$Q777))&amp;"/"&amp;MONTH(INDEX(evol_conc!$G:$G,$Q777))&amp;"/"&amp;YEAR(INDEX(evol_conc!$G:$G,$Q777)))&amp;")","OK"))))))))</f>
        <v/>
      </c>
      <c r="Q777" t="str">
        <f ca="1">IF($N777="","",IFERROR(MATCH($N777,evol_conc!$P:$P,0),0))</f>
        <v/>
      </c>
    </row>
    <row r="778" spans="12:17" ht="18" hidden="1" customHeight="1" x14ac:dyDescent="0.25">
      <c r="L778" s="53" t="str">
        <f t="shared" si="24"/>
        <v/>
      </c>
      <c r="M778" s="19" t="str">
        <f t="shared" si="25"/>
        <v/>
      </c>
      <c r="N778" t="str">
        <f ca="1">IF(TRIM(SUBSTITUTE($B778,CHAR(160)," "))="","",IFERROR(IF(ISNUMBER(SEARCH("INC",$B778)),"INC",IF(ISNUMBER(SEARCH("OPI",$B778)),"OPI",IF(ISNUMBER(SEARCH("DP",$B778)),"DP","CONC")))&amp;" "&amp;TEXT(LOOKUP(9.99E+307,--MID(SUBSTITUTE($B778,CHAR(160)," "),SUMPRODUCT(MIN(FIND({0,1,2,3,4,5,6,7,8,9},SUBSTITUTE($B778,CHAR(160)," ")&amp;"0123456789"))),ROW(INDIRECT("1:6")))),"0"),"SIN NUMERO"))</f>
        <v/>
      </c>
      <c r="O778" t="str">
        <f ca="1">IF($N778="","",IF(LEFT(UPPER($P778),9)="VERIFICAR","VERIFICAR",IF(AND($H778&lt;&gt;"",COUNTIFS($N$2:$N$1000,$N778,$H$2:$H$1000,$H778)&gt;1),"DUPLICADA",IF(TRIM(IF($A778="","tipo ","")&amp;IF($F778="","fecha de firma ","")&amp;IF($G778="","decisión ","")&amp;IF($H778="","N° resolución ","")&amp;IF($I778="","N° dictamen",""))&lt;&gt;"","INCOMPLETA: "&amp;TRIM(IF($A778="","tipo ","")&amp;IF($F778="","fecha de firma ","")&amp;IF($G778="","decisión ","")&amp;IF($H778="","N° resolución ","")&amp;IF($I778="","N° dictamen","")),IF(LEFT($N778,4)&lt;&gt;"CONC","OK",IF(N($Q778)=0,IF(AND(ISNUMBER($E778),$E778&gt;=DATE(2024,1,1)),"FALTA EN evol_conc","OK"),IF(INDEX(evol_conc!$H:$H,$Q778)&lt;&gt;$F778,"FIRMA DISTINTA EN evol_conc ("&amp;IF(INDEX(evol_conc!$H:$H,$Q778)="","vacía",DAY(INDEX(evol_conc!$H:$H,$Q778))&amp;"/"&amp;MONTH(INDEX(evol_conc!$H:$H,$Q778))&amp;"/"&amp;YEAR(INDEX(evol_conc!$H:$H,$Q778)))&amp;")",IF(INDEX(evol_conc!$G:$G,$Q778)&lt;&gt;$E778,"INGRESO DISTINTO EN evol_conc ("&amp;IF(INDEX(evol_conc!$G:$G,$Q778)="","vacía",DAY(INDEX(evol_conc!$G:$G,$Q778))&amp;"/"&amp;MONTH(INDEX(evol_conc!$G:$G,$Q778))&amp;"/"&amp;YEAR(INDEX(evol_conc!$G:$G,$Q778)))&amp;")","OK"))))))))</f>
        <v/>
      </c>
      <c r="Q778" t="str">
        <f ca="1">IF($N778="","",IFERROR(MATCH($N778,evol_conc!$P:$P,0),0))</f>
        <v/>
      </c>
    </row>
    <row r="779" spans="12:17" ht="18" hidden="1" customHeight="1" x14ac:dyDescent="0.25">
      <c r="L779" s="53" t="str">
        <f t="shared" si="24"/>
        <v/>
      </c>
      <c r="M779" s="19" t="str">
        <f t="shared" si="25"/>
        <v/>
      </c>
      <c r="N779" t="str">
        <f ca="1">IF(TRIM(SUBSTITUTE($B779,CHAR(160)," "))="","",IFERROR(IF(ISNUMBER(SEARCH("INC",$B779)),"INC",IF(ISNUMBER(SEARCH("OPI",$B779)),"OPI",IF(ISNUMBER(SEARCH("DP",$B779)),"DP","CONC")))&amp;" "&amp;TEXT(LOOKUP(9.99E+307,--MID(SUBSTITUTE($B779,CHAR(160)," "),SUMPRODUCT(MIN(FIND({0,1,2,3,4,5,6,7,8,9},SUBSTITUTE($B779,CHAR(160)," ")&amp;"0123456789"))),ROW(INDIRECT("1:6")))),"0"),"SIN NUMERO"))</f>
        <v/>
      </c>
      <c r="O779" t="str">
        <f ca="1">IF($N779="","",IF(LEFT(UPPER($P779),9)="VERIFICAR","VERIFICAR",IF(AND($H779&lt;&gt;"",COUNTIFS($N$2:$N$1000,$N779,$H$2:$H$1000,$H779)&gt;1),"DUPLICADA",IF(TRIM(IF($A779="","tipo ","")&amp;IF($F779="","fecha de firma ","")&amp;IF($G779="","decisión ","")&amp;IF($H779="","N° resolución ","")&amp;IF($I779="","N° dictamen",""))&lt;&gt;"","INCOMPLETA: "&amp;TRIM(IF($A779="","tipo ","")&amp;IF($F779="","fecha de firma ","")&amp;IF($G779="","decisión ","")&amp;IF($H779="","N° resolución ","")&amp;IF($I779="","N° dictamen","")),IF(LEFT($N779,4)&lt;&gt;"CONC","OK",IF(N($Q779)=0,IF(AND(ISNUMBER($E779),$E779&gt;=DATE(2024,1,1)),"FALTA EN evol_conc","OK"),IF(INDEX(evol_conc!$H:$H,$Q779)&lt;&gt;$F779,"FIRMA DISTINTA EN evol_conc ("&amp;IF(INDEX(evol_conc!$H:$H,$Q779)="","vacía",DAY(INDEX(evol_conc!$H:$H,$Q779))&amp;"/"&amp;MONTH(INDEX(evol_conc!$H:$H,$Q779))&amp;"/"&amp;YEAR(INDEX(evol_conc!$H:$H,$Q779)))&amp;")",IF(INDEX(evol_conc!$G:$G,$Q779)&lt;&gt;$E779,"INGRESO DISTINTO EN evol_conc ("&amp;IF(INDEX(evol_conc!$G:$G,$Q779)="","vacía",DAY(INDEX(evol_conc!$G:$G,$Q779))&amp;"/"&amp;MONTH(INDEX(evol_conc!$G:$G,$Q779))&amp;"/"&amp;YEAR(INDEX(evol_conc!$G:$G,$Q779)))&amp;")","OK"))))))))</f>
        <v/>
      </c>
      <c r="Q779" t="str">
        <f ca="1">IF($N779="","",IFERROR(MATCH($N779,evol_conc!$P:$P,0),0))</f>
        <v/>
      </c>
    </row>
    <row r="780" spans="12:17" ht="18" hidden="1" customHeight="1" x14ac:dyDescent="0.25">
      <c r="L780" s="53" t="str">
        <f t="shared" si="24"/>
        <v/>
      </c>
      <c r="M780" s="19" t="str">
        <f t="shared" si="25"/>
        <v/>
      </c>
      <c r="N780" t="str">
        <f ca="1">IF(TRIM(SUBSTITUTE($B780,CHAR(160)," "))="","",IFERROR(IF(ISNUMBER(SEARCH("INC",$B780)),"INC",IF(ISNUMBER(SEARCH("OPI",$B780)),"OPI",IF(ISNUMBER(SEARCH("DP",$B780)),"DP","CONC")))&amp;" "&amp;TEXT(LOOKUP(9.99E+307,--MID(SUBSTITUTE($B780,CHAR(160)," "),SUMPRODUCT(MIN(FIND({0,1,2,3,4,5,6,7,8,9},SUBSTITUTE($B780,CHAR(160)," ")&amp;"0123456789"))),ROW(INDIRECT("1:6")))),"0"),"SIN NUMERO"))</f>
        <v/>
      </c>
      <c r="O780" t="str">
        <f ca="1">IF($N780="","",IF(LEFT(UPPER($P780),9)="VERIFICAR","VERIFICAR",IF(AND($H780&lt;&gt;"",COUNTIFS($N$2:$N$1000,$N780,$H$2:$H$1000,$H780)&gt;1),"DUPLICADA",IF(TRIM(IF($A780="","tipo ","")&amp;IF($F780="","fecha de firma ","")&amp;IF($G780="","decisión ","")&amp;IF($H780="","N° resolución ","")&amp;IF($I780="","N° dictamen",""))&lt;&gt;"","INCOMPLETA: "&amp;TRIM(IF($A780="","tipo ","")&amp;IF($F780="","fecha de firma ","")&amp;IF($G780="","decisión ","")&amp;IF($H780="","N° resolución ","")&amp;IF($I780="","N° dictamen","")),IF(LEFT($N780,4)&lt;&gt;"CONC","OK",IF(N($Q780)=0,IF(AND(ISNUMBER($E780),$E780&gt;=DATE(2024,1,1)),"FALTA EN evol_conc","OK"),IF(INDEX(evol_conc!$H:$H,$Q780)&lt;&gt;$F780,"FIRMA DISTINTA EN evol_conc ("&amp;IF(INDEX(evol_conc!$H:$H,$Q780)="","vacía",DAY(INDEX(evol_conc!$H:$H,$Q780))&amp;"/"&amp;MONTH(INDEX(evol_conc!$H:$H,$Q780))&amp;"/"&amp;YEAR(INDEX(evol_conc!$H:$H,$Q780)))&amp;")",IF(INDEX(evol_conc!$G:$G,$Q780)&lt;&gt;$E780,"INGRESO DISTINTO EN evol_conc ("&amp;IF(INDEX(evol_conc!$G:$G,$Q780)="","vacía",DAY(INDEX(evol_conc!$G:$G,$Q780))&amp;"/"&amp;MONTH(INDEX(evol_conc!$G:$G,$Q780))&amp;"/"&amp;YEAR(INDEX(evol_conc!$G:$G,$Q780)))&amp;")","OK"))))))))</f>
        <v/>
      </c>
      <c r="Q780" t="str">
        <f ca="1">IF($N780="","",IFERROR(MATCH($N780,evol_conc!$P:$P,0),0))</f>
        <v/>
      </c>
    </row>
    <row r="781" spans="12:17" ht="18" hidden="1" customHeight="1" x14ac:dyDescent="0.25">
      <c r="L781" s="53" t="str">
        <f t="shared" si="24"/>
        <v/>
      </c>
      <c r="M781" s="19" t="str">
        <f t="shared" si="25"/>
        <v/>
      </c>
      <c r="N781" t="str">
        <f ca="1">IF(TRIM(SUBSTITUTE($B781,CHAR(160)," "))="","",IFERROR(IF(ISNUMBER(SEARCH("INC",$B781)),"INC",IF(ISNUMBER(SEARCH("OPI",$B781)),"OPI",IF(ISNUMBER(SEARCH("DP",$B781)),"DP","CONC")))&amp;" "&amp;TEXT(LOOKUP(9.99E+307,--MID(SUBSTITUTE($B781,CHAR(160)," "),SUMPRODUCT(MIN(FIND({0,1,2,3,4,5,6,7,8,9},SUBSTITUTE($B781,CHAR(160)," ")&amp;"0123456789"))),ROW(INDIRECT("1:6")))),"0"),"SIN NUMERO"))</f>
        <v/>
      </c>
      <c r="O781" t="str">
        <f ca="1">IF($N781="","",IF(LEFT(UPPER($P781),9)="VERIFICAR","VERIFICAR",IF(AND($H781&lt;&gt;"",COUNTIFS($N$2:$N$1000,$N781,$H$2:$H$1000,$H781)&gt;1),"DUPLICADA",IF(TRIM(IF($A781="","tipo ","")&amp;IF($F781="","fecha de firma ","")&amp;IF($G781="","decisión ","")&amp;IF($H781="","N° resolución ","")&amp;IF($I781="","N° dictamen",""))&lt;&gt;"","INCOMPLETA: "&amp;TRIM(IF($A781="","tipo ","")&amp;IF($F781="","fecha de firma ","")&amp;IF($G781="","decisión ","")&amp;IF($H781="","N° resolución ","")&amp;IF($I781="","N° dictamen","")),IF(LEFT($N781,4)&lt;&gt;"CONC","OK",IF(N($Q781)=0,IF(AND(ISNUMBER($E781),$E781&gt;=DATE(2024,1,1)),"FALTA EN evol_conc","OK"),IF(INDEX(evol_conc!$H:$H,$Q781)&lt;&gt;$F781,"FIRMA DISTINTA EN evol_conc ("&amp;IF(INDEX(evol_conc!$H:$H,$Q781)="","vacía",DAY(INDEX(evol_conc!$H:$H,$Q781))&amp;"/"&amp;MONTH(INDEX(evol_conc!$H:$H,$Q781))&amp;"/"&amp;YEAR(INDEX(evol_conc!$H:$H,$Q781)))&amp;")",IF(INDEX(evol_conc!$G:$G,$Q781)&lt;&gt;$E781,"INGRESO DISTINTO EN evol_conc ("&amp;IF(INDEX(evol_conc!$G:$G,$Q781)="","vacía",DAY(INDEX(evol_conc!$G:$G,$Q781))&amp;"/"&amp;MONTH(INDEX(evol_conc!$G:$G,$Q781))&amp;"/"&amp;YEAR(INDEX(evol_conc!$G:$G,$Q781)))&amp;")","OK"))))))))</f>
        <v/>
      </c>
      <c r="Q781" t="str">
        <f ca="1">IF($N781="","",IFERROR(MATCH($N781,evol_conc!$P:$P,0),0))</f>
        <v/>
      </c>
    </row>
    <row r="782" spans="12:17" ht="18" hidden="1" customHeight="1" x14ac:dyDescent="0.25">
      <c r="L782" s="53" t="str">
        <f t="shared" si="24"/>
        <v/>
      </c>
      <c r="M782" s="19" t="str">
        <f t="shared" si="25"/>
        <v/>
      </c>
      <c r="N782" t="str">
        <f ca="1">IF(TRIM(SUBSTITUTE($B782,CHAR(160)," "))="","",IFERROR(IF(ISNUMBER(SEARCH("INC",$B782)),"INC",IF(ISNUMBER(SEARCH("OPI",$B782)),"OPI",IF(ISNUMBER(SEARCH("DP",$B782)),"DP","CONC")))&amp;" "&amp;TEXT(LOOKUP(9.99E+307,--MID(SUBSTITUTE($B782,CHAR(160)," "),SUMPRODUCT(MIN(FIND({0,1,2,3,4,5,6,7,8,9},SUBSTITUTE($B782,CHAR(160)," ")&amp;"0123456789"))),ROW(INDIRECT("1:6")))),"0"),"SIN NUMERO"))</f>
        <v/>
      </c>
      <c r="O782" t="str">
        <f ca="1">IF($N782="","",IF(LEFT(UPPER($P782),9)="VERIFICAR","VERIFICAR",IF(AND($H782&lt;&gt;"",COUNTIFS($N$2:$N$1000,$N782,$H$2:$H$1000,$H782)&gt;1),"DUPLICADA",IF(TRIM(IF($A782="","tipo ","")&amp;IF($F782="","fecha de firma ","")&amp;IF($G782="","decisión ","")&amp;IF($H782="","N° resolución ","")&amp;IF($I782="","N° dictamen",""))&lt;&gt;"","INCOMPLETA: "&amp;TRIM(IF($A782="","tipo ","")&amp;IF($F782="","fecha de firma ","")&amp;IF($G782="","decisión ","")&amp;IF($H782="","N° resolución ","")&amp;IF($I782="","N° dictamen","")),IF(LEFT($N782,4)&lt;&gt;"CONC","OK",IF(N($Q782)=0,IF(AND(ISNUMBER($E782),$E782&gt;=DATE(2024,1,1)),"FALTA EN evol_conc","OK"),IF(INDEX(evol_conc!$H:$H,$Q782)&lt;&gt;$F782,"FIRMA DISTINTA EN evol_conc ("&amp;IF(INDEX(evol_conc!$H:$H,$Q782)="","vacía",DAY(INDEX(evol_conc!$H:$H,$Q782))&amp;"/"&amp;MONTH(INDEX(evol_conc!$H:$H,$Q782))&amp;"/"&amp;YEAR(INDEX(evol_conc!$H:$H,$Q782)))&amp;")",IF(INDEX(evol_conc!$G:$G,$Q782)&lt;&gt;$E782,"INGRESO DISTINTO EN evol_conc ("&amp;IF(INDEX(evol_conc!$G:$G,$Q782)="","vacía",DAY(INDEX(evol_conc!$G:$G,$Q782))&amp;"/"&amp;MONTH(INDEX(evol_conc!$G:$G,$Q782))&amp;"/"&amp;YEAR(INDEX(evol_conc!$G:$G,$Q782)))&amp;")","OK"))))))))</f>
        <v/>
      </c>
      <c r="Q782" t="str">
        <f ca="1">IF($N782="","",IFERROR(MATCH($N782,evol_conc!$P:$P,0),0))</f>
        <v/>
      </c>
    </row>
    <row r="783" spans="12:17" ht="18" hidden="1" customHeight="1" x14ac:dyDescent="0.25">
      <c r="L783" s="53" t="str">
        <f t="shared" si="24"/>
        <v/>
      </c>
      <c r="M783" s="19" t="str">
        <f t="shared" si="25"/>
        <v/>
      </c>
      <c r="N783" t="str">
        <f ca="1">IF(TRIM(SUBSTITUTE($B783,CHAR(160)," "))="","",IFERROR(IF(ISNUMBER(SEARCH("INC",$B783)),"INC",IF(ISNUMBER(SEARCH("OPI",$B783)),"OPI",IF(ISNUMBER(SEARCH("DP",$B783)),"DP","CONC")))&amp;" "&amp;TEXT(LOOKUP(9.99E+307,--MID(SUBSTITUTE($B783,CHAR(160)," "),SUMPRODUCT(MIN(FIND({0,1,2,3,4,5,6,7,8,9},SUBSTITUTE($B783,CHAR(160)," ")&amp;"0123456789"))),ROW(INDIRECT("1:6")))),"0"),"SIN NUMERO"))</f>
        <v/>
      </c>
      <c r="O783" t="str">
        <f ca="1">IF($N783="","",IF(LEFT(UPPER($P783),9)="VERIFICAR","VERIFICAR",IF(AND($H783&lt;&gt;"",COUNTIFS($N$2:$N$1000,$N783,$H$2:$H$1000,$H783)&gt;1),"DUPLICADA",IF(TRIM(IF($A783="","tipo ","")&amp;IF($F783="","fecha de firma ","")&amp;IF($G783="","decisión ","")&amp;IF($H783="","N° resolución ","")&amp;IF($I783="","N° dictamen",""))&lt;&gt;"","INCOMPLETA: "&amp;TRIM(IF($A783="","tipo ","")&amp;IF($F783="","fecha de firma ","")&amp;IF($G783="","decisión ","")&amp;IF($H783="","N° resolución ","")&amp;IF($I783="","N° dictamen","")),IF(LEFT($N783,4)&lt;&gt;"CONC","OK",IF(N($Q783)=0,IF(AND(ISNUMBER($E783),$E783&gt;=DATE(2024,1,1)),"FALTA EN evol_conc","OK"),IF(INDEX(evol_conc!$H:$H,$Q783)&lt;&gt;$F783,"FIRMA DISTINTA EN evol_conc ("&amp;IF(INDEX(evol_conc!$H:$H,$Q783)="","vacía",DAY(INDEX(evol_conc!$H:$H,$Q783))&amp;"/"&amp;MONTH(INDEX(evol_conc!$H:$H,$Q783))&amp;"/"&amp;YEAR(INDEX(evol_conc!$H:$H,$Q783)))&amp;")",IF(INDEX(evol_conc!$G:$G,$Q783)&lt;&gt;$E783,"INGRESO DISTINTO EN evol_conc ("&amp;IF(INDEX(evol_conc!$G:$G,$Q783)="","vacía",DAY(INDEX(evol_conc!$G:$G,$Q783))&amp;"/"&amp;MONTH(INDEX(evol_conc!$G:$G,$Q783))&amp;"/"&amp;YEAR(INDEX(evol_conc!$G:$G,$Q783)))&amp;")","OK"))))))))</f>
        <v/>
      </c>
      <c r="Q783" t="str">
        <f ca="1">IF($N783="","",IFERROR(MATCH($N783,evol_conc!$P:$P,0),0))</f>
        <v/>
      </c>
    </row>
    <row r="784" spans="12:17" ht="18" hidden="1" customHeight="1" x14ac:dyDescent="0.25">
      <c r="L784" s="53" t="str">
        <f t="shared" si="24"/>
        <v/>
      </c>
      <c r="M784" s="19" t="str">
        <f t="shared" si="25"/>
        <v/>
      </c>
      <c r="N784" t="str">
        <f ca="1">IF(TRIM(SUBSTITUTE($B784,CHAR(160)," "))="","",IFERROR(IF(ISNUMBER(SEARCH("INC",$B784)),"INC",IF(ISNUMBER(SEARCH("OPI",$B784)),"OPI",IF(ISNUMBER(SEARCH("DP",$B784)),"DP","CONC")))&amp;" "&amp;TEXT(LOOKUP(9.99E+307,--MID(SUBSTITUTE($B784,CHAR(160)," "),SUMPRODUCT(MIN(FIND({0,1,2,3,4,5,6,7,8,9},SUBSTITUTE($B784,CHAR(160)," ")&amp;"0123456789"))),ROW(INDIRECT("1:6")))),"0"),"SIN NUMERO"))</f>
        <v/>
      </c>
      <c r="O784" t="str">
        <f ca="1">IF($N784="","",IF(LEFT(UPPER($P784),9)="VERIFICAR","VERIFICAR",IF(AND($H784&lt;&gt;"",COUNTIFS($N$2:$N$1000,$N784,$H$2:$H$1000,$H784)&gt;1),"DUPLICADA",IF(TRIM(IF($A784="","tipo ","")&amp;IF($F784="","fecha de firma ","")&amp;IF($G784="","decisión ","")&amp;IF($H784="","N° resolución ","")&amp;IF($I784="","N° dictamen",""))&lt;&gt;"","INCOMPLETA: "&amp;TRIM(IF($A784="","tipo ","")&amp;IF($F784="","fecha de firma ","")&amp;IF($G784="","decisión ","")&amp;IF($H784="","N° resolución ","")&amp;IF($I784="","N° dictamen","")),IF(LEFT($N784,4)&lt;&gt;"CONC","OK",IF(N($Q784)=0,IF(AND(ISNUMBER($E784),$E784&gt;=DATE(2024,1,1)),"FALTA EN evol_conc","OK"),IF(INDEX(evol_conc!$H:$H,$Q784)&lt;&gt;$F784,"FIRMA DISTINTA EN evol_conc ("&amp;IF(INDEX(evol_conc!$H:$H,$Q784)="","vacía",DAY(INDEX(evol_conc!$H:$H,$Q784))&amp;"/"&amp;MONTH(INDEX(evol_conc!$H:$H,$Q784))&amp;"/"&amp;YEAR(INDEX(evol_conc!$H:$H,$Q784)))&amp;")",IF(INDEX(evol_conc!$G:$G,$Q784)&lt;&gt;$E784,"INGRESO DISTINTO EN evol_conc ("&amp;IF(INDEX(evol_conc!$G:$G,$Q784)="","vacía",DAY(INDEX(evol_conc!$G:$G,$Q784))&amp;"/"&amp;MONTH(INDEX(evol_conc!$G:$G,$Q784))&amp;"/"&amp;YEAR(INDEX(evol_conc!$G:$G,$Q784)))&amp;")","OK"))))))))</f>
        <v/>
      </c>
      <c r="Q784" t="str">
        <f ca="1">IF($N784="","",IFERROR(MATCH($N784,evol_conc!$P:$P,0),0))</f>
        <v/>
      </c>
    </row>
    <row r="785" spans="12:17" ht="18" hidden="1" customHeight="1" x14ac:dyDescent="0.25">
      <c r="L785" s="53" t="str">
        <f t="shared" si="24"/>
        <v/>
      </c>
      <c r="M785" s="19" t="str">
        <f t="shared" si="25"/>
        <v/>
      </c>
      <c r="N785" t="str">
        <f ca="1">IF(TRIM(SUBSTITUTE($B785,CHAR(160)," "))="","",IFERROR(IF(ISNUMBER(SEARCH("INC",$B785)),"INC",IF(ISNUMBER(SEARCH("OPI",$B785)),"OPI",IF(ISNUMBER(SEARCH("DP",$B785)),"DP","CONC")))&amp;" "&amp;TEXT(LOOKUP(9.99E+307,--MID(SUBSTITUTE($B785,CHAR(160)," "),SUMPRODUCT(MIN(FIND({0,1,2,3,4,5,6,7,8,9},SUBSTITUTE($B785,CHAR(160)," ")&amp;"0123456789"))),ROW(INDIRECT("1:6")))),"0"),"SIN NUMERO"))</f>
        <v/>
      </c>
      <c r="O785" t="str">
        <f ca="1">IF($N785="","",IF(LEFT(UPPER($P785),9)="VERIFICAR","VERIFICAR",IF(AND($H785&lt;&gt;"",COUNTIFS($N$2:$N$1000,$N785,$H$2:$H$1000,$H785)&gt;1),"DUPLICADA",IF(TRIM(IF($A785="","tipo ","")&amp;IF($F785="","fecha de firma ","")&amp;IF($G785="","decisión ","")&amp;IF($H785="","N° resolución ","")&amp;IF($I785="","N° dictamen",""))&lt;&gt;"","INCOMPLETA: "&amp;TRIM(IF($A785="","tipo ","")&amp;IF($F785="","fecha de firma ","")&amp;IF($G785="","decisión ","")&amp;IF($H785="","N° resolución ","")&amp;IF($I785="","N° dictamen","")),IF(LEFT($N785,4)&lt;&gt;"CONC","OK",IF(N($Q785)=0,IF(AND(ISNUMBER($E785),$E785&gt;=DATE(2024,1,1)),"FALTA EN evol_conc","OK"),IF(INDEX(evol_conc!$H:$H,$Q785)&lt;&gt;$F785,"FIRMA DISTINTA EN evol_conc ("&amp;IF(INDEX(evol_conc!$H:$H,$Q785)="","vacía",DAY(INDEX(evol_conc!$H:$H,$Q785))&amp;"/"&amp;MONTH(INDEX(evol_conc!$H:$H,$Q785))&amp;"/"&amp;YEAR(INDEX(evol_conc!$H:$H,$Q785)))&amp;")",IF(INDEX(evol_conc!$G:$G,$Q785)&lt;&gt;$E785,"INGRESO DISTINTO EN evol_conc ("&amp;IF(INDEX(evol_conc!$G:$G,$Q785)="","vacía",DAY(INDEX(evol_conc!$G:$G,$Q785))&amp;"/"&amp;MONTH(INDEX(evol_conc!$G:$G,$Q785))&amp;"/"&amp;YEAR(INDEX(evol_conc!$G:$G,$Q785)))&amp;")","OK"))))))))</f>
        <v/>
      </c>
      <c r="Q785" t="str">
        <f ca="1">IF($N785="","",IFERROR(MATCH($N785,evol_conc!$P:$P,0),0))</f>
        <v/>
      </c>
    </row>
    <row r="786" spans="12:17" ht="18" hidden="1" customHeight="1" x14ac:dyDescent="0.25">
      <c r="L786" s="53" t="str">
        <f t="shared" si="24"/>
        <v/>
      </c>
      <c r="M786" s="19" t="str">
        <f t="shared" si="25"/>
        <v/>
      </c>
      <c r="N786" t="str">
        <f ca="1">IF(TRIM(SUBSTITUTE($B786,CHAR(160)," "))="","",IFERROR(IF(ISNUMBER(SEARCH("INC",$B786)),"INC",IF(ISNUMBER(SEARCH("OPI",$B786)),"OPI",IF(ISNUMBER(SEARCH("DP",$B786)),"DP","CONC")))&amp;" "&amp;TEXT(LOOKUP(9.99E+307,--MID(SUBSTITUTE($B786,CHAR(160)," "),SUMPRODUCT(MIN(FIND({0,1,2,3,4,5,6,7,8,9},SUBSTITUTE($B786,CHAR(160)," ")&amp;"0123456789"))),ROW(INDIRECT("1:6")))),"0"),"SIN NUMERO"))</f>
        <v/>
      </c>
      <c r="O786" t="str">
        <f ca="1">IF($N786="","",IF(LEFT(UPPER($P786),9)="VERIFICAR","VERIFICAR",IF(AND($H786&lt;&gt;"",COUNTIFS($N$2:$N$1000,$N786,$H$2:$H$1000,$H786)&gt;1),"DUPLICADA",IF(TRIM(IF($A786="","tipo ","")&amp;IF($F786="","fecha de firma ","")&amp;IF($G786="","decisión ","")&amp;IF($H786="","N° resolución ","")&amp;IF($I786="","N° dictamen",""))&lt;&gt;"","INCOMPLETA: "&amp;TRIM(IF($A786="","tipo ","")&amp;IF($F786="","fecha de firma ","")&amp;IF($G786="","decisión ","")&amp;IF($H786="","N° resolución ","")&amp;IF($I786="","N° dictamen","")),IF(LEFT($N786,4)&lt;&gt;"CONC","OK",IF(N($Q786)=0,IF(AND(ISNUMBER($E786),$E786&gt;=DATE(2024,1,1)),"FALTA EN evol_conc","OK"),IF(INDEX(evol_conc!$H:$H,$Q786)&lt;&gt;$F786,"FIRMA DISTINTA EN evol_conc ("&amp;IF(INDEX(evol_conc!$H:$H,$Q786)="","vacía",DAY(INDEX(evol_conc!$H:$H,$Q786))&amp;"/"&amp;MONTH(INDEX(evol_conc!$H:$H,$Q786))&amp;"/"&amp;YEAR(INDEX(evol_conc!$H:$H,$Q786)))&amp;")",IF(INDEX(evol_conc!$G:$G,$Q786)&lt;&gt;$E786,"INGRESO DISTINTO EN evol_conc ("&amp;IF(INDEX(evol_conc!$G:$G,$Q786)="","vacía",DAY(INDEX(evol_conc!$G:$G,$Q786))&amp;"/"&amp;MONTH(INDEX(evol_conc!$G:$G,$Q786))&amp;"/"&amp;YEAR(INDEX(evol_conc!$G:$G,$Q786)))&amp;")","OK"))))))))</f>
        <v/>
      </c>
      <c r="Q786" t="str">
        <f ca="1">IF($N786="","",IFERROR(MATCH($N786,evol_conc!$P:$P,0),0))</f>
        <v/>
      </c>
    </row>
    <row r="787" spans="12:17" ht="18" hidden="1" customHeight="1" x14ac:dyDescent="0.25">
      <c r="L787" s="53" t="str">
        <f t="shared" si="24"/>
        <v/>
      </c>
      <c r="M787" s="19" t="str">
        <f t="shared" si="25"/>
        <v/>
      </c>
      <c r="N787" t="str">
        <f ca="1">IF(TRIM(SUBSTITUTE($B787,CHAR(160)," "))="","",IFERROR(IF(ISNUMBER(SEARCH("INC",$B787)),"INC",IF(ISNUMBER(SEARCH("OPI",$B787)),"OPI",IF(ISNUMBER(SEARCH("DP",$B787)),"DP","CONC")))&amp;" "&amp;TEXT(LOOKUP(9.99E+307,--MID(SUBSTITUTE($B787,CHAR(160)," "),SUMPRODUCT(MIN(FIND({0,1,2,3,4,5,6,7,8,9},SUBSTITUTE($B787,CHAR(160)," ")&amp;"0123456789"))),ROW(INDIRECT("1:6")))),"0"),"SIN NUMERO"))</f>
        <v/>
      </c>
      <c r="O787" t="str">
        <f ca="1">IF($N787="","",IF(LEFT(UPPER($P787),9)="VERIFICAR","VERIFICAR",IF(AND($H787&lt;&gt;"",COUNTIFS($N$2:$N$1000,$N787,$H$2:$H$1000,$H787)&gt;1),"DUPLICADA",IF(TRIM(IF($A787="","tipo ","")&amp;IF($F787="","fecha de firma ","")&amp;IF($G787="","decisión ","")&amp;IF($H787="","N° resolución ","")&amp;IF($I787="","N° dictamen",""))&lt;&gt;"","INCOMPLETA: "&amp;TRIM(IF($A787="","tipo ","")&amp;IF($F787="","fecha de firma ","")&amp;IF($G787="","decisión ","")&amp;IF($H787="","N° resolución ","")&amp;IF($I787="","N° dictamen","")),IF(LEFT($N787,4)&lt;&gt;"CONC","OK",IF(N($Q787)=0,IF(AND(ISNUMBER($E787),$E787&gt;=DATE(2024,1,1)),"FALTA EN evol_conc","OK"),IF(INDEX(evol_conc!$H:$H,$Q787)&lt;&gt;$F787,"FIRMA DISTINTA EN evol_conc ("&amp;IF(INDEX(evol_conc!$H:$H,$Q787)="","vacía",DAY(INDEX(evol_conc!$H:$H,$Q787))&amp;"/"&amp;MONTH(INDEX(evol_conc!$H:$H,$Q787))&amp;"/"&amp;YEAR(INDEX(evol_conc!$H:$H,$Q787)))&amp;")",IF(INDEX(evol_conc!$G:$G,$Q787)&lt;&gt;$E787,"INGRESO DISTINTO EN evol_conc ("&amp;IF(INDEX(evol_conc!$G:$G,$Q787)="","vacía",DAY(INDEX(evol_conc!$G:$G,$Q787))&amp;"/"&amp;MONTH(INDEX(evol_conc!$G:$G,$Q787))&amp;"/"&amp;YEAR(INDEX(evol_conc!$G:$G,$Q787)))&amp;")","OK"))))))))</f>
        <v/>
      </c>
      <c r="Q787" t="str">
        <f ca="1">IF($N787="","",IFERROR(MATCH($N787,evol_conc!$P:$P,0),0))</f>
        <v/>
      </c>
    </row>
    <row r="788" spans="12:17" ht="18" hidden="1" customHeight="1" x14ac:dyDescent="0.25">
      <c r="L788" s="53" t="str">
        <f t="shared" si="24"/>
        <v/>
      </c>
      <c r="M788" s="19" t="str">
        <f t="shared" si="25"/>
        <v/>
      </c>
      <c r="N788" t="str">
        <f ca="1">IF(TRIM(SUBSTITUTE($B788,CHAR(160)," "))="","",IFERROR(IF(ISNUMBER(SEARCH("INC",$B788)),"INC",IF(ISNUMBER(SEARCH("OPI",$B788)),"OPI",IF(ISNUMBER(SEARCH("DP",$B788)),"DP","CONC")))&amp;" "&amp;TEXT(LOOKUP(9.99E+307,--MID(SUBSTITUTE($B788,CHAR(160)," "),SUMPRODUCT(MIN(FIND({0,1,2,3,4,5,6,7,8,9},SUBSTITUTE($B788,CHAR(160)," ")&amp;"0123456789"))),ROW(INDIRECT("1:6")))),"0"),"SIN NUMERO"))</f>
        <v/>
      </c>
      <c r="O788" t="str">
        <f ca="1">IF($N788="","",IF(LEFT(UPPER($P788),9)="VERIFICAR","VERIFICAR",IF(AND($H788&lt;&gt;"",COUNTIFS($N$2:$N$1000,$N788,$H$2:$H$1000,$H788)&gt;1),"DUPLICADA",IF(TRIM(IF($A788="","tipo ","")&amp;IF($F788="","fecha de firma ","")&amp;IF($G788="","decisión ","")&amp;IF($H788="","N° resolución ","")&amp;IF($I788="","N° dictamen",""))&lt;&gt;"","INCOMPLETA: "&amp;TRIM(IF($A788="","tipo ","")&amp;IF($F788="","fecha de firma ","")&amp;IF($G788="","decisión ","")&amp;IF($H788="","N° resolución ","")&amp;IF($I788="","N° dictamen","")),IF(LEFT($N788,4)&lt;&gt;"CONC","OK",IF(N($Q788)=0,IF(AND(ISNUMBER($E788),$E788&gt;=DATE(2024,1,1)),"FALTA EN evol_conc","OK"),IF(INDEX(evol_conc!$H:$H,$Q788)&lt;&gt;$F788,"FIRMA DISTINTA EN evol_conc ("&amp;IF(INDEX(evol_conc!$H:$H,$Q788)="","vacía",DAY(INDEX(evol_conc!$H:$H,$Q788))&amp;"/"&amp;MONTH(INDEX(evol_conc!$H:$H,$Q788))&amp;"/"&amp;YEAR(INDEX(evol_conc!$H:$H,$Q788)))&amp;")",IF(INDEX(evol_conc!$G:$G,$Q788)&lt;&gt;$E788,"INGRESO DISTINTO EN evol_conc ("&amp;IF(INDEX(evol_conc!$G:$G,$Q788)="","vacía",DAY(INDEX(evol_conc!$G:$G,$Q788))&amp;"/"&amp;MONTH(INDEX(evol_conc!$G:$G,$Q788))&amp;"/"&amp;YEAR(INDEX(evol_conc!$G:$G,$Q788)))&amp;")","OK"))))))))</f>
        <v/>
      </c>
      <c r="Q788" t="str">
        <f ca="1">IF($N788="","",IFERROR(MATCH($N788,evol_conc!$P:$P,0),0))</f>
        <v/>
      </c>
    </row>
    <row r="789" spans="12:17" ht="18" hidden="1" customHeight="1" x14ac:dyDescent="0.25">
      <c r="L789" s="53" t="str">
        <f t="shared" si="24"/>
        <v/>
      </c>
      <c r="M789" s="19" t="str">
        <f t="shared" si="25"/>
        <v/>
      </c>
      <c r="N789" t="str">
        <f ca="1">IF(TRIM(SUBSTITUTE($B789,CHAR(160)," "))="","",IFERROR(IF(ISNUMBER(SEARCH("INC",$B789)),"INC",IF(ISNUMBER(SEARCH("OPI",$B789)),"OPI",IF(ISNUMBER(SEARCH("DP",$B789)),"DP","CONC")))&amp;" "&amp;TEXT(LOOKUP(9.99E+307,--MID(SUBSTITUTE($B789,CHAR(160)," "),SUMPRODUCT(MIN(FIND({0,1,2,3,4,5,6,7,8,9},SUBSTITUTE($B789,CHAR(160)," ")&amp;"0123456789"))),ROW(INDIRECT("1:6")))),"0"),"SIN NUMERO"))</f>
        <v/>
      </c>
      <c r="O789" t="str">
        <f ca="1">IF($N789="","",IF(LEFT(UPPER($P789),9)="VERIFICAR","VERIFICAR",IF(AND($H789&lt;&gt;"",COUNTIFS($N$2:$N$1000,$N789,$H$2:$H$1000,$H789)&gt;1),"DUPLICADA",IF(TRIM(IF($A789="","tipo ","")&amp;IF($F789="","fecha de firma ","")&amp;IF($G789="","decisión ","")&amp;IF($H789="","N° resolución ","")&amp;IF($I789="","N° dictamen",""))&lt;&gt;"","INCOMPLETA: "&amp;TRIM(IF($A789="","tipo ","")&amp;IF($F789="","fecha de firma ","")&amp;IF($G789="","decisión ","")&amp;IF($H789="","N° resolución ","")&amp;IF($I789="","N° dictamen","")),IF(LEFT($N789,4)&lt;&gt;"CONC","OK",IF(N($Q789)=0,IF(AND(ISNUMBER($E789),$E789&gt;=DATE(2024,1,1)),"FALTA EN evol_conc","OK"),IF(INDEX(evol_conc!$H:$H,$Q789)&lt;&gt;$F789,"FIRMA DISTINTA EN evol_conc ("&amp;IF(INDEX(evol_conc!$H:$H,$Q789)="","vacía",DAY(INDEX(evol_conc!$H:$H,$Q789))&amp;"/"&amp;MONTH(INDEX(evol_conc!$H:$H,$Q789))&amp;"/"&amp;YEAR(INDEX(evol_conc!$H:$H,$Q789)))&amp;")",IF(INDEX(evol_conc!$G:$G,$Q789)&lt;&gt;$E789,"INGRESO DISTINTO EN evol_conc ("&amp;IF(INDEX(evol_conc!$G:$G,$Q789)="","vacía",DAY(INDEX(evol_conc!$G:$G,$Q789))&amp;"/"&amp;MONTH(INDEX(evol_conc!$G:$G,$Q789))&amp;"/"&amp;YEAR(INDEX(evol_conc!$G:$G,$Q789)))&amp;")","OK"))))))))</f>
        <v/>
      </c>
      <c r="Q789" t="str">
        <f ca="1">IF($N789="","",IFERROR(MATCH($N789,evol_conc!$P:$P,0),0))</f>
        <v/>
      </c>
    </row>
    <row r="790" spans="12:17" ht="18" hidden="1" customHeight="1" x14ac:dyDescent="0.25">
      <c r="L790" s="53" t="str">
        <f t="shared" si="24"/>
        <v/>
      </c>
      <c r="M790" s="19" t="str">
        <f t="shared" si="25"/>
        <v/>
      </c>
      <c r="N790" t="str">
        <f ca="1">IF(TRIM(SUBSTITUTE($B790,CHAR(160)," "))="","",IFERROR(IF(ISNUMBER(SEARCH("INC",$B790)),"INC",IF(ISNUMBER(SEARCH("OPI",$B790)),"OPI",IF(ISNUMBER(SEARCH("DP",$B790)),"DP","CONC")))&amp;" "&amp;TEXT(LOOKUP(9.99E+307,--MID(SUBSTITUTE($B790,CHAR(160)," "),SUMPRODUCT(MIN(FIND({0,1,2,3,4,5,6,7,8,9},SUBSTITUTE($B790,CHAR(160)," ")&amp;"0123456789"))),ROW(INDIRECT("1:6")))),"0"),"SIN NUMERO"))</f>
        <v/>
      </c>
      <c r="O790" t="str">
        <f ca="1">IF($N790="","",IF(LEFT(UPPER($P790),9)="VERIFICAR","VERIFICAR",IF(AND($H790&lt;&gt;"",COUNTIFS($N$2:$N$1000,$N790,$H$2:$H$1000,$H790)&gt;1),"DUPLICADA",IF(TRIM(IF($A790="","tipo ","")&amp;IF($F790="","fecha de firma ","")&amp;IF($G790="","decisión ","")&amp;IF($H790="","N° resolución ","")&amp;IF($I790="","N° dictamen",""))&lt;&gt;"","INCOMPLETA: "&amp;TRIM(IF($A790="","tipo ","")&amp;IF($F790="","fecha de firma ","")&amp;IF($G790="","decisión ","")&amp;IF($H790="","N° resolución ","")&amp;IF($I790="","N° dictamen","")),IF(LEFT($N790,4)&lt;&gt;"CONC","OK",IF(N($Q790)=0,IF(AND(ISNUMBER($E790),$E790&gt;=DATE(2024,1,1)),"FALTA EN evol_conc","OK"),IF(INDEX(evol_conc!$H:$H,$Q790)&lt;&gt;$F790,"FIRMA DISTINTA EN evol_conc ("&amp;IF(INDEX(evol_conc!$H:$H,$Q790)="","vacía",DAY(INDEX(evol_conc!$H:$H,$Q790))&amp;"/"&amp;MONTH(INDEX(evol_conc!$H:$H,$Q790))&amp;"/"&amp;YEAR(INDEX(evol_conc!$H:$H,$Q790)))&amp;")",IF(INDEX(evol_conc!$G:$G,$Q790)&lt;&gt;$E790,"INGRESO DISTINTO EN evol_conc ("&amp;IF(INDEX(evol_conc!$G:$G,$Q790)="","vacía",DAY(INDEX(evol_conc!$G:$G,$Q790))&amp;"/"&amp;MONTH(INDEX(evol_conc!$G:$G,$Q790))&amp;"/"&amp;YEAR(INDEX(evol_conc!$G:$G,$Q790)))&amp;")","OK"))))))))</f>
        <v/>
      </c>
      <c r="Q790" t="str">
        <f ca="1">IF($N790="","",IFERROR(MATCH($N790,evol_conc!$P:$P,0),0))</f>
        <v/>
      </c>
    </row>
    <row r="791" spans="12:17" ht="18" hidden="1" customHeight="1" x14ac:dyDescent="0.25">
      <c r="L791" s="53" t="str">
        <f t="shared" si="24"/>
        <v/>
      </c>
      <c r="M791" s="19" t="str">
        <f t="shared" si="25"/>
        <v/>
      </c>
      <c r="N791" t="str">
        <f ca="1">IF(TRIM(SUBSTITUTE($B791,CHAR(160)," "))="","",IFERROR(IF(ISNUMBER(SEARCH("INC",$B791)),"INC",IF(ISNUMBER(SEARCH("OPI",$B791)),"OPI",IF(ISNUMBER(SEARCH("DP",$B791)),"DP","CONC")))&amp;" "&amp;TEXT(LOOKUP(9.99E+307,--MID(SUBSTITUTE($B791,CHAR(160)," "),SUMPRODUCT(MIN(FIND({0,1,2,3,4,5,6,7,8,9},SUBSTITUTE($B791,CHAR(160)," ")&amp;"0123456789"))),ROW(INDIRECT("1:6")))),"0"),"SIN NUMERO"))</f>
        <v/>
      </c>
      <c r="O791" t="str">
        <f ca="1">IF($N791="","",IF(LEFT(UPPER($P791),9)="VERIFICAR","VERIFICAR",IF(AND($H791&lt;&gt;"",COUNTIFS($N$2:$N$1000,$N791,$H$2:$H$1000,$H791)&gt;1),"DUPLICADA",IF(TRIM(IF($A791="","tipo ","")&amp;IF($F791="","fecha de firma ","")&amp;IF($G791="","decisión ","")&amp;IF($H791="","N° resolución ","")&amp;IF($I791="","N° dictamen",""))&lt;&gt;"","INCOMPLETA: "&amp;TRIM(IF($A791="","tipo ","")&amp;IF($F791="","fecha de firma ","")&amp;IF($G791="","decisión ","")&amp;IF($H791="","N° resolución ","")&amp;IF($I791="","N° dictamen","")),IF(LEFT($N791,4)&lt;&gt;"CONC","OK",IF(N($Q791)=0,IF(AND(ISNUMBER($E791),$E791&gt;=DATE(2024,1,1)),"FALTA EN evol_conc","OK"),IF(INDEX(evol_conc!$H:$H,$Q791)&lt;&gt;$F791,"FIRMA DISTINTA EN evol_conc ("&amp;IF(INDEX(evol_conc!$H:$H,$Q791)="","vacía",DAY(INDEX(evol_conc!$H:$H,$Q791))&amp;"/"&amp;MONTH(INDEX(evol_conc!$H:$H,$Q791))&amp;"/"&amp;YEAR(INDEX(evol_conc!$H:$H,$Q791)))&amp;")",IF(INDEX(evol_conc!$G:$G,$Q791)&lt;&gt;$E791,"INGRESO DISTINTO EN evol_conc ("&amp;IF(INDEX(evol_conc!$G:$G,$Q791)="","vacía",DAY(INDEX(evol_conc!$G:$G,$Q791))&amp;"/"&amp;MONTH(INDEX(evol_conc!$G:$G,$Q791))&amp;"/"&amp;YEAR(INDEX(evol_conc!$G:$G,$Q791)))&amp;")","OK"))))))))</f>
        <v/>
      </c>
      <c r="Q791" t="str">
        <f ca="1">IF($N791="","",IFERROR(MATCH($N791,evol_conc!$P:$P,0),0))</f>
        <v/>
      </c>
    </row>
    <row r="792" spans="12:17" ht="18" hidden="1" customHeight="1" x14ac:dyDescent="0.25">
      <c r="L792" s="53" t="str">
        <f t="shared" si="24"/>
        <v/>
      </c>
      <c r="M792" s="19" t="str">
        <f t="shared" si="25"/>
        <v/>
      </c>
      <c r="N792" t="str">
        <f ca="1">IF(TRIM(SUBSTITUTE($B792,CHAR(160)," "))="","",IFERROR(IF(ISNUMBER(SEARCH("INC",$B792)),"INC",IF(ISNUMBER(SEARCH("OPI",$B792)),"OPI",IF(ISNUMBER(SEARCH("DP",$B792)),"DP","CONC")))&amp;" "&amp;TEXT(LOOKUP(9.99E+307,--MID(SUBSTITUTE($B792,CHAR(160)," "),SUMPRODUCT(MIN(FIND({0,1,2,3,4,5,6,7,8,9},SUBSTITUTE($B792,CHAR(160)," ")&amp;"0123456789"))),ROW(INDIRECT("1:6")))),"0"),"SIN NUMERO"))</f>
        <v/>
      </c>
      <c r="O792" t="str">
        <f ca="1">IF($N792="","",IF(LEFT(UPPER($P792),9)="VERIFICAR","VERIFICAR",IF(AND($H792&lt;&gt;"",COUNTIFS($N$2:$N$1000,$N792,$H$2:$H$1000,$H792)&gt;1),"DUPLICADA",IF(TRIM(IF($A792="","tipo ","")&amp;IF($F792="","fecha de firma ","")&amp;IF($G792="","decisión ","")&amp;IF($H792="","N° resolución ","")&amp;IF($I792="","N° dictamen",""))&lt;&gt;"","INCOMPLETA: "&amp;TRIM(IF($A792="","tipo ","")&amp;IF($F792="","fecha de firma ","")&amp;IF($G792="","decisión ","")&amp;IF($H792="","N° resolución ","")&amp;IF($I792="","N° dictamen","")),IF(LEFT($N792,4)&lt;&gt;"CONC","OK",IF(N($Q792)=0,IF(AND(ISNUMBER($E792),$E792&gt;=DATE(2024,1,1)),"FALTA EN evol_conc","OK"),IF(INDEX(evol_conc!$H:$H,$Q792)&lt;&gt;$F792,"FIRMA DISTINTA EN evol_conc ("&amp;IF(INDEX(evol_conc!$H:$H,$Q792)="","vacía",DAY(INDEX(evol_conc!$H:$H,$Q792))&amp;"/"&amp;MONTH(INDEX(evol_conc!$H:$H,$Q792))&amp;"/"&amp;YEAR(INDEX(evol_conc!$H:$H,$Q792)))&amp;")",IF(INDEX(evol_conc!$G:$G,$Q792)&lt;&gt;$E792,"INGRESO DISTINTO EN evol_conc ("&amp;IF(INDEX(evol_conc!$G:$G,$Q792)="","vacía",DAY(INDEX(evol_conc!$G:$G,$Q792))&amp;"/"&amp;MONTH(INDEX(evol_conc!$G:$G,$Q792))&amp;"/"&amp;YEAR(INDEX(evol_conc!$G:$G,$Q792)))&amp;")","OK"))))))))</f>
        <v/>
      </c>
      <c r="Q792" t="str">
        <f ca="1">IF($N792="","",IFERROR(MATCH($N792,evol_conc!$P:$P,0),0))</f>
        <v/>
      </c>
    </row>
    <row r="793" spans="12:17" ht="18" hidden="1" customHeight="1" x14ac:dyDescent="0.25">
      <c r="L793" s="53" t="str">
        <f t="shared" si="24"/>
        <v/>
      </c>
      <c r="M793" s="19" t="str">
        <f t="shared" si="25"/>
        <v/>
      </c>
      <c r="N793" t="str">
        <f ca="1">IF(TRIM(SUBSTITUTE($B793,CHAR(160)," "))="","",IFERROR(IF(ISNUMBER(SEARCH("INC",$B793)),"INC",IF(ISNUMBER(SEARCH("OPI",$B793)),"OPI",IF(ISNUMBER(SEARCH("DP",$B793)),"DP","CONC")))&amp;" "&amp;TEXT(LOOKUP(9.99E+307,--MID(SUBSTITUTE($B793,CHAR(160)," "),SUMPRODUCT(MIN(FIND({0,1,2,3,4,5,6,7,8,9},SUBSTITUTE($B793,CHAR(160)," ")&amp;"0123456789"))),ROW(INDIRECT("1:6")))),"0"),"SIN NUMERO"))</f>
        <v/>
      </c>
      <c r="O793" t="str">
        <f ca="1">IF($N793="","",IF(LEFT(UPPER($P793),9)="VERIFICAR","VERIFICAR",IF(AND($H793&lt;&gt;"",COUNTIFS($N$2:$N$1000,$N793,$H$2:$H$1000,$H793)&gt;1),"DUPLICADA",IF(TRIM(IF($A793="","tipo ","")&amp;IF($F793="","fecha de firma ","")&amp;IF($G793="","decisión ","")&amp;IF($H793="","N° resolución ","")&amp;IF($I793="","N° dictamen",""))&lt;&gt;"","INCOMPLETA: "&amp;TRIM(IF($A793="","tipo ","")&amp;IF($F793="","fecha de firma ","")&amp;IF($G793="","decisión ","")&amp;IF($H793="","N° resolución ","")&amp;IF($I793="","N° dictamen","")),IF(LEFT($N793,4)&lt;&gt;"CONC","OK",IF(N($Q793)=0,IF(AND(ISNUMBER($E793),$E793&gt;=DATE(2024,1,1)),"FALTA EN evol_conc","OK"),IF(INDEX(evol_conc!$H:$H,$Q793)&lt;&gt;$F793,"FIRMA DISTINTA EN evol_conc ("&amp;IF(INDEX(evol_conc!$H:$H,$Q793)="","vacía",DAY(INDEX(evol_conc!$H:$H,$Q793))&amp;"/"&amp;MONTH(INDEX(evol_conc!$H:$H,$Q793))&amp;"/"&amp;YEAR(INDEX(evol_conc!$H:$H,$Q793)))&amp;")",IF(INDEX(evol_conc!$G:$G,$Q793)&lt;&gt;$E793,"INGRESO DISTINTO EN evol_conc ("&amp;IF(INDEX(evol_conc!$G:$G,$Q793)="","vacía",DAY(INDEX(evol_conc!$G:$G,$Q793))&amp;"/"&amp;MONTH(INDEX(evol_conc!$G:$G,$Q793))&amp;"/"&amp;YEAR(INDEX(evol_conc!$G:$G,$Q793)))&amp;")","OK"))))))))</f>
        <v/>
      </c>
      <c r="Q793" t="str">
        <f ca="1">IF($N793="","",IFERROR(MATCH($N793,evol_conc!$P:$P,0),0))</f>
        <v/>
      </c>
    </row>
    <row r="794" spans="12:17" ht="18" hidden="1" customHeight="1" x14ac:dyDescent="0.25">
      <c r="L794" s="53" t="str">
        <f t="shared" si="24"/>
        <v/>
      </c>
      <c r="M794" s="19" t="str">
        <f t="shared" si="25"/>
        <v/>
      </c>
      <c r="N794" t="str">
        <f ca="1">IF(TRIM(SUBSTITUTE($B794,CHAR(160)," "))="","",IFERROR(IF(ISNUMBER(SEARCH("INC",$B794)),"INC",IF(ISNUMBER(SEARCH("OPI",$B794)),"OPI",IF(ISNUMBER(SEARCH("DP",$B794)),"DP","CONC")))&amp;" "&amp;TEXT(LOOKUP(9.99E+307,--MID(SUBSTITUTE($B794,CHAR(160)," "),SUMPRODUCT(MIN(FIND({0,1,2,3,4,5,6,7,8,9},SUBSTITUTE($B794,CHAR(160)," ")&amp;"0123456789"))),ROW(INDIRECT("1:6")))),"0"),"SIN NUMERO"))</f>
        <v/>
      </c>
      <c r="O794" t="str">
        <f ca="1">IF($N794="","",IF(LEFT(UPPER($P794),9)="VERIFICAR","VERIFICAR",IF(AND($H794&lt;&gt;"",COUNTIFS($N$2:$N$1000,$N794,$H$2:$H$1000,$H794)&gt;1),"DUPLICADA",IF(TRIM(IF($A794="","tipo ","")&amp;IF($F794="","fecha de firma ","")&amp;IF($G794="","decisión ","")&amp;IF($H794="","N° resolución ","")&amp;IF($I794="","N° dictamen",""))&lt;&gt;"","INCOMPLETA: "&amp;TRIM(IF($A794="","tipo ","")&amp;IF($F794="","fecha de firma ","")&amp;IF($G794="","decisión ","")&amp;IF($H794="","N° resolución ","")&amp;IF($I794="","N° dictamen","")),IF(LEFT($N794,4)&lt;&gt;"CONC","OK",IF(N($Q794)=0,IF(AND(ISNUMBER($E794),$E794&gt;=DATE(2024,1,1)),"FALTA EN evol_conc","OK"),IF(INDEX(evol_conc!$H:$H,$Q794)&lt;&gt;$F794,"FIRMA DISTINTA EN evol_conc ("&amp;IF(INDEX(evol_conc!$H:$H,$Q794)="","vacía",DAY(INDEX(evol_conc!$H:$H,$Q794))&amp;"/"&amp;MONTH(INDEX(evol_conc!$H:$H,$Q794))&amp;"/"&amp;YEAR(INDEX(evol_conc!$H:$H,$Q794)))&amp;")",IF(INDEX(evol_conc!$G:$G,$Q794)&lt;&gt;$E794,"INGRESO DISTINTO EN evol_conc ("&amp;IF(INDEX(evol_conc!$G:$G,$Q794)="","vacía",DAY(INDEX(evol_conc!$G:$G,$Q794))&amp;"/"&amp;MONTH(INDEX(evol_conc!$G:$G,$Q794))&amp;"/"&amp;YEAR(INDEX(evol_conc!$G:$G,$Q794)))&amp;")","OK"))))))))</f>
        <v/>
      </c>
      <c r="Q794" t="str">
        <f ca="1">IF($N794="","",IFERROR(MATCH($N794,evol_conc!$P:$P,0),0))</f>
        <v/>
      </c>
    </row>
    <row r="795" spans="12:17" ht="18" hidden="1" customHeight="1" x14ac:dyDescent="0.25">
      <c r="L795" s="53" t="str">
        <f t="shared" si="24"/>
        <v/>
      </c>
      <c r="M795" s="19" t="str">
        <f t="shared" si="25"/>
        <v/>
      </c>
      <c r="N795" t="str">
        <f ca="1">IF(TRIM(SUBSTITUTE($B795,CHAR(160)," "))="","",IFERROR(IF(ISNUMBER(SEARCH("INC",$B795)),"INC",IF(ISNUMBER(SEARCH("OPI",$B795)),"OPI",IF(ISNUMBER(SEARCH("DP",$B795)),"DP","CONC")))&amp;" "&amp;TEXT(LOOKUP(9.99E+307,--MID(SUBSTITUTE($B795,CHAR(160)," "),SUMPRODUCT(MIN(FIND({0,1,2,3,4,5,6,7,8,9},SUBSTITUTE($B795,CHAR(160)," ")&amp;"0123456789"))),ROW(INDIRECT("1:6")))),"0"),"SIN NUMERO"))</f>
        <v/>
      </c>
      <c r="O795" t="str">
        <f ca="1">IF($N795="","",IF(LEFT(UPPER($P795),9)="VERIFICAR","VERIFICAR",IF(AND($H795&lt;&gt;"",COUNTIFS($N$2:$N$1000,$N795,$H$2:$H$1000,$H795)&gt;1),"DUPLICADA",IF(TRIM(IF($A795="","tipo ","")&amp;IF($F795="","fecha de firma ","")&amp;IF($G795="","decisión ","")&amp;IF($H795="","N° resolución ","")&amp;IF($I795="","N° dictamen",""))&lt;&gt;"","INCOMPLETA: "&amp;TRIM(IF($A795="","tipo ","")&amp;IF($F795="","fecha de firma ","")&amp;IF($G795="","decisión ","")&amp;IF($H795="","N° resolución ","")&amp;IF($I795="","N° dictamen","")),IF(LEFT($N795,4)&lt;&gt;"CONC","OK",IF(N($Q795)=0,IF(AND(ISNUMBER($E795),$E795&gt;=DATE(2024,1,1)),"FALTA EN evol_conc","OK"),IF(INDEX(evol_conc!$H:$H,$Q795)&lt;&gt;$F795,"FIRMA DISTINTA EN evol_conc ("&amp;IF(INDEX(evol_conc!$H:$H,$Q795)="","vacía",DAY(INDEX(evol_conc!$H:$H,$Q795))&amp;"/"&amp;MONTH(INDEX(evol_conc!$H:$H,$Q795))&amp;"/"&amp;YEAR(INDEX(evol_conc!$H:$H,$Q795)))&amp;")",IF(INDEX(evol_conc!$G:$G,$Q795)&lt;&gt;$E795,"INGRESO DISTINTO EN evol_conc ("&amp;IF(INDEX(evol_conc!$G:$G,$Q795)="","vacía",DAY(INDEX(evol_conc!$G:$G,$Q795))&amp;"/"&amp;MONTH(INDEX(evol_conc!$G:$G,$Q795))&amp;"/"&amp;YEAR(INDEX(evol_conc!$G:$G,$Q795)))&amp;")","OK"))))))))</f>
        <v/>
      </c>
      <c r="Q795" t="str">
        <f ca="1">IF($N795="","",IFERROR(MATCH($N795,evol_conc!$P:$P,0),0))</f>
        <v/>
      </c>
    </row>
    <row r="796" spans="12:17" ht="18" hidden="1" customHeight="1" x14ac:dyDescent="0.25">
      <c r="L796" s="53" t="str">
        <f t="shared" si="24"/>
        <v/>
      </c>
      <c r="M796" s="19" t="str">
        <f t="shared" si="25"/>
        <v/>
      </c>
      <c r="N796" t="str">
        <f ca="1">IF(TRIM(SUBSTITUTE($B796,CHAR(160)," "))="","",IFERROR(IF(ISNUMBER(SEARCH("INC",$B796)),"INC",IF(ISNUMBER(SEARCH("OPI",$B796)),"OPI",IF(ISNUMBER(SEARCH("DP",$B796)),"DP","CONC")))&amp;" "&amp;TEXT(LOOKUP(9.99E+307,--MID(SUBSTITUTE($B796,CHAR(160)," "),SUMPRODUCT(MIN(FIND({0,1,2,3,4,5,6,7,8,9},SUBSTITUTE($B796,CHAR(160)," ")&amp;"0123456789"))),ROW(INDIRECT("1:6")))),"0"),"SIN NUMERO"))</f>
        <v/>
      </c>
      <c r="O796" t="str">
        <f ca="1">IF($N796="","",IF(LEFT(UPPER($P796),9)="VERIFICAR","VERIFICAR",IF(AND($H796&lt;&gt;"",COUNTIFS($N$2:$N$1000,$N796,$H$2:$H$1000,$H796)&gt;1),"DUPLICADA",IF(TRIM(IF($A796="","tipo ","")&amp;IF($F796="","fecha de firma ","")&amp;IF($G796="","decisión ","")&amp;IF($H796="","N° resolución ","")&amp;IF($I796="","N° dictamen",""))&lt;&gt;"","INCOMPLETA: "&amp;TRIM(IF($A796="","tipo ","")&amp;IF($F796="","fecha de firma ","")&amp;IF($G796="","decisión ","")&amp;IF($H796="","N° resolución ","")&amp;IF($I796="","N° dictamen","")),IF(LEFT($N796,4)&lt;&gt;"CONC","OK",IF(N($Q796)=0,IF(AND(ISNUMBER($E796),$E796&gt;=DATE(2024,1,1)),"FALTA EN evol_conc","OK"),IF(INDEX(evol_conc!$H:$H,$Q796)&lt;&gt;$F796,"FIRMA DISTINTA EN evol_conc ("&amp;IF(INDEX(evol_conc!$H:$H,$Q796)="","vacía",DAY(INDEX(evol_conc!$H:$H,$Q796))&amp;"/"&amp;MONTH(INDEX(evol_conc!$H:$H,$Q796))&amp;"/"&amp;YEAR(INDEX(evol_conc!$H:$H,$Q796)))&amp;")",IF(INDEX(evol_conc!$G:$G,$Q796)&lt;&gt;$E796,"INGRESO DISTINTO EN evol_conc ("&amp;IF(INDEX(evol_conc!$G:$G,$Q796)="","vacía",DAY(INDEX(evol_conc!$G:$G,$Q796))&amp;"/"&amp;MONTH(INDEX(evol_conc!$G:$G,$Q796))&amp;"/"&amp;YEAR(INDEX(evol_conc!$G:$G,$Q796)))&amp;")","OK"))))))))</f>
        <v/>
      </c>
      <c r="Q796" t="str">
        <f ca="1">IF($N796="","",IFERROR(MATCH($N796,evol_conc!$P:$P,0),0))</f>
        <v/>
      </c>
    </row>
    <row r="797" spans="12:17" ht="18" hidden="1" customHeight="1" x14ac:dyDescent="0.25">
      <c r="L797" s="53" t="str">
        <f t="shared" si="24"/>
        <v/>
      </c>
      <c r="M797" s="19" t="str">
        <f t="shared" si="25"/>
        <v/>
      </c>
      <c r="N797" t="str">
        <f ca="1">IF(TRIM(SUBSTITUTE($B797,CHAR(160)," "))="","",IFERROR(IF(ISNUMBER(SEARCH("INC",$B797)),"INC",IF(ISNUMBER(SEARCH("OPI",$B797)),"OPI",IF(ISNUMBER(SEARCH("DP",$B797)),"DP","CONC")))&amp;" "&amp;TEXT(LOOKUP(9.99E+307,--MID(SUBSTITUTE($B797,CHAR(160)," "),SUMPRODUCT(MIN(FIND({0,1,2,3,4,5,6,7,8,9},SUBSTITUTE($B797,CHAR(160)," ")&amp;"0123456789"))),ROW(INDIRECT("1:6")))),"0"),"SIN NUMERO"))</f>
        <v/>
      </c>
      <c r="O797" t="str">
        <f ca="1">IF($N797="","",IF(LEFT(UPPER($P797),9)="VERIFICAR","VERIFICAR",IF(AND($H797&lt;&gt;"",COUNTIFS($N$2:$N$1000,$N797,$H$2:$H$1000,$H797)&gt;1),"DUPLICADA",IF(TRIM(IF($A797="","tipo ","")&amp;IF($F797="","fecha de firma ","")&amp;IF($G797="","decisión ","")&amp;IF($H797="","N° resolución ","")&amp;IF($I797="","N° dictamen",""))&lt;&gt;"","INCOMPLETA: "&amp;TRIM(IF($A797="","tipo ","")&amp;IF($F797="","fecha de firma ","")&amp;IF($G797="","decisión ","")&amp;IF($H797="","N° resolución ","")&amp;IF($I797="","N° dictamen","")),IF(LEFT($N797,4)&lt;&gt;"CONC","OK",IF(N($Q797)=0,IF(AND(ISNUMBER($E797),$E797&gt;=DATE(2024,1,1)),"FALTA EN evol_conc","OK"),IF(INDEX(evol_conc!$H:$H,$Q797)&lt;&gt;$F797,"FIRMA DISTINTA EN evol_conc ("&amp;IF(INDEX(evol_conc!$H:$H,$Q797)="","vacía",DAY(INDEX(evol_conc!$H:$H,$Q797))&amp;"/"&amp;MONTH(INDEX(evol_conc!$H:$H,$Q797))&amp;"/"&amp;YEAR(INDEX(evol_conc!$H:$H,$Q797)))&amp;")",IF(INDEX(evol_conc!$G:$G,$Q797)&lt;&gt;$E797,"INGRESO DISTINTO EN evol_conc ("&amp;IF(INDEX(evol_conc!$G:$G,$Q797)="","vacía",DAY(INDEX(evol_conc!$G:$G,$Q797))&amp;"/"&amp;MONTH(INDEX(evol_conc!$G:$G,$Q797))&amp;"/"&amp;YEAR(INDEX(evol_conc!$G:$G,$Q797)))&amp;")","OK"))))))))</f>
        <v/>
      </c>
      <c r="Q797" t="str">
        <f ca="1">IF($N797="","",IFERROR(MATCH($N797,evol_conc!$P:$P,0),0))</f>
        <v/>
      </c>
    </row>
    <row r="798" spans="12:17" ht="18" hidden="1" customHeight="1" x14ac:dyDescent="0.25">
      <c r="L798" s="53" t="str">
        <f t="shared" si="24"/>
        <v/>
      </c>
      <c r="M798" s="19" t="str">
        <f t="shared" si="25"/>
        <v/>
      </c>
      <c r="N798" t="str">
        <f ca="1">IF(TRIM(SUBSTITUTE($B798,CHAR(160)," "))="","",IFERROR(IF(ISNUMBER(SEARCH("INC",$B798)),"INC",IF(ISNUMBER(SEARCH("OPI",$B798)),"OPI",IF(ISNUMBER(SEARCH("DP",$B798)),"DP","CONC")))&amp;" "&amp;TEXT(LOOKUP(9.99E+307,--MID(SUBSTITUTE($B798,CHAR(160)," "),SUMPRODUCT(MIN(FIND({0,1,2,3,4,5,6,7,8,9},SUBSTITUTE($B798,CHAR(160)," ")&amp;"0123456789"))),ROW(INDIRECT("1:6")))),"0"),"SIN NUMERO"))</f>
        <v/>
      </c>
      <c r="O798" t="str">
        <f ca="1">IF($N798="","",IF(LEFT(UPPER($P798),9)="VERIFICAR","VERIFICAR",IF(AND($H798&lt;&gt;"",COUNTIFS($N$2:$N$1000,$N798,$H$2:$H$1000,$H798)&gt;1),"DUPLICADA",IF(TRIM(IF($A798="","tipo ","")&amp;IF($F798="","fecha de firma ","")&amp;IF($G798="","decisión ","")&amp;IF($H798="","N° resolución ","")&amp;IF($I798="","N° dictamen",""))&lt;&gt;"","INCOMPLETA: "&amp;TRIM(IF($A798="","tipo ","")&amp;IF($F798="","fecha de firma ","")&amp;IF($G798="","decisión ","")&amp;IF($H798="","N° resolución ","")&amp;IF($I798="","N° dictamen","")),IF(LEFT($N798,4)&lt;&gt;"CONC","OK",IF(N($Q798)=0,IF(AND(ISNUMBER($E798),$E798&gt;=DATE(2024,1,1)),"FALTA EN evol_conc","OK"),IF(INDEX(evol_conc!$H:$H,$Q798)&lt;&gt;$F798,"FIRMA DISTINTA EN evol_conc ("&amp;IF(INDEX(evol_conc!$H:$H,$Q798)="","vacía",DAY(INDEX(evol_conc!$H:$H,$Q798))&amp;"/"&amp;MONTH(INDEX(evol_conc!$H:$H,$Q798))&amp;"/"&amp;YEAR(INDEX(evol_conc!$H:$H,$Q798)))&amp;")",IF(INDEX(evol_conc!$G:$G,$Q798)&lt;&gt;$E798,"INGRESO DISTINTO EN evol_conc ("&amp;IF(INDEX(evol_conc!$G:$G,$Q798)="","vacía",DAY(INDEX(evol_conc!$G:$G,$Q798))&amp;"/"&amp;MONTH(INDEX(evol_conc!$G:$G,$Q798))&amp;"/"&amp;YEAR(INDEX(evol_conc!$G:$G,$Q798)))&amp;")","OK"))))))))</f>
        <v/>
      </c>
      <c r="Q798" t="str">
        <f ca="1">IF($N798="","",IFERROR(MATCH($N798,evol_conc!$P:$P,0),0))</f>
        <v/>
      </c>
    </row>
    <row r="799" spans="12:17" ht="18" hidden="1" customHeight="1" x14ac:dyDescent="0.25">
      <c r="L799" s="53" t="str">
        <f t="shared" si="24"/>
        <v/>
      </c>
      <c r="M799" s="19" t="str">
        <f t="shared" si="25"/>
        <v/>
      </c>
      <c r="N799" t="str">
        <f ca="1">IF(TRIM(SUBSTITUTE($B799,CHAR(160)," "))="","",IFERROR(IF(ISNUMBER(SEARCH("INC",$B799)),"INC",IF(ISNUMBER(SEARCH("OPI",$B799)),"OPI",IF(ISNUMBER(SEARCH("DP",$B799)),"DP","CONC")))&amp;" "&amp;TEXT(LOOKUP(9.99E+307,--MID(SUBSTITUTE($B799,CHAR(160)," "),SUMPRODUCT(MIN(FIND({0,1,2,3,4,5,6,7,8,9},SUBSTITUTE($B799,CHAR(160)," ")&amp;"0123456789"))),ROW(INDIRECT("1:6")))),"0"),"SIN NUMERO"))</f>
        <v/>
      </c>
      <c r="O799" t="str">
        <f ca="1">IF($N799="","",IF(LEFT(UPPER($P799),9)="VERIFICAR","VERIFICAR",IF(AND($H799&lt;&gt;"",COUNTIFS($N$2:$N$1000,$N799,$H$2:$H$1000,$H799)&gt;1),"DUPLICADA",IF(TRIM(IF($A799="","tipo ","")&amp;IF($F799="","fecha de firma ","")&amp;IF($G799="","decisión ","")&amp;IF($H799="","N° resolución ","")&amp;IF($I799="","N° dictamen",""))&lt;&gt;"","INCOMPLETA: "&amp;TRIM(IF($A799="","tipo ","")&amp;IF($F799="","fecha de firma ","")&amp;IF($G799="","decisión ","")&amp;IF($H799="","N° resolución ","")&amp;IF($I799="","N° dictamen","")),IF(LEFT($N799,4)&lt;&gt;"CONC","OK",IF(N($Q799)=0,IF(AND(ISNUMBER($E799),$E799&gt;=DATE(2024,1,1)),"FALTA EN evol_conc","OK"),IF(INDEX(evol_conc!$H:$H,$Q799)&lt;&gt;$F799,"FIRMA DISTINTA EN evol_conc ("&amp;IF(INDEX(evol_conc!$H:$H,$Q799)="","vacía",DAY(INDEX(evol_conc!$H:$H,$Q799))&amp;"/"&amp;MONTH(INDEX(evol_conc!$H:$H,$Q799))&amp;"/"&amp;YEAR(INDEX(evol_conc!$H:$H,$Q799)))&amp;")",IF(INDEX(evol_conc!$G:$G,$Q799)&lt;&gt;$E799,"INGRESO DISTINTO EN evol_conc ("&amp;IF(INDEX(evol_conc!$G:$G,$Q799)="","vacía",DAY(INDEX(evol_conc!$G:$G,$Q799))&amp;"/"&amp;MONTH(INDEX(evol_conc!$G:$G,$Q799))&amp;"/"&amp;YEAR(INDEX(evol_conc!$G:$G,$Q799)))&amp;")","OK"))))))))</f>
        <v/>
      </c>
      <c r="Q799" t="str">
        <f ca="1">IF($N799="","",IFERROR(MATCH($N799,evol_conc!$P:$P,0),0))</f>
        <v/>
      </c>
    </row>
    <row r="800" spans="12:17" ht="18" hidden="1" customHeight="1" x14ac:dyDescent="0.25">
      <c r="L800" s="53" t="str">
        <f t="shared" si="24"/>
        <v/>
      </c>
      <c r="M800" s="19" t="str">
        <f t="shared" si="25"/>
        <v/>
      </c>
      <c r="N800" t="str">
        <f ca="1">IF(TRIM(SUBSTITUTE($B800,CHAR(160)," "))="","",IFERROR(IF(ISNUMBER(SEARCH("INC",$B800)),"INC",IF(ISNUMBER(SEARCH("OPI",$B800)),"OPI",IF(ISNUMBER(SEARCH("DP",$B800)),"DP","CONC")))&amp;" "&amp;TEXT(LOOKUP(9.99E+307,--MID(SUBSTITUTE($B800,CHAR(160)," "),SUMPRODUCT(MIN(FIND({0,1,2,3,4,5,6,7,8,9},SUBSTITUTE($B800,CHAR(160)," ")&amp;"0123456789"))),ROW(INDIRECT("1:6")))),"0"),"SIN NUMERO"))</f>
        <v/>
      </c>
      <c r="O800" t="str">
        <f ca="1">IF($N800="","",IF(LEFT(UPPER($P800),9)="VERIFICAR","VERIFICAR",IF(AND($H800&lt;&gt;"",COUNTIFS($N$2:$N$1000,$N800,$H$2:$H$1000,$H800)&gt;1),"DUPLICADA",IF(TRIM(IF($A800="","tipo ","")&amp;IF($F800="","fecha de firma ","")&amp;IF($G800="","decisión ","")&amp;IF($H800="","N° resolución ","")&amp;IF($I800="","N° dictamen",""))&lt;&gt;"","INCOMPLETA: "&amp;TRIM(IF($A800="","tipo ","")&amp;IF($F800="","fecha de firma ","")&amp;IF($G800="","decisión ","")&amp;IF($H800="","N° resolución ","")&amp;IF($I800="","N° dictamen","")),IF(LEFT($N800,4)&lt;&gt;"CONC","OK",IF(N($Q800)=0,IF(AND(ISNUMBER($E800),$E800&gt;=DATE(2024,1,1)),"FALTA EN evol_conc","OK"),IF(INDEX(evol_conc!$H:$H,$Q800)&lt;&gt;$F800,"FIRMA DISTINTA EN evol_conc ("&amp;IF(INDEX(evol_conc!$H:$H,$Q800)="","vacía",DAY(INDEX(evol_conc!$H:$H,$Q800))&amp;"/"&amp;MONTH(INDEX(evol_conc!$H:$H,$Q800))&amp;"/"&amp;YEAR(INDEX(evol_conc!$H:$H,$Q800)))&amp;")",IF(INDEX(evol_conc!$G:$G,$Q800)&lt;&gt;$E800,"INGRESO DISTINTO EN evol_conc ("&amp;IF(INDEX(evol_conc!$G:$G,$Q800)="","vacía",DAY(INDEX(evol_conc!$G:$G,$Q800))&amp;"/"&amp;MONTH(INDEX(evol_conc!$G:$G,$Q800))&amp;"/"&amp;YEAR(INDEX(evol_conc!$G:$G,$Q800)))&amp;")","OK"))))))))</f>
        <v/>
      </c>
      <c r="Q800" t="str">
        <f ca="1">IF($N800="","",IFERROR(MATCH($N800,evol_conc!$P:$P,0),0))</f>
        <v/>
      </c>
    </row>
    <row r="801" spans="12:17" ht="18" hidden="1" customHeight="1" x14ac:dyDescent="0.25">
      <c r="L801" s="53" t="str">
        <f t="shared" si="24"/>
        <v/>
      </c>
      <c r="M801" s="19" t="str">
        <f t="shared" si="25"/>
        <v/>
      </c>
      <c r="N801" t="str">
        <f ca="1">IF(TRIM(SUBSTITUTE($B801,CHAR(160)," "))="","",IFERROR(IF(ISNUMBER(SEARCH("INC",$B801)),"INC",IF(ISNUMBER(SEARCH("OPI",$B801)),"OPI",IF(ISNUMBER(SEARCH("DP",$B801)),"DP","CONC")))&amp;" "&amp;TEXT(LOOKUP(9.99E+307,--MID(SUBSTITUTE($B801,CHAR(160)," "),SUMPRODUCT(MIN(FIND({0,1,2,3,4,5,6,7,8,9},SUBSTITUTE($B801,CHAR(160)," ")&amp;"0123456789"))),ROW(INDIRECT("1:6")))),"0"),"SIN NUMERO"))</f>
        <v/>
      </c>
      <c r="O801" t="str">
        <f ca="1">IF($N801="","",IF(LEFT(UPPER($P801),9)="VERIFICAR","VERIFICAR",IF(AND($H801&lt;&gt;"",COUNTIFS($N$2:$N$1000,$N801,$H$2:$H$1000,$H801)&gt;1),"DUPLICADA",IF(TRIM(IF($A801="","tipo ","")&amp;IF($F801="","fecha de firma ","")&amp;IF($G801="","decisión ","")&amp;IF($H801="","N° resolución ","")&amp;IF($I801="","N° dictamen",""))&lt;&gt;"","INCOMPLETA: "&amp;TRIM(IF($A801="","tipo ","")&amp;IF($F801="","fecha de firma ","")&amp;IF($G801="","decisión ","")&amp;IF($H801="","N° resolución ","")&amp;IF($I801="","N° dictamen","")),IF(LEFT($N801,4)&lt;&gt;"CONC","OK",IF(N($Q801)=0,IF(AND(ISNUMBER($E801),$E801&gt;=DATE(2024,1,1)),"FALTA EN evol_conc","OK"),IF(INDEX(evol_conc!$H:$H,$Q801)&lt;&gt;$F801,"FIRMA DISTINTA EN evol_conc ("&amp;IF(INDEX(evol_conc!$H:$H,$Q801)="","vacía",DAY(INDEX(evol_conc!$H:$H,$Q801))&amp;"/"&amp;MONTH(INDEX(evol_conc!$H:$H,$Q801))&amp;"/"&amp;YEAR(INDEX(evol_conc!$H:$H,$Q801)))&amp;")",IF(INDEX(evol_conc!$G:$G,$Q801)&lt;&gt;$E801,"INGRESO DISTINTO EN evol_conc ("&amp;IF(INDEX(evol_conc!$G:$G,$Q801)="","vacía",DAY(INDEX(evol_conc!$G:$G,$Q801))&amp;"/"&amp;MONTH(INDEX(evol_conc!$G:$G,$Q801))&amp;"/"&amp;YEAR(INDEX(evol_conc!$G:$G,$Q801)))&amp;")","OK"))))))))</f>
        <v/>
      </c>
      <c r="Q801" t="str">
        <f ca="1">IF($N801="","",IFERROR(MATCH($N801,evol_conc!$P:$P,0),0))</f>
        <v/>
      </c>
    </row>
    <row r="802" spans="12:17" ht="18" hidden="1" customHeight="1" x14ac:dyDescent="0.25">
      <c r="L802" s="53" t="str">
        <f t="shared" si="24"/>
        <v/>
      </c>
      <c r="M802" s="19" t="str">
        <f t="shared" si="25"/>
        <v/>
      </c>
      <c r="N802" t="str">
        <f ca="1">IF(TRIM(SUBSTITUTE($B802,CHAR(160)," "))="","",IFERROR(IF(ISNUMBER(SEARCH("INC",$B802)),"INC",IF(ISNUMBER(SEARCH("OPI",$B802)),"OPI",IF(ISNUMBER(SEARCH("DP",$B802)),"DP","CONC")))&amp;" "&amp;TEXT(LOOKUP(9.99E+307,--MID(SUBSTITUTE($B802,CHAR(160)," "),SUMPRODUCT(MIN(FIND({0,1,2,3,4,5,6,7,8,9},SUBSTITUTE($B802,CHAR(160)," ")&amp;"0123456789"))),ROW(INDIRECT("1:6")))),"0"),"SIN NUMERO"))</f>
        <v/>
      </c>
      <c r="O802" t="str">
        <f ca="1">IF($N802="","",IF(LEFT(UPPER($P802),9)="VERIFICAR","VERIFICAR",IF(AND($H802&lt;&gt;"",COUNTIFS($N$2:$N$1000,$N802,$H$2:$H$1000,$H802)&gt;1),"DUPLICADA",IF(TRIM(IF($A802="","tipo ","")&amp;IF($F802="","fecha de firma ","")&amp;IF($G802="","decisión ","")&amp;IF($H802="","N° resolución ","")&amp;IF($I802="","N° dictamen",""))&lt;&gt;"","INCOMPLETA: "&amp;TRIM(IF($A802="","tipo ","")&amp;IF($F802="","fecha de firma ","")&amp;IF($G802="","decisión ","")&amp;IF($H802="","N° resolución ","")&amp;IF($I802="","N° dictamen","")),IF(LEFT($N802,4)&lt;&gt;"CONC","OK",IF(N($Q802)=0,IF(AND(ISNUMBER($E802),$E802&gt;=DATE(2024,1,1)),"FALTA EN evol_conc","OK"),IF(INDEX(evol_conc!$H:$H,$Q802)&lt;&gt;$F802,"FIRMA DISTINTA EN evol_conc ("&amp;IF(INDEX(evol_conc!$H:$H,$Q802)="","vacía",DAY(INDEX(evol_conc!$H:$H,$Q802))&amp;"/"&amp;MONTH(INDEX(evol_conc!$H:$H,$Q802))&amp;"/"&amp;YEAR(INDEX(evol_conc!$H:$H,$Q802)))&amp;")",IF(INDEX(evol_conc!$G:$G,$Q802)&lt;&gt;$E802,"INGRESO DISTINTO EN evol_conc ("&amp;IF(INDEX(evol_conc!$G:$G,$Q802)="","vacía",DAY(INDEX(evol_conc!$G:$G,$Q802))&amp;"/"&amp;MONTH(INDEX(evol_conc!$G:$G,$Q802))&amp;"/"&amp;YEAR(INDEX(evol_conc!$G:$G,$Q802)))&amp;")","OK"))))))))</f>
        <v/>
      </c>
      <c r="Q802" t="str">
        <f ca="1">IF($N802="","",IFERROR(MATCH($N802,evol_conc!$P:$P,0),0))</f>
        <v/>
      </c>
    </row>
    <row r="803" spans="12:17" ht="18" hidden="1" customHeight="1" x14ac:dyDescent="0.25">
      <c r="L803" s="53" t="str">
        <f t="shared" si="24"/>
        <v/>
      </c>
      <c r="M803" s="19" t="str">
        <f t="shared" si="25"/>
        <v/>
      </c>
      <c r="N803" t="str">
        <f ca="1">IF(TRIM(SUBSTITUTE($B803,CHAR(160)," "))="","",IFERROR(IF(ISNUMBER(SEARCH("INC",$B803)),"INC",IF(ISNUMBER(SEARCH("OPI",$B803)),"OPI",IF(ISNUMBER(SEARCH("DP",$B803)),"DP","CONC")))&amp;" "&amp;TEXT(LOOKUP(9.99E+307,--MID(SUBSTITUTE($B803,CHAR(160)," "),SUMPRODUCT(MIN(FIND({0,1,2,3,4,5,6,7,8,9},SUBSTITUTE($B803,CHAR(160)," ")&amp;"0123456789"))),ROW(INDIRECT("1:6")))),"0"),"SIN NUMERO"))</f>
        <v/>
      </c>
      <c r="O803" t="str">
        <f ca="1">IF($N803="","",IF(LEFT(UPPER($P803),9)="VERIFICAR","VERIFICAR",IF(AND($H803&lt;&gt;"",COUNTIFS($N$2:$N$1000,$N803,$H$2:$H$1000,$H803)&gt;1),"DUPLICADA",IF(TRIM(IF($A803="","tipo ","")&amp;IF($F803="","fecha de firma ","")&amp;IF($G803="","decisión ","")&amp;IF($H803="","N° resolución ","")&amp;IF($I803="","N° dictamen",""))&lt;&gt;"","INCOMPLETA: "&amp;TRIM(IF($A803="","tipo ","")&amp;IF($F803="","fecha de firma ","")&amp;IF($G803="","decisión ","")&amp;IF($H803="","N° resolución ","")&amp;IF($I803="","N° dictamen","")),IF(LEFT($N803,4)&lt;&gt;"CONC","OK",IF(N($Q803)=0,IF(AND(ISNUMBER($E803),$E803&gt;=DATE(2024,1,1)),"FALTA EN evol_conc","OK"),IF(INDEX(evol_conc!$H:$H,$Q803)&lt;&gt;$F803,"FIRMA DISTINTA EN evol_conc ("&amp;IF(INDEX(evol_conc!$H:$H,$Q803)="","vacía",DAY(INDEX(evol_conc!$H:$H,$Q803))&amp;"/"&amp;MONTH(INDEX(evol_conc!$H:$H,$Q803))&amp;"/"&amp;YEAR(INDEX(evol_conc!$H:$H,$Q803)))&amp;")",IF(INDEX(evol_conc!$G:$G,$Q803)&lt;&gt;$E803,"INGRESO DISTINTO EN evol_conc ("&amp;IF(INDEX(evol_conc!$G:$G,$Q803)="","vacía",DAY(INDEX(evol_conc!$G:$G,$Q803))&amp;"/"&amp;MONTH(INDEX(evol_conc!$G:$G,$Q803))&amp;"/"&amp;YEAR(INDEX(evol_conc!$G:$G,$Q803)))&amp;")","OK"))))))))</f>
        <v/>
      </c>
      <c r="Q803" t="str">
        <f ca="1">IF($N803="","",IFERROR(MATCH($N803,evol_conc!$P:$P,0),0))</f>
        <v/>
      </c>
    </row>
    <row r="804" spans="12:17" ht="18" hidden="1" customHeight="1" x14ac:dyDescent="0.25">
      <c r="L804" s="53" t="str">
        <f t="shared" si="24"/>
        <v/>
      </c>
      <c r="M804" s="19" t="str">
        <f t="shared" si="25"/>
        <v/>
      </c>
      <c r="N804" t="str">
        <f ca="1">IF(TRIM(SUBSTITUTE($B804,CHAR(160)," "))="","",IFERROR(IF(ISNUMBER(SEARCH("INC",$B804)),"INC",IF(ISNUMBER(SEARCH("OPI",$B804)),"OPI",IF(ISNUMBER(SEARCH("DP",$B804)),"DP","CONC")))&amp;" "&amp;TEXT(LOOKUP(9.99E+307,--MID(SUBSTITUTE($B804,CHAR(160)," "),SUMPRODUCT(MIN(FIND({0,1,2,3,4,5,6,7,8,9},SUBSTITUTE($B804,CHAR(160)," ")&amp;"0123456789"))),ROW(INDIRECT("1:6")))),"0"),"SIN NUMERO"))</f>
        <v/>
      </c>
      <c r="O804" t="str">
        <f ca="1">IF($N804="","",IF(LEFT(UPPER($P804),9)="VERIFICAR","VERIFICAR",IF(AND($H804&lt;&gt;"",COUNTIFS($N$2:$N$1000,$N804,$H$2:$H$1000,$H804)&gt;1),"DUPLICADA",IF(TRIM(IF($A804="","tipo ","")&amp;IF($F804="","fecha de firma ","")&amp;IF($G804="","decisión ","")&amp;IF($H804="","N° resolución ","")&amp;IF($I804="","N° dictamen",""))&lt;&gt;"","INCOMPLETA: "&amp;TRIM(IF($A804="","tipo ","")&amp;IF($F804="","fecha de firma ","")&amp;IF($G804="","decisión ","")&amp;IF($H804="","N° resolución ","")&amp;IF($I804="","N° dictamen","")),IF(LEFT($N804,4)&lt;&gt;"CONC","OK",IF(N($Q804)=0,IF(AND(ISNUMBER($E804),$E804&gt;=DATE(2024,1,1)),"FALTA EN evol_conc","OK"),IF(INDEX(evol_conc!$H:$H,$Q804)&lt;&gt;$F804,"FIRMA DISTINTA EN evol_conc ("&amp;IF(INDEX(evol_conc!$H:$H,$Q804)="","vacía",DAY(INDEX(evol_conc!$H:$H,$Q804))&amp;"/"&amp;MONTH(INDEX(evol_conc!$H:$H,$Q804))&amp;"/"&amp;YEAR(INDEX(evol_conc!$H:$H,$Q804)))&amp;")",IF(INDEX(evol_conc!$G:$G,$Q804)&lt;&gt;$E804,"INGRESO DISTINTO EN evol_conc ("&amp;IF(INDEX(evol_conc!$G:$G,$Q804)="","vacía",DAY(INDEX(evol_conc!$G:$G,$Q804))&amp;"/"&amp;MONTH(INDEX(evol_conc!$G:$G,$Q804))&amp;"/"&amp;YEAR(INDEX(evol_conc!$G:$G,$Q804)))&amp;")","OK"))))))))</f>
        <v/>
      </c>
      <c r="Q804" t="str">
        <f ca="1">IF($N804="","",IFERROR(MATCH($N804,evol_conc!$P:$P,0),0))</f>
        <v/>
      </c>
    </row>
    <row r="805" spans="12:17" ht="18" hidden="1" customHeight="1" x14ac:dyDescent="0.25">
      <c r="L805" s="53" t="str">
        <f t="shared" si="24"/>
        <v/>
      </c>
      <c r="M805" s="19" t="str">
        <f t="shared" si="25"/>
        <v/>
      </c>
      <c r="N805" t="str">
        <f ca="1">IF(TRIM(SUBSTITUTE($B805,CHAR(160)," "))="","",IFERROR(IF(ISNUMBER(SEARCH("INC",$B805)),"INC",IF(ISNUMBER(SEARCH("OPI",$B805)),"OPI",IF(ISNUMBER(SEARCH("DP",$B805)),"DP","CONC")))&amp;" "&amp;TEXT(LOOKUP(9.99E+307,--MID(SUBSTITUTE($B805,CHAR(160)," "),SUMPRODUCT(MIN(FIND({0,1,2,3,4,5,6,7,8,9},SUBSTITUTE($B805,CHAR(160)," ")&amp;"0123456789"))),ROW(INDIRECT("1:6")))),"0"),"SIN NUMERO"))</f>
        <v/>
      </c>
      <c r="O805" t="str">
        <f ca="1">IF($N805="","",IF(LEFT(UPPER($P805),9)="VERIFICAR","VERIFICAR",IF(AND($H805&lt;&gt;"",COUNTIFS($N$2:$N$1000,$N805,$H$2:$H$1000,$H805)&gt;1),"DUPLICADA",IF(TRIM(IF($A805="","tipo ","")&amp;IF($F805="","fecha de firma ","")&amp;IF($G805="","decisión ","")&amp;IF($H805="","N° resolución ","")&amp;IF($I805="","N° dictamen",""))&lt;&gt;"","INCOMPLETA: "&amp;TRIM(IF($A805="","tipo ","")&amp;IF($F805="","fecha de firma ","")&amp;IF($G805="","decisión ","")&amp;IF($H805="","N° resolución ","")&amp;IF($I805="","N° dictamen","")),IF(LEFT($N805,4)&lt;&gt;"CONC","OK",IF(N($Q805)=0,IF(AND(ISNUMBER($E805),$E805&gt;=DATE(2024,1,1)),"FALTA EN evol_conc","OK"),IF(INDEX(evol_conc!$H:$H,$Q805)&lt;&gt;$F805,"FIRMA DISTINTA EN evol_conc ("&amp;IF(INDEX(evol_conc!$H:$H,$Q805)="","vacía",DAY(INDEX(evol_conc!$H:$H,$Q805))&amp;"/"&amp;MONTH(INDEX(evol_conc!$H:$H,$Q805))&amp;"/"&amp;YEAR(INDEX(evol_conc!$H:$H,$Q805)))&amp;")",IF(INDEX(evol_conc!$G:$G,$Q805)&lt;&gt;$E805,"INGRESO DISTINTO EN evol_conc ("&amp;IF(INDEX(evol_conc!$G:$G,$Q805)="","vacía",DAY(INDEX(evol_conc!$G:$G,$Q805))&amp;"/"&amp;MONTH(INDEX(evol_conc!$G:$G,$Q805))&amp;"/"&amp;YEAR(INDEX(evol_conc!$G:$G,$Q805)))&amp;")","OK"))))))))</f>
        <v/>
      </c>
      <c r="Q805" t="str">
        <f ca="1">IF($N805="","",IFERROR(MATCH($N805,evol_conc!$P:$P,0),0))</f>
        <v/>
      </c>
    </row>
    <row r="806" spans="12:17" ht="18" hidden="1" customHeight="1" x14ac:dyDescent="0.25">
      <c r="L806" s="53" t="str">
        <f t="shared" si="24"/>
        <v/>
      </c>
      <c r="M806" s="19" t="str">
        <f t="shared" si="25"/>
        <v/>
      </c>
      <c r="N806" t="str">
        <f ca="1">IF(TRIM(SUBSTITUTE($B806,CHAR(160)," "))="","",IFERROR(IF(ISNUMBER(SEARCH("INC",$B806)),"INC",IF(ISNUMBER(SEARCH("OPI",$B806)),"OPI",IF(ISNUMBER(SEARCH("DP",$B806)),"DP","CONC")))&amp;" "&amp;TEXT(LOOKUP(9.99E+307,--MID(SUBSTITUTE($B806,CHAR(160)," "),SUMPRODUCT(MIN(FIND({0,1,2,3,4,5,6,7,8,9},SUBSTITUTE($B806,CHAR(160)," ")&amp;"0123456789"))),ROW(INDIRECT("1:6")))),"0"),"SIN NUMERO"))</f>
        <v/>
      </c>
      <c r="O806" t="str">
        <f ca="1">IF($N806="","",IF(LEFT(UPPER($P806),9)="VERIFICAR","VERIFICAR",IF(AND($H806&lt;&gt;"",COUNTIFS($N$2:$N$1000,$N806,$H$2:$H$1000,$H806)&gt;1),"DUPLICADA",IF(TRIM(IF($A806="","tipo ","")&amp;IF($F806="","fecha de firma ","")&amp;IF($G806="","decisión ","")&amp;IF($H806="","N° resolución ","")&amp;IF($I806="","N° dictamen",""))&lt;&gt;"","INCOMPLETA: "&amp;TRIM(IF($A806="","tipo ","")&amp;IF($F806="","fecha de firma ","")&amp;IF($G806="","decisión ","")&amp;IF($H806="","N° resolución ","")&amp;IF($I806="","N° dictamen","")),IF(LEFT($N806,4)&lt;&gt;"CONC","OK",IF(N($Q806)=0,IF(AND(ISNUMBER($E806),$E806&gt;=DATE(2024,1,1)),"FALTA EN evol_conc","OK"),IF(INDEX(evol_conc!$H:$H,$Q806)&lt;&gt;$F806,"FIRMA DISTINTA EN evol_conc ("&amp;IF(INDEX(evol_conc!$H:$H,$Q806)="","vacía",DAY(INDEX(evol_conc!$H:$H,$Q806))&amp;"/"&amp;MONTH(INDEX(evol_conc!$H:$H,$Q806))&amp;"/"&amp;YEAR(INDEX(evol_conc!$H:$H,$Q806)))&amp;")",IF(INDEX(evol_conc!$G:$G,$Q806)&lt;&gt;$E806,"INGRESO DISTINTO EN evol_conc ("&amp;IF(INDEX(evol_conc!$G:$G,$Q806)="","vacía",DAY(INDEX(evol_conc!$G:$G,$Q806))&amp;"/"&amp;MONTH(INDEX(evol_conc!$G:$G,$Q806))&amp;"/"&amp;YEAR(INDEX(evol_conc!$G:$G,$Q806)))&amp;")","OK"))))))))</f>
        <v/>
      </c>
      <c r="Q806" t="str">
        <f ca="1">IF($N806="","",IFERROR(MATCH($N806,evol_conc!$P:$P,0),0))</f>
        <v/>
      </c>
    </row>
    <row r="807" spans="12:17" ht="18" hidden="1" customHeight="1" x14ac:dyDescent="0.25">
      <c r="L807" s="53" t="str">
        <f t="shared" si="24"/>
        <v/>
      </c>
      <c r="M807" s="19" t="str">
        <f t="shared" si="25"/>
        <v/>
      </c>
      <c r="N807" t="str">
        <f ca="1">IF(TRIM(SUBSTITUTE($B807,CHAR(160)," "))="","",IFERROR(IF(ISNUMBER(SEARCH("INC",$B807)),"INC",IF(ISNUMBER(SEARCH("OPI",$B807)),"OPI",IF(ISNUMBER(SEARCH("DP",$B807)),"DP","CONC")))&amp;" "&amp;TEXT(LOOKUP(9.99E+307,--MID(SUBSTITUTE($B807,CHAR(160)," "),SUMPRODUCT(MIN(FIND({0,1,2,3,4,5,6,7,8,9},SUBSTITUTE($B807,CHAR(160)," ")&amp;"0123456789"))),ROW(INDIRECT("1:6")))),"0"),"SIN NUMERO"))</f>
        <v/>
      </c>
      <c r="O807" t="str">
        <f ca="1">IF($N807="","",IF(LEFT(UPPER($P807),9)="VERIFICAR","VERIFICAR",IF(AND($H807&lt;&gt;"",COUNTIFS($N$2:$N$1000,$N807,$H$2:$H$1000,$H807)&gt;1),"DUPLICADA",IF(TRIM(IF($A807="","tipo ","")&amp;IF($F807="","fecha de firma ","")&amp;IF($G807="","decisión ","")&amp;IF($H807="","N° resolución ","")&amp;IF($I807="","N° dictamen",""))&lt;&gt;"","INCOMPLETA: "&amp;TRIM(IF($A807="","tipo ","")&amp;IF($F807="","fecha de firma ","")&amp;IF($G807="","decisión ","")&amp;IF($H807="","N° resolución ","")&amp;IF($I807="","N° dictamen","")),IF(LEFT($N807,4)&lt;&gt;"CONC","OK",IF(N($Q807)=0,IF(AND(ISNUMBER($E807),$E807&gt;=DATE(2024,1,1)),"FALTA EN evol_conc","OK"),IF(INDEX(evol_conc!$H:$H,$Q807)&lt;&gt;$F807,"FIRMA DISTINTA EN evol_conc ("&amp;IF(INDEX(evol_conc!$H:$H,$Q807)="","vacía",DAY(INDEX(evol_conc!$H:$H,$Q807))&amp;"/"&amp;MONTH(INDEX(evol_conc!$H:$H,$Q807))&amp;"/"&amp;YEAR(INDEX(evol_conc!$H:$H,$Q807)))&amp;")",IF(INDEX(evol_conc!$G:$G,$Q807)&lt;&gt;$E807,"INGRESO DISTINTO EN evol_conc ("&amp;IF(INDEX(evol_conc!$G:$G,$Q807)="","vacía",DAY(INDEX(evol_conc!$G:$G,$Q807))&amp;"/"&amp;MONTH(INDEX(evol_conc!$G:$G,$Q807))&amp;"/"&amp;YEAR(INDEX(evol_conc!$G:$G,$Q807)))&amp;")","OK"))))))))</f>
        <v/>
      </c>
      <c r="Q807" t="str">
        <f ca="1">IF($N807="","",IFERROR(MATCH($N807,evol_conc!$P:$P,0),0))</f>
        <v/>
      </c>
    </row>
    <row r="808" spans="12:17" ht="18" hidden="1" customHeight="1" x14ac:dyDescent="0.25">
      <c r="L808" s="53" t="str">
        <f t="shared" si="24"/>
        <v/>
      </c>
      <c r="M808" s="19" t="str">
        <f t="shared" si="25"/>
        <v/>
      </c>
      <c r="N808" t="str">
        <f ca="1">IF(TRIM(SUBSTITUTE($B808,CHAR(160)," "))="","",IFERROR(IF(ISNUMBER(SEARCH("INC",$B808)),"INC",IF(ISNUMBER(SEARCH("OPI",$B808)),"OPI",IF(ISNUMBER(SEARCH("DP",$B808)),"DP","CONC")))&amp;" "&amp;TEXT(LOOKUP(9.99E+307,--MID(SUBSTITUTE($B808,CHAR(160)," "),SUMPRODUCT(MIN(FIND({0,1,2,3,4,5,6,7,8,9},SUBSTITUTE($B808,CHAR(160)," ")&amp;"0123456789"))),ROW(INDIRECT("1:6")))),"0"),"SIN NUMERO"))</f>
        <v/>
      </c>
      <c r="O808" t="str">
        <f ca="1">IF($N808="","",IF(LEFT(UPPER($P808),9)="VERIFICAR","VERIFICAR",IF(AND($H808&lt;&gt;"",COUNTIFS($N$2:$N$1000,$N808,$H$2:$H$1000,$H808)&gt;1),"DUPLICADA",IF(TRIM(IF($A808="","tipo ","")&amp;IF($F808="","fecha de firma ","")&amp;IF($G808="","decisión ","")&amp;IF($H808="","N° resolución ","")&amp;IF($I808="","N° dictamen",""))&lt;&gt;"","INCOMPLETA: "&amp;TRIM(IF($A808="","tipo ","")&amp;IF($F808="","fecha de firma ","")&amp;IF($G808="","decisión ","")&amp;IF($H808="","N° resolución ","")&amp;IF($I808="","N° dictamen","")),IF(LEFT($N808,4)&lt;&gt;"CONC","OK",IF(N($Q808)=0,IF(AND(ISNUMBER($E808),$E808&gt;=DATE(2024,1,1)),"FALTA EN evol_conc","OK"),IF(INDEX(evol_conc!$H:$H,$Q808)&lt;&gt;$F808,"FIRMA DISTINTA EN evol_conc ("&amp;IF(INDEX(evol_conc!$H:$H,$Q808)="","vacía",DAY(INDEX(evol_conc!$H:$H,$Q808))&amp;"/"&amp;MONTH(INDEX(evol_conc!$H:$H,$Q808))&amp;"/"&amp;YEAR(INDEX(evol_conc!$H:$H,$Q808)))&amp;")",IF(INDEX(evol_conc!$G:$G,$Q808)&lt;&gt;$E808,"INGRESO DISTINTO EN evol_conc ("&amp;IF(INDEX(evol_conc!$G:$G,$Q808)="","vacía",DAY(INDEX(evol_conc!$G:$G,$Q808))&amp;"/"&amp;MONTH(INDEX(evol_conc!$G:$G,$Q808))&amp;"/"&amp;YEAR(INDEX(evol_conc!$G:$G,$Q808)))&amp;")","OK"))))))))</f>
        <v/>
      </c>
      <c r="Q808" t="str">
        <f ca="1">IF($N808="","",IFERROR(MATCH($N808,evol_conc!$P:$P,0),0))</f>
        <v/>
      </c>
    </row>
    <row r="809" spans="12:17" ht="18" hidden="1" customHeight="1" x14ac:dyDescent="0.25">
      <c r="L809" s="53" t="str">
        <f t="shared" si="24"/>
        <v/>
      </c>
      <c r="M809" s="19" t="str">
        <f t="shared" si="25"/>
        <v/>
      </c>
      <c r="N809" t="str">
        <f ca="1">IF(TRIM(SUBSTITUTE($B809,CHAR(160)," "))="","",IFERROR(IF(ISNUMBER(SEARCH("INC",$B809)),"INC",IF(ISNUMBER(SEARCH("OPI",$B809)),"OPI",IF(ISNUMBER(SEARCH("DP",$B809)),"DP","CONC")))&amp;" "&amp;TEXT(LOOKUP(9.99E+307,--MID(SUBSTITUTE($B809,CHAR(160)," "),SUMPRODUCT(MIN(FIND({0,1,2,3,4,5,6,7,8,9},SUBSTITUTE($B809,CHAR(160)," ")&amp;"0123456789"))),ROW(INDIRECT("1:6")))),"0"),"SIN NUMERO"))</f>
        <v/>
      </c>
      <c r="O809" t="str">
        <f ca="1">IF($N809="","",IF(LEFT(UPPER($P809),9)="VERIFICAR","VERIFICAR",IF(AND($H809&lt;&gt;"",COUNTIFS($N$2:$N$1000,$N809,$H$2:$H$1000,$H809)&gt;1),"DUPLICADA",IF(TRIM(IF($A809="","tipo ","")&amp;IF($F809="","fecha de firma ","")&amp;IF($G809="","decisión ","")&amp;IF($H809="","N° resolución ","")&amp;IF($I809="","N° dictamen",""))&lt;&gt;"","INCOMPLETA: "&amp;TRIM(IF($A809="","tipo ","")&amp;IF($F809="","fecha de firma ","")&amp;IF($G809="","decisión ","")&amp;IF($H809="","N° resolución ","")&amp;IF($I809="","N° dictamen","")),IF(LEFT($N809,4)&lt;&gt;"CONC","OK",IF(N($Q809)=0,IF(AND(ISNUMBER($E809),$E809&gt;=DATE(2024,1,1)),"FALTA EN evol_conc","OK"),IF(INDEX(evol_conc!$H:$H,$Q809)&lt;&gt;$F809,"FIRMA DISTINTA EN evol_conc ("&amp;IF(INDEX(evol_conc!$H:$H,$Q809)="","vacía",DAY(INDEX(evol_conc!$H:$H,$Q809))&amp;"/"&amp;MONTH(INDEX(evol_conc!$H:$H,$Q809))&amp;"/"&amp;YEAR(INDEX(evol_conc!$H:$H,$Q809)))&amp;")",IF(INDEX(evol_conc!$G:$G,$Q809)&lt;&gt;$E809,"INGRESO DISTINTO EN evol_conc ("&amp;IF(INDEX(evol_conc!$G:$G,$Q809)="","vacía",DAY(INDEX(evol_conc!$G:$G,$Q809))&amp;"/"&amp;MONTH(INDEX(evol_conc!$G:$G,$Q809))&amp;"/"&amp;YEAR(INDEX(evol_conc!$G:$G,$Q809)))&amp;")","OK"))))))))</f>
        <v/>
      </c>
      <c r="Q809" t="str">
        <f ca="1">IF($N809="","",IFERROR(MATCH($N809,evol_conc!$P:$P,0),0))</f>
        <v/>
      </c>
    </row>
    <row r="810" spans="12:17" ht="18" hidden="1" customHeight="1" x14ac:dyDescent="0.25">
      <c r="L810" s="53" t="str">
        <f t="shared" si="24"/>
        <v/>
      </c>
      <c r="M810" s="19" t="str">
        <f t="shared" si="25"/>
        <v/>
      </c>
      <c r="N810" t="str">
        <f ca="1">IF(TRIM(SUBSTITUTE($B810,CHAR(160)," "))="","",IFERROR(IF(ISNUMBER(SEARCH("INC",$B810)),"INC",IF(ISNUMBER(SEARCH("OPI",$B810)),"OPI",IF(ISNUMBER(SEARCH("DP",$B810)),"DP","CONC")))&amp;" "&amp;TEXT(LOOKUP(9.99E+307,--MID(SUBSTITUTE($B810,CHAR(160)," "),SUMPRODUCT(MIN(FIND({0,1,2,3,4,5,6,7,8,9},SUBSTITUTE($B810,CHAR(160)," ")&amp;"0123456789"))),ROW(INDIRECT("1:6")))),"0"),"SIN NUMERO"))</f>
        <v/>
      </c>
      <c r="O810" t="str">
        <f ca="1">IF($N810="","",IF(LEFT(UPPER($P810),9)="VERIFICAR","VERIFICAR",IF(AND($H810&lt;&gt;"",COUNTIFS($N$2:$N$1000,$N810,$H$2:$H$1000,$H810)&gt;1),"DUPLICADA",IF(TRIM(IF($A810="","tipo ","")&amp;IF($F810="","fecha de firma ","")&amp;IF($G810="","decisión ","")&amp;IF($H810="","N° resolución ","")&amp;IF($I810="","N° dictamen",""))&lt;&gt;"","INCOMPLETA: "&amp;TRIM(IF($A810="","tipo ","")&amp;IF($F810="","fecha de firma ","")&amp;IF($G810="","decisión ","")&amp;IF($H810="","N° resolución ","")&amp;IF($I810="","N° dictamen","")),IF(LEFT($N810,4)&lt;&gt;"CONC","OK",IF(N($Q810)=0,IF(AND(ISNUMBER($E810),$E810&gt;=DATE(2024,1,1)),"FALTA EN evol_conc","OK"),IF(INDEX(evol_conc!$H:$H,$Q810)&lt;&gt;$F810,"FIRMA DISTINTA EN evol_conc ("&amp;IF(INDEX(evol_conc!$H:$H,$Q810)="","vacía",DAY(INDEX(evol_conc!$H:$H,$Q810))&amp;"/"&amp;MONTH(INDEX(evol_conc!$H:$H,$Q810))&amp;"/"&amp;YEAR(INDEX(evol_conc!$H:$H,$Q810)))&amp;")",IF(INDEX(evol_conc!$G:$G,$Q810)&lt;&gt;$E810,"INGRESO DISTINTO EN evol_conc ("&amp;IF(INDEX(evol_conc!$G:$G,$Q810)="","vacía",DAY(INDEX(evol_conc!$G:$G,$Q810))&amp;"/"&amp;MONTH(INDEX(evol_conc!$G:$G,$Q810))&amp;"/"&amp;YEAR(INDEX(evol_conc!$G:$G,$Q810)))&amp;")","OK"))))))))</f>
        <v/>
      </c>
      <c r="Q810" t="str">
        <f ca="1">IF($N810="","",IFERROR(MATCH($N810,evol_conc!$P:$P,0),0))</f>
        <v/>
      </c>
    </row>
    <row r="811" spans="12:17" ht="18" hidden="1" customHeight="1" x14ac:dyDescent="0.25">
      <c r="L811" s="53" t="str">
        <f t="shared" si="24"/>
        <v/>
      </c>
      <c r="M811" s="19" t="str">
        <f t="shared" si="25"/>
        <v/>
      </c>
      <c r="N811" t="str">
        <f ca="1">IF(TRIM(SUBSTITUTE($B811,CHAR(160)," "))="","",IFERROR(IF(ISNUMBER(SEARCH("INC",$B811)),"INC",IF(ISNUMBER(SEARCH("OPI",$B811)),"OPI",IF(ISNUMBER(SEARCH("DP",$B811)),"DP","CONC")))&amp;" "&amp;TEXT(LOOKUP(9.99E+307,--MID(SUBSTITUTE($B811,CHAR(160)," "),SUMPRODUCT(MIN(FIND({0,1,2,3,4,5,6,7,8,9},SUBSTITUTE($B811,CHAR(160)," ")&amp;"0123456789"))),ROW(INDIRECT("1:6")))),"0"),"SIN NUMERO"))</f>
        <v/>
      </c>
      <c r="O811" t="str">
        <f ca="1">IF($N811="","",IF(LEFT(UPPER($P811),9)="VERIFICAR","VERIFICAR",IF(AND($H811&lt;&gt;"",COUNTIFS($N$2:$N$1000,$N811,$H$2:$H$1000,$H811)&gt;1),"DUPLICADA",IF(TRIM(IF($A811="","tipo ","")&amp;IF($F811="","fecha de firma ","")&amp;IF($G811="","decisión ","")&amp;IF($H811="","N° resolución ","")&amp;IF($I811="","N° dictamen",""))&lt;&gt;"","INCOMPLETA: "&amp;TRIM(IF($A811="","tipo ","")&amp;IF($F811="","fecha de firma ","")&amp;IF($G811="","decisión ","")&amp;IF($H811="","N° resolución ","")&amp;IF($I811="","N° dictamen","")),IF(LEFT($N811,4)&lt;&gt;"CONC","OK",IF(N($Q811)=0,IF(AND(ISNUMBER($E811),$E811&gt;=DATE(2024,1,1)),"FALTA EN evol_conc","OK"),IF(INDEX(evol_conc!$H:$H,$Q811)&lt;&gt;$F811,"FIRMA DISTINTA EN evol_conc ("&amp;IF(INDEX(evol_conc!$H:$H,$Q811)="","vacía",DAY(INDEX(evol_conc!$H:$H,$Q811))&amp;"/"&amp;MONTH(INDEX(evol_conc!$H:$H,$Q811))&amp;"/"&amp;YEAR(INDEX(evol_conc!$H:$H,$Q811)))&amp;")",IF(INDEX(evol_conc!$G:$G,$Q811)&lt;&gt;$E811,"INGRESO DISTINTO EN evol_conc ("&amp;IF(INDEX(evol_conc!$G:$G,$Q811)="","vacía",DAY(INDEX(evol_conc!$G:$G,$Q811))&amp;"/"&amp;MONTH(INDEX(evol_conc!$G:$G,$Q811))&amp;"/"&amp;YEAR(INDEX(evol_conc!$G:$G,$Q811)))&amp;")","OK"))))))))</f>
        <v/>
      </c>
      <c r="Q811" t="str">
        <f ca="1">IF($N811="","",IFERROR(MATCH($N811,evol_conc!$P:$P,0),0))</f>
        <v/>
      </c>
    </row>
    <row r="812" spans="12:17" ht="18" hidden="1" customHeight="1" x14ac:dyDescent="0.25">
      <c r="L812" s="53" t="str">
        <f t="shared" si="24"/>
        <v/>
      </c>
      <c r="M812" s="19" t="str">
        <f t="shared" si="25"/>
        <v/>
      </c>
      <c r="N812" t="str">
        <f ca="1">IF(TRIM(SUBSTITUTE($B812,CHAR(160)," "))="","",IFERROR(IF(ISNUMBER(SEARCH("INC",$B812)),"INC",IF(ISNUMBER(SEARCH("OPI",$B812)),"OPI",IF(ISNUMBER(SEARCH("DP",$B812)),"DP","CONC")))&amp;" "&amp;TEXT(LOOKUP(9.99E+307,--MID(SUBSTITUTE($B812,CHAR(160)," "),SUMPRODUCT(MIN(FIND({0,1,2,3,4,5,6,7,8,9},SUBSTITUTE($B812,CHAR(160)," ")&amp;"0123456789"))),ROW(INDIRECT("1:6")))),"0"),"SIN NUMERO"))</f>
        <v/>
      </c>
      <c r="O812" t="str">
        <f ca="1">IF($N812="","",IF(LEFT(UPPER($P812),9)="VERIFICAR","VERIFICAR",IF(AND($H812&lt;&gt;"",COUNTIFS($N$2:$N$1000,$N812,$H$2:$H$1000,$H812)&gt;1),"DUPLICADA",IF(TRIM(IF($A812="","tipo ","")&amp;IF($F812="","fecha de firma ","")&amp;IF($G812="","decisión ","")&amp;IF($H812="","N° resolución ","")&amp;IF($I812="","N° dictamen",""))&lt;&gt;"","INCOMPLETA: "&amp;TRIM(IF($A812="","tipo ","")&amp;IF($F812="","fecha de firma ","")&amp;IF($G812="","decisión ","")&amp;IF($H812="","N° resolución ","")&amp;IF($I812="","N° dictamen","")),IF(LEFT($N812,4)&lt;&gt;"CONC","OK",IF(N($Q812)=0,IF(AND(ISNUMBER($E812),$E812&gt;=DATE(2024,1,1)),"FALTA EN evol_conc","OK"),IF(INDEX(evol_conc!$H:$H,$Q812)&lt;&gt;$F812,"FIRMA DISTINTA EN evol_conc ("&amp;IF(INDEX(evol_conc!$H:$H,$Q812)="","vacía",DAY(INDEX(evol_conc!$H:$H,$Q812))&amp;"/"&amp;MONTH(INDEX(evol_conc!$H:$H,$Q812))&amp;"/"&amp;YEAR(INDEX(evol_conc!$H:$H,$Q812)))&amp;")",IF(INDEX(evol_conc!$G:$G,$Q812)&lt;&gt;$E812,"INGRESO DISTINTO EN evol_conc ("&amp;IF(INDEX(evol_conc!$G:$G,$Q812)="","vacía",DAY(INDEX(evol_conc!$G:$G,$Q812))&amp;"/"&amp;MONTH(INDEX(evol_conc!$G:$G,$Q812))&amp;"/"&amp;YEAR(INDEX(evol_conc!$G:$G,$Q812)))&amp;")","OK"))))))))</f>
        <v/>
      </c>
      <c r="Q812" t="str">
        <f ca="1">IF($N812="","",IFERROR(MATCH($N812,evol_conc!$P:$P,0),0))</f>
        <v/>
      </c>
    </row>
    <row r="813" spans="12:17" ht="18" hidden="1" customHeight="1" x14ac:dyDescent="0.25">
      <c r="L813" s="53" t="str">
        <f t="shared" si="24"/>
        <v/>
      </c>
      <c r="M813" s="19" t="str">
        <f t="shared" si="25"/>
        <v/>
      </c>
      <c r="N813" t="str">
        <f ca="1">IF(TRIM(SUBSTITUTE($B813,CHAR(160)," "))="","",IFERROR(IF(ISNUMBER(SEARCH("INC",$B813)),"INC",IF(ISNUMBER(SEARCH("OPI",$B813)),"OPI",IF(ISNUMBER(SEARCH("DP",$B813)),"DP","CONC")))&amp;" "&amp;TEXT(LOOKUP(9.99E+307,--MID(SUBSTITUTE($B813,CHAR(160)," "),SUMPRODUCT(MIN(FIND({0,1,2,3,4,5,6,7,8,9},SUBSTITUTE($B813,CHAR(160)," ")&amp;"0123456789"))),ROW(INDIRECT("1:6")))),"0"),"SIN NUMERO"))</f>
        <v/>
      </c>
      <c r="O813" t="str">
        <f ca="1">IF($N813="","",IF(LEFT(UPPER($P813),9)="VERIFICAR","VERIFICAR",IF(AND($H813&lt;&gt;"",COUNTIFS($N$2:$N$1000,$N813,$H$2:$H$1000,$H813)&gt;1),"DUPLICADA",IF(TRIM(IF($A813="","tipo ","")&amp;IF($F813="","fecha de firma ","")&amp;IF($G813="","decisión ","")&amp;IF($H813="","N° resolución ","")&amp;IF($I813="","N° dictamen",""))&lt;&gt;"","INCOMPLETA: "&amp;TRIM(IF($A813="","tipo ","")&amp;IF($F813="","fecha de firma ","")&amp;IF($G813="","decisión ","")&amp;IF($H813="","N° resolución ","")&amp;IF($I813="","N° dictamen","")),IF(LEFT($N813,4)&lt;&gt;"CONC","OK",IF(N($Q813)=0,IF(AND(ISNUMBER($E813),$E813&gt;=DATE(2024,1,1)),"FALTA EN evol_conc","OK"),IF(INDEX(evol_conc!$H:$H,$Q813)&lt;&gt;$F813,"FIRMA DISTINTA EN evol_conc ("&amp;IF(INDEX(evol_conc!$H:$H,$Q813)="","vacía",DAY(INDEX(evol_conc!$H:$H,$Q813))&amp;"/"&amp;MONTH(INDEX(evol_conc!$H:$H,$Q813))&amp;"/"&amp;YEAR(INDEX(evol_conc!$H:$H,$Q813)))&amp;")",IF(INDEX(evol_conc!$G:$G,$Q813)&lt;&gt;$E813,"INGRESO DISTINTO EN evol_conc ("&amp;IF(INDEX(evol_conc!$G:$G,$Q813)="","vacía",DAY(INDEX(evol_conc!$G:$G,$Q813))&amp;"/"&amp;MONTH(INDEX(evol_conc!$G:$G,$Q813))&amp;"/"&amp;YEAR(INDEX(evol_conc!$G:$G,$Q813)))&amp;")","OK"))))))))</f>
        <v/>
      </c>
      <c r="Q813" t="str">
        <f ca="1">IF($N813="","",IFERROR(MATCH($N813,evol_conc!$P:$P,0),0))</f>
        <v/>
      </c>
    </row>
    <row r="814" spans="12:17" ht="18" hidden="1" customHeight="1" x14ac:dyDescent="0.25">
      <c r="L814" s="53" t="str">
        <f t="shared" si="24"/>
        <v/>
      </c>
      <c r="M814" s="19" t="str">
        <f t="shared" si="25"/>
        <v/>
      </c>
      <c r="N814" t="str">
        <f ca="1">IF(TRIM(SUBSTITUTE($B814,CHAR(160)," "))="","",IFERROR(IF(ISNUMBER(SEARCH("INC",$B814)),"INC",IF(ISNUMBER(SEARCH("OPI",$B814)),"OPI",IF(ISNUMBER(SEARCH("DP",$B814)),"DP","CONC")))&amp;" "&amp;TEXT(LOOKUP(9.99E+307,--MID(SUBSTITUTE($B814,CHAR(160)," "),SUMPRODUCT(MIN(FIND({0,1,2,3,4,5,6,7,8,9},SUBSTITUTE($B814,CHAR(160)," ")&amp;"0123456789"))),ROW(INDIRECT("1:6")))),"0"),"SIN NUMERO"))</f>
        <v/>
      </c>
      <c r="O814" t="str">
        <f ca="1">IF($N814="","",IF(LEFT(UPPER($P814),9)="VERIFICAR","VERIFICAR",IF(AND($H814&lt;&gt;"",COUNTIFS($N$2:$N$1000,$N814,$H$2:$H$1000,$H814)&gt;1),"DUPLICADA",IF(TRIM(IF($A814="","tipo ","")&amp;IF($F814="","fecha de firma ","")&amp;IF($G814="","decisión ","")&amp;IF($H814="","N° resolución ","")&amp;IF($I814="","N° dictamen",""))&lt;&gt;"","INCOMPLETA: "&amp;TRIM(IF($A814="","tipo ","")&amp;IF($F814="","fecha de firma ","")&amp;IF($G814="","decisión ","")&amp;IF($H814="","N° resolución ","")&amp;IF($I814="","N° dictamen","")),IF(LEFT($N814,4)&lt;&gt;"CONC","OK",IF(N($Q814)=0,IF(AND(ISNUMBER($E814),$E814&gt;=DATE(2024,1,1)),"FALTA EN evol_conc","OK"),IF(INDEX(evol_conc!$H:$H,$Q814)&lt;&gt;$F814,"FIRMA DISTINTA EN evol_conc ("&amp;IF(INDEX(evol_conc!$H:$H,$Q814)="","vacía",DAY(INDEX(evol_conc!$H:$H,$Q814))&amp;"/"&amp;MONTH(INDEX(evol_conc!$H:$H,$Q814))&amp;"/"&amp;YEAR(INDEX(evol_conc!$H:$H,$Q814)))&amp;")",IF(INDEX(evol_conc!$G:$G,$Q814)&lt;&gt;$E814,"INGRESO DISTINTO EN evol_conc ("&amp;IF(INDEX(evol_conc!$G:$G,$Q814)="","vacía",DAY(INDEX(evol_conc!$G:$G,$Q814))&amp;"/"&amp;MONTH(INDEX(evol_conc!$G:$G,$Q814))&amp;"/"&amp;YEAR(INDEX(evol_conc!$G:$G,$Q814)))&amp;")","OK"))))))))</f>
        <v/>
      </c>
      <c r="Q814" t="str">
        <f ca="1">IF($N814="","",IFERROR(MATCH($N814,evol_conc!$P:$P,0),0))</f>
        <v/>
      </c>
    </row>
    <row r="815" spans="12:17" ht="18" hidden="1" customHeight="1" x14ac:dyDescent="0.25">
      <c r="L815" s="53" t="str">
        <f t="shared" si="24"/>
        <v/>
      </c>
      <c r="M815" s="19" t="str">
        <f t="shared" si="25"/>
        <v/>
      </c>
      <c r="N815" t="str">
        <f ca="1">IF(TRIM(SUBSTITUTE($B815,CHAR(160)," "))="","",IFERROR(IF(ISNUMBER(SEARCH("INC",$B815)),"INC",IF(ISNUMBER(SEARCH("OPI",$B815)),"OPI",IF(ISNUMBER(SEARCH("DP",$B815)),"DP","CONC")))&amp;" "&amp;TEXT(LOOKUP(9.99E+307,--MID(SUBSTITUTE($B815,CHAR(160)," "),SUMPRODUCT(MIN(FIND({0,1,2,3,4,5,6,7,8,9},SUBSTITUTE($B815,CHAR(160)," ")&amp;"0123456789"))),ROW(INDIRECT("1:6")))),"0"),"SIN NUMERO"))</f>
        <v/>
      </c>
      <c r="O815" t="str">
        <f ca="1">IF($N815="","",IF(LEFT(UPPER($P815),9)="VERIFICAR","VERIFICAR",IF(AND($H815&lt;&gt;"",COUNTIFS($N$2:$N$1000,$N815,$H$2:$H$1000,$H815)&gt;1),"DUPLICADA",IF(TRIM(IF($A815="","tipo ","")&amp;IF($F815="","fecha de firma ","")&amp;IF($G815="","decisión ","")&amp;IF($H815="","N° resolución ","")&amp;IF($I815="","N° dictamen",""))&lt;&gt;"","INCOMPLETA: "&amp;TRIM(IF($A815="","tipo ","")&amp;IF($F815="","fecha de firma ","")&amp;IF($G815="","decisión ","")&amp;IF($H815="","N° resolución ","")&amp;IF($I815="","N° dictamen","")),IF(LEFT($N815,4)&lt;&gt;"CONC","OK",IF(N($Q815)=0,IF(AND(ISNUMBER($E815),$E815&gt;=DATE(2024,1,1)),"FALTA EN evol_conc","OK"),IF(INDEX(evol_conc!$H:$H,$Q815)&lt;&gt;$F815,"FIRMA DISTINTA EN evol_conc ("&amp;IF(INDEX(evol_conc!$H:$H,$Q815)="","vacía",DAY(INDEX(evol_conc!$H:$H,$Q815))&amp;"/"&amp;MONTH(INDEX(evol_conc!$H:$H,$Q815))&amp;"/"&amp;YEAR(INDEX(evol_conc!$H:$H,$Q815)))&amp;")",IF(INDEX(evol_conc!$G:$G,$Q815)&lt;&gt;$E815,"INGRESO DISTINTO EN evol_conc ("&amp;IF(INDEX(evol_conc!$G:$G,$Q815)="","vacía",DAY(INDEX(evol_conc!$G:$G,$Q815))&amp;"/"&amp;MONTH(INDEX(evol_conc!$G:$G,$Q815))&amp;"/"&amp;YEAR(INDEX(evol_conc!$G:$G,$Q815)))&amp;")","OK"))))))))</f>
        <v/>
      </c>
      <c r="Q815" t="str">
        <f ca="1">IF($N815="","",IFERROR(MATCH($N815,evol_conc!$P:$P,0),0))</f>
        <v/>
      </c>
    </row>
    <row r="816" spans="12:17" ht="18" hidden="1" customHeight="1" x14ac:dyDescent="0.25">
      <c r="L816" s="53" t="str">
        <f t="shared" si="24"/>
        <v/>
      </c>
      <c r="M816" s="19" t="str">
        <f t="shared" si="25"/>
        <v/>
      </c>
      <c r="N816" t="str">
        <f ca="1">IF(TRIM(SUBSTITUTE($B816,CHAR(160)," "))="","",IFERROR(IF(ISNUMBER(SEARCH("INC",$B816)),"INC",IF(ISNUMBER(SEARCH("OPI",$B816)),"OPI",IF(ISNUMBER(SEARCH("DP",$B816)),"DP","CONC")))&amp;" "&amp;TEXT(LOOKUP(9.99E+307,--MID(SUBSTITUTE($B816,CHAR(160)," "),SUMPRODUCT(MIN(FIND({0,1,2,3,4,5,6,7,8,9},SUBSTITUTE($B816,CHAR(160)," ")&amp;"0123456789"))),ROW(INDIRECT("1:6")))),"0"),"SIN NUMERO"))</f>
        <v/>
      </c>
      <c r="O816" t="str">
        <f ca="1">IF($N816="","",IF(LEFT(UPPER($P816),9)="VERIFICAR","VERIFICAR",IF(AND($H816&lt;&gt;"",COUNTIFS($N$2:$N$1000,$N816,$H$2:$H$1000,$H816)&gt;1),"DUPLICADA",IF(TRIM(IF($A816="","tipo ","")&amp;IF($F816="","fecha de firma ","")&amp;IF($G816="","decisión ","")&amp;IF($H816="","N° resolución ","")&amp;IF($I816="","N° dictamen",""))&lt;&gt;"","INCOMPLETA: "&amp;TRIM(IF($A816="","tipo ","")&amp;IF($F816="","fecha de firma ","")&amp;IF($G816="","decisión ","")&amp;IF($H816="","N° resolución ","")&amp;IF($I816="","N° dictamen","")),IF(LEFT($N816,4)&lt;&gt;"CONC","OK",IF(N($Q816)=0,IF(AND(ISNUMBER($E816),$E816&gt;=DATE(2024,1,1)),"FALTA EN evol_conc","OK"),IF(INDEX(evol_conc!$H:$H,$Q816)&lt;&gt;$F816,"FIRMA DISTINTA EN evol_conc ("&amp;IF(INDEX(evol_conc!$H:$H,$Q816)="","vacía",DAY(INDEX(evol_conc!$H:$H,$Q816))&amp;"/"&amp;MONTH(INDEX(evol_conc!$H:$H,$Q816))&amp;"/"&amp;YEAR(INDEX(evol_conc!$H:$H,$Q816)))&amp;")",IF(INDEX(evol_conc!$G:$G,$Q816)&lt;&gt;$E816,"INGRESO DISTINTO EN evol_conc ("&amp;IF(INDEX(evol_conc!$G:$G,$Q816)="","vacía",DAY(INDEX(evol_conc!$G:$G,$Q816))&amp;"/"&amp;MONTH(INDEX(evol_conc!$G:$G,$Q816))&amp;"/"&amp;YEAR(INDEX(evol_conc!$G:$G,$Q816)))&amp;")","OK"))))))))</f>
        <v/>
      </c>
      <c r="Q816" t="str">
        <f ca="1">IF($N816="","",IFERROR(MATCH($N816,evol_conc!$P:$P,0),0))</f>
        <v/>
      </c>
    </row>
    <row r="817" spans="12:17" ht="18" hidden="1" customHeight="1" x14ac:dyDescent="0.25">
      <c r="L817" s="53" t="str">
        <f t="shared" si="24"/>
        <v/>
      </c>
      <c r="M817" s="19" t="str">
        <f t="shared" si="25"/>
        <v/>
      </c>
      <c r="N817" t="str">
        <f ca="1">IF(TRIM(SUBSTITUTE($B817,CHAR(160)," "))="","",IFERROR(IF(ISNUMBER(SEARCH("INC",$B817)),"INC",IF(ISNUMBER(SEARCH("OPI",$B817)),"OPI",IF(ISNUMBER(SEARCH("DP",$B817)),"DP","CONC")))&amp;" "&amp;TEXT(LOOKUP(9.99E+307,--MID(SUBSTITUTE($B817,CHAR(160)," "),SUMPRODUCT(MIN(FIND({0,1,2,3,4,5,6,7,8,9},SUBSTITUTE($B817,CHAR(160)," ")&amp;"0123456789"))),ROW(INDIRECT("1:6")))),"0"),"SIN NUMERO"))</f>
        <v/>
      </c>
      <c r="O817" t="str">
        <f ca="1">IF($N817="","",IF(LEFT(UPPER($P817),9)="VERIFICAR","VERIFICAR",IF(AND($H817&lt;&gt;"",COUNTIFS($N$2:$N$1000,$N817,$H$2:$H$1000,$H817)&gt;1),"DUPLICADA",IF(TRIM(IF($A817="","tipo ","")&amp;IF($F817="","fecha de firma ","")&amp;IF($G817="","decisión ","")&amp;IF($H817="","N° resolución ","")&amp;IF($I817="","N° dictamen",""))&lt;&gt;"","INCOMPLETA: "&amp;TRIM(IF($A817="","tipo ","")&amp;IF($F817="","fecha de firma ","")&amp;IF($G817="","decisión ","")&amp;IF($H817="","N° resolución ","")&amp;IF($I817="","N° dictamen","")),IF(LEFT($N817,4)&lt;&gt;"CONC","OK",IF(N($Q817)=0,IF(AND(ISNUMBER($E817),$E817&gt;=DATE(2024,1,1)),"FALTA EN evol_conc","OK"),IF(INDEX(evol_conc!$H:$H,$Q817)&lt;&gt;$F817,"FIRMA DISTINTA EN evol_conc ("&amp;IF(INDEX(evol_conc!$H:$H,$Q817)="","vacía",DAY(INDEX(evol_conc!$H:$H,$Q817))&amp;"/"&amp;MONTH(INDEX(evol_conc!$H:$H,$Q817))&amp;"/"&amp;YEAR(INDEX(evol_conc!$H:$H,$Q817)))&amp;")",IF(INDEX(evol_conc!$G:$G,$Q817)&lt;&gt;$E817,"INGRESO DISTINTO EN evol_conc ("&amp;IF(INDEX(evol_conc!$G:$G,$Q817)="","vacía",DAY(INDEX(evol_conc!$G:$G,$Q817))&amp;"/"&amp;MONTH(INDEX(evol_conc!$G:$G,$Q817))&amp;"/"&amp;YEAR(INDEX(evol_conc!$G:$G,$Q817)))&amp;")","OK"))))))))</f>
        <v/>
      </c>
      <c r="Q817" t="str">
        <f ca="1">IF($N817="","",IFERROR(MATCH($N817,evol_conc!$P:$P,0),0))</f>
        <v/>
      </c>
    </row>
    <row r="818" spans="12:17" ht="18" hidden="1" customHeight="1" x14ac:dyDescent="0.25">
      <c r="L818" s="53" t="str">
        <f t="shared" si="24"/>
        <v/>
      </c>
      <c r="M818" s="19" t="str">
        <f t="shared" si="25"/>
        <v/>
      </c>
      <c r="N818" t="str">
        <f ca="1">IF(TRIM(SUBSTITUTE($B818,CHAR(160)," "))="","",IFERROR(IF(ISNUMBER(SEARCH("INC",$B818)),"INC",IF(ISNUMBER(SEARCH("OPI",$B818)),"OPI",IF(ISNUMBER(SEARCH("DP",$B818)),"DP","CONC")))&amp;" "&amp;TEXT(LOOKUP(9.99E+307,--MID(SUBSTITUTE($B818,CHAR(160)," "),SUMPRODUCT(MIN(FIND({0,1,2,3,4,5,6,7,8,9},SUBSTITUTE($B818,CHAR(160)," ")&amp;"0123456789"))),ROW(INDIRECT("1:6")))),"0"),"SIN NUMERO"))</f>
        <v/>
      </c>
      <c r="O818" t="str">
        <f ca="1">IF($N818="","",IF(LEFT(UPPER($P818),9)="VERIFICAR","VERIFICAR",IF(AND($H818&lt;&gt;"",COUNTIFS($N$2:$N$1000,$N818,$H$2:$H$1000,$H818)&gt;1),"DUPLICADA",IF(TRIM(IF($A818="","tipo ","")&amp;IF($F818="","fecha de firma ","")&amp;IF($G818="","decisión ","")&amp;IF($H818="","N° resolución ","")&amp;IF($I818="","N° dictamen",""))&lt;&gt;"","INCOMPLETA: "&amp;TRIM(IF($A818="","tipo ","")&amp;IF($F818="","fecha de firma ","")&amp;IF($G818="","decisión ","")&amp;IF($H818="","N° resolución ","")&amp;IF($I818="","N° dictamen","")),IF(LEFT($N818,4)&lt;&gt;"CONC","OK",IF(N($Q818)=0,IF(AND(ISNUMBER($E818),$E818&gt;=DATE(2024,1,1)),"FALTA EN evol_conc","OK"),IF(INDEX(evol_conc!$H:$H,$Q818)&lt;&gt;$F818,"FIRMA DISTINTA EN evol_conc ("&amp;IF(INDEX(evol_conc!$H:$H,$Q818)="","vacía",DAY(INDEX(evol_conc!$H:$H,$Q818))&amp;"/"&amp;MONTH(INDEX(evol_conc!$H:$H,$Q818))&amp;"/"&amp;YEAR(INDEX(evol_conc!$H:$H,$Q818)))&amp;")",IF(INDEX(evol_conc!$G:$G,$Q818)&lt;&gt;$E818,"INGRESO DISTINTO EN evol_conc ("&amp;IF(INDEX(evol_conc!$G:$G,$Q818)="","vacía",DAY(INDEX(evol_conc!$G:$G,$Q818))&amp;"/"&amp;MONTH(INDEX(evol_conc!$G:$G,$Q818))&amp;"/"&amp;YEAR(INDEX(evol_conc!$G:$G,$Q818)))&amp;")","OK"))))))))</f>
        <v/>
      </c>
      <c r="Q818" t="str">
        <f ca="1">IF($N818="","",IFERROR(MATCH($N818,evol_conc!$P:$P,0),0))</f>
        <v/>
      </c>
    </row>
    <row r="819" spans="12:17" ht="18" hidden="1" customHeight="1" x14ac:dyDescent="0.25">
      <c r="L819" s="53" t="str">
        <f t="shared" si="24"/>
        <v/>
      </c>
      <c r="M819" s="19" t="str">
        <f t="shared" si="25"/>
        <v/>
      </c>
      <c r="N819" t="str">
        <f ca="1">IF(TRIM(SUBSTITUTE($B819,CHAR(160)," "))="","",IFERROR(IF(ISNUMBER(SEARCH("INC",$B819)),"INC",IF(ISNUMBER(SEARCH("OPI",$B819)),"OPI",IF(ISNUMBER(SEARCH("DP",$B819)),"DP","CONC")))&amp;" "&amp;TEXT(LOOKUP(9.99E+307,--MID(SUBSTITUTE($B819,CHAR(160)," "),SUMPRODUCT(MIN(FIND({0,1,2,3,4,5,6,7,8,9},SUBSTITUTE($B819,CHAR(160)," ")&amp;"0123456789"))),ROW(INDIRECT("1:6")))),"0"),"SIN NUMERO"))</f>
        <v/>
      </c>
      <c r="O819" t="str">
        <f ca="1">IF($N819="","",IF(LEFT(UPPER($P819),9)="VERIFICAR","VERIFICAR",IF(AND($H819&lt;&gt;"",COUNTIFS($N$2:$N$1000,$N819,$H$2:$H$1000,$H819)&gt;1),"DUPLICADA",IF(TRIM(IF($A819="","tipo ","")&amp;IF($F819="","fecha de firma ","")&amp;IF($G819="","decisión ","")&amp;IF($H819="","N° resolución ","")&amp;IF($I819="","N° dictamen",""))&lt;&gt;"","INCOMPLETA: "&amp;TRIM(IF($A819="","tipo ","")&amp;IF($F819="","fecha de firma ","")&amp;IF($G819="","decisión ","")&amp;IF($H819="","N° resolución ","")&amp;IF($I819="","N° dictamen","")),IF(LEFT($N819,4)&lt;&gt;"CONC","OK",IF(N($Q819)=0,IF(AND(ISNUMBER($E819),$E819&gt;=DATE(2024,1,1)),"FALTA EN evol_conc","OK"),IF(INDEX(evol_conc!$H:$H,$Q819)&lt;&gt;$F819,"FIRMA DISTINTA EN evol_conc ("&amp;IF(INDEX(evol_conc!$H:$H,$Q819)="","vacía",DAY(INDEX(evol_conc!$H:$H,$Q819))&amp;"/"&amp;MONTH(INDEX(evol_conc!$H:$H,$Q819))&amp;"/"&amp;YEAR(INDEX(evol_conc!$H:$H,$Q819)))&amp;")",IF(INDEX(evol_conc!$G:$G,$Q819)&lt;&gt;$E819,"INGRESO DISTINTO EN evol_conc ("&amp;IF(INDEX(evol_conc!$G:$G,$Q819)="","vacía",DAY(INDEX(evol_conc!$G:$G,$Q819))&amp;"/"&amp;MONTH(INDEX(evol_conc!$G:$G,$Q819))&amp;"/"&amp;YEAR(INDEX(evol_conc!$G:$G,$Q819)))&amp;")","OK"))))))))</f>
        <v/>
      </c>
      <c r="Q819" t="str">
        <f ca="1">IF($N819="","",IFERROR(MATCH($N819,evol_conc!$P:$P,0),0))</f>
        <v/>
      </c>
    </row>
    <row r="820" spans="12:17" ht="18" hidden="1" customHeight="1" x14ac:dyDescent="0.25">
      <c r="L820" s="53" t="str">
        <f t="shared" si="24"/>
        <v/>
      </c>
      <c r="M820" s="19" t="str">
        <f t="shared" si="25"/>
        <v/>
      </c>
      <c r="N820" t="str">
        <f ca="1">IF(TRIM(SUBSTITUTE($B820,CHAR(160)," "))="","",IFERROR(IF(ISNUMBER(SEARCH("INC",$B820)),"INC",IF(ISNUMBER(SEARCH("OPI",$B820)),"OPI",IF(ISNUMBER(SEARCH("DP",$B820)),"DP","CONC")))&amp;" "&amp;TEXT(LOOKUP(9.99E+307,--MID(SUBSTITUTE($B820,CHAR(160)," "),SUMPRODUCT(MIN(FIND({0,1,2,3,4,5,6,7,8,9},SUBSTITUTE($B820,CHAR(160)," ")&amp;"0123456789"))),ROW(INDIRECT("1:6")))),"0"),"SIN NUMERO"))</f>
        <v/>
      </c>
      <c r="O820" t="str">
        <f ca="1">IF($N820="","",IF(LEFT(UPPER($P820),9)="VERIFICAR","VERIFICAR",IF(AND($H820&lt;&gt;"",COUNTIFS($N$2:$N$1000,$N820,$H$2:$H$1000,$H820)&gt;1),"DUPLICADA",IF(TRIM(IF($A820="","tipo ","")&amp;IF($F820="","fecha de firma ","")&amp;IF($G820="","decisión ","")&amp;IF($H820="","N° resolución ","")&amp;IF($I820="","N° dictamen",""))&lt;&gt;"","INCOMPLETA: "&amp;TRIM(IF($A820="","tipo ","")&amp;IF($F820="","fecha de firma ","")&amp;IF($G820="","decisión ","")&amp;IF($H820="","N° resolución ","")&amp;IF($I820="","N° dictamen","")),IF(LEFT($N820,4)&lt;&gt;"CONC","OK",IF(N($Q820)=0,IF(AND(ISNUMBER($E820),$E820&gt;=DATE(2024,1,1)),"FALTA EN evol_conc","OK"),IF(INDEX(evol_conc!$H:$H,$Q820)&lt;&gt;$F820,"FIRMA DISTINTA EN evol_conc ("&amp;IF(INDEX(evol_conc!$H:$H,$Q820)="","vacía",DAY(INDEX(evol_conc!$H:$H,$Q820))&amp;"/"&amp;MONTH(INDEX(evol_conc!$H:$H,$Q820))&amp;"/"&amp;YEAR(INDEX(evol_conc!$H:$H,$Q820)))&amp;")",IF(INDEX(evol_conc!$G:$G,$Q820)&lt;&gt;$E820,"INGRESO DISTINTO EN evol_conc ("&amp;IF(INDEX(evol_conc!$G:$G,$Q820)="","vacía",DAY(INDEX(evol_conc!$G:$G,$Q820))&amp;"/"&amp;MONTH(INDEX(evol_conc!$G:$G,$Q820))&amp;"/"&amp;YEAR(INDEX(evol_conc!$G:$G,$Q820)))&amp;")","OK"))))))))</f>
        <v/>
      </c>
      <c r="Q820" t="str">
        <f ca="1">IF($N820="","",IFERROR(MATCH($N820,evol_conc!$P:$P,0),0))</f>
        <v/>
      </c>
    </row>
    <row r="821" spans="12:17" ht="18" hidden="1" customHeight="1" x14ac:dyDescent="0.25">
      <c r="L821" s="53" t="str">
        <f t="shared" si="24"/>
        <v/>
      </c>
      <c r="M821" s="19" t="str">
        <f t="shared" si="25"/>
        <v/>
      </c>
      <c r="N821" t="str">
        <f ca="1">IF(TRIM(SUBSTITUTE($B821,CHAR(160)," "))="","",IFERROR(IF(ISNUMBER(SEARCH("INC",$B821)),"INC",IF(ISNUMBER(SEARCH("OPI",$B821)),"OPI",IF(ISNUMBER(SEARCH("DP",$B821)),"DP","CONC")))&amp;" "&amp;TEXT(LOOKUP(9.99E+307,--MID(SUBSTITUTE($B821,CHAR(160)," "),SUMPRODUCT(MIN(FIND({0,1,2,3,4,5,6,7,8,9},SUBSTITUTE($B821,CHAR(160)," ")&amp;"0123456789"))),ROW(INDIRECT("1:6")))),"0"),"SIN NUMERO"))</f>
        <v/>
      </c>
      <c r="O821" t="str">
        <f ca="1">IF($N821="","",IF(LEFT(UPPER($P821),9)="VERIFICAR","VERIFICAR",IF(AND($H821&lt;&gt;"",COUNTIFS($N$2:$N$1000,$N821,$H$2:$H$1000,$H821)&gt;1),"DUPLICADA",IF(TRIM(IF($A821="","tipo ","")&amp;IF($F821="","fecha de firma ","")&amp;IF($G821="","decisión ","")&amp;IF($H821="","N° resolución ","")&amp;IF($I821="","N° dictamen",""))&lt;&gt;"","INCOMPLETA: "&amp;TRIM(IF($A821="","tipo ","")&amp;IF($F821="","fecha de firma ","")&amp;IF($G821="","decisión ","")&amp;IF($H821="","N° resolución ","")&amp;IF($I821="","N° dictamen","")),IF(LEFT($N821,4)&lt;&gt;"CONC","OK",IF(N($Q821)=0,IF(AND(ISNUMBER($E821),$E821&gt;=DATE(2024,1,1)),"FALTA EN evol_conc","OK"),IF(INDEX(evol_conc!$H:$H,$Q821)&lt;&gt;$F821,"FIRMA DISTINTA EN evol_conc ("&amp;IF(INDEX(evol_conc!$H:$H,$Q821)="","vacía",DAY(INDEX(evol_conc!$H:$H,$Q821))&amp;"/"&amp;MONTH(INDEX(evol_conc!$H:$H,$Q821))&amp;"/"&amp;YEAR(INDEX(evol_conc!$H:$H,$Q821)))&amp;")",IF(INDEX(evol_conc!$G:$G,$Q821)&lt;&gt;$E821,"INGRESO DISTINTO EN evol_conc ("&amp;IF(INDEX(evol_conc!$G:$G,$Q821)="","vacía",DAY(INDEX(evol_conc!$G:$G,$Q821))&amp;"/"&amp;MONTH(INDEX(evol_conc!$G:$G,$Q821))&amp;"/"&amp;YEAR(INDEX(evol_conc!$G:$G,$Q821)))&amp;")","OK"))))))))</f>
        <v/>
      </c>
      <c r="Q821" t="str">
        <f ca="1">IF($N821="","",IFERROR(MATCH($N821,evol_conc!$P:$P,0),0))</f>
        <v/>
      </c>
    </row>
    <row r="822" spans="12:17" ht="18" hidden="1" customHeight="1" x14ac:dyDescent="0.25">
      <c r="L822" s="53" t="str">
        <f t="shared" si="24"/>
        <v/>
      </c>
      <c r="M822" s="19" t="str">
        <f t="shared" si="25"/>
        <v/>
      </c>
      <c r="N822" t="str">
        <f ca="1">IF(TRIM(SUBSTITUTE($B822,CHAR(160)," "))="","",IFERROR(IF(ISNUMBER(SEARCH("INC",$B822)),"INC",IF(ISNUMBER(SEARCH("OPI",$B822)),"OPI",IF(ISNUMBER(SEARCH("DP",$B822)),"DP","CONC")))&amp;" "&amp;TEXT(LOOKUP(9.99E+307,--MID(SUBSTITUTE($B822,CHAR(160)," "),SUMPRODUCT(MIN(FIND({0,1,2,3,4,5,6,7,8,9},SUBSTITUTE($B822,CHAR(160)," ")&amp;"0123456789"))),ROW(INDIRECT("1:6")))),"0"),"SIN NUMERO"))</f>
        <v/>
      </c>
      <c r="O822" t="str">
        <f ca="1">IF($N822="","",IF(LEFT(UPPER($P822),9)="VERIFICAR","VERIFICAR",IF(AND($H822&lt;&gt;"",COUNTIFS($N$2:$N$1000,$N822,$H$2:$H$1000,$H822)&gt;1),"DUPLICADA",IF(TRIM(IF($A822="","tipo ","")&amp;IF($F822="","fecha de firma ","")&amp;IF($G822="","decisión ","")&amp;IF($H822="","N° resolución ","")&amp;IF($I822="","N° dictamen",""))&lt;&gt;"","INCOMPLETA: "&amp;TRIM(IF($A822="","tipo ","")&amp;IF($F822="","fecha de firma ","")&amp;IF($G822="","decisión ","")&amp;IF($H822="","N° resolución ","")&amp;IF($I822="","N° dictamen","")),IF(LEFT($N822,4)&lt;&gt;"CONC","OK",IF(N($Q822)=0,IF(AND(ISNUMBER($E822),$E822&gt;=DATE(2024,1,1)),"FALTA EN evol_conc","OK"),IF(INDEX(evol_conc!$H:$H,$Q822)&lt;&gt;$F822,"FIRMA DISTINTA EN evol_conc ("&amp;IF(INDEX(evol_conc!$H:$H,$Q822)="","vacía",DAY(INDEX(evol_conc!$H:$H,$Q822))&amp;"/"&amp;MONTH(INDEX(evol_conc!$H:$H,$Q822))&amp;"/"&amp;YEAR(INDEX(evol_conc!$H:$H,$Q822)))&amp;")",IF(INDEX(evol_conc!$G:$G,$Q822)&lt;&gt;$E822,"INGRESO DISTINTO EN evol_conc ("&amp;IF(INDEX(evol_conc!$G:$G,$Q822)="","vacía",DAY(INDEX(evol_conc!$G:$G,$Q822))&amp;"/"&amp;MONTH(INDEX(evol_conc!$G:$G,$Q822))&amp;"/"&amp;YEAR(INDEX(evol_conc!$G:$G,$Q822)))&amp;")","OK"))))))))</f>
        <v/>
      </c>
      <c r="Q822" t="str">
        <f ca="1">IF($N822="","",IFERROR(MATCH($N822,evol_conc!$P:$P,0),0))</f>
        <v/>
      </c>
    </row>
    <row r="823" spans="12:17" ht="18" hidden="1" customHeight="1" x14ac:dyDescent="0.25">
      <c r="L823" s="53" t="str">
        <f t="shared" si="24"/>
        <v/>
      </c>
      <c r="M823" s="19" t="str">
        <f t="shared" si="25"/>
        <v/>
      </c>
      <c r="N823" t="str">
        <f ca="1">IF(TRIM(SUBSTITUTE($B823,CHAR(160)," "))="","",IFERROR(IF(ISNUMBER(SEARCH("INC",$B823)),"INC",IF(ISNUMBER(SEARCH("OPI",$B823)),"OPI",IF(ISNUMBER(SEARCH("DP",$B823)),"DP","CONC")))&amp;" "&amp;TEXT(LOOKUP(9.99E+307,--MID(SUBSTITUTE($B823,CHAR(160)," "),SUMPRODUCT(MIN(FIND({0,1,2,3,4,5,6,7,8,9},SUBSTITUTE($B823,CHAR(160)," ")&amp;"0123456789"))),ROW(INDIRECT("1:6")))),"0"),"SIN NUMERO"))</f>
        <v/>
      </c>
      <c r="O823" t="str">
        <f ca="1">IF($N823="","",IF(LEFT(UPPER($P823),9)="VERIFICAR","VERIFICAR",IF(AND($H823&lt;&gt;"",COUNTIFS($N$2:$N$1000,$N823,$H$2:$H$1000,$H823)&gt;1),"DUPLICADA",IF(TRIM(IF($A823="","tipo ","")&amp;IF($F823="","fecha de firma ","")&amp;IF($G823="","decisión ","")&amp;IF($H823="","N° resolución ","")&amp;IF($I823="","N° dictamen",""))&lt;&gt;"","INCOMPLETA: "&amp;TRIM(IF($A823="","tipo ","")&amp;IF($F823="","fecha de firma ","")&amp;IF($G823="","decisión ","")&amp;IF($H823="","N° resolución ","")&amp;IF($I823="","N° dictamen","")),IF(LEFT($N823,4)&lt;&gt;"CONC","OK",IF(N($Q823)=0,IF(AND(ISNUMBER($E823),$E823&gt;=DATE(2024,1,1)),"FALTA EN evol_conc","OK"),IF(INDEX(evol_conc!$H:$H,$Q823)&lt;&gt;$F823,"FIRMA DISTINTA EN evol_conc ("&amp;IF(INDEX(evol_conc!$H:$H,$Q823)="","vacía",DAY(INDEX(evol_conc!$H:$H,$Q823))&amp;"/"&amp;MONTH(INDEX(evol_conc!$H:$H,$Q823))&amp;"/"&amp;YEAR(INDEX(evol_conc!$H:$H,$Q823)))&amp;")",IF(INDEX(evol_conc!$G:$G,$Q823)&lt;&gt;$E823,"INGRESO DISTINTO EN evol_conc ("&amp;IF(INDEX(evol_conc!$G:$G,$Q823)="","vacía",DAY(INDEX(evol_conc!$G:$G,$Q823))&amp;"/"&amp;MONTH(INDEX(evol_conc!$G:$G,$Q823))&amp;"/"&amp;YEAR(INDEX(evol_conc!$G:$G,$Q823)))&amp;")","OK"))))))))</f>
        <v/>
      </c>
      <c r="Q823" t="str">
        <f ca="1">IF($N823="","",IFERROR(MATCH($N823,evol_conc!$P:$P,0),0))</f>
        <v/>
      </c>
    </row>
    <row r="824" spans="12:17" ht="18" hidden="1" customHeight="1" x14ac:dyDescent="0.25">
      <c r="L824" s="53" t="str">
        <f t="shared" si="24"/>
        <v/>
      </c>
      <c r="M824" s="19" t="str">
        <f t="shared" si="25"/>
        <v/>
      </c>
      <c r="N824" t="str">
        <f ca="1">IF(TRIM(SUBSTITUTE($B824,CHAR(160)," "))="","",IFERROR(IF(ISNUMBER(SEARCH("INC",$B824)),"INC",IF(ISNUMBER(SEARCH("OPI",$B824)),"OPI",IF(ISNUMBER(SEARCH("DP",$B824)),"DP","CONC")))&amp;" "&amp;TEXT(LOOKUP(9.99E+307,--MID(SUBSTITUTE($B824,CHAR(160)," "),SUMPRODUCT(MIN(FIND({0,1,2,3,4,5,6,7,8,9},SUBSTITUTE($B824,CHAR(160)," ")&amp;"0123456789"))),ROW(INDIRECT("1:6")))),"0"),"SIN NUMERO"))</f>
        <v/>
      </c>
      <c r="O824" t="str">
        <f ca="1">IF($N824="","",IF(LEFT(UPPER($P824),9)="VERIFICAR","VERIFICAR",IF(AND($H824&lt;&gt;"",COUNTIFS($N$2:$N$1000,$N824,$H$2:$H$1000,$H824)&gt;1),"DUPLICADA",IF(TRIM(IF($A824="","tipo ","")&amp;IF($F824="","fecha de firma ","")&amp;IF($G824="","decisión ","")&amp;IF($H824="","N° resolución ","")&amp;IF($I824="","N° dictamen",""))&lt;&gt;"","INCOMPLETA: "&amp;TRIM(IF($A824="","tipo ","")&amp;IF($F824="","fecha de firma ","")&amp;IF($G824="","decisión ","")&amp;IF($H824="","N° resolución ","")&amp;IF($I824="","N° dictamen","")),IF(LEFT($N824,4)&lt;&gt;"CONC","OK",IF(N($Q824)=0,IF(AND(ISNUMBER($E824),$E824&gt;=DATE(2024,1,1)),"FALTA EN evol_conc","OK"),IF(INDEX(evol_conc!$H:$H,$Q824)&lt;&gt;$F824,"FIRMA DISTINTA EN evol_conc ("&amp;IF(INDEX(evol_conc!$H:$H,$Q824)="","vacía",DAY(INDEX(evol_conc!$H:$H,$Q824))&amp;"/"&amp;MONTH(INDEX(evol_conc!$H:$H,$Q824))&amp;"/"&amp;YEAR(INDEX(evol_conc!$H:$H,$Q824)))&amp;")",IF(INDEX(evol_conc!$G:$G,$Q824)&lt;&gt;$E824,"INGRESO DISTINTO EN evol_conc ("&amp;IF(INDEX(evol_conc!$G:$G,$Q824)="","vacía",DAY(INDEX(evol_conc!$G:$G,$Q824))&amp;"/"&amp;MONTH(INDEX(evol_conc!$G:$G,$Q824))&amp;"/"&amp;YEAR(INDEX(evol_conc!$G:$G,$Q824)))&amp;")","OK"))))))))</f>
        <v/>
      </c>
      <c r="Q824" t="str">
        <f ca="1">IF($N824="","",IFERROR(MATCH($N824,evol_conc!$P:$P,0),0))</f>
        <v/>
      </c>
    </row>
    <row r="825" spans="12:17" ht="18" hidden="1" customHeight="1" x14ac:dyDescent="0.25">
      <c r="L825" s="53" t="str">
        <f t="shared" si="24"/>
        <v/>
      </c>
      <c r="M825" s="19" t="str">
        <f t="shared" si="25"/>
        <v/>
      </c>
      <c r="N825" t="str">
        <f ca="1">IF(TRIM(SUBSTITUTE($B825,CHAR(160)," "))="","",IFERROR(IF(ISNUMBER(SEARCH("INC",$B825)),"INC",IF(ISNUMBER(SEARCH("OPI",$B825)),"OPI",IF(ISNUMBER(SEARCH("DP",$B825)),"DP","CONC")))&amp;" "&amp;TEXT(LOOKUP(9.99E+307,--MID(SUBSTITUTE($B825,CHAR(160)," "),SUMPRODUCT(MIN(FIND({0,1,2,3,4,5,6,7,8,9},SUBSTITUTE($B825,CHAR(160)," ")&amp;"0123456789"))),ROW(INDIRECT("1:6")))),"0"),"SIN NUMERO"))</f>
        <v/>
      </c>
      <c r="O825" t="str">
        <f ca="1">IF($N825="","",IF(LEFT(UPPER($P825),9)="VERIFICAR","VERIFICAR",IF(AND($H825&lt;&gt;"",COUNTIFS($N$2:$N$1000,$N825,$H$2:$H$1000,$H825)&gt;1),"DUPLICADA",IF(TRIM(IF($A825="","tipo ","")&amp;IF($F825="","fecha de firma ","")&amp;IF($G825="","decisión ","")&amp;IF($H825="","N° resolución ","")&amp;IF($I825="","N° dictamen",""))&lt;&gt;"","INCOMPLETA: "&amp;TRIM(IF($A825="","tipo ","")&amp;IF($F825="","fecha de firma ","")&amp;IF($G825="","decisión ","")&amp;IF($H825="","N° resolución ","")&amp;IF($I825="","N° dictamen","")),IF(LEFT($N825,4)&lt;&gt;"CONC","OK",IF(N($Q825)=0,IF(AND(ISNUMBER($E825),$E825&gt;=DATE(2024,1,1)),"FALTA EN evol_conc","OK"),IF(INDEX(evol_conc!$H:$H,$Q825)&lt;&gt;$F825,"FIRMA DISTINTA EN evol_conc ("&amp;IF(INDEX(evol_conc!$H:$H,$Q825)="","vacía",DAY(INDEX(evol_conc!$H:$H,$Q825))&amp;"/"&amp;MONTH(INDEX(evol_conc!$H:$H,$Q825))&amp;"/"&amp;YEAR(INDEX(evol_conc!$H:$H,$Q825)))&amp;")",IF(INDEX(evol_conc!$G:$G,$Q825)&lt;&gt;$E825,"INGRESO DISTINTO EN evol_conc ("&amp;IF(INDEX(evol_conc!$G:$G,$Q825)="","vacía",DAY(INDEX(evol_conc!$G:$G,$Q825))&amp;"/"&amp;MONTH(INDEX(evol_conc!$G:$G,$Q825))&amp;"/"&amp;YEAR(INDEX(evol_conc!$G:$G,$Q825)))&amp;")","OK"))))))))</f>
        <v/>
      </c>
      <c r="Q825" t="str">
        <f ca="1">IF($N825="","",IFERROR(MATCH($N825,evol_conc!$P:$P,0),0))</f>
        <v/>
      </c>
    </row>
    <row r="826" spans="12:17" ht="18" hidden="1" customHeight="1" x14ac:dyDescent="0.25">
      <c r="L826" s="53" t="str">
        <f t="shared" si="24"/>
        <v/>
      </c>
      <c r="M826" s="19" t="str">
        <f t="shared" si="25"/>
        <v/>
      </c>
      <c r="N826" t="str">
        <f ca="1">IF(TRIM(SUBSTITUTE($B826,CHAR(160)," "))="","",IFERROR(IF(ISNUMBER(SEARCH("INC",$B826)),"INC",IF(ISNUMBER(SEARCH("OPI",$B826)),"OPI",IF(ISNUMBER(SEARCH("DP",$B826)),"DP","CONC")))&amp;" "&amp;TEXT(LOOKUP(9.99E+307,--MID(SUBSTITUTE($B826,CHAR(160)," "),SUMPRODUCT(MIN(FIND({0,1,2,3,4,5,6,7,8,9},SUBSTITUTE($B826,CHAR(160)," ")&amp;"0123456789"))),ROW(INDIRECT("1:6")))),"0"),"SIN NUMERO"))</f>
        <v/>
      </c>
      <c r="O826" t="str">
        <f ca="1">IF($N826="","",IF(LEFT(UPPER($P826),9)="VERIFICAR","VERIFICAR",IF(AND($H826&lt;&gt;"",COUNTIFS($N$2:$N$1000,$N826,$H$2:$H$1000,$H826)&gt;1),"DUPLICADA",IF(TRIM(IF($A826="","tipo ","")&amp;IF($F826="","fecha de firma ","")&amp;IF($G826="","decisión ","")&amp;IF($H826="","N° resolución ","")&amp;IF($I826="","N° dictamen",""))&lt;&gt;"","INCOMPLETA: "&amp;TRIM(IF($A826="","tipo ","")&amp;IF($F826="","fecha de firma ","")&amp;IF($G826="","decisión ","")&amp;IF($H826="","N° resolución ","")&amp;IF($I826="","N° dictamen","")),IF(LEFT($N826,4)&lt;&gt;"CONC","OK",IF(N($Q826)=0,IF(AND(ISNUMBER($E826),$E826&gt;=DATE(2024,1,1)),"FALTA EN evol_conc","OK"),IF(INDEX(evol_conc!$H:$H,$Q826)&lt;&gt;$F826,"FIRMA DISTINTA EN evol_conc ("&amp;IF(INDEX(evol_conc!$H:$H,$Q826)="","vacía",DAY(INDEX(evol_conc!$H:$H,$Q826))&amp;"/"&amp;MONTH(INDEX(evol_conc!$H:$H,$Q826))&amp;"/"&amp;YEAR(INDEX(evol_conc!$H:$H,$Q826)))&amp;")",IF(INDEX(evol_conc!$G:$G,$Q826)&lt;&gt;$E826,"INGRESO DISTINTO EN evol_conc ("&amp;IF(INDEX(evol_conc!$G:$G,$Q826)="","vacía",DAY(INDEX(evol_conc!$G:$G,$Q826))&amp;"/"&amp;MONTH(INDEX(evol_conc!$G:$G,$Q826))&amp;"/"&amp;YEAR(INDEX(evol_conc!$G:$G,$Q826)))&amp;")","OK"))))))))</f>
        <v/>
      </c>
      <c r="Q826" t="str">
        <f ca="1">IF($N826="","",IFERROR(MATCH($N826,evol_conc!$P:$P,0),0))</f>
        <v/>
      </c>
    </row>
    <row r="827" spans="12:17" ht="18" hidden="1" customHeight="1" x14ac:dyDescent="0.25">
      <c r="L827" s="53" t="str">
        <f t="shared" si="24"/>
        <v/>
      </c>
      <c r="M827" s="19" t="str">
        <f t="shared" si="25"/>
        <v/>
      </c>
      <c r="N827" t="str">
        <f ca="1">IF(TRIM(SUBSTITUTE($B827,CHAR(160)," "))="","",IFERROR(IF(ISNUMBER(SEARCH("INC",$B827)),"INC",IF(ISNUMBER(SEARCH("OPI",$B827)),"OPI",IF(ISNUMBER(SEARCH("DP",$B827)),"DP","CONC")))&amp;" "&amp;TEXT(LOOKUP(9.99E+307,--MID(SUBSTITUTE($B827,CHAR(160)," "),SUMPRODUCT(MIN(FIND({0,1,2,3,4,5,6,7,8,9},SUBSTITUTE($B827,CHAR(160)," ")&amp;"0123456789"))),ROW(INDIRECT("1:6")))),"0"),"SIN NUMERO"))</f>
        <v/>
      </c>
      <c r="O827" t="str">
        <f ca="1">IF($N827="","",IF(LEFT(UPPER($P827),9)="VERIFICAR","VERIFICAR",IF(AND($H827&lt;&gt;"",COUNTIFS($N$2:$N$1000,$N827,$H$2:$H$1000,$H827)&gt;1),"DUPLICADA",IF(TRIM(IF($A827="","tipo ","")&amp;IF($F827="","fecha de firma ","")&amp;IF($G827="","decisión ","")&amp;IF($H827="","N° resolución ","")&amp;IF($I827="","N° dictamen",""))&lt;&gt;"","INCOMPLETA: "&amp;TRIM(IF($A827="","tipo ","")&amp;IF($F827="","fecha de firma ","")&amp;IF($G827="","decisión ","")&amp;IF($H827="","N° resolución ","")&amp;IF($I827="","N° dictamen","")),IF(LEFT($N827,4)&lt;&gt;"CONC","OK",IF(N($Q827)=0,IF(AND(ISNUMBER($E827),$E827&gt;=DATE(2024,1,1)),"FALTA EN evol_conc","OK"),IF(INDEX(evol_conc!$H:$H,$Q827)&lt;&gt;$F827,"FIRMA DISTINTA EN evol_conc ("&amp;IF(INDEX(evol_conc!$H:$H,$Q827)="","vacía",DAY(INDEX(evol_conc!$H:$H,$Q827))&amp;"/"&amp;MONTH(INDEX(evol_conc!$H:$H,$Q827))&amp;"/"&amp;YEAR(INDEX(evol_conc!$H:$H,$Q827)))&amp;")",IF(INDEX(evol_conc!$G:$G,$Q827)&lt;&gt;$E827,"INGRESO DISTINTO EN evol_conc ("&amp;IF(INDEX(evol_conc!$G:$G,$Q827)="","vacía",DAY(INDEX(evol_conc!$G:$G,$Q827))&amp;"/"&amp;MONTH(INDEX(evol_conc!$G:$G,$Q827))&amp;"/"&amp;YEAR(INDEX(evol_conc!$G:$G,$Q827)))&amp;")","OK"))))))))</f>
        <v/>
      </c>
      <c r="Q827" t="str">
        <f ca="1">IF($N827="","",IFERROR(MATCH($N827,evol_conc!$P:$P,0),0))</f>
        <v/>
      </c>
    </row>
    <row r="828" spans="12:17" ht="18" hidden="1" customHeight="1" x14ac:dyDescent="0.25">
      <c r="L828" s="53" t="str">
        <f t="shared" si="24"/>
        <v/>
      </c>
      <c r="M828" s="19" t="str">
        <f t="shared" si="25"/>
        <v/>
      </c>
      <c r="N828" t="str">
        <f ca="1">IF(TRIM(SUBSTITUTE($B828,CHAR(160)," "))="","",IFERROR(IF(ISNUMBER(SEARCH("INC",$B828)),"INC",IF(ISNUMBER(SEARCH("OPI",$B828)),"OPI",IF(ISNUMBER(SEARCH("DP",$B828)),"DP","CONC")))&amp;" "&amp;TEXT(LOOKUP(9.99E+307,--MID(SUBSTITUTE($B828,CHAR(160)," "),SUMPRODUCT(MIN(FIND({0,1,2,3,4,5,6,7,8,9},SUBSTITUTE($B828,CHAR(160)," ")&amp;"0123456789"))),ROW(INDIRECT("1:6")))),"0"),"SIN NUMERO"))</f>
        <v/>
      </c>
      <c r="O828" t="str">
        <f ca="1">IF($N828="","",IF(LEFT(UPPER($P828),9)="VERIFICAR","VERIFICAR",IF(AND($H828&lt;&gt;"",COUNTIFS($N$2:$N$1000,$N828,$H$2:$H$1000,$H828)&gt;1),"DUPLICADA",IF(TRIM(IF($A828="","tipo ","")&amp;IF($F828="","fecha de firma ","")&amp;IF($G828="","decisión ","")&amp;IF($H828="","N° resolución ","")&amp;IF($I828="","N° dictamen",""))&lt;&gt;"","INCOMPLETA: "&amp;TRIM(IF($A828="","tipo ","")&amp;IF($F828="","fecha de firma ","")&amp;IF($G828="","decisión ","")&amp;IF($H828="","N° resolución ","")&amp;IF($I828="","N° dictamen","")),IF(LEFT($N828,4)&lt;&gt;"CONC","OK",IF(N($Q828)=0,IF(AND(ISNUMBER($E828),$E828&gt;=DATE(2024,1,1)),"FALTA EN evol_conc","OK"),IF(INDEX(evol_conc!$H:$H,$Q828)&lt;&gt;$F828,"FIRMA DISTINTA EN evol_conc ("&amp;IF(INDEX(evol_conc!$H:$H,$Q828)="","vacía",DAY(INDEX(evol_conc!$H:$H,$Q828))&amp;"/"&amp;MONTH(INDEX(evol_conc!$H:$H,$Q828))&amp;"/"&amp;YEAR(INDEX(evol_conc!$H:$H,$Q828)))&amp;")",IF(INDEX(evol_conc!$G:$G,$Q828)&lt;&gt;$E828,"INGRESO DISTINTO EN evol_conc ("&amp;IF(INDEX(evol_conc!$G:$G,$Q828)="","vacía",DAY(INDEX(evol_conc!$G:$G,$Q828))&amp;"/"&amp;MONTH(INDEX(evol_conc!$G:$G,$Q828))&amp;"/"&amp;YEAR(INDEX(evol_conc!$G:$G,$Q828)))&amp;")","OK"))))))))</f>
        <v/>
      </c>
      <c r="Q828" t="str">
        <f ca="1">IF($N828="","",IFERROR(MATCH($N828,evol_conc!$P:$P,0),0))</f>
        <v/>
      </c>
    </row>
    <row r="829" spans="12:17" ht="18" hidden="1" customHeight="1" x14ac:dyDescent="0.25">
      <c r="L829" s="53" t="str">
        <f t="shared" si="24"/>
        <v/>
      </c>
      <c r="M829" s="19" t="str">
        <f t="shared" si="25"/>
        <v/>
      </c>
      <c r="N829" t="str">
        <f ca="1">IF(TRIM(SUBSTITUTE($B829,CHAR(160)," "))="","",IFERROR(IF(ISNUMBER(SEARCH("INC",$B829)),"INC",IF(ISNUMBER(SEARCH("OPI",$B829)),"OPI",IF(ISNUMBER(SEARCH("DP",$B829)),"DP","CONC")))&amp;" "&amp;TEXT(LOOKUP(9.99E+307,--MID(SUBSTITUTE($B829,CHAR(160)," "),SUMPRODUCT(MIN(FIND({0,1,2,3,4,5,6,7,8,9},SUBSTITUTE($B829,CHAR(160)," ")&amp;"0123456789"))),ROW(INDIRECT("1:6")))),"0"),"SIN NUMERO"))</f>
        <v/>
      </c>
      <c r="O829" t="str">
        <f ca="1">IF($N829="","",IF(LEFT(UPPER($P829),9)="VERIFICAR","VERIFICAR",IF(AND($H829&lt;&gt;"",COUNTIFS($N$2:$N$1000,$N829,$H$2:$H$1000,$H829)&gt;1),"DUPLICADA",IF(TRIM(IF($A829="","tipo ","")&amp;IF($F829="","fecha de firma ","")&amp;IF($G829="","decisión ","")&amp;IF($H829="","N° resolución ","")&amp;IF($I829="","N° dictamen",""))&lt;&gt;"","INCOMPLETA: "&amp;TRIM(IF($A829="","tipo ","")&amp;IF($F829="","fecha de firma ","")&amp;IF($G829="","decisión ","")&amp;IF($H829="","N° resolución ","")&amp;IF($I829="","N° dictamen","")),IF(LEFT($N829,4)&lt;&gt;"CONC","OK",IF(N($Q829)=0,IF(AND(ISNUMBER($E829),$E829&gt;=DATE(2024,1,1)),"FALTA EN evol_conc","OK"),IF(INDEX(evol_conc!$H:$H,$Q829)&lt;&gt;$F829,"FIRMA DISTINTA EN evol_conc ("&amp;IF(INDEX(evol_conc!$H:$H,$Q829)="","vacía",DAY(INDEX(evol_conc!$H:$H,$Q829))&amp;"/"&amp;MONTH(INDEX(evol_conc!$H:$H,$Q829))&amp;"/"&amp;YEAR(INDEX(evol_conc!$H:$H,$Q829)))&amp;")",IF(INDEX(evol_conc!$G:$G,$Q829)&lt;&gt;$E829,"INGRESO DISTINTO EN evol_conc ("&amp;IF(INDEX(evol_conc!$G:$G,$Q829)="","vacía",DAY(INDEX(evol_conc!$G:$G,$Q829))&amp;"/"&amp;MONTH(INDEX(evol_conc!$G:$G,$Q829))&amp;"/"&amp;YEAR(INDEX(evol_conc!$G:$G,$Q829)))&amp;")","OK"))))))))</f>
        <v/>
      </c>
      <c r="Q829" t="str">
        <f ca="1">IF($N829="","",IFERROR(MATCH($N829,evol_conc!$P:$P,0),0))</f>
        <v/>
      </c>
    </row>
    <row r="830" spans="12:17" ht="18" hidden="1" customHeight="1" x14ac:dyDescent="0.25">
      <c r="L830" s="53" t="str">
        <f t="shared" si="24"/>
        <v/>
      </c>
      <c r="M830" s="19" t="str">
        <f t="shared" si="25"/>
        <v/>
      </c>
      <c r="N830" t="str">
        <f ca="1">IF(TRIM(SUBSTITUTE($B830,CHAR(160)," "))="","",IFERROR(IF(ISNUMBER(SEARCH("INC",$B830)),"INC",IF(ISNUMBER(SEARCH("OPI",$B830)),"OPI",IF(ISNUMBER(SEARCH("DP",$B830)),"DP","CONC")))&amp;" "&amp;TEXT(LOOKUP(9.99E+307,--MID(SUBSTITUTE($B830,CHAR(160)," "),SUMPRODUCT(MIN(FIND({0,1,2,3,4,5,6,7,8,9},SUBSTITUTE($B830,CHAR(160)," ")&amp;"0123456789"))),ROW(INDIRECT("1:6")))),"0"),"SIN NUMERO"))</f>
        <v/>
      </c>
      <c r="O830" t="str">
        <f ca="1">IF($N830="","",IF(LEFT(UPPER($P830),9)="VERIFICAR","VERIFICAR",IF(AND($H830&lt;&gt;"",COUNTIFS($N$2:$N$1000,$N830,$H$2:$H$1000,$H830)&gt;1),"DUPLICADA",IF(TRIM(IF($A830="","tipo ","")&amp;IF($F830="","fecha de firma ","")&amp;IF($G830="","decisión ","")&amp;IF($H830="","N° resolución ","")&amp;IF($I830="","N° dictamen",""))&lt;&gt;"","INCOMPLETA: "&amp;TRIM(IF($A830="","tipo ","")&amp;IF($F830="","fecha de firma ","")&amp;IF($G830="","decisión ","")&amp;IF($H830="","N° resolución ","")&amp;IF($I830="","N° dictamen","")),IF(LEFT($N830,4)&lt;&gt;"CONC","OK",IF(N($Q830)=0,IF(AND(ISNUMBER($E830),$E830&gt;=DATE(2024,1,1)),"FALTA EN evol_conc","OK"),IF(INDEX(evol_conc!$H:$H,$Q830)&lt;&gt;$F830,"FIRMA DISTINTA EN evol_conc ("&amp;IF(INDEX(evol_conc!$H:$H,$Q830)="","vacía",DAY(INDEX(evol_conc!$H:$H,$Q830))&amp;"/"&amp;MONTH(INDEX(evol_conc!$H:$H,$Q830))&amp;"/"&amp;YEAR(INDEX(evol_conc!$H:$H,$Q830)))&amp;")",IF(INDEX(evol_conc!$G:$G,$Q830)&lt;&gt;$E830,"INGRESO DISTINTO EN evol_conc ("&amp;IF(INDEX(evol_conc!$G:$G,$Q830)="","vacía",DAY(INDEX(evol_conc!$G:$G,$Q830))&amp;"/"&amp;MONTH(INDEX(evol_conc!$G:$G,$Q830))&amp;"/"&amp;YEAR(INDEX(evol_conc!$G:$G,$Q830)))&amp;")","OK"))))))))</f>
        <v/>
      </c>
      <c r="Q830" t="str">
        <f ca="1">IF($N830="","",IFERROR(MATCH($N830,evol_conc!$P:$P,0),0))</f>
        <v/>
      </c>
    </row>
    <row r="831" spans="12:17" ht="18" hidden="1" customHeight="1" x14ac:dyDescent="0.25">
      <c r="L831" s="53" t="str">
        <f t="shared" si="24"/>
        <v/>
      </c>
      <c r="M831" s="19" t="str">
        <f t="shared" si="25"/>
        <v/>
      </c>
      <c r="N831" t="str">
        <f ca="1">IF(TRIM(SUBSTITUTE($B831,CHAR(160)," "))="","",IFERROR(IF(ISNUMBER(SEARCH("INC",$B831)),"INC",IF(ISNUMBER(SEARCH("OPI",$B831)),"OPI",IF(ISNUMBER(SEARCH("DP",$B831)),"DP","CONC")))&amp;" "&amp;TEXT(LOOKUP(9.99E+307,--MID(SUBSTITUTE($B831,CHAR(160)," "),SUMPRODUCT(MIN(FIND({0,1,2,3,4,5,6,7,8,9},SUBSTITUTE($B831,CHAR(160)," ")&amp;"0123456789"))),ROW(INDIRECT("1:6")))),"0"),"SIN NUMERO"))</f>
        <v/>
      </c>
      <c r="O831" t="str">
        <f ca="1">IF($N831="","",IF(LEFT(UPPER($P831),9)="VERIFICAR","VERIFICAR",IF(AND($H831&lt;&gt;"",COUNTIFS($N$2:$N$1000,$N831,$H$2:$H$1000,$H831)&gt;1),"DUPLICADA",IF(TRIM(IF($A831="","tipo ","")&amp;IF($F831="","fecha de firma ","")&amp;IF($G831="","decisión ","")&amp;IF($H831="","N° resolución ","")&amp;IF($I831="","N° dictamen",""))&lt;&gt;"","INCOMPLETA: "&amp;TRIM(IF($A831="","tipo ","")&amp;IF($F831="","fecha de firma ","")&amp;IF($G831="","decisión ","")&amp;IF($H831="","N° resolución ","")&amp;IF($I831="","N° dictamen","")),IF(LEFT($N831,4)&lt;&gt;"CONC","OK",IF(N($Q831)=0,IF(AND(ISNUMBER($E831),$E831&gt;=DATE(2024,1,1)),"FALTA EN evol_conc","OK"),IF(INDEX(evol_conc!$H:$H,$Q831)&lt;&gt;$F831,"FIRMA DISTINTA EN evol_conc ("&amp;IF(INDEX(evol_conc!$H:$H,$Q831)="","vacía",DAY(INDEX(evol_conc!$H:$H,$Q831))&amp;"/"&amp;MONTH(INDEX(evol_conc!$H:$H,$Q831))&amp;"/"&amp;YEAR(INDEX(evol_conc!$H:$H,$Q831)))&amp;")",IF(INDEX(evol_conc!$G:$G,$Q831)&lt;&gt;$E831,"INGRESO DISTINTO EN evol_conc ("&amp;IF(INDEX(evol_conc!$G:$G,$Q831)="","vacía",DAY(INDEX(evol_conc!$G:$G,$Q831))&amp;"/"&amp;MONTH(INDEX(evol_conc!$G:$G,$Q831))&amp;"/"&amp;YEAR(INDEX(evol_conc!$G:$G,$Q831)))&amp;")","OK"))))))))</f>
        <v/>
      </c>
      <c r="Q831" t="str">
        <f ca="1">IF($N831="","",IFERROR(MATCH($N831,evol_conc!$P:$P,0),0))</f>
        <v/>
      </c>
    </row>
    <row r="832" spans="12:17" ht="18" hidden="1" customHeight="1" x14ac:dyDescent="0.25">
      <c r="L832" s="53" t="str">
        <f t="shared" si="24"/>
        <v/>
      </c>
      <c r="M832" s="19" t="str">
        <f t="shared" si="25"/>
        <v/>
      </c>
      <c r="N832" t="str">
        <f ca="1">IF(TRIM(SUBSTITUTE($B832,CHAR(160)," "))="","",IFERROR(IF(ISNUMBER(SEARCH("INC",$B832)),"INC",IF(ISNUMBER(SEARCH("OPI",$B832)),"OPI",IF(ISNUMBER(SEARCH("DP",$B832)),"DP","CONC")))&amp;" "&amp;TEXT(LOOKUP(9.99E+307,--MID(SUBSTITUTE($B832,CHAR(160)," "),SUMPRODUCT(MIN(FIND({0,1,2,3,4,5,6,7,8,9},SUBSTITUTE($B832,CHAR(160)," ")&amp;"0123456789"))),ROW(INDIRECT("1:6")))),"0"),"SIN NUMERO"))</f>
        <v/>
      </c>
      <c r="O832" t="str">
        <f ca="1">IF($N832="","",IF(LEFT(UPPER($P832),9)="VERIFICAR","VERIFICAR",IF(AND($H832&lt;&gt;"",COUNTIFS($N$2:$N$1000,$N832,$H$2:$H$1000,$H832)&gt;1),"DUPLICADA",IF(TRIM(IF($A832="","tipo ","")&amp;IF($F832="","fecha de firma ","")&amp;IF($G832="","decisión ","")&amp;IF($H832="","N° resolución ","")&amp;IF($I832="","N° dictamen",""))&lt;&gt;"","INCOMPLETA: "&amp;TRIM(IF($A832="","tipo ","")&amp;IF($F832="","fecha de firma ","")&amp;IF($G832="","decisión ","")&amp;IF($H832="","N° resolución ","")&amp;IF($I832="","N° dictamen","")),IF(LEFT($N832,4)&lt;&gt;"CONC","OK",IF(N($Q832)=0,IF(AND(ISNUMBER($E832),$E832&gt;=DATE(2024,1,1)),"FALTA EN evol_conc","OK"),IF(INDEX(evol_conc!$H:$H,$Q832)&lt;&gt;$F832,"FIRMA DISTINTA EN evol_conc ("&amp;IF(INDEX(evol_conc!$H:$H,$Q832)="","vacía",DAY(INDEX(evol_conc!$H:$H,$Q832))&amp;"/"&amp;MONTH(INDEX(evol_conc!$H:$H,$Q832))&amp;"/"&amp;YEAR(INDEX(evol_conc!$H:$H,$Q832)))&amp;")",IF(INDEX(evol_conc!$G:$G,$Q832)&lt;&gt;$E832,"INGRESO DISTINTO EN evol_conc ("&amp;IF(INDEX(evol_conc!$G:$G,$Q832)="","vacía",DAY(INDEX(evol_conc!$G:$G,$Q832))&amp;"/"&amp;MONTH(INDEX(evol_conc!$G:$G,$Q832))&amp;"/"&amp;YEAR(INDEX(evol_conc!$G:$G,$Q832)))&amp;")","OK"))))))))</f>
        <v/>
      </c>
      <c r="Q832" t="str">
        <f ca="1">IF($N832="","",IFERROR(MATCH($N832,evol_conc!$P:$P,0),0))</f>
        <v/>
      </c>
    </row>
    <row r="833" spans="12:17" ht="18" hidden="1" customHeight="1" x14ac:dyDescent="0.25">
      <c r="L833" s="53" t="str">
        <f t="shared" si="24"/>
        <v/>
      </c>
      <c r="M833" s="19" t="str">
        <f t="shared" si="25"/>
        <v/>
      </c>
      <c r="N833" t="str">
        <f ca="1">IF(TRIM(SUBSTITUTE($B833,CHAR(160)," "))="","",IFERROR(IF(ISNUMBER(SEARCH("INC",$B833)),"INC",IF(ISNUMBER(SEARCH("OPI",$B833)),"OPI",IF(ISNUMBER(SEARCH("DP",$B833)),"DP","CONC")))&amp;" "&amp;TEXT(LOOKUP(9.99E+307,--MID(SUBSTITUTE($B833,CHAR(160)," "),SUMPRODUCT(MIN(FIND({0,1,2,3,4,5,6,7,8,9},SUBSTITUTE($B833,CHAR(160)," ")&amp;"0123456789"))),ROW(INDIRECT("1:6")))),"0"),"SIN NUMERO"))</f>
        <v/>
      </c>
      <c r="O833" t="str">
        <f ca="1">IF($N833="","",IF(LEFT(UPPER($P833),9)="VERIFICAR","VERIFICAR",IF(AND($H833&lt;&gt;"",COUNTIFS($N$2:$N$1000,$N833,$H$2:$H$1000,$H833)&gt;1),"DUPLICADA",IF(TRIM(IF($A833="","tipo ","")&amp;IF($F833="","fecha de firma ","")&amp;IF($G833="","decisión ","")&amp;IF($H833="","N° resolución ","")&amp;IF($I833="","N° dictamen",""))&lt;&gt;"","INCOMPLETA: "&amp;TRIM(IF($A833="","tipo ","")&amp;IF($F833="","fecha de firma ","")&amp;IF($G833="","decisión ","")&amp;IF($H833="","N° resolución ","")&amp;IF($I833="","N° dictamen","")),IF(LEFT($N833,4)&lt;&gt;"CONC","OK",IF(N($Q833)=0,IF(AND(ISNUMBER($E833),$E833&gt;=DATE(2024,1,1)),"FALTA EN evol_conc","OK"),IF(INDEX(evol_conc!$H:$H,$Q833)&lt;&gt;$F833,"FIRMA DISTINTA EN evol_conc ("&amp;IF(INDEX(evol_conc!$H:$H,$Q833)="","vacía",DAY(INDEX(evol_conc!$H:$H,$Q833))&amp;"/"&amp;MONTH(INDEX(evol_conc!$H:$H,$Q833))&amp;"/"&amp;YEAR(INDEX(evol_conc!$H:$H,$Q833)))&amp;")",IF(INDEX(evol_conc!$G:$G,$Q833)&lt;&gt;$E833,"INGRESO DISTINTO EN evol_conc ("&amp;IF(INDEX(evol_conc!$G:$G,$Q833)="","vacía",DAY(INDEX(evol_conc!$G:$G,$Q833))&amp;"/"&amp;MONTH(INDEX(evol_conc!$G:$G,$Q833))&amp;"/"&amp;YEAR(INDEX(evol_conc!$G:$G,$Q833)))&amp;")","OK"))))))))</f>
        <v/>
      </c>
      <c r="Q833" t="str">
        <f ca="1">IF($N833="","",IFERROR(MATCH($N833,evol_conc!$P:$P,0),0))</f>
        <v/>
      </c>
    </row>
    <row r="834" spans="12:17" ht="18" hidden="1" customHeight="1" x14ac:dyDescent="0.25">
      <c r="L834" s="53" t="str">
        <f t="shared" ref="L834:L897" si="26">IF(OR($E834="",$F834=""),"",($F834-$E834)/30)</f>
        <v/>
      </c>
      <c r="M834" s="19" t="str">
        <f t="shared" ref="M834:M897" si="27">IF(OR($E834="",$F834=""),"",$F834-$E834)</f>
        <v/>
      </c>
      <c r="N834" t="str">
        <f ca="1">IF(TRIM(SUBSTITUTE($B834,CHAR(160)," "))="","",IFERROR(IF(ISNUMBER(SEARCH("INC",$B834)),"INC",IF(ISNUMBER(SEARCH("OPI",$B834)),"OPI",IF(ISNUMBER(SEARCH("DP",$B834)),"DP","CONC")))&amp;" "&amp;TEXT(LOOKUP(9.99E+307,--MID(SUBSTITUTE($B834,CHAR(160)," "),SUMPRODUCT(MIN(FIND({0,1,2,3,4,5,6,7,8,9},SUBSTITUTE($B834,CHAR(160)," ")&amp;"0123456789"))),ROW(INDIRECT("1:6")))),"0"),"SIN NUMERO"))</f>
        <v/>
      </c>
      <c r="O834" t="str">
        <f ca="1">IF($N834="","",IF(LEFT(UPPER($P834),9)="VERIFICAR","VERIFICAR",IF(AND($H834&lt;&gt;"",COUNTIFS($N$2:$N$1000,$N834,$H$2:$H$1000,$H834)&gt;1),"DUPLICADA",IF(TRIM(IF($A834="","tipo ","")&amp;IF($F834="","fecha de firma ","")&amp;IF($G834="","decisión ","")&amp;IF($H834="","N° resolución ","")&amp;IF($I834="","N° dictamen",""))&lt;&gt;"","INCOMPLETA: "&amp;TRIM(IF($A834="","tipo ","")&amp;IF($F834="","fecha de firma ","")&amp;IF($G834="","decisión ","")&amp;IF($H834="","N° resolución ","")&amp;IF($I834="","N° dictamen","")),IF(LEFT($N834,4)&lt;&gt;"CONC","OK",IF(N($Q834)=0,IF(AND(ISNUMBER($E834),$E834&gt;=DATE(2024,1,1)),"FALTA EN evol_conc","OK"),IF(INDEX(evol_conc!$H:$H,$Q834)&lt;&gt;$F834,"FIRMA DISTINTA EN evol_conc ("&amp;IF(INDEX(evol_conc!$H:$H,$Q834)="","vacía",DAY(INDEX(evol_conc!$H:$H,$Q834))&amp;"/"&amp;MONTH(INDEX(evol_conc!$H:$H,$Q834))&amp;"/"&amp;YEAR(INDEX(evol_conc!$H:$H,$Q834)))&amp;")",IF(INDEX(evol_conc!$G:$G,$Q834)&lt;&gt;$E834,"INGRESO DISTINTO EN evol_conc ("&amp;IF(INDEX(evol_conc!$G:$G,$Q834)="","vacía",DAY(INDEX(evol_conc!$G:$G,$Q834))&amp;"/"&amp;MONTH(INDEX(evol_conc!$G:$G,$Q834))&amp;"/"&amp;YEAR(INDEX(evol_conc!$G:$G,$Q834)))&amp;")","OK"))))))))</f>
        <v/>
      </c>
      <c r="Q834" t="str">
        <f ca="1">IF($N834="","",IFERROR(MATCH($N834,evol_conc!$P:$P,0),0))</f>
        <v/>
      </c>
    </row>
    <row r="835" spans="12:17" ht="18" hidden="1" customHeight="1" x14ac:dyDescent="0.25">
      <c r="L835" s="53" t="str">
        <f t="shared" si="26"/>
        <v/>
      </c>
      <c r="M835" s="19" t="str">
        <f t="shared" si="27"/>
        <v/>
      </c>
      <c r="N835" t="str">
        <f ca="1">IF(TRIM(SUBSTITUTE($B835,CHAR(160)," "))="","",IFERROR(IF(ISNUMBER(SEARCH("INC",$B835)),"INC",IF(ISNUMBER(SEARCH("OPI",$B835)),"OPI",IF(ISNUMBER(SEARCH("DP",$B835)),"DP","CONC")))&amp;" "&amp;TEXT(LOOKUP(9.99E+307,--MID(SUBSTITUTE($B835,CHAR(160)," "),SUMPRODUCT(MIN(FIND({0,1,2,3,4,5,6,7,8,9},SUBSTITUTE($B835,CHAR(160)," ")&amp;"0123456789"))),ROW(INDIRECT("1:6")))),"0"),"SIN NUMERO"))</f>
        <v/>
      </c>
      <c r="O835" t="str">
        <f ca="1">IF($N835="","",IF(LEFT(UPPER($P835),9)="VERIFICAR","VERIFICAR",IF(AND($H835&lt;&gt;"",COUNTIFS($N$2:$N$1000,$N835,$H$2:$H$1000,$H835)&gt;1),"DUPLICADA",IF(TRIM(IF($A835="","tipo ","")&amp;IF($F835="","fecha de firma ","")&amp;IF($G835="","decisión ","")&amp;IF($H835="","N° resolución ","")&amp;IF($I835="","N° dictamen",""))&lt;&gt;"","INCOMPLETA: "&amp;TRIM(IF($A835="","tipo ","")&amp;IF($F835="","fecha de firma ","")&amp;IF($G835="","decisión ","")&amp;IF($H835="","N° resolución ","")&amp;IF($I835="","N° dictamen","")),IF(LEFT($N835,4)&lt;&gt;"CONC","OK",IF(N($Q835)=0,IF(AND(ISNUMBER($E835),$E835&gt;=DATE(2024,1,1)),"FALTA EN evol_conc","OK"),IF(INDEX(evol_conc!$H:$H,$Q835)&lt;&gt;$F835,"FIRMA DISTINTA EN evol_conc ("&amp;IF(INDEX(evol_conc!$H:$H,$Q835)="","vacía",DAY(INDEX(evol_conc!$H:$H,$Q835))&amp;"/"&amp;MONTH(INDEX(evol_conc!$H:$H,$Q835))&amp;"/"&amp;YEAR(INDEX(evol_conc!$H:$H,$Q835)))&amp;")",IF(INDEX(evol_conc!$G:$G,$Q835)&lt;&gt;$E835,"INGRESO DISTINTO EN evol_conc ("&amp;IF(INDEX(evol_conc!$G:$G,$Q835)="","vacía",DAY(INDEX(evol_conc!$G:$G,$Q835))&amp;"/"&amp;MONTH(INDEX(evol_conc!$G:$G,$Q835))&amp;"/"&amp;YEAR(INDEX(evol_conc!$G:$G,$Q835)))&amp;")","OK"))))))))</f>
        <v/>
      </c>
      <c r="Q835" t="str">
        <f ca="1">IF($N835="","",IFERROR(MATCH($N835,evol_conc!$P:$P,0),0))</f>
        <v/>
      </c>
    </row>
    <row r="836" spans="12:17" ht="18" hidden="1" customHeight="1" x14ac:dyDescent="0.25">
      <c r="L836" s="53" t="str">
        <f t="shared" si="26"/>
        <v/>
      </c>
      <c r="M836" s="19" t="str">
        <f t="shared" si="27"/>
        <v/>
      </c>
      <c r="N836" t="str">
        <f ca="1">IF(TRIM(SUBSTITUTE($B836,CHAR(160)," "))="","",IFERROR(IF(ISNUMBER(SEARCH("INC",$B836)),"INC",IF(ISNUMBER(SEARCH("OPI",$B836)),"OPI",IF(ISNUMBER(SEARCH("DP",$B836)),"DP","CONC")))&amp;" "&amp;TEXT(LOOKUP(9.99E+307,--MID(SUBSTITUTE($B836,CHAR(160)," "),SUMPRODUCT(MIN(FIND({0,1,2,3,4,5,6,7,8,9},SUBSTITUTE($B836,CHAR(160)," ")&amp;"0123456789"))),ROW(INDIRECT("1:6")))),"0"),"SIN NUMERO"))</f>
        <v/>
      </c>
      <c r="O836" t="str">
        <f ca="1">IF($N836="","",IF(LEFT(UPPER($P836),9)="VERIFICAR","VERIFICAR",IF(AND($H836&lt;&gt;"",COUNTIFS($N$2:$N$1000,$N836,$H$2:$H$1000,$H836)&gt;1),"DUPLICADA",IF(TRIM(IF($A836="","tipo ","")&amp;IF($F836="","fecha de firma ","")&amp;IF($G836="","decisión ","")&amp;IF($H836="","N° resolución ","")&amp;IF($I836="","N° dictamen",""))&lt;&gt;"","INCOMPLETA: "&amp;TRIM(IF($A836="","tipo ","")&amp;IF($F836="","fecha de firma ","")&amp;IF($G836="","decisión ","")&amp;IF($H836="","N° resolución ","")&amp;IF($I836="","N° dictamen","")),IF(LEFT($N836,4)&lt;&gt;"CONC","OK",IF(N($Q836)=0,IF(AND(ISNUMBER($E836),$E836&gt;=DATE(2024,1,1)),"FALTA EN evol_conc","OK"),IF(INDEX(evol_conc!$H:$H,$Q836)&lt;&gt;$F836,"FIRMA DISTINTA EN evol_conc ("&amp;IF(INDEX(evol_conc!$H:$H,$Q836)="","vacía",DAY(INDEX(evol_conc!$H:$H,$Q836))&amp;"/"&amp;MONTH(INDEX(evol_conc!$H:$H,$Q836))&amp;"/"&amp;YEAR(INDEX(evol_conc!$H:$H,$Q836)))&amp;")",IF(INDEX(evol_conc!$G:$G,$Q836)&lt;&gt;$E836,"INGRESO DISTINTO EN evol_conc ("&amp;IF(INDEX(evol_conc!$G:$G,$Q836)="","vacía",DAY(INDEX(evol_conc!$G:$G,$Q836))&amp;"/"&amp;MONTH(INDEX(evol_conc!$G:$G,$Q836))&amp;"/"&amp;YEAR(INDEX(evol_conc!$G:$G,$Q836)))&amp;")","OK"))))))))</f>
        <v/>
      </c>
      <c r="Q836" t="str">
        <f ca="1">IF($N836="","",IFERROR(MATCH($N836,evol_conc!$P:$P,0),0))</f>
        <v/>
      </c>
    </row>
    <row r="837" spans="12:17" ht="18" hidden="1" customHeight="1" x14ac:dyDescent="0.25">
      <c r="L837" s="53" t="str">
        <f t="shared" si="26"/>
        <v/>
      </c>
      <c r="M837" s="19" t="str">
        <f t="shared" si="27"/>
        <v/>
      </c>
      <c r="N837" t="str">
        <f ca="1">IF(TRIM(SUBSTITUTE($B837,CHAR(160)," "))="","",IFERROR(IF(ISNUMBER(SEARCH("INC",$B837)),"INC",IF(ISNUMBER(SEARCH("OPI",$B837)),"OPI",IF(ISNUMBER(SEARCH("DP",$B837)),"DP","CONC")))&amp;" "&amp;TEXT(LOOKUP(9.99E+307,--MID(SUBSTITUTE($B837,CHAR(160)," "),SUMPRODUCT(MIN(FIND({0,1,2,3,4,5,6,7,8,9},SUBSTITUTE($B837,CHAR(160)," ")&amp;"0123456789"))),ROW(INDIRECT("1:6")))),"0"),"SIN NUMERO"))</f>
        <v/>
      </c>
      <c r="O837" t="str">
        <f ca="1">IF($N837="","",IF(LEFT(UPPER($P837),9)="VERIFICAR","VERIFICAR",IF(AND($H837&lt;&gt;"",COUNTIFS($N$2:$N$1000,$N837,$H$2:$H$1000,$H837)&gt;1),"DUPLICADA",IF(TRIM(IF($A837="","tipo ","")&amp;IF($F837="","fecha de firma ","")&amp;IF($G837="","decisión ","")&amp;IF($H837="","N° resolución ","")&amp;IF($I837="","N° dictamen",""))&lt;&gt;"","INCOMPLETA: "&amp;TRIM(IF($A837="","tipo ","")&amp;IF($F837="","fecha de firma ","")&amp;IF($G837="","decisión ","")&amp;IF($H837="","N° resolución ","")&amp;IF($I837="","N° dictamen","")),IF(LEFT($N837,4)&lt;&gt;"CONC","OK",IF(N($Q837)=0,IF(AND(ISNUMBER($E837),$E837&gt;=DATE(2024,1,1)),"FALTA EN evol_conc","OK"),IF(INDEX(evol_conc!$H:$H,$Q837)&lt;&gt;$F837,"FIRMA DISTINTA EN evol_conc ("&amp;IF(INDEX(evol_conc!$H:$H,$Q837)="","vacía",DAY(INDEX(evol_conc!$H:$H,$Q837))&amp;"/"&amp;MONTH(INDEX(evol_conc!$H:$H,$Q837))&amp;"/"&amp;YEAR(INDEX(evol_conc!$H:$H,$Q837)))&amp;")",IF(INDEX(evol_conc!$G:$G,$Q837)&lt;&gt;$E837,"INGRESO DISTINTO EN evol_conc ("&amp;IF(INDEX(evol_conc!$G:$G,$Q837)="","vacía",DAY(INDEX(evol_conc!$G:$G,$Q837))&amp;"/"&amp;MONTH(INDEX(evol_conc!$G:$G,$Q837))&amp;"/"&amp;YEAR(INDEX(evol_conc!$G:$G,$Q837)))&amp;")","OK"))))))))</f>
        <v/>
      </c>
      <c r="Q837" t="str">
        <f ca="1">IF($N837="","",IFERROR(MATCH($N837,evol_conc!$P:$P,0),0))</f>
        <v/>
      </c>
    </row>
    <row r="838" spans="12:17" ht="18" hidden="1" customHeight="1" x14ac:dyDescent="0.25">
      <c r="L838" s="53" t="str">
        <f t="shared" si="26"/>
        <v/>
      </c>
      <c r="M838" s="19" t="str">
        <f t="shared" si="27"/>
        <v/>
      </c>
      <c r="N838" t="str">
        <f ca="1">IF(TRIM(SUBSTITUTE($B838,CHAR(160)," "))="","",IFERROR(IF(ISNUMBER(SEARCH("INC",$B838)),"INC",IF(ISNUMBER(SEARCH("OPI",$B838)),"OPI",IF(ISNUMBER(SEARCH("DP",$B838)),"DP","CONC")))&amp;" "&amp;TEXT(LOOKUP(9.99E+307,--MID(SUBSTITUTE($B838,CHAR(160)," "),SUMPRODUCT(MIN(FIND({0,1,2,3,4,5,6,7,8,9},SUBSTITUTE($B838,CHAR(160)," ")&amp;"0123456789"))),ROW(INDIRECT("1:6")))),"0"),"SIN NUMERO"))</f>
        <v/>
      </c>
      <c r="O838" t="str">
        <f ca="1">IF($N838="","",IF(LEFT(UPPER($P838),9)="VERIFICAR","VERIFICAR",IF(AND($H838&lt;&gt;"",COUNTIFS($N$2:$N$1000,$N838,$H$2:$H$1000,$H838)&gt;1),"DUPLICADA",IF(TRIM(IF($A838="","tipo ","")&amp;IF($F838="","fecha de firma ","")&amp;IF($G838="","decisión ","")&amp;IF($H838="","N° resolución ","")&amp;IF($I838="","N° dictamen",""))&lt;&gt;"","INCOMPLETA: "&amp;TRIM(IF($A838="","tipo ","")&amp;IF($F838="","fecha de firma ","")&amp;IF($G838="","decisión ","")&amp;IF($H838="","N° resolución ","")&amp;IF($I838="","N° dictamen","")),IF(LEFT($N838,4)&lt;&gt;"CONC","OK",IF(N($Q838)=0,IF(AND(ISNUMBER($E838),$E838&gt;=DATE(2024,1,1)),"FALTA EN evol_conc","OK"),IF(INDEX(evol_conc!$H:$H,$Q838)&lt;&gt;$F838,"FIRMA DISTINTA EN evol_conc ("&amp;IF(INDEX(evol_conc!$H:$H,$Q838)="","vacía",DAY(INDEX(evol_conc!$H:$H,$Q838))&amp;"/"&amp;MONTH(INDEX(evol_conc!$H:$H,$Q838))&amp;"/"&amp;YEAR(INDEX(evol_conc!$H:$H,$Q838)))&amp;")",IF(INDEX(evol_conc!$G:$G,$Q838)&lt;&gt;$E838,"INGRESO DISTINTO EN evol_conc ("&amp;IF(INDEX(evol_conc!$G:$G,$Q838)="","vacía",DAY(INDEX(evol_conc!$G:$G,$Q838))&amp;"/"&amp;MONTH(INDEX(evol_conc!$G:$G,$Q838))&amp;"/"&amp;YEAR(INDEX(evol_conc!$G:$G,$Q838)))&amp;")","OK"))))))))</f>
        <v/>
      </c>
      <c r="Q838" t="str">
        <f ca="1">IF($N838="","",IFERROR(MATCH($N838,evol_conc!$P:$P,0),0))</f>
        <v/>
      </c>
    </row>
    <row r="839" spans="12:17" ht="18" hidden="1" customHeight="1" x14ac:dyDescent="0.25">
      <c r="L839" s="53" t="str">
        <f t="shared" si="26"/>
        <v/>
      </c>
      <c r="M839" s="19" t="str">
        <f t="shared" si="27"/>
        <v/>
      </c>
      <c r="N839" t="str">
        <f ca="1">IF(TRIM(SUBSTITUTE($B839,CHAR(160)," "))="","",IFERROR(IF(ISNUMBER(SEARCH("INC",$B839)),"INC",IF(ISNUMBER(SEARCH("OPI",$B839)),"OPI",IF(ISNUMBER(SEARCH("DP",$B839)),"DP","CONC")))&amp;" "&amp;TEXT(LOOKUP(9.99E+307,--MID(SUBSTITUTE($B839,CHAR(160)," "),SUMPRODUCT(MIN(FIND({0,1,2,3,4,5,6,7,8,9},SUBSTITUTE($B839,CHAR(160)," ")&amp;"0123456789"))),ROW(INDIRECT("1:6")))),"0"),"SIN NUMERO"))</f>
        <v/>
      </c>
      <c r="O839" t="str">
        <f ca="1">IF($N839="","",IF(LEFT(UPPER($P839),9)="VERIFICAR","VERIFICAR",IF(AND($H839&lt;&gt;"",COUNTIFS($N$2:$N$1000,$N839,$H$2:$H$1000,$H839)&gt;1),"DUPLICADA",IF(TRIM(IF($A839="","tipo ","")&amp;IF($F839="","fecha de firma ","")&amp;IF($G839="","decisión ","")&amp;IF($H839="","N° resolución ","")&amp;IF($I839="","N° dictamen",""))&lt;&gt;"","INCOMPLETA: "&amp;TRIM(IF($A839="","tipo ","")&amp;IF($F839="","fecha de firma ","")&amp;IF($G839="","decisión ","")&amp;IF($H839="","N° resolución ","")&amp;IF($I839="","N° dictamen","")),IF(LEFT($N839,4)&lt;&gt;"CONC","OK",IF(N($Q839)=0,IF(AND(ISNUMBER($E839),$E839&gt;=DATE(2024,1,1)),"FALTA EN evol_conc","OK"),IF(INDEX(evol_conc!$H:$H,$Q839)&lt;&gt;$F839,"FIRMA DISTINTA EN evol_conc ("&amp;IF(INDEX(evol_conc!$H:$H,$Q839)="","vacía",DAY(INDEX(evol_conc!$H:$H,$Q839))&amp;"/"&amp;MONTH(INDEX(evol_conc!$H:$H,$Q839))&amp;"/"&amp;YEAR(INDEX(evol_conc!$H:$H,$Q839)))&amp;")",IF(INDEX(evol_conc!$G:$G,$Q839)&lt;&gt;$E839,"INGRESO DISTINTO EN evol_conc ("&amp;IF(INDEX(evol_conc!$G:$G,$Q839)="","vacía",DAY(INDEX(evol_conc!$G:$G,$Q839))&amp;"/"&amp;MONTH(INDEX(evol_conc!$G:$G,$Q839))&amp;"/"&amp;YEAR(INDEX(evol_conc!$G:$G,$Q839)))&amp;")","OK"))))))))</f>
        <v/>
      </c>
      <c r="Q839" t="str">
        <f ca="1">IF($N839="","",IFERROR(MATCH($N839,evol_conc!$P:$P,0),0))</f>
        <v/>
      </c>
    </row>
    <row r="840" spans="12:17" ht="18" hidden="1" customHeight="1" x14ac:dyDescent="0.25">
      <c r="L840" s="53" t="str">
        <f t="shared" si="26"/>
        <v/>
      </c>
      <c r="M840" s="19" t="str">
        <f t="shared" si="27"/>
        <v/>
      </c>
      <c r="N840" t="str">
        <f ca="1">IF(TRIM(SUBSTITUTE($B840,CHAR(160)," "))="","",IFERROR(IF(ISNUMBER(SEARCH("INC",$B840)),"INC",IF(ISNUMBER(SEARCH("OPI",$B840)),"OPI",IF(ISNUMBER(SEARCH("DP",$B840)),"DP","CONC")))&amp;" "&amp;TEXT(LOOKUP(9.99E+307,--MID(SUBSTITUTE($B840,CHAR(160)," "),SUMPRODUCT(MIN(FIND({0,1,2,3,4,5,6,7,8,9},SUBSTITUTE($B840,CHAR(160)," ")&amp;"0123456789"))),ROW(INDIRECT("1:6")))),"0"),"SIN NUMERO"))</f>
        <v/>
      </c>
      <c r="O840" t="str">
        <f ca="1">IF($N840="","",IF(LEFT(UPPER($P840),9)="VERIFICAR","VERIFICAR",IF(AND($H840&lt;&gt;"",COUNTIFS($N$2:$N$1000,$N840,$H$2:$H$1000,$H840)&gt;1),"DUPLICADA",IF(TRIM(IF($A840="","tipo ","")&amp;IF($F840="","fecha de firma ","")&amp;IF($G840="","decisión ","")&amp;IF($H840="","N° resolución ","")&amp;IF($I840="","N° dictamen",""))&lt;&gt;"","INCOMPLETA: "&amp;TRIM(IF($A840="","tipo ","")&amp;IF($F840="","fecha de firma ","")&amp;IF($G840="","decisión ","")&amp;IF($H840="","N° resolución ","")&amp;IF($I840="","N° dictamen","")),IF(LEFT($N840,4)&lt;&gt;"CONC","OK",IF(N($Q840)=0,IF(AND(ISNUMBER($E840),$E840&gt;=DATE(2024,1,1)),"FALTA EN evol_conc","OK"),IF(INDEX(evol_conc!$H:$H,$Q840)&lt;&gt;$F840,"FIRMA DISTINTA EN evol_conc ("&amp;IF(INDEX(evol_conc!$H:$H,$Q840)="","vacía",DAY(INDEX(evol_conc!$H:$H,$Q840))&amp;"/"&amp;MONTH(INDEX(evol_conc!$H:$H,$Q840))&amp;"/"&amp;YEAR(INDEX(evol_conc!$H:$H,$Q840)))&amp;")",IF(INDEX(evol_conc!$G:$G,$Q840)&lt;&gt;$E840,"INGRESO DISTINTO EN evol_conc ("&amp;IF(INDEX(evol_conc!$G:$G,$Q840)="","vacía",DAY(INDEX(evol_conc!$G:$G,$Q840))&amp;"/"&amp;MONTH(INDEX(evol_conc!$G:$G,$Q840))&amp;"/"&amp;YEAR(INDEX(evol_conc!$G:$G,$Q840)))&amp;")","OK"))))))))</f>
        <v/>
      </c>
      <c r="Q840" t="str">
        <f ca="1">IF($N840="","",IFERROR(MATCH($N840,evol_conc!$P:$P,0),0))</f>
        <v/>
      </c>
    </row>
    <row r="841" spans="12:17" ht="18" hidden="1" customHeight="1" x14ac:dyDescent="0.25">
      <c r="L841" s="53" t="str">
        <f t="shared" si="26"/>
        <v/>
      </c>
      <c r="M841" s="19" t="str">
        <f t="shared" si="27"/>
        <v/>
      </c>
      <c r="N841" t="str">
        <f ca="1">IF(TRIM(SUBSTITUTE($B841,CHAR(160)," "))="","",IFERROR(IF(ISNUMBER(SEARCH("INC",$B841)),"INC",IF(ISNUMBER(SEARCH("OPI",$B841)),"OPI",IF(ISNUMBER(SEARCH("DP",$B841)),"DP","CONC")))&amp;" "&amp;TEXT(LOOKUP(9.99E+307,--MID(SUBSTITUTE($B841,CHAR(160)," "),SUMPRODUCT(MIN(FIND({0,1,2,3,4,5,6,7,8,9},SUBSTITUTE($B841,CHAR(160)," ")&amp;"0123456789"))),ROW(INDIRECT("1:6")))),"0"),"SIN NUMERO"))</f>
        <v/>
      </c>
      <c r="O841" t="str">
        <f ca="1">IF($N841="","",IF(LEFT(UPPER($P841),9)="VERIFICAR","VERIFICAR",IF(AND($H841&lt;&gt;"",COUNTIFS($N$2:$N$1000,$N841,$H$2:$H$1000,$H841)&gt;1),"DUPLICADA",IF(TRIM(IF($A841="","tipo ","")&amp;IF($F841="","fecha de firma ","")&amp;IF($G841="","decisión ","")&amp;IF($H841="","N° resolución ","")&amp;IF($I841="","N° dictamen",""))&lt;&gt;"","INCOMPLETA: "&amp;TRIM(IF($A841="","tipo ","")&amp;IF($F841="","fecha de firma ","")&amp;IF($G841="","decisión ","")&amp;IF($H841="","N° resolución ","")&amp;IF($I841="","N° dictamen","")),IF(LEFT($N841,4)&lt;&gt;"CONC","OK",IF(N($Q841)=0,IF(AND(ISNUMBER($E841),$E841&gt;=DATE(2024,1,1)),"FALTA EN evol_conc","OK"),IF(INDEX(evol_conc!$H:$H,$Q841)&lt;&gt;$F841,"FIRMA DISTINTA EN evol_conc ("&amp;IF(INDEX(evol_conc!$H:$H,$Q841)="","vacía",DAY(INDEX(evol_conc!$H:$H,$Q841))&amp;"/"&amp;MONTH(INDEX(evol_conc!$H:$H,$Q841))&amp;"/"&amp;YEAR(INDEX(evol_conc!$H:$H,$Q841)))&amp;")",IF(INDEX(evol_conc!$G:$G,$Q841)&lt;&gt;$E841,"INGRESO DISTINTO EN evol_conc ("&amp;IF(INDEX(evol_conc!$G:$G,$Q841)="","vacía",DAY(INDEX(evol_conc!$G:$G,$Q841))&amp;"/"&amp;MONTH(INDEX(evol_conc!$G:$G,$Q841))&amp;"/"&amp;YEAR(INDEX(evol_conc!$G:$G,$Q841)))&amp;")","OK"))))))))</f>
        <v/>
      </c>
      <c r="Q841" t="str">
        <f ca="1">IF($N841="","",IFERROR(MATCH($N841,evol_conc!$P:$P,0),0))</f>
        <v/>
      </c>
    </row>
    <row r="842" spans="12:17" ht="18" hidden="1" customHeight="1" x14ac:dyDescent="0.25">
      <c r="L842" s="53" t="str">
        <f t="shared" si="26"/>
        <v/>
      </c>
      <c r="M842" s="19" t="str">
        <f t="shared" si="27"/>
        <v/>
      </c>
      <c r="N842" t="str">
        <f ca="1">IF(TRIM(SUBSTITUTE($B842,CHAR(160)," "))="","",IFERROR(IF(ISNUMBER(SEARCH("INC",$B842)),"INC",IF(ISNUMBER(SEARCH("OPI",$B842)),"OPI",IF(ISNUMBER(SEARCH("DP",$B842)),"DP","CONC")))&amp;" "&amp;TEXT(LOOKUP(9.99E+307,--MID(SUBSTITUTE($B842,CHAR(160)," "),SUMPRODUCT(MIN(FIND({0,1,2,3,4,5,6,7,8,9},SUBSTITUTE($B842,CHAR(160)," ")&amp;"0123456789"))),ROW(INDIRECT("1:6")))),"0"),"SIN NUMERO"))</f>
        <v/>
      </c>
      <c r="O842" t="str">
        <f ca="1">IF($N842="","",IF(LEFT(UPPER($P842),9)="VERIFICAR","VERIFICAR",IF(AND($H842&lt;&gt;"",COUNTIFS($N$2:$N$1000,$N842,$H$2:$H$1000,$H842)&gt;1),"DUPLICADA",IF(TRIM(IF($A842="","tipo ","")&amp;IF($F842="","fecha de firma ","")&amp;IF($G842="","decisión ","")&amp;IF($H842="","N° resolución ","")&amp;IF($I842="","N° dictamen",""))&lt;&gt;"","INCOMPLETA: "&amp;TRIM(IF($A842="","tipo ","")&amp;IF($F842="","fecha de firma ","")&amp;IF($G842="","decisión ","")&amp;IF($H842="","N° resolución ","")&amp;IF($I842="","N° dictamen","")),IF(LEFT($N842,4)&lt;&gt;"CONC","OK",IF(N($Q842)=0,IF(AND(ISNUMBER($E842),$E842&gt;=DATE(2024,1,1)),"FALTA EN evol_conc","OK"),IF(INDEX(evol_conc!$H:$H,$Q842)&lt;&gt;$F842,"FIRMA DISTINTA EN evol_conc ("&amp;IF(INDEX(evol_conc!$H:$H,$Q842)="","vacía",DAY(INDEX(evol_conc!$H:$H,$Q842))&amp;"/"&amp;MONTH(INDEX(evol_conc!$H:$H,$Q842))&amp;"/"&amp;YEAR(INDEX(evol_conc!$H:$H,$Q842)))&amp;")",IF(INDEX(evol_conc!$G:$G,$Q842)&lt;&gt;$E842,"INGRESO DISTINTO EN evol_conc ("&amp;IF(INDEX(evol_conc!$G:$G,$Q842)="","vacía",DAY(INDEX(evol_conc!$G:$G,$Q842))&amp;"/"&amp;MONTH(INDEX(evol_conc!$G:$G,$Q842))&amp;"/"&amp;YEAR(INDEX(evol_conc!$G:$G,$Q842)))&amp;")","OK"))))))))</f>
        <v/>
      </c>
      <c r="Q842" t="str">
        <f ca="1">IF($N842="","",IFERROR(MATCH($N842,evol_conc!$P:$P,0),0))</f>
        <v/>
      </c>
    </row>
    <row r="843" spans="12:17" ht="18" hidden="1" customHeight="1" x14ac:dyDescent="0.25">
      <c r="L843" s="53" t="str">
        <f t="shared" si="26"/>
        <v/>
      </c>
      <c r="M843" s="19" t="str">
        <f t="shared" si="27"/>
        <v/>
      </c>
      <c r="N843" t="str">
        <f ca="1">IF(TRIM(SUBSTITUTE($B843,CHAR(160)," "))="","",IFERROR(IF(ISNUMBER(SEARCH("INC",$B843)),"INC",IF(ISNUMBER(SEARCH("OPI",$B843)),"OPI",IF(ISNUMBER(SEARCH("DP",$B843)),"DP","CONC")))&amp;" "&amp;TEXT(LOOKUP(9.99E+307,--MID(SUBSTITUTE($B843,CHAR(160)," "),SUMPRODUCT(MIN(FIND({0,1,2,3,4,5,6,7,8,9},SUBSTITUTE($B843,CHAR(160)," ")&amp;"0123456789"))),ROW(INDIRECT("1:6")))),"0"),"SIN NUMERO"))</f>
        <v/>
      </c>
      <c r="O843" t="str">
        <f ca="1">IF($N843="","",IF(LEFT(UPPER($P843),9)="VERIFICAR","VERIFICAR",IF(AND($H843&lt;&gt;"",COUNTIFS($N$2:$N$1000,$N843,$H$2:$H$1000,$H843)&gt;1),"DUPLICADA",IF(TRIM(IF($A843="","tipo ","")&amp;IF($F843="","fecha de firma ","")&amp;IF($G843="","decisión ","")&amp;IF($H843="","N° resolución ","")&amp;IF($I843="","N° dictamen",""))&lt;&gt;"","INCOMPLETA: "&amp;TRIM(IF($A843="","tipo ","")&amp;IF($F843="","fecha de firma ","")&amp;IF($G843="","decisión ","")&amp;IF($H843="","N° resolución ","")&amp;IF($I843="","N° dictamen","")),IF(LEFT($N843,4)&lt;&gt;"CONC","OK",IF(N($Q843)=0,IF(AND(ISNUMBER($E843),$E843&gt;=DATE(2024,1,1)),"FALTA EN evol_conc","OK"),IF(INDEX(evol_conc!$H:$H,$Q843)&lt;&gt;$F843,"FIRMA DISTINTA EN evol_conc ("&amp;IF(INDEX(evol_conc!$H:$H,$Q843)="","vacía",DAY(INDEX(evol_conc!$H:$H,$Q843))&amp;"/"&amp;MONTH(INDEX(evol_conc!$H:$H,$Q843))&amp;"/"&amp;YEAR(INDEX(evol_conc!$H:$H,$Q843)))&amp;")",IF(INDEX(evol_conc!$G:$G,$Q843)&lt;&gt;$E843,"INGRESO DISTINTO EN evol_conc ("&amp;IF(INDEX(evol_conc!$G:$G,$Q843)="","vacía",DAY(INDEX(evol_conc!$G:$G,$Q843))&amp;"/"&amp;MONTH(INDEX(evol_conc!$G:$G,$Q843))&amp;"/"&amp;YEAR(INDEX(evol_conc!$G:$G,$Q843)))&amp;")","OK"))))))))</f>
        <v/>
      </c>
      <c r="Q843" t="str">
        <f ca="1">IF($N843="","",IFERROR(MATCH($N843,evol_conc!$P:$P,0),0))</f>
        <v/>
      </c>
    </row>
    <row r="844" spans="12:17" ht="18" hidden="1" customHeight="1" x14ac:dyDescent="0.25">
      <c r="L844" s="53" t="str">
        <f t="shared" si="26"/>
        <v/>
      </c>
      <c r="M844" s="19" t="str">
        <f t="shared" si="27"/>
        <v/>
      </c>
      <c r="N844" t="str">
        <f ca="1">IF(TRIM(SUBSTITUTE($B844,CHAR(160)," "))="","",IFERROR(IF(ISNUMBER(SEARCH("INC",$B844)),"INC",IF(ISNUMBER(SEARCH("OPI",$B844)),"OPI",IF(ISNUMBER(SEARCH("DP",$B844)),"DP","CONC")))&amp;" "&amp;TEXT(LOOKUP(9.99E+307,--MID(SUBSTITUTE($B844,CHAR(160)," "),SUMPRODUCT(MIN(FIND({0,1,2,3,4,5,6,7,8,9},SUBSTITUTE($B844,CHAR(160)," ")&amp;"0123456789"))),ROW(INDIRECT("1:6")))),"0"),"SIN NUMERO"))</f>
        <v/>
      </c>
      <c r="O844" t="str">
        <f ca="1">IF($N844="","",IF(LEFT(UPPER($P844),9)="VERIFICAR","VERIFICAR",IF(AND($H844&lt;&gt;"",COUNTIFS($N$2:$N$1000,$N844,$H$2:$H$1000,$H844)&gt;1),"DUPLICADA",IF(TRIM(IF($A844="","tipo ","")&amp;IF($F844="","fecha de firma ","")&amp;IF($G844="","decisión ","")&amp;IF($H844="","N° resolución ","")&amp;IF($I844="","N° dictamen",""))&lt;&gt;"","INCOMPLETA: "&amp;TRIM(IF($A844="","tipo ","")&amp;IF($F844="","fecha de firma ","")&amp;IF($G844="","decisión ","")&amp;IF($H844="","N° resolución ","")&amp;IF($I844="","N° dictamen","")),IF(LEFT($N844,4)&lt;&gt;"CONC","OK",IF(N($Q844)=0,IF(AND(ISNUMBER($E844),$E844&gt;=DATE(2024,1,1)),"FALTA EN evol_conc","OK"),IF(INDEX(evol_conc!$H:$H,$Q844)&lt;&gt;$F844,"FIRMA DISTINTA EN evol_conc ("&amp;IF(INDEX(evol_conc!$H:$H,$Q844)="","vacía",DAY(INDEX(evol_conc!$H:$H,$Q844))&amp;"/"&amp;MONTH(INDEX(evol_conc!$H:$H,$Q844))&amp;"/"&amp;YEAR(INDEX(evol_conc!$H:$H,$Q844)))&amp;")",IF(INDEX(evol_conc!$G:$G,$Q844)&lt;&gt;$E844,"INGRESO DISTINTO EN evol_conc ("&amp;IF(INDEX(evol_conc!$G:$G,$Q844)="","vacía",DAY(INDEX(evol_conc!$G:$G,$Q844))&amp;"/"&amp;MONTH(INDEX(evol_conc!$G:$G,$Q844))&amp;"/"&amp;YEAR(INDEX(evol_conc!$G:$G,$Q844)))&amp;")","OK"))))))))</f>
        <v/>
      </c>
      <c r="Q844" t="str">
        <f ca="1">IF($N844="","",IFERROR(MATCH($N844,evol_conc!$P:$P,0),0))</f>
        <v/>
      </c>
    </row>
    <row r="845" spans="12:17" ht="18" hidden="1" customHeight="1" x14ac:dyDescent="0.25">
      <c r="L845" s="53" t="str">
        <f t="shared" si="26"/>
        <v/>
      </c>
      <c r="M845" s="19" t="str">
        <f t="shared" si="27"/>
        <v/>
      </c>
      <c r="N845" t="str">
        <f ca="1">IF(TRIM(SUBSTITUTE($B845,CHAR(160)," "))="","",IFERROR(IF(ISNUMBER(SEARCH("INC",$B845)),"INC",IF(ISNUMBER(SEARCH("OPI",$B845)),"OPI",IF(ISNUMBER(SEARCH("DP",$B845)),"DP","CONC")))&amp;" "&amp;TEXT(LOOKUP(9.99E+307,--MID(SUBSTITUTE($B845,CHAR(160)," "),SUMPRODUCT(MIN(FIND({0,1,2,3,4,5,6,7,8,9},SUBSTITUTE($B845,CHAR(160)," ")&amp;"0123456789"))),ROW(INDIRECT("1:6")))),"0"),"SIN NUMERO"))</f>
        <v/>
      </c>
      <c r="O845" t="str">
        <f ca="1">IF($N845="","",IF(LEFT(UPPER($P845),9)="VERIFICAR","VERIFICAR",IF(AND($H845&lt;&gt;"",COUNTIFS($N$2:$N$1000,$N845,$H$2:$H$1000,$H845)&gt;1),"DUPLICADA",IF(TRIM(IF($A845="","tipo ","")&amp;IF($F845="","fecha de firma ","")&amp;IF($G845="","decisión ","")&amp;IF($H845="","N° resolución ","")&amp;IF($I845="","N° dictamen",""))&lt;&gt;"","INCOMPLETA: "&amp;TRIM(IF($A845="","tipo ","")&amp;IF($F845="","fecha de firma ","")&amp;IF($G845="","decisión ","")&amp;IF($H845="","N° resolución ","")&amp;IF($I845="","N° dictamen","")),IF(LEFT($N845,4)&lt;&gt;"CONC","OK",IF(N($Q845)=0,IF(AND(ISNUMBER($E845),$E845&gt;=DATE(2024,1,1)),"FALTA EN evol_conc","OK"),IF(INDEX(evol_conc!$H:$H,$Q845)&lt;&gt;$F845,"FIRMA DISTINTA EN evol_conc ("&amp;IF(INDEX(evol_conc!$H:$H,$Q845)="","vacía",DAY(INDEX(evol_conc!$H:$H,$Q845))&amp;"/"&amp;MONTH(INDEX(evol_conc!$H:$H,$Q845))&amp;"/"&amp;YEAR(INDEX(evol_conc!$H:$H,$Q845)))&amp;")",IF(INDEX(evol_conc!$G:$G,$Q845)&lt;&gt;$E845,"INGRESO DISTINTO EN evol_conc ("&amp;IF(INDEX(evol_conc!$G:$G,$Q845)="","vacía",DAY(INDEX(evol_conc!$G:$G,$Q845))&amp;"/"&amp;MONTH(INDEX(evol_conc!$G:$G,$Q845))&amp;"/"&amp;YEAR(INDEX(evol_conc!$G:$G,$Q845)))&amp;")","OK"))))))))</f>
        <v/>
      </c>
      <c r="Q845" t="str">
        <f ca="1">IF($N845="","",IFERROR(MATCH($N845,evol_conc!$P:$P,0),0))</f>
        <v/>
      </c>
    </row>
    <row r="846" spans="12:17" ht="18" hidden="1" customHeight="1" x14ac:dyDescent="0.25">
      <c r="L846" s="53" t="str">
        <f t="shared" si="26"/>
        <v/>
      </c>
      <c r="M846" s="19" t="str">
        <f t="shared" si="27"/>
        <v/>
      </c>
      <c r="N846" t="str">
        <f ca="1">IF(TRIM(SUBSTITUTE($B846,CHAR(160)," "))="","",IFERROR(IF(ISNUMBER(SEARCH("INC",$B846)),"INC",IF(ISNUMBER(SEARCH("OPI",$B846)),"OPI",IF(ISNUMBER(SEARCH("DP",$B846)),"DP","CONC")))&amp;" "&amp;TEXT(LOOKUP(9.99E+307,--MID(SUBSTITUTE($B846,CHAR(160)," "),SUMPRODUCT(MIN(FIND({0,1,2,3,4,5,6,7,8,9},SUBSTITUTE($B846,CHAR(160)," ")&amp;"0123456789"))),ROW(INDIRECT("1:6")))),"0"),"SIN NUMERO"))</f>
        <v/>
      </c>
      <c r="O846" t="str">
        <f ca="1">IF($N846="","",IF(LEFT(UPPER($P846),9)="VERIFICAR","VERIFICAR",IF(AND($H846&lt;&gt;"",COUNTIFS($N$2:$N$1000,$N846,$H$2:$H$1000,$H846)&gt;1),"DUPLICADA",IF(TRIM(IF($A846="","tipo ","")&amp;IF($F846="","fecha de firma ","")&amp;IF($G846="","decisión ","")&amp;IF($H846="","N° resolución ","")&amp;IF($I846="","N° dictamen",""))&lt;&gt;"","INCOMPLETA: "&amp;TRIM(IF($A846="","tipo ","")&amp;IF($F846="","fecha de firma ","")&amp;IF($G846="","decisión ","")&amp;IF($H846="","N° resolución ","")&amp;IF($I846="","N° dictamen","")),IF(LEFT($N846,4)&lt;&gt;"CONC","OK",IF(N($Q846)=0,IF(AND(ISNUMBER($E846),$E846&gt;=DATE(2024,1,1)),"FALTA EN evol_conc","OK"),IF(INDEX(evol_conc!$H:$H,$Q846)&lt;&gt;$F846,"FIRMA DISTINTA EN evol_conc ("&amp;IF(INDEX(evol_conc!$H:$H,$Q846)="","vacía",DAY(INDEX(evol_conc!$H:$H,$Q846))&amp;"/"&amp;MONTH(INDEX(evol_conc!$H:$H,$Q846))&amp;"/"&amp;YEAR(INDEX(evol_conc!$H:$H,$Q846)))&amp;")",IF(INDEX(evol_conc!$G:$G,$Q846)&lt;&gt;$E846,"INGRESO DISTINTO EN evol_conc ("&amp;IF(INDEX(evol_conc!$G:$G,$Q846)="","vacía",DAY(INDEX(evol_conc!$G:$G,$Q846))&amp;"/"&amp;MONTH(INDEX(evol_conc!$G:$G,$Q846))&amp;"/"&amp;YEAR(INDEX(evol_conc!$G:$G,$Q846)))&amp;")","OK"))))))))</f>
        <v/>
      </c>
      <c r="Q846" t="str">
        <f ca="1">IF($N846="","",IFERROR(MATCH($N846,evol_conc!$P:$P,0),0))</f>
        <v/>
      </c>
    </row>
    <row r="847" spans="12:17" ht="18" hidden="1" customHeight="1" x14ac:dyDescent="0.25">
      <c r="L847" s="53" t="str">
        <f t="shared" si="26"/>
        <v/>
      </c>
      <c r="M847" s="19" t="str">
        <f t="shared" si="27"/>
        <v/>
      </c>
      <c r="N847" t="str">
        <f ca="1">IF(TRIM(SUBSTITUTE($B847,CHAR(160)," "))="","",IFERROR(IF(ISNUMBER(SEARCH("INC",$B847)),"INC",IF(ISNUMBER(SEARCH("OPI",$B847)),"OPI",IF(ISNUMBER(SEARCH("DP",$B847)),"DP","CONC")))&amp;" "&amp;TEXT(LOOKUP(9.99E+307,--MID(SUBSTITUTE($B847,CHAR(160)," "),SUMPRODUCT(MIN(FIND({0,1,2,3,4,5,6,7,8,9},SUBSTITUTE($B847,CHAR(160)," ")&amp;"0123456789"))),ROW(INDIRECT("1:6")))),"0"),"SIN NUMERO"))</f>
        <v/>
      </c>
      <c r="O847" t="str">
        <f ca="1">IF($N847="","",IF(LEFT(UPPER($P847),9)="VERIFICAR","VERIFICAR",IF(AND($H847&lt;&gt;"",COUNTIFS($N$2:$N$1000,$N847,$H$2:$H$1000,$H847)&gt;1),"DUPLICADA",IF(TRIM(IF($A847="","tipo ","")&amp;IF($F847="","fecha de firma ","")&amp;IF($G847="","decisión ","")&amp;IF($H847="","N° resolución ","")&amp;IF($I847="","N° dictamen",""))&lt;&gt;"","INCOMPLETA: "&amp;TRIM(IF($A847="","tipo ","")&amp;IF($F847="","fecha de firma ","")&amp;IF($G847="","decisión ","")&amp;IF($H847="","N° resolución ","")&amp;IF($I847="","N° dictamen","")),IF(LEFT($N847,4)&lt;&gt;"CONC","OK",IF(N($Q847)=0,IF(AND(ISNUMBER($E847),$E847&gt;=DATE(2024,1,1)),"FALTA EN evol_conc","OK"),IF(INDEX(evol_conc!$H:$H,$Q847)&lt;&gt;$F847,"FIRMA DISTINTA EN evol_conc ("&amp;IF(INDEX(evol_conc!$H:$H,$Q847)="","vacía",DAY(INDEX(evol_conc!$H:$H,$Q847))&amp;"/"&amp;MONTH(INDEX(evol_conc!$H:$H,$Q847))&amp;"/"&amp;YEAR(INDEX(evol_conc!$H:$H,$Q847)))&amp;")",IF(INDEX(evol_conc!$G:$G,$Q847)&lt;&gt;$E847,"INGRESO DISTINTO EN evol_conc ("&amp;IF(INDEX(evol_conc!$G:$G,$Q847)="","vacía",DAY(INDEX(evol_conc!$G:$G,$Q847))&amp;"/"&amp;MONTH(INDEX(evol_conc!$G:$G,$Q847))&amp;"/"&amp;YEAR(INDEX(evol_conc!$G:$G,$Q847)))&amp;")","OK"))))))))</f>
        <v/>
      </c>
      <c r="Q847" t="str">
        <f ca="1">IF($N847="","",IFERROR(MATCH($N847,evol_conc!$P:$P,0),0))</f>
        <v/>
      </c>
    </row>
    <row r="848" spans="12:17" ht="18" hidden="1" customHeight="1" x14ac:dyDescent="0.25">
      <c r="L848" s="53" t="str">
        <f t="shared" si="26"/>
        <v/>
      </c>
      <c r="M848" s="19" t="str">
        <f t="shared" si="27"/>
        <v/>
      </c>
      <c r="N848" t="str">
        <f ca="1">IF(TRIM(SUBSTITUTE($B848,CHAR(160)," "))="","",IFERROR(IF(ISNUMBER(SEARCH("INC",$B848)),"INC",IF(ISNUMBER(SEARCH("OPI",$B848)),"OPI",IF(ISNUMBER(SEARCH("DP",$B848)),"DP","CONC")))&amp;" "&amp;TEXT(LOOKUP(9.99E+307,--MID(SUBSTITUTE($B848,CHAR(160)," "),SUMPRODUCT(MIN(FIND({0,1,2,3,4,5,6,7,8,9},SUBSTITUTE($B848,CHAR(160)," ")&amp;"0123456789"))),ROW(INDIRECT("1:6")))),"0"),"SIN NUMERO"))</f>
        <v/>
      </c>
      <c r="O848" t="str">
        <f ca="1">IF($N848="","",IF(LEFT(UPPER($P848),9)="VERIFICAR","VERIFICAR",IF(AND($H848&lt;&gt;"",COUNTIFS($N$2:$N$1000,$N848,$H$2:$H$1000,$H848)&gt;1),"DUPLICADA",IF(TRIM(IF($A848="","tipo ","")&amp;IF($F848="","fecha de firma ","")&amp;IF($G848="","decisión ","")&amp;IF($H848="","N° resolución ","")&amp;IF($I848="","N° dictamen",""))&lt;&gt;"","INCOMPLETA: "&amp;TRIM(IF($A848="","tipo ","")&amp;IF($F848="","fecha de firma ","")&amp;IF($G848="","decisión ","")&amp;IF($H848="","N° resolución ","")&amp;IF($I848="","N° dictamen","")),IF(LEFT($N848,4)&lt;&gt;"CONC","OK",IF(N($Q848)=0,IF(AND(ISNUMBER($E848),$E848&gt;=DATE(2024,1,1)),"FALTA EN evol_conc","OK"),IF(INDEX(evol_conc!$H:$H,$Q848)&lt;&gt;$F848,"FIRMA DISTINTA EN evol_conc ("&amp;IF(INDEX(evol_conc!$H:$H,$Q848)="","vacía",DAY(INDEX(evol_conc!$H:$H,$Q848))&amp;"/"&amp;MONTH(INDEX(evol_conc!$H:$H,$Q848))&amp;"/"&amp;YEAR(INDEX(evol_conc!$H:$H,$Q848)))&amp;")",IF(INDEX(evol_conc!$G:$G,$Q848)&lt;&gt;$E848,"INGRESO DISTINTO EN evol_conc ("&amp;IF(INDEX(evol_conc!$G:$G,$Q848)="","vacía",DAY(INDEX(evol_conc!$G:$G,$Q848))&amp;"/"&amp;MONTH(INDEX(evol_conc!$G:$G,$Q848))&amp;"/"&amp;YEAR(INDEX(evol_conc!$G:$G,$Q848)))&amp;")","OK"))))))))</f>
        <v/>
      </c>
      <c r="Q848" t="str">
        <f ca="1">IF($N848="","",IFERROR(MATCH($N848,evol_conc!$P:$P,0),0))</f>
        <v/>
      </c>
    </row>
    <row r="849" spans="12:17" ht="18" hidden="1" customHeight="1" x14ac:dyDescent="0.25">
      <c r="L849" s="53" t="str">
        <f t="shared" si="26"/>
        <v/>
      </c>
      <c r="M849" s="19" t="str">
        <f t="shared" si="27"/>
        <v/>
      </c>
      <c r="N849" t="str">
        <f ca="1">IF(TRIM(SUBSTITUTE($B849,CHAR(160)," "))="","",IFERROR(IF(ISNUMBER(SEARCH("INC",$B849)),"INC",IF(ISNUMBER(SEARCH("OPI",$B849)),"OPI",IF(ISNUMBER(SEARCH("DP",$B849)),"DP","CONC")))&amp;" "&amp;TEXT(LOOKUP(9.99E+307,--MID(SUBSTITUTE($B849,CHAR(160)," "),SUMPRODUCT(MIN(FIND({0,1,2,3,4,5,6,7,8,9},SUBSTITUTE($B849,CHAR(160)," ")&amp;"0123456789"))),ROW(INDIRECT("1:6")))),"0"),"SIN NUMERO"))</f>
        <v/>
      </c>
      <c r="O849" t="str">
        <f ca="1">IF($N849="","",IF(LEFT(UPPER($P849),9)="VERIFICAR","VERIFICAR",IF(AND($H849&lt;&gt;"",COUNTIFS($N$2:$N$1000,$N849,$H$2:$H$1000,$H849)&gt;1),"DUPLICADA",IF(TRIM(IF($A849="","tipo ","")&amp;IF($F849="","fecha de firma ","")&amp;IF($G849="","decisión ","")&amp;IF($H849="","N° resolución ","")&amp;IF($I849="","N° dictamen",""))&lt;&gt;"","INCOMPLETA: "&amp;TRIM(IF($A849="","tipo ","")&amp;IF($F849="","fecha de firma ","")&amp;IF($G849="","decisión ","")&amp;IF($H849="","N° resolución ","")&amp;IF($I849="","N° dictamen","")),IF(LEFT($N849,4)&lt;&gt;"CONC","OK",IF(N($Q849)=0,IF(AND(ISNUMBER($E849),$E849&gt;=DATE(2024,1,1)),"FALTA EN evol_conc","OK"),IF(INDEX(evol_conc!$H:$H,$Q849)&lt;&gt;$F849,"FIRMA DISTINTA EN evol_conc ("&amp;IF(INDEX(evol_conc!$H:$H,$Q849)="","vacía",DAY(INDEX(evol_conc!$H:$H,$Q849))&amp;"/"&amp;MONTH(INDEX(evol_conc!$H:$H,$Q849))&amp;"/"&amp;YEAR(INDEX(evol_conc!$H:$H,$Q849)))&amp;")",IF(INDEX(evol_conc!$G:$G,$Q849)&lt;&gt;$E849,"INGRESO DISTINTO EN evol_conc ("&amp;IF(INDEX(evol_conc!$G:$G,$Q849)="","vacía",DAY(INDEX(evol_conc!$G:$G,$Q849))&amp;"/"&amp;MONTH(INDEX(evol_conc!$G:$G,$Q849))&amp;"/"&amp;YEAR(INDEX(evol_conc!$G:$G,$Q849)))&amp;")","OK"))))))))</f>
        <v/>
      </c>
      <c r="Q849" t="str">
        <f ca="1">IF($N849="","",IFERROR(MATCH($N849,evol_conc!$P:$P,0),0))</f>
        <v/>
      </c>
    </row>
    <row r="850" spans="12:17" ht="18" hidden="1" customHeight="1" x14ac:dyDescent="0.25">
      <c r="L850" s="53" t="str">
        <f t="shared" si="26"/>
        <v/>
      </c>
      <c r="M850" s="19" t="str">
        <f t="shared" si="27"/>
        <v/>
      </c>
      <c r="N850" t="str">
        <f ca="1">IF(TRIM(SUBSTITUTE($B850,CHAR(160)," "))="","",IFERROR(IF(ISNUMBER(SEARCH("INC",$B850)),"INC",IF(ISNUMBER(SEARCH("OPI",$B850)),"OPI",IF(ISNUMBER(SEARCH("DP",$B850)),"DP","CONC")))&amp;" "&amp;TEXT(LOOKUP(9.99E+307,--MID(SUBSTITUTE($B850,CHAR(160)," "),SUMPRODUCT(MIN(FIND({0,1,2,3,4,5,6,7,8,9},SUBSTITUTE($B850,CHAR(160)," ")&amp;"0123456789"))),ROW(INDIRECT("1:6")))),"0"),"SIN NUMERO"))</f>
        <v/>
      </c>
      <c r="O850" t="str">
        <f ca="1">IF($N850="","",IF(LEFT(UPPER($P850),9)="VERIFICAR","VERIFICAR",IF(AND($H850&lt;&gt;"",COUNTIFS($N$2:$N$1000,$N850,$H$2:$H$1000,$H850)&gt;1),"DUPLICADA",IF(TRIM(IF($A850="","tipo ","")&amp;IF($F850="","fecha de firma ","")&amp;IF($G850="","decisión ","")&amp;IF($H850="","N° resolución ","")&amp;IF($I850="","N° dictamen",""))&lt;&gt;"","INCOMPLETA: "&amp;TRIM(IF($A850="","tipo ","")&amp;IF($F850="","fecha de firma ","")&amp;IF($G850="","decisión ","")&amp;IF($H850="","N° resolución ","")&amp;IF($I850="","N° dictamen","")),IF(LEFT($N850,4)&lt;&gt;"CONC","OK",IF(N($Q850)=0,IF(AND(ISNUMBER($E850),$E850&gt;=DATE(2024,1,1)),"FALTA EN evol_conc","OK"),IF(INDEX(evol_conc!$H:$H,$Q850)&lt;&gt;$F850,"FIRMA DISTINTA EN evol_conc ("&amp;IF(INDEX(evol_conc!$H:$H,$Q850)="","vacía",DAY(INDEX(evol_conc!$H:$H,$Q850))&amp;"/"&amp;MONTH(INDEX(evol_conc!$H:$H,$Q850))&amp;"/"&amp;YEAR(INDEX(evol_conc!$H:$H,$Q850)))&amp;")",IF(INDEX(evol_conc!$G:$G,$Q850)&lt;&gt;$E850,"INGRESO DISTINTO EN evol_conc ("&amp;IF(INDEX(evol_conc!$G:$G,$Q850)="","vacía",DAY(INDEX(evol_conc!$G:$G,$Q850))&amp;"/"&amp;MONTH(INDEX(evol_conc!$G:$G,$Q850))&amp;"/"&amp;YEAR(INDEX(evol_conc!$G:$G,$Q850)))&amp;")","OK"))))))))</f>
        <v/>
      </c>
      <c r="Q850" t="str">
        <f ca="1">IF($N850="","",IFERROR(MATCH($N850,evol_conc!$P:$P,0),0))</f>
        <v/>
      </c>
    </row>
    <row r="851" spans="12:17" ht="18" hidden="1" customHeight="1" x14ac:dyDescent="0.25">
      <c r="L851" s="53" t="str">
        <f t="shared" si="26"/>
        <v/>
      </c>
      <c r="M851" s="19" t="str">
        <f t="shared" si="27"/>
        <v/>
      </c>
      <c r="N851" t="str">
        <f ca="1">IF(TRIM(SUBSTITUTE($B851,CHAR(160)," "))="","",IFERROR(IF(ISNUMBER(SEARCH("INC",$B851)),"INC",IF(ISNUMBER(SEARCH("OPI",$B851)),"OPI",IF(ISNUMBER(SEARCH("DP",$B851)),"DP","CONC")))&amp;" "&amp;TEXT(LOOKUP(9.99E+307,--MID(SUBSTITUTE($B851,CHAR(160)," "),SUMPRODUCT(MIN(FIND({0,1,2,3,4,5,6,7,8,9},SUBSTITUTE($B851,CHAR(160)," ")&amp;"0123456789"))),ROW(INDIRECT("1:6")))),"0"),"SIN NUMERO"))</f>
        <v/>
      </c>
      <c r="O851" t="str">
        <f ca="1">IF($N851="","",IF(LEFT(UPPER($P851),9)="VERIFICAR","VERIFICAR",IF(AND($H851&lt;&gt;"",COUNTIFS($N$2:$N$1000,$N851,$H$2:$H$1000,$H851)&gt;1),"DUPLICADA",IF(TRIM(IF($A851="","tipo ","")&amp;IF($F851="","fecha de firma ","")&amp;IF($G851="","decisión ","")&amp;IF($H851="","N° resolución ","")&amp;IF($I851="","N° dictamen",""))&lt;&gt;"","INCOMPLETA: "&amp;TRIM(IF($A851="","tipo ","")&amp;IF($F851="","fecha de firma ","")&amp;IF($G851="","decisión ","")&amp;IF($H851="","N° resolución ","")&amp;IF($I851="","N° dictamen","")),IF(LEFT($N851,4)&lt;&gt;"CONC","OK",IF(N($Q851)=0,IF(AND(ISNUMBER($E851),$E851&gt;=DATE(2024,1,1)),"FALTA EN evol_conc","OK"),IF(INDEX(evol_conc!$H:$H,$Q851)&lt;&gt;$F851,"FIRMA DISTINTA EN evol_conc ("&amp;IF(INDEX(evol_conc!$H:$H,$Q851)="","vacía",DAY(INDEX(evol_conc!$H:$H,$Q851))&amp;"/"&amp;MONTH(INDEX(evol_conc!$H:$H,$Q851))&amp;"/"&amp;YEAR(INDEX(evol_conc!$H:$H,$Q851)))&amp;")",IF(INDEX(evol_conc!$G:$G,$Q851)&lt;&gt;$E851,"INGRESO DISTINTO EN evol_conc ("&amp;IF(INDEX(evol_conc!$G:$G,$Q851)="","vacía",DAY(INDEX(evol_conc!$G:$G,$Q851))&amp;"/"&amp;MONTH(INDEX(evol_conc!$G:$G,$Q851))&amp;"/"&amp;YEAR(INDEX(evol_conc!$G:$G,$Q851)))&amp;")","OK"))))))))</f>
        <v/>
      </c>
      <c r="Q851" t="str">
        <f ca="1">IF($N851="","",IFERROR(MATCH($N851,evol_conc!$P:$P,0),0))</f>
        <v/>
      </c>
    </row>
    <row r="852" spans="12:17" ht="18" hidden="1" customHeight="1" x14ac:dyDescent="0.25">
      <c r="L852" s="53" t="str">
        <f t="shared" si="26"/>
        <v/>
      </c>
      <c r="M852" s="19" t="str">
        <f t="shared" si="27"/>
        <v/>
      </c>
      <c r="N852" t="str">
        <f ca="1">IF(TRIM(SUBSTITUTE($B852,CHAR(160)," "))="","",IFERROR(IF(ISNUMBER(SEARCH("INC",$B852)),"INC",IF(ISNUMBER(SEARCH("OPI",$B852)),"OPI",IF(ISNUMBER(SEARCH("DP",$B852)),"DP","CONC")))&amp;" "&amp;TEXT(LOOKUP(9.99E+307,--MID(SUBSTITUTE($B852,CHAR(160)," "),SUMPRODUCT(MIN(FIND({0,1,2,3,4,5,6,7,8,9},SUBSTITUTE($B852,CHAR(160)," ")&amp;"0123456789"))),ROW(INDIRECT("1:6")))),"0"),"SIN NUMERO"))</f>
        <v/>
      </c>
      <c r="O852" t="str">
        <f ca="1">IF($N852="","",IF(LEFT(UPPER($P852),9)="VERIFICAR","VERIFICAR",IF(AND($H852&lt;&gt;"",COUNTIFS($N$2:$N$1000,$N852,$H$2:$H$1000,$H852)&gt;1),"DUPLICADA",IF(TRIM(IF($A852="","tipo ","")&amp;IF($F852="","fecha de firma ","")&amp;IF($G852="","decisión ","")&amp;IF($H852="","N° resolución ","")&amp;IF($I852="","N° dictamen",""))&lt;&gt;"","INCOMPLETA: "&amp;TRIM(IF($A852="","tipo ","")&amp;IF($F852="","fecha de firma ","")&amp;IF($G852="","decisión ","")&amp;IF($H852="","N° resolución ","")&amp;IF($I852="","N° dictamen","")),IF(LEFT($N852,4)&lt;&gt;"CONC","OK",IF(N($Q852)=0,IF(AND(ISNUMBER($E852),$E852&gt;=DATE(2024,1,1)),"FALTA EN evol_conc","OK"),IF(INDEX(evol_conc!$H:$H,$Q852)&lt;&gt;$F852,"FIRMA DISTINTA EN evol_conc ("&amp;IF(INDEX(evol_conc!$H:$H,$Q852)="","vacía",DAY(INDEX(evol_conc!$H:$H,$Q852))&amp;"/"&amp;MONTH(INDEX(evol_conc!$H:$H,$Q852))&amp;"/"&amp;YEAR(INDEX(evol_conc!$H:$H,$Q852)))&amp;")",IF(INDEX(evol_conc!$G:$G,$Q852)&lt;&gt;$E852,"INGRESO DISTINTO EN evol_conc ("&amp;IF(INDEX(evol_conc!$G:$G,$Q852)="","vacía",DAY(INDEX(evol_conc!$G:$G,$Q852))&amp;"/"&amp;MONTH(INDEX(evol_conc!$G:$G,$Q852))&amp;"/"&amp;YEAR(INDEX(evol_conc!$G:$G,$Q852)))&amp;")","OK"))))))))</f>
        <v/>
      </c>
      <c r="Q852" t="str">
        <f ca="1">IF($N852="","",IFERROR(MATCH($N852,evol_conc!$P:$P,0),0))</f>
        <v/>
      </c>
    </row>
    <row r="853" spans="12:17" ht="18" hidden="1" customHeight="1" x14ac:dyDescent="0.25">
      <c r="L853" s="53" t="str">
        <f t="shared" si="26"/>
        <v/>
      </c>
      <c r="M853" s="19" t="str">
        <f t="shared" si="27"/>
        <v/>
      </c>
      <c r="N853" t="str">
        <f ca="1">IF(TRIM(SUBSTITUTE($B853,CHAR(160)," "))="","",IFERROR(IF(ISNUMBER(SEARCH("INC",$B853)),"INC",IF(ISNUMBER(SEARCH("OPI",$B853)),"OPI",IF(ISNUMBER(SEARCH("DP",$B853)),"DP","CONC")))&amp;" "&amp;TEXT(LOOKUP(9.99E+307,--MID(SUBSTITUTE($B853,CHAR(160)," "),SUMPRODUCT(MIN(FIND({0,1,2,3,4,5,6,7,8,9},SUBSTITUTE($B853,CHAR(160)," ")&amp;"0123456789"))),ROW(INDIRECT("1:6")))),"0"),"SIN NUMERO"))</f>
        <v/>
      </c>
      <c r="O853" t="str">
        <f ca="1">IF($N853="","",IF(LEFT(UPPER($P853),9)="VERIFICAR","VERIFICAR",IF(AND($H853&lt;&gt;"",COUNTIFS($N$2:$N$1000,$N853,$H$2:$H$1000,$H853)&gt;1),"DUPLICADA",IF(TRIM(IF($A853="","tipo ","")&amp;IF($F853="","fecha de firma ","")&amp;IF($G853="","decisión ","")&amp;IF($H853="","N° resolución ","")&amp;IF($I853="","N° dictamen",""))&lt;&gt;"","INCOMPLETA: "&amp;TRIM(IF($A853="","tipo ","")&amp;IF($F853="","fecha de firma ","")&amp;IF($G853="","decisión ","")&amp;IF($H853="","N° resolución ","")&amp;IF($I853="","N° dictamen","")),IF(LEFT($N853,4)&lt;&gt;"CONC","OK",IF(N($Q853)=0,IF(AND(ISNUMBER($E853),$E853&gt;=DATE(2024,1,1)),"FALTA EN evol_conc","OK"),IF(INDEX(evol_conc!$H:$H,$Q853)&lt;&gt;$F853,"FIRMA DISTINTA EN evol_conc ("&amp;IF(INDEX(evol_conc!$H:$H,$Q853)="","vacía",DAY(INDEX(evol_conc!$H:$H,$Q853))&amp;"/"&amp;MONTH(INDEX(evol_conc!$H:$H,$Q853))&amp;"/"&amp;YEAR(INDEX(evol_conc!$H:$H,$Q853)))&amp;")",IF(INDEX(evol_conc!$G:$G,$Q853)&lt;&gt;$E853,"INGRESO DISTINTO EN evol_conc ("&amp;IF(INDEX(evol_conc!$G:$G,$Q853)="","vacía",DAY(INDEX(evol_conc!$G:$G,$Q853))&amp;"/"&amp;MONTH(INDEX(evol_conc!$G:$G,$Q853))&amp;"/"&amp;YEAR(INDEX(evol_conc!$G:$G,$Q853)))&amp;")","OK"))))))))</f>
        <v/>
      </c>
      <c r="Q853" t="str">
        <f ca="1">IF($N853="","",IFERROR(MATCH($N853,evol_conc!$P:$P,0),0))</f>
        <v/>
      </c>
    </row>
    <row r="854" spans="12:17" ht="18" hidden="1" customHeight="1" x14ac:dyDescent="0.25">
      <c r="L854" s="53" t="str">
        <f t="shared" si="26"/>
        <v/>
      </c>
      <c r="M854" s="19" t="str">
        <f t="shared" si="27"/>
        <v/>
      </c>
      <c r="N854" t="str">
        <f ca="1">IF(TRIM(SUBSTITUTE($B854,CHAR(160)," "))="","",IFERROR(IF(ISNUMBER(SEARCH("INC",$B854)),"INC",IF(ISNUMBER(SEARCH("OPI",$B854)),"OPI",IF(ISNUMBER(SEARCH("DP",$B854)),"DP","CONC")))&amp;" "&amp;TEXT(LOOKUP(9.99E+307,--MID(SUBSTITUTE($B854,CHAR(160)," "),SUMPRODUCT(MIN(FIND({0,1,2,3,4,5,6,7,8,9},SUBSTITUTE($B854,CHAR(160)," ")&amp;"0123456789"))),ROW(INDIRECT("1:6")))),"0"),"SIN NUMERO"))</f>
        <v/>
      </c>
      <c r="O854" t="str">
        <f ca="1">IF($N854="","",IF(LEFT(UPPER($P854),9)="VERIFICAR","VERIFICAR",IF(AND($H854&lt;&gt;"",COUNTIFS($N$2:$N$1000,$N854,$H$2:$H$1000,$H854)&gt;1),"DUPLICADA",IF(TRIM(IF($A854="","tipo ","")&amp;IF($F854="","fecha de firma ","")&amp;IF($G854="","decisión ","")&amp;IF($H854="","N° resolución ","")&amp;IF($I854="","N° dictamen",""))&lt;&gt;"","INCOMPLETA: "&amp;TRIM(IF($A854="","tipo ","")&amp;IF($F854="","fecha de firma ","")&amp;IF($G854="","decisión ","")&amp;IF($H854="","N° resolución ","")&amp;IF($I854="","N° dictamen","")),IF(LEFT($N854,4)&lt;&gt;"CONC","OK",IF(N($Q854)=0,IF(AND(ISNUMBER($E854),$E854&gt;=DATE(2024,1,1)),"FALTA EN evol_conc","OK"),IF(INDEX(evol_conc!$H:$H,$Q854)&lt;&gt;$F854,"FIRMA DISTINTA EN evol_conc ("&amp;IF(INDEX(evol_conc!$H:$H,$Q854)="","vacía",DAY(INDEX(evol_conc!$H:$H,$Q854))&amp;"/"&amp;MONTH(INDEX(evol_conc!$H:$H,$Q854))&amp;"/"&amp;YEAR(INDEX(evol_conc!$H:$H,$Q854)))&amp;")",IF(INDEX(evol_conc!$G:$G,$Q854)&lt;&gt;$E854,"INGRESO DISTINTO EN evol_conc ("&amp;IF(INDEX(evol_conc!$G:$G,$Q854)="","vacía",DAY(INDEX(evol_conc!$G:$G,$Q854))&amp;"/"&amp;MONTH(INDEX(evol_conc!$G:$G,$Q854))&amp;"/"&amp;YEAR(INDEX(evol_conc!$G:$G,$Q854)))&amp;")","OK"))))))))</f>
        <v/>
      </c>
      <c r="Q854" t="str">
        <f ca="1">IF($N854="","",IFERROR(MATCH($N854,evol_conc!$P:$P,0),0))</f>
        <v/>
      </c>
    </row>
    <row r="855" spans="12:17" ht="18" hidden="1" customHeight="1" x14ac:dyDescent="0.25">
      <c r="L855" s="53" t="str">
        <f t="shared" si="26"/>
        <v/>
      </c>
      <c r="M855" s="19" t="str">
        <f t="shared" si="27"/>
        <v/>
      </c>
      <c r="N855" t="str">
        <f ca="1">IF(TRIM(SUBSTITUTE($B855,CHAR(160)," "))="","",IFERROR(IF(ISNUMBER(SEARCH("INC",$B855)),"INC",IF(ISNUMBER(SEARCH("OPI",$B855)),"OPI",IF(ISNUMBER(SEARCH("DP",$B855)),"DP","CONC")))&amp;" "&amp;TEXT(LOOKUP(9.99E+307,--MID(SUBSTITUTE($B855,CHAR(160)," "),SUMPRODUCT(MIN(FIND({0,1,2,3,4,5,6,7,8,9},SUBSTITUTE($B855,CHAR(160)," ")&amp;"0123456789"))),ROW(INDIRECT("1:6")))),"0"),"SIN NUMERO"))</f>
        <v/>
      </c>
      <c r="O855" t="str">
        <f ca="1">IF($N855="","",IF(LEFT(UPPER($P855),9)="VERIFICAR","VERIFICAR",IF(AND($H855&lt;&gt;"",COUNTIFS($N$2:$N$1000,$N855,$H$2:$H$1000,$H855)&gt;1),"DUPLICADA",IF(TRIM(IF($A855="","tipo ","")&amp;IF($F855="","fecha de firma ","")&amp;IF($G855="","decisión ","")&amp;IF($H855="","N° resolución ","")&amp;IF($I855="","N° dictamen",""))&lt;&gt;"","INCOMPLETA: "&amp;TRIM(IF($A855="","tipo ","")&amp;IF($F855="","fecha de firma ","")&amp;IF($G855="","decisión ","")&amp;IF($H855="","N° resolución ","")&amp;IF($I855="","N° dictamen","")),IF(LEFT($N855,4)&lt;&gt;"CONC","OK",IF(N($Q855)=0,IF(AND(ISNUMBER($E855),$E855&gt;=DATE(2024,1,1)),"FALTA EN evol_conc","OK"),IF(INDEX(evol_conc!$H:$H,$Q855)&lt;&gt;$F855,"FIRMA DISTINTA EN evol_conc ("&amp;IF(INDEX(evol_conc!$H:$H,$Q855)="","vacía",DAY(INDEX(evol_conc!$H:$H,$Q855))&amp;"/"&amp;MONTH(INDEX(evol_conc!$H:$H,$Q855))&amp;"/"&amp;YEAR(INDEX(evol_conc!$H:$H,$Q855)))&amp;")",IF(INDEX(evol_conc!$G:$G,$Q855)&lt;&gt;$E855,"INGRESO DISTINTO EN evol_conc ("&amp;IF(INDEX(evol_conc!$G:$G,$Q855)="","vacía",DAY(INDEX(evol_conc!$G:$G,$Q855))&amp;"/"&amp;MONTH(INDEX(evol_conc!$G:$G,$Q855))&amp;"/"&amp;YEAR(INDEX(evol_conc!$G:$G,$Q855)))&amp;")","OK"))))))))</f>
        <v/>
      </c>
      <c r="Q855" t="str">
        <f ca="1">IF($N855="","",IFERROR(MATCH($N855,evol_conc!$P:$P,0),0))</f>
        <v/>
      </c>
    </row>
    <row r="856" spans="12:17" ht="18" hidden="1" customHeight="1" x14ac:dyDescent="0.25">
      <c r="L856" s="53" t="str">
        <f t="shared" si="26"/>
        <v/>
      </c>
      <c r="M856" s="19" t="str">
        <f t="shared" si="27"/>
        <v/>
      </c>
      <c r="N856" t="str">
        <f ca="1">IF(TRIM(SUBSTITUTE($B856,CHAR(160)," "))="","",IFERROR(IF(ISNUMBER(SEARCH("INC",$B856)),"INC",IF(ISNUMBER(SEARCH("OPI",$B856)),"OPI",IF(ISNUMBER(SEARCH("DP",$B856)),"DP","CONC")))&amp;" "&amp;TEXT(LOOKUP(9.99E+307,--MID(SUBSTITUTE($B856,CHAR(160)," "),SUMPRODUCT(MIN(FIND({0,1,2,3,4,5,6,7,8,9},SUBSTITUTE($B856,CHAR(160)," ")&amp;"0123456789"))),ROW(INDIRECT("1:6")))),"0"),"SIN NUMERO"))</f>
        <v/>
      </c>
      <c r="O856" t="str">
        <f ca="1">IF($N856="","",IF(LEFT(UPPER($P856),9)="VERIFICAR","VERIFICAR",IF(AND($H856&lt;&gt;"",COUNTIFS($N$2:$N$1000,$N856,$H$2:$H$1000,$H856)&gt;1),"DUPLICADA",IF(TRIM(IF($A856="","tipo ","")&amp;IF($F856="","fecha de firma ","")&amp;IF($G856="","decisión ","")&amp;IF($H856="","N° resolución ","")&amp;IF($I856="","N° dictamen",""))&lt;&gt;"","INCOMPLETA: "&amp;TRIM(IF($A856="","tipo ","")&amp;IF($F856="","fecha de firma ","")&amp;IF($G856="","decisión ","")&amp;IF($H856="","N° resolución ","")&amp;IF($I856="","N° dictamen","")),IF(LEFT($N856,4)&lt;&gt;"CONC","OK",IF(N($Q856)=0,IF(AND(ISNUMBER($E856),$E856&gt;=DATE(2024,1,1)),"FALTA EN evol_conc","OK"),IF(INDEX(evol_conc!$H:$H,$Q856)&lt;&gt;$F856,"FIRMA DISTINTA EN evol_conc ("&amp;IF(INDEX(evol_conc!$H:$H,$Q856)="","vacía",DAY(INDEX(evol_conc!$H:$H,$Q856))&amp;"/"&amp;MONTH(INDEX(evol_conc!$H:$H,$Q856))&amp;"/"&amp;YEAR(INDEX(evol_conc!$H:$H,$Q856)))&amp;")",IF(INDEX(evol_conc!$G:$G,$Q856)&lt;&gt;$E856,"INGRESO DISTINTO EN evol_conc ("&amp;IF(INDEX(evol_conc!$G:$G,$Q856)="","vacía",DAY(INDEX(evol_conc!$G:$G,$Q856))&amp;"/"&amp;MONTH(INDEX(evol_conc!$G:$G,$Q856))&amp;"/"&amp;YEAR(INDEX(evol_conc!$G:$G,$Q856)))&amp;")","OK"))))))))</f>
        <v/>
      </c>
      <c r="Q856" t="str">
        <f ca="1">IF($N856="","",IFERROR(MATCH($N856,evol_conc!$P:$P,0),0))</f>
        <v/>
      </c>
    </row>
    <row r="857" spans="12:17" ht="18" hidden="1" customHeight="1" x14ac:dyDescent="0.25">
      <c r="L857" s="53" t="str">
        <f t="shared" si="26"/>
        <v/>
      </c>
      <c r="M857" s="19" t="str">
        <f t="shared" si="27"/>
        <v/>
      </c>
      <c r="N857" t="str">
        <f ca="1">IF(TRIM(SUBSTITUTE($B857,CHAR(160)," "))="","",IFERROR(IF(ISNUMBER(SEARCH("INC",$B857)),"INC",IF(ISNUMBER(SEARCH("OPI",$B857)),"OPI",IF(ISNUMBER(SEARCH("DP",$B857)),"DP","CONC")))&amp;" "&amp;TEXT(LOOKUP(9.99E+307,--MID(SUBSTITUTE($B857,CHAR(160)," "),SUMPRODUCT(MIN(FIND({0,1,2,3,4,5,6,7,8,9},SUBSTITUTE($B857,CHAR(160)," ")&amp;"0123456789"))),ROW(INDIRECT("1:6")))),"0"),"SIN NUMERO"))</f>
        <v/>
      </c>
      <c r="O857" t="str">
        <f ca="1">IF($N857="","",IF(LEFT(UPPER($P857),9)="VERIFICAR","VERIFICAR",IF(AND($H857&lt;&gt;"",COUNTIFS($N$2:$N$1000,$N857,$H$2:$H$1000,$H857)&gt;1),"DUPLICADA",IF(TRIM(IF($A857="","tipo ","")&amp;IF($F857="","fecha de firma ","")&amp;IF($G857="","decisión ","")&amp;IF($H857="","N° resolución ","")&amp;IF($I857="","N° dictamen",""))&lt;&gt;"","INCOMPLETA: "&amp;TRIM(IF($A857="","tipo ","")&amp;IF($F857="","fecha de firma ","")&amp;IF($G857="","decisión ","")&amp;IF($H857="","N° resolución ","")&amp;IF($I857="","N° dictamen","")),IF(LEFT($N857,4)&lt;&gt;"CONC","OK",IF(N($Q857)=0,IF(AND(ISNUMBER($E857),$E857&gt;=DATE(2024,1,1)),"FALTA EN evol_conc","OK"),IF(INDEX(evol_conc!$H:$H,$Q857)&lt;&gt;$F857,"FIRMA DISTINTA EN evol_conc ("&amp;IF(INDEX(evol_conc!$H:$H,$Q857)="","vacía",DAY(INDEX(evol_conc!$H:$H,$Q857))&amp;"/"&amp;MONTH(INDEX(evol_conc!$H:$H,$Q857))&amp;"/"&amp;YEAR(INDEX(evol_conc!$H:$H,$Q857)))&amp;")",IF(INDEX(evol_conc!$G:$G,$Q857)&lt;&gt;$E857,"INGRESO DISTINTO EN evol_conc ("&amp;IF(INDEX(evol_conc!$G:$G,$Q857)="","vacía",DAY(INDEX(evol_conc!$G:$G,$Q857))&amp;"/"&amp;MONTH(INDEX(evol_conc!$G:$G,$Q857))&amp;"/"&amp;YEAR(INDEX(evol_conc!$G:$G,$Q857)))&amp;")","OK"))))))))</f>
        <v/>
      </c>
      <c r="Q857" t="str">
        <f ca="1">IF($N857="","",IFERROR(MATCH($N857,evol_conc!$P:$P,0),0))</f>
        <v/>
      </c>
    </row>
    <row r="858" spans="12:17" ht="18" hidden="1" customHeight="1" x14ac:dyDescent="0.25">
      <c r="L858" s="53" t="str">
        <f t="shared" si="26"/>
        <v/>
      </c>
      <c r="M858" s="19" t="str">
        <f t="shared" si="27"/>
        <v/>
      </c>
      <c r="N858" t="str">
        <f ca="1">IF(TRIM(SUBSTITUTE($B858,CHAR(160)," "))="","",IFERROR(IF(ISNUMBER(SEARCH("INC",$B858)),"INC",IF(ISNUMBER(SEARCH("OPI",$B858)),"OPI",IF(ISNUMBER(SEARCH("DP",$B858)),"DP","CONC")))&amp;" "&amp;TEXT(LOOKUP(9.99E+307,--MID(SUBSTITUTE($B858,CHAR(160)," "),SUMPRODUCT(MIN(FIND({0,1,2,3,4,5,6,7,8,9},SUBSTITUTE($B858,CHAR(160)," ")&amp;"0123456789"))),ROW(INDIRECT("1:6")))),"0"),"SIN NUMERO"))</f>
        <v/>
      </c>
      <c r="O858" t="str">
        <f ca="1">IF($N858="","",IF(LEFT(UPPER($P858),9)="VERIFICAR","VERIFICAR",IF(AND($H858&lt;&gt;"",COUNTIFS($N$2:$N$1000,$N858,$H$2:$H$1000,$H858)&gt;1),"DUPLICADA",IF(TRIM(IF($A858="","tipo ","")&amp;IF($F858="","fecha de firma ","")&amp;IF($G858="","decisión ","")&amp;IF($H858="","N° resolución ","")&amp;IF($I858="","N° dictamen",""))&lt;&gt;"","INCOMPLETA: "&amp;TRIM(IF($A858="","tipo ","")&amp;IF($F858="","fecha de firma ","")&amp;IF($G858="","decisión ","")&amp;IF($H858="","N° resolución ","")&amp;IF($I858="","N° dictamen","")),IF(LEFT($N858,4)&lt;&gt;"CONC","OK",IF(N($Q858)=0,IF(AND(ISNUMBER($E858),$E858&gt;=DATE(2024,1,1)),"FALTA EN evol_conc","OK"),IF(INDEX(evol_conc!$H:$H,$Q858)&lt;&gt;$F858,"FIRMA DISTINTA EN evol_conc ("&amp;IF(INDEX(evol_conc!$H:$H,$Q858)="","vacía",DAY(INDEX(evol_conc!$H:$H,$Q858))&amp;"/"&amp;MONTH(INDEX(evol_conc!$H:$H,$Q858))&amp;"/"&amp;YEAR(INDEX(evol_conc!$H:$H,$Q858)))&amp;")",IF(INDEX(evol_conc!$G:$G,$Q858)&lt;&gt;$E858,"INGRESO DISTINTO EN evol_conc ("&amp;IF(INDEX(evol_conc!$G:$G,$Q858)="","vacía",DAY(INDEX(evol_conc!$G:$G,$Q858))&amp;"/"&amp;MONTH(INDEX(evol_conc!$G:$G,$Q858))&amp;"/"&amp;YEAR(INDEX(evol_conc!$G:$G,$Q858)))&amp;")","OK"))))))))</f>
        <v/>
      </c>
      <c r="Q858" t="str">
        <f ca="1">IF($N858="","",IFERROR(MATCH($N858,evol_conc!$P:$P,0),0))</f>
        <v/>
      </c>
    </row>
    <row r="859" spans="12:17" ht="18" hidden="1" customHeight="1" x14ac:dyDescent="0.25">
      <c r="L859" s="53" t="str">
        <f t="shared" si="26"/>
        <v/>
      </c>
      <c r="M859" s="19" t="str">
        <f t="shared" si="27"/>
        <v/>
      </c>
      <c r="N859" t="str">
        <f ca="1">IF(TRIM(SUBSTITUTE($B859,CHAR(160)," "))="","",IFERROR(IF(ISNUMBER(SEARCH("INC",$B859)),"INC",IF(ISNUMBER(SEARCH("OPI",$B859)),"OPI",IF(ISNUMBER(SEARCH("DP",$B859)),"DP","CONC")))&amp;" "&amp;TEXT(LOOKUP(9.99E+307,--MID(SUBSTITUTE($B859,CHAR(160)," "),SUMPRODUCT(MIN(FIND({0,1,2,3,4,5,6,7,8,9},SUBSTITUTE($B859,CHAR(160)," ")&amp;"0123456789"))),ROW(INDIRECT("1:6")))),"0"),"SIN NUMERO"))</f>
        <v/>
      </c>
      <c r="O859" t="str">
        <f ca="1">IF($N859="","",IF(LEFT(UPPER($P859),9)="VERIFICAR","VERIFICAR",IF(AND($H859&lt;&gt;"",COUNTIFS($N$2:$N$1000,$N859,$H$2:$H$1000,$H859)&gt;1),"DUPLICADA",IF(TRIM(IF($A859="","tipo ","")&amp;IF($F859="","fecha de firma ","")&amp;IF($G859="","decisión ","")&amp;IF($H859="","N° resolución ","")&amp;IF($I859="","N° dictamen",""))&lt;&gt;"","INCOMPLETA: "&amp;TRIM(IF($A859="","tipo ","")&amp;IF($F859="","fecha de firma ","")&amp;IF($G859="","decisión ","")&amp;IF($H859="","N° resolución ","")&amp;IF($I859="","N° dictamen","")),IF(LEFT($N859,4)&lt;&gt;"CONC","OK",IF(N($Q859)=0,IF(AND(ISNUMBER($E859),$E859&gt;=DATE(2024,1,1)),"FALTA EN evol_conc","OK"),IF(INDEX(evol_conc!$H:$H,$Q859)&lt;&gt;$F859,"FIRMA DISTINTA EN evol_conc ("&amp;IF(INDEX(evol_conc!$H:$H,$Q859)="","vacía",DAY(INDEX(evol_conc!$H:$H,$Q859))&amp;"/"&amp;MONTH(INDEX(evol_conc!$H:$H,$Q859))&amp;"/"&amp;YEAR(INDEX(evol_conc!$H:$H,$Q859)))&amp;")",IF(INDEX(evol_conc!$G:$G,$Q859)&lt;&gt;$E859,"INGRESO DISTINTO EN evol_conc ("&amp;IF(INDEX(evol_conc!$G:$G,$Q859)="","vacía",DAY(INDEX(evol_conc!$G:$G,$Q859))&amp;"/"&amp;MONTH(INDEX(evol_conc!$G:$G,$Q859))&amp;"/"&amp;YEAR(INDEX(evol_conc!$G:$G,$Q859)))&amp;")","OK"))))))))</f>
        <v/>
      </c>
      <c r="Q859" t="str">
        <f ca="1">IF($N859="","",IFERROR(MATCH($N859,evol_conc!$P:$P,0),0))</f>
        <v/>
      </c>
    </row>
    <row r="860" spans="12:17" ht="18" hidden="1" customHeight="1" x14ac:dyDescent="0.25">
      <c r="L860" s="53" t="str">
        <f t="shared" si="26"/>
        <v/>
      </c>
      <c r="M860" s="19" t="str">
        <f t="shared" si="27"/>
        <v/>
      </c>
      <c r="N860" t="str">
        <f ca="1">IF(TRIM(SUBSTITUTE($B860,CHAR(160)," "))="","",IFERROR(IF(ISNUMBER(SEARCH("INC",$B860)),"INC",IF(ISNUMBER(SEARCH("OPI",$B860)),"OPI",IF(ISNUMBER(SEARCH("DP",$B860)),"DP","CONC")))&amp;" "&amp;TEXT(LOOKUP(9.99E+307,--MID(SUBSTITUTE($B860,CHAR(160)," "),SUMPRODUCT(MIN(FIND({0,1,2,3,4,5,6,7,8,9},SUBSTITUTE($B860,CHAR(160)," ")&amp;"0123456789"))),ROW(INDIRECT("1:6")))),"0"),"SIN NUMERO"))</f>
        <v/>
      </c>
      <c r="O860" t="str">
        <f ca="1">IF($N860="","",IF(LEFT(UPPER($P860),9)="VERIFICAR","VERIFICAR",IF(AND($H860&lt;&gt;"",COUNTIFS($N$2:$N$1000,$N860,$H$2:$H$1000,$H860)&gt;1),"DUPLICADA",IF(TRIM(IF($A860="","tipo ","")&amp;IF($F860="","fecha de firma ","")&amp;IF($G860="","decisión ","")&amp;IF($H860="","N° resolución ","")&amp;IF($I860="","N° dictamen",""))&lt;&gt;"","INCOMPLETA: "&amp;TRIM(IF($A860="","tipo ","")&amp;IF($F860="","fecha de firma ","")&amp;IF($G860="","decisión ","")&amp;IF($H860="","N° resolución ","")&amp;IF($I860="","N° dictamen","")),IF(LEFT($N860,4)&lt;&gt;"CONC","OK",IF(N($Q860)=0,IF(AND(ISNUMBER($E860),$E860&gt;=DATE(2024,1,1)),"FALTA EN evol_conc","OK"),IF(INDEX(evol_conc!$H:$H,$Q860)&lt;&gt;$F860,"FIRMA DISTINTA EN evol_conc ("&amp;IF(INDEX(evol_conc!$H:$H,$Q860)="","vacía",DAY(INDEX(evol_conc!$H:$H,$Q860))&amp;"/"&amp;MONTH(INDEX(evol_conc!$H:$H,$Q860))&amp;"/"&amp;YEAR(INDEX(evol_conc!$H:$H,$Q860)))&amp;")",IF(INDEX(evol_conc!$G:$G,$Q860)&lt;&gt;$E860,"INGRESO DISTINTO EN evol_conc ("&amp;IF(INDEX(evol_conc!$G:$G,$Q860)="","vacía",DAY(INDEX(evol_conc!$G:$G,$Q860))&amp;"/"&amp;MONTH(INDEX(evol_conc!$G:$G,$Q860))&amp;"/"&amp;YEAR(INDEX(evol_conc!$G:$G,$Q860)))&amp;")","OK"))))))))</f>
        <v/>
      </c>
      <c r="Q860" t="str">
        <f ca="1">IF($N860="","",IFERROR(MATCH($N860,evol_conc!$P:$P,0),0))</f>
        <v/>
      </c>
    </row>
    <row r="861" spans="12:17" ht="18" hidden="1" customHeight="1" x14ac:dyDescent="0.25">
      <c r="L861" s="53" t="str">
        <f t="shared" si="26"/>
        <v/>
      </c>
      <c r="M861" s="19" t="str">
        <f t="shared" si="27"/>
        <v/>
      </c>
      <c r="N861" t="str">
        <f ca="1">IF(TRIM(SUBSTITUTE($B861,CHAR(160)," "))="","",IFERROR(IF(ISNUMBER(SEARCH("INC",$B861)),"INC",IF(ISNUMBER(SEARCH("OPI",$B861)),"OPI",IF(ISNUMBER(SEARCH("DP",$B861)),"DP","CONC")))&amp;" "&amp;TEXT(LOOKUP(9.99E+307,--MID(SUBSTITUTE($B861,CHAR(160)," "),SUMPRODUCT(MIN(FIND({0,1,2,3,4,5,6,7,8,9},SUBSTITUTE($B861,CHAR(160)," ")&amp;"0123456789"))),ROW(INDIRECT("1:6")))),"0"),"SIN NUMERO"))</f>
        <v/>
      </c>
      <c r="O861" t="str">
        <f ca="1">IF($N861="","",IF(LEFT(UPPER($P861),9)="VERIFICAR","VERIFICAR",IF(AND($H861&lt;&gt;"",COUNTIFS($N$2:$N$1000,$N861,$H$2:$H$1000,$H861)&gt;1),"DUPLICADA",IF(TRIM(IF($A861="","tipo ","")&amp;IF($F861="","fecha de firma ","")&amp;IF($G861="","decisión ","")&amp;IF($H861="","N° resolución ","")&amp;IF($I861="","N° dictamen",""))&lt;&gt;"","INCOMPLETA: "&amp;TRIM(IF($A861="","tipo ","")&amp;IF($F861="","fecha de firma ","")&amp;IF($G861="","decisión ","")&amp;IF($H861="","N° resolución ","")&amp;IF($I861="","N° dictamen","")),IF(LEFT($N861,4)&lt;&gt;"CONC","OK",IF(N($Q861)=0,IF(AND(ISNUMBER($E861),$E861&gt;=DATE(2024,1,1)),"FALTA EN evol_conc","OK"),IF(INDEX(evol_conc!$H:$H,$Q861)&lt;&gt;$F861,"FIRMA DISTINTA EN evol_conc ("&amp;IF(INDEX(evol_conc!$H:$H,$Q861)="","vacía",DAY(INDEX(evol_conc!$H:$H,$Q861))&amp;"/"&amp;MONTH(INDEX(evol_conc!$H:$H,$Q861))&amp;"/"&amp;YEAR(INDEX(evol_conc!$H:$H,$Q861)))&amp;")",IF(INDEX(evol_conc!$G:$G,$Q861)&lt;&gt;$E861,"INGRESO DISTINTO EN evol_conc ("&amp;IF(INDEX(evol_conc!$G:$G,$Q861)="","vacía",DAY(INDEX(evol_conc!$G:$G,$Q861))&amp;"/"&amp;MONTH(INDEX(evol_conc!$G:$G,$Q861))&amp;"/"&amp;YEAR(INDEX(evol_conc!$G:$G,$Q861)))&amp;")","OK"))))))))</f>
        <v/>
      </c>
      <c r="Q861" t="str">
        <f ca="1">IF($N861="","",IFERROR(MATCH($N861,evol_conc!$P:$P,0),0))</f>
        <v/>
      </c>
    </row>
    <row r="862" spans="12:17" ht="18" hidden="1" customHeight="1" x14ac:dyDescent="0.25">
      <c r="L862" s="53" t="str">
        <f t="shared" si="26"/>
        <v/>
      </c>
      <c r="M862" s="19" t="str">
        <f t="shared" si="27"/>
        <v/>
      </c>
      <c r="N862" t="str">
        <f ca="1">IF(TRIM(SUBSTITUTE($B862,CHAR(160)," "))="","",IFERROR(IF(ISNUMBER(SEARCH("INC",$B862)),"INC",IF(ISNUMBER(SEARCH("OPI",$B862)),"OPI",IF(ISNUMBER(SEARCH("DP",$B862)),"DP","CONC")))&amp;" "&amp;TEXT(LOOKUP(9.99E+307,--MID(SUBSTITUTE($B862,CHAR(160)," "),SUMPRODUCT(MIN(FIND({0,1,2,3,4,5,6,7,8,9},SUBSTITUTE($B862,CHAR(160)," ")&amp;"0123456789"))),ROW(INDIRECT("1:6")))),"0"),"SIN NUMERO"))</f>
        <v/>
      </c>
      <c r="O862" t="str">
        <f ca="1">IF($N862="","",IF(LEFT(UPPER($P862),9)="VERIFICAR","VERIFICAR",IF(AND($H862&lt;&gt;"",COUNTIFS($N$2:$N$1000,$N862,$H$2:$H$1000,$H862)&gt;1),"DUPLICADA",IF(TRIM(IF($A862="","tipo ","")&amp;IF($F862="","fecha de firma ","")&amp;IF($G862="","decisión ","")&amp;IF($H862="","N° resolución ","")&amp;IF($I862="","N° dictamen",""))&lt;&gt;"","INCOMPLETA: "&amp;TRIM(IF($A862="","tipo ","")&amp;IF($F862="","fecha de firma ","")&amp;IF($G862="","decisión ","")&amp;IF($H862="","N° resolución ","")&amp;IF($I862="","N° dictamen","")),IF(LEFT($N862,4)&lt;&gt;"CONC","OK",IF(N($Q862)=0,IF(AND(ISNUMBER($E862),$E862&gt;=DATE(2024,1,1)),"FALTA EN evol_conc","OK"),IF(INDEX(evol_conc!$H:$H,$Q862)&lt;&gt;$F862,"FIRMA DISTINTA EN evol_conc ("&amp;IF(INDEX(evol_conc!$H:$H,$Q862)="","vacía",DAY(INDEX(evol_conc!$H:$H,$Q862))&amp;"/"&amp;MONTH(INDEX(evol_conc!$H:$H,$Q862))&amp;"/"&amp;YEAR(INDEX(evol_conc!$H:$H,$Q862)))&amp;")",IF(INDEX(evol_conc!$G:$G,$Q862)&lt;&gt;$E862,"INGRESO DISTINTO EN evol_conc ("&amp;IF(INDEX(evol_conc!$G:$G,$Q862)="","vacía",DAY(INDEX(evol_conc!$G:$G,$Q862))&amp;"/"&amp;MONTH(INDEX(evol_conc!$G:$G,$Q862))&amp;"/"&amp;YEAR(INDEX(evol_conc!$G:$G,$Q862)))&amp;")","OK"))))))))</f>
        <v/>
      </c>
      <c r="Q862" t="str">
        <f ca="1">IF($N862="","",IFERROR(MATCH($N862,evol_conc!$P:$P,0),0))</f>
        <v/>
      </c>
    </row>
    <row r="863" spans="12:17" ht="18" hidden="1" customHeight="1" x14ac:dyDescent="0.25">
      <c r="L863" s="53" t="str">
        <f t="shared" si="26"/>
        <v/>
      </c>
      <c r="M863" s="19" t="str">
        <f t="shared" si="27"/>
        <v/>
      </c>
      <c r="N863" t="str">
        <f ca="1">IF(TRIM(SUBSTITUTE($B863,CHAR(160)," "))="","",IFERROR(IF(ISNUMBER(SEARCH("INC",$B863)),"INC",IF(ISNUMBER(SEARCH("OPI",$B863)),"OPI",IF(ISNUMBER(SEARCH("DP",$B863)),"DP","CONC")))&amp;" "&amp;TEXT(LOOKUP(9.99E+307,--MID(SUBSTITUTE($B863,CHAR(160)," "),SUMPRODUCT(MIN(FIND({0,1,2,3,4,5,6,7,8,9},SUBSTITUTE($B863,CHAR(160)," ")&amp;"0123456789"))),ROW(INDIRECT("1:6")))),"0"),"SIN NUMERO"))</f>
        <v/>
      </c>
      <c r="O863" t="str">
        <f ca="1">IF($N863="","",IF(LEFT(UPPER($P863),9)="VERIFICAR","VERIFICAR",IF(AND($H863&lt;&gt;"",COUNTIFS($N$2:$N$1000,$N863,$H$2:$H$1000,$H863)&gt;1),"DUPLICADA",IF(TRIM(IF($A863="","tipo ","")&amp;IF($F863="","fecha de firma ","")&amp;IF($G863="","decisión ","")&amp;IF($H863="","N° resolución ","")&amp;IF($I863="","N° dictamen",""))&lt;&gt;"","INCOMPLETA: "&amp;TRIM(IF($A863="","tipo ","")&amp;IF($F863="","fecha de firma ","")&amp;IF($G863="","decisión ","")&amp;IF($H863="","N° resolución ","")&amp;IF($I863="","N° dictamen","")),IF(LEFT($N863,4)&lt;&gt;"CONC","OK",IF(N($Q863)=0,IF(AND(ISNUMBER($E863),$E863&gt;=DATE(2024,1,1)),"FALTA EN evol_conc","OK"),IF(INDEX(evol_conc!$H:$H,$Q863)&lt;&gt;$F863,"FIRMA DISTINTA EN evol_conc ("&amp;IF(INDEX(evol_conc!$H:$H,$Q863)="","vacía",DAY(INDEX(evol_conc!$H:$H,$Q863))&amp;"/"&amp;MONTH(INDEX(evol_conc!$H:$H,$Q863))&amp;"/"&amp;YEAR(INDEX(evol_conc!$H:$H,$Q863)))&amp;")",IF(INDEX(evol_conc!$G:$G,$Q863)&lt;&gt;$E863,"INGRESO DISTINTO EN evol_conc ("&amp;IF(INDEX(evol_conc!$G:$G,$Q863)="","vacía",DAY(INDEX(evol_conc!$G:$G,$Q863))&amp;"/"&amp;MONTH(INDEX(evol_conc!$G:$G,$Q863))&amp;"/"&amp;YEAR(INDEX(evol_conc!$G:$G,$Q863)))&amp;")","OK"))))))))</f>
        <v/>
      </c>
      <c r="Q863" t="str">
        <f ca="1">IF($N863="","",IFERROR(MATCH($N863,evol_conc!$P:$P,0),0))</f>
        <v/>
      </c>
    </row>
    <row r="864" spans="12:17" ht="18" hidden="1" customHeight="1" x14ac:dyDescent="0.25">
      <c r="L864" s="53" t="str">
        <f t="shared" si="26"/>
        <v/>
      </c>
      <c r="M864" s="19" t="str">
        <f t="shared" si="27"/>
        <v/>
      </c>
      <c r="N864" t="str">
        <f ca="1">IF(TRIM(SUBSTITUTE($B864,CHAR(160)," "))="","",IFERROR(IF(ISNUMBER(SEARCH("INC",$B864)),"INC",IF(ISNUMBER(SEARCH("OPI",$B864)),"OPI",IF(ISNUMBER(SEARCH("DP",$B864)),"DP","CONC")))&amp;" "&amp;TEXT(LOOKUP(9.99E+307,--MID(SUBSTITUTE($B864,CHAR(160)," "),SUMPRODUCT(MIN(FIND({0,1,2,3,4,5,6,7,8,9},SUBSTITUTE($B864,CHAR(160)," ")&amp;"0123456789"))),ROW(INDIRECT("1:6")))),"0"),"SIN NUMERO"))</f>
        <v/>
      </c>
      <c r="O864" t="str">
        <f ca="1">IF($N864="","",IF(LEFT(UPPER($P864),9)="VERIFICAR","VERIFICAR",IF(AND($H864&lt;&gt;"",COUNTIFS($N$2:$N$1000,$N864,$H$2:$H$1000,$H864)&gt;1),"DUPLICADA",IF(TRIM(IF($A864="","tipo ","")&amp;IF($F864="","fecha de firma ","")&amp;IF($G864="","decisión ","")&amp;IF($H864="","N° resolución ","")&amp;IF($I864="","N° dictamen",""))&lt;&gt;"","INCOMPLETA: "&amp;TRIM(IF($A864="","tipo ","")&amp;IF($F864="","fecha de firma ","")&amp;IF($G864="","decisión ","")&amp;IF($H864="","N° resolución ","")&amp;IF($I864="","N° dictamen","")),IF(LEFT($N864,4)&lt;&gt;"CONC","OK",IF(N($Q864)=0,IF(AND(ISNUMBER($E864),$E864&gt;=DATE(2024,1,1)),"FALTA EN evol_conc","OK"),IF(INDEX(evol_conc!$H:$H,$Q864)&lt;&gt;$F864,"FIRMA DISTINTA EN evol_conc ("&amp;IF(INDEX(evol_conc!$H:$H,$Q864)="","vacía",DAY(INDEX(evol_conc!$H:$H,$Q864))&amp;"/"&amp;MONTH(INDEX(evol_conc!$H:$H,$Q864))&amp;"/"&amp;YEAR(INDEX(evol_conc!$H:$H,$Q864)))&amp;")",IF(INDEX(evol_conc!$G:$G,$Q864)&lt;&gt;$E864,"INGRESO DISTINTO EN evol_conc ("&amp;IF(INDEX(evol_conc!$G:$G,$Q864)="","vacía",DAY(INDEX(evol_conc!$G:$G,$Q864))&amp;"/"&amp;MONTH(INDEX(evol_conc!$G:$G,$Q864))&amp;"/"&amp;YEAR(INDEX(evol_conc!$G:$G,$Q864)))&amp;")","OK"))))))))</f>
        <v/>
      </c>
      <c r="Q864" t="str">
        <f ca="1">IF($N864="","",IFERROR(MATCH($N864,evol_conc!$P:$P,0),0))</f>
        <v/>
      </c>
    </row>
    <row r="865" spans="12:17" ht="18" hidden="1" customHeight="1" x14ac:dyDescent="0.25">
      <c r="L865" s="53" t="str">
        <f t="shared" si="26"/>
        <v/>
      </c>
      <c r="M865" s="19" t="str">
        <f t="shared" si="27"/>
        <v/>
      </c>
      <c r="N865" t="str">
        <f ca="1">IF(TRIM(SUBSTITUTE($B865,CHAR(160)," "))="","",IFERROR(IF(ISNUMBER(SEARCH("INC",$B865)),"INC",IF(ISNUMBER(SEARCH("OPI",$B865)),"OPI",IF(ISNUMBER(SEARCH("DP",$B865)),"DP","CONC")))&amp;" "&amp;TEXT(LOOKUP(9.99E+307,--MID(SUBSTITUTE($B865,CHAR(160)," "),SUMPRODUCT(MIN(FIND({0,1,2,3,4,5,6,7,8,9},SUBSTITUTE($B865,CHAR(160)," ")&amp;"0123456789"))),ROW(INDIRECT("1:6")))),"0"),"SIN NUMERO"))</f>
        <v/>
      </c>
      <c r="O865" t="str">
        <f ca="1">IF($N865="","",IF(LEFT(UPPER($P865),9)="VERIFICAR","VERIFICAR",IF(AND($H865&lt;&gt;"",COUNTIFS($N$2:$N$1000,$N865,$H$2:$H$1000,$H865)&gt;1),"DUPLICADA",IF(TRIM(IF($A865="","tipo ","")&amp;IF($F865="","fecha de firma ","")&amp;IF($G865="","decisión ","")&amp;IF($H865="","N° resolución ","")&amp;IF($I865="","N° dictamen",""))&lt;&gt;"","INCOMPLETA: "&amp;TRIM(IF($A865="","tipo ","")&amp;IF($F865="","fecha de firma ","")&amp;IF($G865="","decisión ","")&amp;IF($H865="","N° resolución ","")&amp;IF($I865="","N° dictamen","")),IF(LEFT($N865,4)&lt;&gt;"CONC","OK",IF(N($Q865)=0,IF(AND(ISNUMBER($E865),$E865&gt;=DATE(2024,1,1)),"FALTA EN evol_conc","OK"),IF(INDEX(evol_conc!$H:$H,$Q865)&lt;&gt;$F865,"FIRMA DISTINTA EN evol_conc ("&amp;IF(INDEX(evol_conc!$H:$H,$Q865)="","vacía",DAY(INDEX(evol_conc!$H:$H,$Q865))&amp;"/"&amp;MONTH(INDEX(evol_conc!$H:$H,$Q865))&amp;"/"&amp;YEAR(INDEX(evol_conc!$H:$H,$Q865)))&amp;")",IF(INDEX(evol_conc!$G:$G,$Q865)&lt;&gt;$E865,"INGRESO DISTINTO EN evol_conc ("&amp;IF(INDEX(evol_conc!$G:$G,$Q865)="","vacía",DAY(INDEX(evol_conc!$G:$G,$Q865))&amp;"/"&amp;MONTH(INDEX(evol_conc!$G:$G,$Q865))&amp;"/"&amp;YEAR(INDEX(evol_conc!$G:$G,$Q865)))&amp;")","OK"))))))))</f>
        <v/>
      </c>
      <c r="Q865" t="str">
        <f ca="1">IF($N865="","",IFERROR(MATCH($N865,evol_conc!$P:$P,0),0))</f>
        <v/>
      </c>
    </row>
    <row r="866" spans="12:17" ht="18" hidden="1" customHeight="1" x14ac:dyDescent="0.25">
      <c r="L866" s="53" t="str">
        <f t="shared" si="26"/>
        <v/>
      </c>
      <c r="M866" s="19" t="str">
        <f t="shared" si="27"/>
        <v/>
      </c>
      <c r="N866" t="str">
        <f ca="1">IF(TRIM(SUBSTITUTE($B866,CHAR(160)," "))="","",IFERROR(IF(ISNUMBER(SEARCH("INC",$B866)),"INC",IF(ISNUMBER(SEARCH("OPI",$B866)),"OPI",IF(ISNUMBER(SEARCH("DP",$B866)),"DP","CONC")))&amp;" "&amp;TEXT(LOOKUP(9.99E+307,--MID(SUBSTITUTE($B866,CHAR(160)," "),SUMPRODUCT(MIN(FIND({0,1,2,3,4,5,6,7,8,9},SUBSTITUTE($B866,CHAR(160)," ")&amp;"0123456789"))),ROW(INDIRECT("1:6")))),"0"),"SIN NUMERO"))</f>
        <v/>
      </c>
      <c r="O866" t="str">
        <f ca="1">IF($N866="","",IF(LEFT(UPPER($P866),9)="VERIFICAR","VERIFICAR",IF(AND($H866&lt;&gt;"",COUNTIFS($N$2:$N$1000,$N866,$H$2:$H$1000,$H866)&gt;1),"DUPLICADA",IF(TRIM(IF($A866="","tipo ","")&amp;IF($F866="","fecha de firma ","")&amp;IF($G866="","decisión ","")&amp;IF($H866="","N° resolución ","")&amp;IF($I866="","N° dictamen",""))&lt;&gt;"","INCOMPLETA: "&amp;TRIM(IF($A866="","tipo ","")&amp;IF($F866="","fecha de firma ","")&amp;IF($G866="","decisión ","")&amp;IF($H866="","N° resolución ","")&amp;IF($I866="","N° dictamen","")),IF(LEFT($N866,4)&lt;&gt;"CONC","OK",IF(N($Q866)=0,IF(AND(ISNUMBER($E866),$E866&gt;=DATE(2024,1,1)),"FALTA EN evol_conc","OK"),IF(INDEX(evol_conc!$H:$H,$Q866)&lt;&gt;$F866,"FIRMA DISTINTA EN evol_conc ("&amp;IF(INDEX(evol_conc!$H:$H,$Q866)="","vacía",DAY(INDEX(evol_conc!$H:$H,$Q866))&amp;"/"&amp;MONTH(INDEX(evol_conc!$H:$H,$Q866))&amp;"/"&amp;YEAR(INDEX(evol_conc!$H:$H,$Q866)))&amp;")",IF(INDEX(evol_conc!$G:$G,$Q866)&lt;&gt;$E866,"INGRESO DISTINTO EN evol_conc ("&amp;IF(INDEX(evol_conc!$G:$G,$Q866)="","vacía",DAY(INDEX(evol_conc!$G:$G,$Q866))&amp;"/"&amp;MONTH(INDEX(evol_conc!$G:$G,$Q866))&amp;"/"&amp;YEAR(INDEX(evol_conc!$G:$G,$Q866)))&amp;")","OK"))))))))</f>
        <v/>
      </c>
      <c r="Q866" t="str">
        <f ca="1">IF($N866="","",IFERROR(MATCH($N866,evol_conc!$P:$P,0),0))</f>
        <v/>
      </c>
    </row>
    <row r="867" spans="12:17" ht="18" hidden="1" customHeight="1" x14ac:dyDescent="0.25">
      <c r="L867" s="53" t="str">
        <f t="shared" si="26"/>
        <v/>
      </c>
      <c r="M867" s="19" t="str">
        <f t="shared" si="27"/>
        <v/>
      </c>
      <c r="N867" t="str">
        <f ca="1">IF(TRIM(SUBSTITUTE($B867,CHAR(160)," "))="","",IFERROR(IF(ISNUMBER(SEARCH("INC",$B867)),"INC",IF(ISNUMBER(SEARCH("OPI",$B867)),"OPI",IF(ISNUMBER(SEARCH("DP",$B867)),"DP","CONC")))&amp;" "&amp;TEXT(LOOKUP(9.99E+307,--MID(SUBSTITUTE($B867,CHAR(160)," "),SUMPRODUCT(MIN(FIND({0,1,2,3,4,5,6,7,8,9},SUBSTITUTE($B867,CHAR(160)," ")&amp;"0123456789"))),ROW(INDIRECT("1:6")))),"0"),"SIN NUMERO"))</f>
        <v/>
      </c>
      <c r="O867" t="str">
        <f ca="1">IF($N867="","",IF(LEFT(UPPER($P867),9)="VERIFICAR","VERIFICAR",IF(AND($H867&lt;&gt;"",COUNTIFS($N$2:$N$1000,$N867,$H$2:$H$1000,$H867)&gt;1),"DUPLICADA",IF(TRIM(IF($A867="","tipo ","")&amp;IF($F867="","fecha de firma ","")&amp;IF($G867="","decisión ","")&amp;IF($H867="","N° resolución ","")&amp;IF($I867="","N° dictamen",""))&lt;&gt;"","INCOMPLETA: "&amp;TRIM(IF($A867="","tipo ","")&amp;IF($F867="","fecha de firma ","")&amp;IF($G867="","decisión ","")&amp;IF($H867="","N° resolución ","")&amp;IF($I867="","N° dictamen","")),IF(LEFT($N867,4)&lt;&gt;"CONC","OK",IF(N($Q867)=0,IF(AND(ISNUMBER($E867),$E867&gt;=DATE(2024,1,1)),"FALTA EN evol_conc","OK"),IF(INDEX(evol_conc!$H:$H,$Q867)&lt;&gt;$F867,"FIRMA DISTINTA EN evol_conc ("&amp;IF(INDEX(evol_conc!$H:$H,$Q867)="","vacía",DAY(INDEX(evol_conc!$H:$H,$Q867))&amp;"/"&amp;MONTH(INDEX(evol_conc!$H:$H,$Q867))&amp;"/"&amp;YEAR(INDEX(evol_conc!$H:$H,$Q867)))&amp;")",IF(INDEX(evol_conc!$G:$G,$Q867)&lt;&gt;$E867,"INGRESO DISTINTO EN evol_conc ("&amp;IF(INDEX(evol_conc!$G:$G,$Q867)="","vacía",DAY(INDEX(evol_conc!$G:$G,$Q867))&amp;"/"&amp;MONTH(INDEX(evol_conc!$G:$G,$Q867))&amp;"/"&amp;YEAR(INDEX(evol_conc!$G:$G,$Q867)))&amp;")","OK"))))))))</f>
        <v/>
      </c>
      <c r="Q867" t="str">
        <f ca="1">IF($N867="","",IFERROR(MATCH($N867,evol_conc!$P:$P,0),0))</f>
        <v/>
      </c>
    </row>
    <row r="868" spans="12:17" ht="18" hidden="1" customHeight="1" x14ac:dyDescent="0.25">
      <c r="L868" s="53" t="str">
        <f t="shared" si="26"/>
        <v/>
      </c>
      <c r="M868" s="19" t="str">
        <f t="shared" si="27"/>
        <v/>
      </c>
      <c r="N868" t="str">
        <f ca="1">IF(TRIM(SUBSTITUTE($B868,CHAR(160)," "))="","",IFERROR(IF(ISNUMBER(SEARCH("INC",$B868)),"INC",IF(ISNUMBER(SEARCH("OPI",$B868)),"OPI",IF(ISNUMBER(SEARCH("DP",$B868)),"DP","CONC")))&amp;" "&amp;TEXT(LOOKUP(9.99E+307,--MID(SUBSTITUTE($B868,CHAR(160)," "),SUMPRODUCT(MIN(FIND({0,1,2,3,4,5,6,7,8,9},SUBSTITUTE($B868,CHAR(160)," ")&amp;"0123456789"))),ROW(INDIRECT("1:6")))),"0"),"SIN NUMERO"))</f>
        <v/>
      </c>
      <c r="O868" t="str">
        <f ca="1">IF($N868="","",IF(LEFT(UPPER($P868),9)="VERIFICAR","VERIFICAR",IF(AND($H868&lt;&gt;"",COUNTIFS($N$2:$N$1000,$N868,$H$2:$H$1000,$H868)&gt;1),"DUPLICADA",IF(TRIM(IF($A868="","tipo ","")&amp;IF($F868="","fecha de firma ","")&amp;IF($G868="","decisión ","")&amp;IF($H868="","N° resolución ","")&amp;IF($I868="","N° dictamen",""))&lt;&gt;"","INCOMPLETA: "&amp;TRIM(IF($A868="","tipo ","")&amp;IF($F868="","fecha de firma ","")&amp;IF($G868="","decisión ","")&amp;IF($H868="","N° resolución ","")&amp;IF($I868="","N° dictamen","")),IF(LEFT($N868,4)&lt;&gt;"CONC","OK",IF(N($Q868)=0,IF(AND(ISNUMBER($E868),$E868&gt;=DATE(2024,1,1)),"FALTA EN evol_conc","OK"),IF(INDEX(evol_conc!$H:$H,$Q868)&lt;&gt;$F868,"FIRMA DISTINTA EN evol_conc ("&amp;IF(INDEX(evol_conc!$H:$H,$Q868)="","vacía",DAY(INDEX(evol_conc!$H:$H,$Q868))&amp;"/"&amp;MONTH(INDEX(evol_conc!$H:$H,$Q868))&amp;"/"&amp;YEAR(INDEX(evol_conc!$H:$H,$Q868)))&amp;")",IF(INDEX(evol_conc!$G:$G,$Q868)&lt;&gt;$E868,"INGRESO DISTINTO EN evol_conc ("&amp;IF(INDEX(evol_conc!$G:$G,$Q868)="","vacía",DAY(INDEX(evol_conc!$G:$G,$Q868))&amp;"/"&amp;MONTH(INDEX(evol_conc!$G:$G,$Q868))&amp;"/"&amp;YEAR(INDEX(evol_conc!$G:$G,$Q868)))&amp;")","OK"))))))))</f>
        <v/>
      </c>
      <c r="Q868" t="str">
        <f ca="1">IF($N868="","",IFERROR(MATCH($N868,evol_conc!$P:$P,0),0))</f>
        <v/>
      </c>
    </row>
    <row r="869" spans="12:17" ht="18" hidden="1" customHeight="1" x14ac:dyDescent="0.25">
      <c r="L869" s="53" t="str">
        <f t="shared" si="26"/>
        <v/>
      </c>
      <c r="M869" s="19" t="str">
        <f t="shared" si="27"/>
        <v/>
      </c>
      <c r="N869" t="str">
        <f ca="1">IF(TRIM(SUBSTITUTE($B869,CHAR(160)," "))="","",IFERROR(IF(ISNUMBER(SEARCH("INC",$B869)),"INC",IF(ISNUMBER(SEARCH("OPI",$B869)),"OPI",IF(ISNUMBER(SEARCH("DP",$B869)),"DP","CONC")))&amp;" "&amp;TEXT(LOOKUP(9.99E+307,--MID(SUBSTITUTE($B869,CHAR(160)," "),SUMPRODUCT(MIN(FIND({0,1,2,3,4,5,6,7,8,9},SUBSTITUTE($B869,CHAR(160)," ")&amp;"0123456789"))),ROW(INDIRECT("1:6")))),"0"),"SIN NUMERO"))</f>
        <v/>
      </c>
      <c r="O869" t="str">
        <f ca="1">IF($N869="","",IF(LEFT(UPPER($P869),9)="VERIFICAR","VERIFICAR",IF(AND($H869&lt;&gt;"",COUNTIFS($N$2:$N$1000,$N869,$H$2:$H$1000,$H869)&gt;1),"DUPLICADA",IF(TRIM(IF($A869="","tipo ","")&amp;IF($F869="","fecha de firma ","")&amp;IF($G869="","decisión ","")&amp;IF($H869="","N° resolución ","")&amp;IF($I869="","N° dictamen",""))&lt;&gt;"","INCOMPLETA: "&amp;TRIM(IF($A869="","tipo ","")&amp;IF($F869="","fecha de firma ","")&amp;IF($G869="","decisión ","")&amp;IF($H869="","N° resolución ","")&amp;IF($I869="","N° dictamen","")),IF(LEFT($N869,4)&lt;&gt;"CONC","OK",IF(N($Q869)=0,IF(AND(ISNUMBER($E869),$E869&gt;=DATE(2024,1,1)),"FALTA EN evol_conc","OK"),IF(INDEX(evol_conc!$H:$H,$Q869)&lt;&gt;$F869,"FIRMA DISTINTA EN evol_conc ("&amp;IF(INDEX(evol_conc!$H:$H,$Q869)="","vacía",DAY(INDEX(evol_conc!$H:$H,$Q869))&amp;"/"&amp;MONTH(INDEX(evol_conc!$H:$H,$Q869))&amp;"/"&amp;YEAR(INDEX(evol_conc!$H:$H,$Q869)))&amp;")",IF(INDEX(evol_conc!$G:$G,$Q869)&lt;&gt;$E869,"INGRESO DISTINTO EN evol_conc ("&amp;IF(INDEX(evol_conc!$G:$G,$Q869)="","vacía",DAY(INDEX(evol_conc!$G:$G,$Q869))&amp;"/"&amp;MONTH(INDEX(evol_conc!$G:$G,$Q869))&amp;"/"&amp;YEAR(INDEX(evol_conc!$G:$G,$Q869)))&amp;")","OK"))))))))</f>
        <v/>
      </c>
      <c r="Q869" t="str">
        <f ca="1">IF($N869="","",IFERROR(MATCH($N869,evol_conc!$P:$P,0),0))</f>
        <v/>
      </c>
    </row>
    <row r="870" spans="12:17" ht="18" hidden="1" customHeight="1" x14ac:dyDescent="0.25">
      <c r="L870" s="53" t="str">
        <f t="shared" si="26"/>
        <v/>
      </c>
      <c r="M870" s="19" t="str">
        <f t="shared" si="27"/>
        <v/>
      </c>
      <c r="N870" t="str">
        <f ca="1">IF(TRIM(SUBSTITUTE($B870,CHAR(160)," "))="","",IFERROR(IF(ISNUMBER(SEARCH("INC",$B870)),"INC",IF(ISNUMBER(SEARCH("OPI",$B870)),"OPI",IF(ISNUMBER(SEARCH("DP",$B870)),"DP","CONC")))&amp;" "&amp;TEXT(LOOKUP(9.99E+307,--MID(SUBSTITUTE($B870,CHAR(160)," "),SUMPRODUCT(MIN(FIND({0,1,2,3,4,5,6,7,8,9},SUBSTITUTE($B870,CHAR(160)," ")&amp;"0123456789"))),ROW(INDIRECT("1:6")))),"0"),"SIN NUMERO"))</f>
        <v/>
      </c>
      <c r="O870" t="str">
        <f ca="1">IF($N870="","",IF(LEFT(UPPER($P870),9)="VERIFICAR","VERIFICAR",IF(AND($H870&lt;&gt;"",COUNTIFS($N$2:$N$1000,$N870,$H$2:$H$1000,$H870)&gt;1),"DUPLICADA",IF(TRIM(IF($A870="","tipo ","")&amp;IF($F870="","fecha de firma ","")&amp;IF($G870="","decisión ","")&amp;IF($H870="","N° resolución ","")&amp;IF($I870="","N° dictamen",""))&lt;&gt;"","INCOMPLETA: "&amp;TRIM(IF($A870="","tipo ","")&amp;IF($F870="","fecha de firma ","")&amp;IF($G870="","decisión ","")&amp;IF($H870="","N° resolución ","")&amp;IF($I870="","N° dictamen","")),IF(LEFT($N870,4)&lt;&gt;"CONC","OK",IF(N($Q870)=0,IF(AND(ISNUMBER($E870),$E870&gt;=DATE(2024,1,1)),"FALTA EN evol_conc","OK"),IF(INDEX(evol_conc!$H:$H,$Q870)&lt;&gt;$F870,"FIRMA DISTINTA EN evol_conc ("&amp;IF(INDEX(evol_conc!$H:$H,$Q870)="","vacía",DAY(INDEX(evol_conc!$H:$H,$Q870))&amp;"/"&amp;MONTH(INDEX(evol_conc!$H:$H,$Q870))&amp;"/"&amp;YEAR(INDEX(evol_conc!$H:$H,$Q870)))&amp;")",IF(INDEX(evol_conc!$G:$G,$Q870)&lt;&gt;$E870,"INGRESO DISTINTO EN evol_conc ("&amp;IF(INDEX(evol_conc!$G:$G,$Q870)="","vacía",DAY(INDEX(evol_conc!$G:$G,$Q870))&amp;"/"&amp;MONTH(INDEX(evol_conc!$G:$G,$Q870))&amp;"/"&amp;YEAR(INDEX(evol_conc!$G:$G,$Q870)))&amp;")","OK"))))))))</f>
        <v/>
      </c>
      <c r="Q870" t="str">
        <f ca="1">IF($N870="","",IFERROR(MATCH($N870,evol_conc!$P:$P,0),0))</f>
        <v/>
      </c>
    </row>
    <row r="871" spans="12:17" ht="18" hidden="1" customHeight="1" x14ac:dyDescent="0.25">
      <c r="L871" s="53" t="str">
        <f t="shared" si="26"/>
        <v/>
      </c>
      <c r="M871" s="19" t="str">
        <f t="shared" si="27"/>
        <v/>
      </c>
      <c r="N871" t="str">
        <f ca="1">IF(TRIM(SUBSTITUTE($B871,CHAR(160)," "))="","",IFERROR(IF(ISNUMBER(SEARCH("INC",$B871)),"INC",IF(ISNUMBER(SEARCH("OPI",$B871)),"OPI",IF(ISNUMBER(SEARCH("DP",$B871)),"DP","CONC")))&amp;" "&amp;TEXT(LOOKUP(9.99E+307,--MID(SUBSTITUTE($B871,CHAR(160)," "),SUMPRODUCT(MIN(FIND({0,1,2,3,4,5,6,7,8,9},SUBSTITUTE($B871,CHAR(160)," ")&amp;"0123456789"))),ROW(INDIRECT("1:6")))),"0"),"SIN NUMERO"))</f>
        <v/>
      </c>
      <c r="O871" t="str">
        <f ca="1">IF($N871="","",IF(LEFT(UPPER($P871),9)="VERIFICAR","VERIFICAR",IF(AND($H871&lt;&gt;"",COUNTIFS($N$2:$N$1000,$N871,$H$2:$H$1000,$H871)&gt;1),"DUPLICADA",IF(TRIM(IF($A871="","tipo ","")&amp;IF($F871="","fecha de firma ","")&amp;IF($G871="","decisión ","")&amp;IF($H871="","N° resolución ","")&amp;IF($I871="","N° dictamen",""))&lt;&gt;"","INCOMPLETA: "&amp;TRIM(IF($A871="","tipo ","")&amp;IF($F871="","fecha de firma ","")&amp;IF($G871="","decisión ","")&amp;IF($H871="","N° resolución ","")&amp;IF($I871="","N° dictamen","")),IF(LEFT($N871,4)&lt;&gt;"CONC","OK",IF(N($Q871)=0,IF(AND(ISNUMBER($E871),$E871&gt;=DATE(2024,1,1)),"FALTA EN evol_conc","OK"),IF(INDEX(evol_conc!$H:$H,$Q871)&lt;&gt;$F871,"FIRMA DISTINTA EN evol_conc ("&amp;IF(INDEX(evol_conc!$H:$H,$Q871)="","vacía",DAY(INDEX(evol_conc!$H:$H,$Q871))&amp;"/"&amp;MONTH(INDEX(evol_conc!$H:$H,$Q871))&amp;"/"&amp;YEAR(INDEX(evol_conc!$H:$H,$Q871)))&amp;")",IF(INDEX(evol_conc!$G:$G,$Q871)&lt;&gt;$E871,"INGRESO DISTINTO EN evol_conc ("&amp;IF(INDEX(evol_conc!$G:$G,$Q871)="","vacía",DAY(INDEX(evol_conc!$G:$G,$Q871))&amp;"/"&amp;MONTH(INDEX(evol_conc!$G:$G,$Q871))&amp;"/"&amp;YEAR(INDEX(evol_conc!$G:$G,$Q871)))&amp;")","OK"))))))))</f>
        <v/>
      </c>
      <c r="Q871" t="str">
        <f ca="1">IF($N871="","",IFERROR(MATCH($N871,evol_conc!$P:$P,0),0))</f>
        <v/>
      </c>
    </row>
    <row r="872" spans="12:17" ht="18" hidden="1" customHeight="1" x14ac:dyDescent="0.25">
      <c r="L872" s="53" t="str">
        <f t="shared" si="26"/>
        <v/>
      </c>
      <c r="M872" s="19" t="str">
        <f t="shared" si="27"/>
        <v/>
      </c>
      <c r="N872" t="str">
        <f ca="1">IF(TRIM(SUBSTITUTE($B872,CHAR(160)," "))="","",IFERROR(IF(ISNUMBER(SEARCH("INC",$B872)),"INC",IF(ISNUMBER(SEARCH("OPI",$B872)),"OPI",IF(ISNUMBER(SEARCH("DP",$B872)),"DP","CONC")))&amp;" "&amp;TEXT(LOOKUP(9.99E+307,--MID(SUBSTITUTE($B872,CHAR(160)," "),SUMPRODUCT(MIN(FIND({0,1,2,3,4,5,6,7,8,9},SUBSTITUTE($B872,CHAR(160)," ")&amp;"0123456789"))),ROW(INDIRECT("1:6")))),"0"),"SIN NUMERO"))</f>
        <v/>
      </c>
      <c r="O872" t="str">
        <f ca="1">IF($N872="","",IF(LEFT(UPPER($P872),9)="VERIFICAR","VERIFICAR",IF(AND($H872&lt;&gt;"",COUNTIFS($N$2:$N$1000,$N872,$H$2:$H$1000,$H872)&gt;1),"DUPLICADA",IF(TRIM(IF($A872="","tipo ","")&amp;IF($F872="","fecha de firma ","")&amp;IF($G872="","decisión ","")&amp;IF($H872="","N° resolución ","")&amp;IF($I872="","N° dictamen",""))&lt;&gt;"","INCOMPLETA: "&amp;TRIM(IF($A872="","tipo ","")&amp;IF($F872="","fecha de firma ","")&amp;IF($G872="","decisión ","")&amp;IF($H872="","N° resolución ","")&amp;IF($I872="","N° dictamen","")),IF(LEFT($N872,4)&lt;&gt;"CONC","OK",IF(N($Q872)=0,IF(AND(ISNUMBER($E872),$E872&gt;=DATE(2024,1,1)),"FALTA EN evol_conc","OK"),IF(INDEX(evol_conc!$H:$H,$Q872)&lt;&gt;$F872,"FIRMA DISTINTA EN evol_conc ("&amp;IF(INDEX(evol_conc!$H:$H,$Q872)="","vacía",DAY(INDEX(evol_conc!$H:$H,$Q872))&amp;"/"&amp;MONTH(INDEX(evol_conc!$H:$H,$Q872))&amp;"/"&amp;YEAR(INDEX(evol_conc!$H:$H,$Q872)))&amp;")",IF(INDEX(evol_conc!$G:$G,$Q872)&lt;&gt;$E872,"INGRESO DISTINTO EN evol_conc ("&amp;IF(INDEX(evol_conc!$G:$G,$Q872)="","vacía",DAY(INDEX(evol_conc!$G:$G,$Q872))&amp;"/"&amp;MONTH(INDEX(evol_conc!$G:$G,$Q872))&amp;"/"&amp;YEAR(INDEX(evol_conc!$G:$G,$Q872)))&amp;")","OK"))))))))</f>
        <v/>
      </c>
      <c r="Q872" t="str">
        <f ca="1">IF($N872="","",IFERROR(MATCH($N872,evol_conc!$P:$P,0),0))</f>
        <v/>
      </c>
    </row>
    <row r="873" spans="12:17" ht="18" hidden="1" customHeight="1" x14ac:dyDescent="0.25">
      <c r="L873" s="53" t="str">
        <f t="shared" si="26"/>
        <v/>
      </c>
      <c r="M873" s="19" t="str">
        <f t="shared" si="27"/>
        <v/>
      </c>
      <c r="N873" t="str">
        <f ca="1">IF(TRIM(SUBSTITUTE($B873,CHAR(160)," "))="","",IFERROR(IF(ISNUMBER(SEARCH("INC",$B873)),"INC",IF(ISNUMBER(SEARCH("OPI",$B873)),"OPI",IF(ISNUMBER(SEARCH("DP",$B873)),"DP","CONC")))&amp;" "&amp;TEXT(LOOKUP(9.99E+307,--MID(SUBSTITUTE($B873,CHAR(160)," "),SUMPRODUCT(MIN(FIND({0,1,2,3,4,5,6,7,8,9},SUBSTITUTE($B873,CHAR(160)," ")&amp;"0123456789"))),ROW(INDIRECT("1:6")))),"0"),"SIN NUMERO"))</f>
        <v/>
      </c>
      <c r="O873" t="str">
        <f ca="1">IF($N873="","",IF(LEFT(UPPER($P873),9)="VERIFICAR","VERIFICAR",IF(AND($H873&lt;&gt;"",COUNTIFS($N$2:$N$1000,$N873,$H$2:$H$1000,$H873)&gt;1),"DUPLICADA",IF(TRIM(IF($A873="","tipo ","")&amp;IF($F873="","fecha de firma ","")&amp;IF($G873="","decisión ","")&amp;IF($H873="","N° resolución ","")&amp;IF($I873="","N° dictamen",""))&lt;&gt;"","INCOMPLETA: "&amp;TRIM(IF($A873="","tipo ","")&amp;IF($F873="","fecha de firma ","")&amp;IF($G873="","decisión ","")&amp;IF($H873="","N° resolución ","")&amp;IF($I873="","N° dictamen","")),IF(LEFT($N873,4)&lt;&gt;"CONC","OK",IF(N($Q873)=0,IF(AND(ISNUMBER($E873),$E873&gt;=DATE(2024,1,1)),"FALTA EN evol_conc","OK"),IF(INDEX(evol_conc!$H:$H,$Q873)&lt;&gt;$F873,"FIRMA DISTINTA EN evol_conc ("&amp;IF(INDEX(evol_conc!$H:$H,$Q873)="","vacía",DAY(INDEX(evol_conc!$H:$H,$Q873))&amp;"/"&amp;MONTH(INDEX(evol_conc!$H:$H,$Q873))&amp;"/"&amp;YEAR(INDEX(evol_conc!$H:$H,$Q873)))&amp;")",IF(INDEX(evol_conc!$G:$G,$Q873)&lt;&gt;$E873,"INGRESO DISTINTO EN evol_conc ("&amp;IF(INDEX(evol_conc!$G:$G,$Q873)="","vacía",DAY(INDEX(evol_conc!$G:$G,$Q873))&amp;"/"&amp;MONTH(INDEX(evol_conc!$G:$G,$Q873))&amp;"/"&amp;YEAR(INDEX(evol_conc!$G:$G,$Q873)))&amp;")","OK"))))))))</f>
        <v/>
      </c>
      <c r="Q873" t="str">
        <f ca="1">IF($N873="","",IFERROR(MATCH($N873,evol_conc!$P:$P,0),0))</f>
        <v/>
      </c>
    </row>
    <row r="874" spans="12:17" ht="18" hidden="1" customHeight="1" x14ac:dyDescent="0.25">
      <c r="L874" s="53" t="str">
        <f t="shared" si="26"/>
        <v/>
      </c>
      <c r="M874" s="19" t="str">
        <f t="shared" si="27"/>
        <v/>
      </c>
      <c r="N874" t="str">
        <f ca="1">IF(TRIM(SUBSTITUTE($B874,CHAR(160)," "))="","",IFERROR(IF(ISNUMBER(SEARCH("INC",$B874)),"INC",IF(ISNUMBER(SEARCH("OPI",$B874)),"OPI",IF(ISNUMBER(SEARCH("DP",$B874)),"DP","CONC")))&amp;" "&amp;TEXT(LOOKUP(9.99E+307,--MID(SUBSTITUTE($B874,CHAR(160)," "),SUMPRODUCT(MIN(FIND({0,1,2,3,4,5,6,7,8,9},SUBSTITUTE($B874,CHAR(160)," ")&amp;"0123456789"))),ROW(INDIRECT("1:6")))),"0"),"SIN NUMERO"))</f>
        <v/>
      </c>
      <c r="O874" t="str">
        <f ca="1">IF($N874="","",IF(LEFT(UPPER($P874),9)="VERIFICAR","VERIFICAR",IF(AND($H874&lt;&gt;"",COUNTIFS($N$2:$N$1000,$N874,$H$2:$H$1000,$H874)&gt;1),"DUPLICADA",IF(TRIM(IF($A874="","tipo ","")&amp;IF($F874="","fecha de firma ","")&amp;IF($G874="","decisión ","")&amp;IF($H874="","N° resolución ","")&amp;IF($I874="","N° dictamen",""))&lt;&gt;"","INCOMPLETA: "&amp;TRIM(IF($A874="","tipo ","")&amp;IF($F874="","fecha de firma ","")&amp;IF($G874="","decisión ","")&amp;IF($H874="","N° resolución ","")&amp;IF($I874="","N° dictamen","")),IF(LEFT($N874,4)&lt;&gt;"CONC","OK",IF(N($Q874)=0,IF(AND(ISNUMBER($E874),$E874&gt;=DATE(2024,1,1)),"FALTA EN evol_conc","OK"),IF(INDEX(evol_conc!$H:$H,$Q874)&lt;&gt;$F874,"FIRMA DISTINTA EN evol_conc ("&amp;IF(INDEX(evol_conc!$H:$H,$Q874)="","vacía",DAY(INDEX(evol_conc!$H:$H,$Q874))&amp;"/"&amp;MONTH(INDEX(evol_conc!$H:$H,$Q874))&amp;"/"&amp;YEAR(INDEX(evol_conc!$H:$H,$Q874)))&amp;")",IF(INDEX(evol_conc!$G:$G,$Q874)&lt;&gt;$E874,"INGRESO DISTINTO EN evol_conc ("&amp;IF(INDEX(evol_conc!$G:$G,$Q874)="","vacía",DAY(INDEX(evol_conc!$G:$G,$Q874))&amp;"/"&amp;MONTH(INDEX(evol_conc!$G:$G,$Q874))&amp;"/"&amp;YEAR(INDEX(evol_conc!$G:$G,$Q874)))&amp;")","OK"))))))))</f>
        <v/>
      </c>
      <c r="Q874" t="str">
        <f ca="1">IF($N874="","",IFERROR(MATCH($N874,evol_conc!$P:$P,0),0))</f>
        <v/>
      </c>
    </row>
    <row r="875" spans="12:17" ht="18" hidden="1" customHeight="1" x14ac:dyDescent="0.25">
      <c r="L875" s="53" t="str">
        <f t="shared" si="26"/>
        <v/>
      </c>
      <c r="M875" s="19" t="str">
        <f t="shared" si="27"/>
        <v/>
      </c>
      <c r="N875" t="str">
        <f ca="1">IF(TRIM(SUBSTITUTE($B875,CHAR(160)," "))="","",IFERROR(IF(ISNUMBER(SEARCH("INC",$B875)),"INC",IF(ISNUMBER(SEARCH("OPI",$B875)),"OPI",IF(ISNUMBER(SEARCH("DP",$B875)),"DP","CONC")))&amp;" "&amp;TEXT(LOOKUP(9.99E+307,--MID(SUBSTITUTE($B875,CHAR(160)," "),SUMPRODUCT(MIN(FIND({0,1,2,3,4,5,6,7,8,9},SUBSTITUTE($B875,CHAR(160)," ")&amp;"0123456789"))),ROW(INDIRECT("1:6")))),"0"),"SIN NUMERO"))</f>
        <v/>
      </c>
      <c r="O875" t="str">
        <f ca="1">IF($N875="","",IF(LEFT(UPPER($P875),9)="VERIFICAR","VERIFICAR",IF(AND($H875&lt;&gt;"",COUNTIFS($N$2:$N$1000,$N875,$H$2:$H$1000,$H875)&gt;1),"DUPLICADA",IF(TRIM(IF($A875="","tipo ","")&amp;IF($F875="","fecha de firma ","")&amp;IF($G875="","decisión ","")&amp;IF($H875="","N° resolución ","")&amp;IF($I875="","N° dictamen",""))&lt;&gt;"","INCOMPLETA: "&amp;TRIM(IF($A875="","tipo ","")&amp;IF($F875="","fecha de firma ","")&amp;IF($G875="","decisión ","")&amp;IF($H875="","N° resolución ","")&amp;IF($I875="","N° dictamen","")),IF(LEFT($N875,4)&lt;&gt;"CONC","OK",IF(N($Q875)=0,IF(AND(ISNUMBER($E875),$E875&gt;=DATE(2024,1,1)),"FALTA EN evol_conc","OK"),IF(INDEX(evol_conc!$H:$H,$Q875)&lt;&gt;$F875,"FIRMA DISTINTA EN evol_conc ("&amp;IF(INDEX(evol_conc!$H:$H,$Q875)="","vacía",DAY(INDEX(evol_conc!$H:$H,$Q875))&amp;"/"&amp;MONTH(INDEX(evol_conc!$H:$H,$Q875))&amp;"/"&amp;YEAR(INDEX(evol_conc!$H:$H,$Q875)))&amp;")",IF(INDEX(evol_conc!$G:$G,$Q875)&lt;&gt;$E875,"INGRESO DISTINTO EN evol_conc ("&amp;IF(INDEX(evol_conc!$G:$G,$Q875)="","vacía",DAY(INDEX(evol_conc!$G:$G,$Q875))&amp;"/"&amp;MONTH(INDEX(evol_conc!$G:$G,$Q875))&amp;"/"&amp;YEAR(INDEX(evol_conc!$G:$G,$Q875)))&amp;")","OK"))))))))</f>
        <v/>
      </c>
      <c r="Q875" t="str">
        <f ca="1">IF($N875="","",IFERROR(MATCH($N875,evol_conc!$P:$P,0),0))</f>
        <v/>
      </c>
    </row>
    <row r="876" spans="12:17" ht="18" hidden="1" customHeight="1" x14ac:dyDescent="0.25">
      <c r="L876" s="53" t="str">
        <f t="shared" si="26"/>
        <v/>
      </c>
      <c r="M876" s="19" t="str">
        <f t="shared" si="27"/>
        <v/>
      </c>
      <c r="N876" t="str">
        <f ca="1">IF(TRIM(SUBSTITUTE($B876,CHAR(160)," "))="","",IFERROR(IF(ISNUMBER(SEARCH("INC",$B876)),"INC",IF(ISNUMBER(SEARCH("OPI",$B876)),"OPI",IF(ISNUMBER(SEARCH("DP",$B876)),"DP","CONC")))&amp;" "&amp;TEXT(LOOKUP(9.99E+307,--MID(SUBSTITUTE($B876,CHAR(160)," "),SUMPRODUCT(MIN(FIND({0,1,2,3,4,5,6,7,8,9},SUBSTITUTE($B876,CHAR(160)," ")&amp;"0123456789"))),ROW(INDIRECT("1:6")))),"0"),"SIN NUMERO"))</f>
        <v/>
      </c>
      <c r="O876" t="str">
        <f ca="1">IF($N876="","",IF(LEFT(UPPER($P876),9)="VERIFICAR","VERIFICAR",IF(AND($H876&lt;&gt;"",COUNTIFS($N$2:$N$1000,$N876,$H$2:$H$1000,$H876)&gt;1),"DUPLICADA",IF(TRIM(IF($A876="","tipo ","")&amp;IF($F876="","fecha de firma ","")&amp;IF($G876="","decisión ","")&amp;IF($H876="","N° resolución ","")&amp;IF($I876="","N° dictamen",""))&lt;&gt;"","INCOMPLETA: "&amp;TRIM(IF($A876="","tipo ","")&amp;IF($F876="","fecha de firma ","")&amp;IF($G876="","decisión ","")&amp;IF($H876="","N° resolución ","")&amp;IF($I876="","N° dictamen","")),IF(LEFT($N876,4)&lt;&gt;"CONC","OK",IF(N($Q876)=0,IF(AND(ISNUMBER($E876),$E876&gt;=DATE(2024,1,1)),"FALTA EN evol_conc","OK"),IF(INDEX(evol_conc!$H:$H,$Q876)&lt;&gt;$F876,"FIRMA DISTINTA EN evol_conc ("&amp;IF(INDEX(evol_conc!$H:$H,$Q876)="","vacía",DAY(INDEX(evol_conc!$H:$H,$Q876))&amp;"/"&amp;MONTH(INDEX(evol_conc!$H:$H,$Q876))&amp;"/"&amp;YEAR(INDEX(evol_conc!$H:$H,$Q876)))&amp;")",IF(INDEX(evol_conc!$G:$G,$Q876)&lt;&gt;$E876,"INGRESO DISTINTO EN evol_conc ("&amp;IF(INDEX(evol_conc!$G:$G,$Q876)="","vacía",DAY(INDEX(evol_conc!$G:$G,$Q876))&amp;"/"&amp;MONTH(INDEX(evol_conc!$G:$G,$Q876))&amp;"/"&amp;YEAR(INDEX(evol_conc!$G:$G,$Q876)))&amp;")","OK"))))))))</f>
        <v/>
      </c>
      <c r="Q876" t="str">
        <f ca="1">IF($N876="","",IFERROR(MATCH($N876,evol_conc!$P:$P,0),0))</f>
        <v/>
      </c>
    </row>
    <row r="877" spans="12:17" ht="18" hidden="1" customHeight="1" x14ac:dyDescent="0.25">
      <c r="L877" s="53" t="str">
        <f t="shared" si="26"/>
        <v/>
      </c>
      <c r="M877" s="19" t="str">
        <f t="shared" si="27"/>
        <v/>
      </c>
      <c r="N877" t="str">
        <f ca="1">IF(TRIM(SUBSTITUTE($B877,CHAR(160)," "))="","",IFERROR(IF(ISNUMBER(SEARCH("INC",$B877)),"INC",IF(ISNUMBER(SEARCH("OPI",$B877)),"OPI",IF(ISNUMBER(SEARCH("DP",$B877)),"DP","CONC")))&amp;" "&amp;TEXT(LOOKUP(9.99E+307,--MID(SUBSTITUTE($B877,CHAR(160)," "),SUMPRODUCT(MIN(FIND({0,1,2,3,4,5,6,7,8,9},SUBSTITUTE($B877,CHAR(160)," ")&amp;"0123456789"))),ROW(INDIRECT("1:6")))),"0"),"SIN NUMERO"))</f>
        <v/>
      </c>
      <c r="O877" t="str">
        <f ca="1">IF($N877="","",IF(LEFT(UPPER($P877),9)="VERIFICAR","VERIFICAR",IF(AND($H877&lt;&gt;"",COUNTIFS($N$2:$N$1000,$N877,$H$2:$H$1000,$H877)&gt;1),"DUPLICADA",IF(TRIM(IF($A877="","tipo ","")&amp;IF($F877="","fecha de firma ","")&amp;IF($G877="","decisión ","")&amp;IF($H877="","N° resolución ","")&amp;IF($I877="","N° dictamen",""))&lt;&gt;"","INCOMPLETA: "&amp;TRIM(IF($A877="","tipo ","")&amp;IF($F877="","fecha de firma ","")&amp;IF($G877="","decisión ","")&amp;IF($H877="","N° resolución ","")&amp;IF($I877="","N° dictamen","")),IF(LEFT($N877,4)&lt;&gt;"CONC","OK",IF(N($Q877)=0,IF(AND(ISNUMBER($E877),$E877&gt;=DATE(2024,1,1)),"FALTA EN evol_conc","OK"),IF(INDEX(evol_conc!$H:$H,$Q877)&lt;&gt;$F877,"FIRMA DISTINTA EN evol_conc ("&amp;IF(INDEX(evol_conc!$H:$H,$Q877)="","vacía",DAY(INDEX(evol_conc!$H:$H,$Q877))&amp;"/"&amp;MONTH(INDEX(evol_conc!$H:$H,$Q877))&amp;"/"&amp;YEAR(INDEX(evol_conc!$H:$H,$Q877)))&amp;")",IF(INDEX(evol_conc!$G:$G,$Q877)&lt;&gt;$E877,"INGRESO DISTINTO EN evol_conc ("&amp;IF(INDEX(evol_conc!$G:$G,$Q877)="","vacía",DAY(INDEX(evol_conc!$G:$G,$Q877))&amp;"/"&amp;MONTH(INDEX(evol_conc!$G:$G,$Q877))&amp;"/"&amp;YEAR(INDEX(evol_conc!$G:$G,$Q877)))&amp;")","OK"))))))))</f>
        <v/>
      </c>
      <c r="Q877" t="str">
        <f ca="1">IF($N877="","",IFERROR(MATCH($N877,evol_conc!$P:$P,0),0))</f>
        <v/>
      </c>
    </row>
    <row r="878" spans="12:17" ht="18" hidden="1" customHeight="1" x14ac:dyDescent="0.25">
      <c r="L878" s="53" t="str">
        <f t="shared" si="26"/>
        <v/>
      </c>
      <c r="M878" s="19" t="str">
        <f t="shared" si="27"/>
        <v/>
      </c>
      <c r="N878" t="str">
        <f ca="1">IF(TRIM(SUBSTITUTE($B878,CHAR(160)," "))="","",IFERROR(IF(ISNUMBER(SEARCH("INC",$B878)),"INC",IF(ISNUMBER(SEARCH("OPI",$B878)),"OPI",IF(ISNUMBER(SEARCH("DP",$B878)),"DP","CONC")))&amp;" "&amp;TEXT(LOOKUP(9.99E+307,--MID(SUBSTITUTE($B878,CHAR(160)," "),SUMPRODUCT(MIN(FIND({0,1,2,3,4,5,6,7,8,9},SUBSTITUTE($B878,CHAR(160)," ")&amp;"0123456789"))),ROW(INDIRECT("1:6")))),"0"),"SIN NUMERO"))</f>
        <v/>
      </c>
      <c r="O878" t="str">
        <f ca="1">IF($N878="","",IF(LEFT(UPPER($P878),9)="VERIFICAR","VERIFICAR",IF(AND($H878&lt;&gt;"",COUNTIFS($N$2:$N$1000,$N878,$H$2:$H$1000,$H878)&gt;1),"DUPLICADA",IF(TRIM(IF($A878="","tipo ","")&amp;IF($F878="","fecha de firma ","")&amp;IF($G878="","decisión ","")&amp;IF($H878="","N° resolución ","")&amp;IF($I878="","N° dictamen",""))&lt;&gt;"","INCOMPLETA: "&amp;TRIM(IF($A878="","tipo ","")&amp;IF($F878="","fecha de firma ","")&amp;IF($G878="","decisión ","")&amp;IF($H878="","N° resolución ","")&amp;IF($I878="","N° dictamen","")),IF(LEFT($N878,4)&lt;&gt;"CONC","OK",IF(N($Q878)=0,IF(AND(ISNUMBER($E878),$E878&gt;=DATE(2024,1,1)),"FALTA EN evol_conc","OK"),IF(INDEX(evol_conc!$H:$H,$Q878)&lt;&gt;$F878,"FIRMA DISTINTA EN evol_conc ("&amp;IF(INDEX(evol_conc!$H:$H,$Q878)="","vacía",DAY(INDEX(evol_conc!$H:$H,$Q878))&amp;"/"&amp;MONTH(INDEX(evol_conc!$H:$H,$Q878))&amp;"/"&amp;YEAR(INDEX(evol_conc!$H:$H,$Q878)))&amp;")",IF(INDEX(evol_conc!$G:$G,$Q878)&lt;&gt;$E878,"INGRESO DISTINTO EN evol_conc ("&amp;IF(INDEX(evol_conc!$G:$G,$Q878)="","vacía",DAY(INDEX(evol_conc!$G:$G,$Q878))&amp;"/"&amp;MONTH(INDEX(evol_conc!$G:$G,$Q878))&amp;"/"&amp;YEAR(INDEX(evol_conc!$G:$G,$Q878)))&amp;")","OK"))))))))</f>
        <v/>
      </c>
      <c r="Q878" t="str">
        <f ca="1">IF($N878="","",IFERROR(MATCH($N878,evol_conc!$P:$P,0),0))</f>
        <v/>
      </c>
    </row>
    <row r="879" spans="12:17" ht="18" hidden="1" customHeight="1" x14ac:dyDescent="0.25">
      <c r="L879" s="53" t="str">
        <f t="shared" si="26"/>
        <v/>
      </c>
      <c r="M879" s="19" t="str">
        <f t="shared" si="27"/>
        <v/>
      </c>
      <c r="N879" t="str">
        <f ca="1">IF(TRIM(SUBSTITUTE($B879,CHAR(160)," "))="","",IFERROR(IF(ISNUMBER(SEARCH("INC",$B879)),"INC",IF(ISNUMBER(SEARCH("OPI",$B879)),"OPI",IF(ISNUMBER(SEARCH("DP",$B879)),"DP","CONC")))&amp;" "&amp;TEXT(LOOKUP(9.99E+307,--MID(SUBSTITUTE($B879,CHAR(160)," "),SUMPRODUCT(MIN(FIND({0,1,2,3,4,5,6,7,8,9},SUBSTITUTE($B879,CHAR(160)," ")&amp;"0123456789"))),ROW(INDIRECT("1:6")))),"0"),"SIN NUMERO"))</f>
        <v/>
      </c>
      <c r="O879" t="str">
        <f ca="1">IF($N879="","",IF(LEFT(UPPER($P879),9)="VERIFICAR","VERIFICAR",IF(AND($H879&lt;&gt;"",COUNTIFS($N$2:$N$1000,$N879,$H$2:$H$1000,$H879)&gt;1),"DUPLICADA",IF(TRIM(IF($A879="","tipo ","")&amp;IF($F879="","fecha de firma ","")&amp;IF($G879="","decisión ","")&amp;IF($H879="","N° resolución ","")&amp;IF($I879="","N° dictamen",""))&lt;&gt;"","INCOMPLETA: "&amp;TRIM(IF($A879="","tipo ","")&amp;IF($F879="","fecha de firma ","")&amp;IF($G879="","decisión ","")&amp;IF($H879="","N° resolución ","")&amp;IF($I879="","N° dictamen","")),IF(LEFT($N879,4)&lt;&gt;"CONC","OK",IF(N($Q879)=0,IF(AND(ISNUMBER($E879),$E879&gt;=DATE(2024,1,1)),"FALTA EN evol_conc","OK"),IF(INDEX(evol_conc!$H:$H,$Q879)&lt;&gt;$F879,"FIRMA DISTINTA EN evol_conc ("&amp;IF(INDEX(evol_conc!$H:$H,$Q879)="","vacía",DAY(INDEX(evol_conc!$H:$H,$Q879))&amp;"/"&amp;MONTH(INDEX(evol_conc!$H:$H,$Q879))&amp;"/"&amp;YEAR(INDEX(evol_conc!$H:$H,$Q879)))&amp;")",IF(INDEX(evol_conc!$G:$G,$Q879)&lt;&gt;$E879,"INGRESO DISTINTO EN evol_conc ("&amp;IF(INDEX(evol_conc!$G:$G,$Q879)="","vacía",DAY(INDEX(evol_conc!$G:$G,$Q879))&amp;"/"&amp;MONTH(INDEX(evol_conc!$G:$G,$Q879))&amp;"/"&amp;YEAR(INDEX(evol_conc!$G:$G,$Q879)))&amp;")","OK"))))))))</f>
        <v/>
      </c>
      <c r="Q879" t="str">
        <f ca="1">IF($N879="","",IFERROR(MATCH($N879,evol_conc!$P:$P,0),0))</f>
        <v/>
      </c>
    </row>
    <row r="880" spans="12:17" ht="18" hidden="1" customHeight="1" x14ac:dyDescent="0.25">
      <c r="L880" s="53" t="str">
        <f t="shared" si="26"/>
        <v/>
      </c>
      <c r="M880" s="19" t="str">
        <f t="shared" si="27"/>
        <v/>
      </c>
      <c r="N880" t="str">
        <f ca="1">IF(TRIM(SUBSTITUTE($B880,CHAR(160)," "))="","",IFERROR(IF(ISNUMBER(SEARCH("INC",$B880)),"INC",IF(ISNUMBER(SEARCH("OPI",$B880)),"OPI",IF(ISNUMBER(SEARCH("DP",$B880)),"DP","CONC")))&amp;" "&amp;TEXT(LOOKUP(9.99E+307,--MID(SUBSTITUTE($B880,CHAR(160)," "),SUMPRODUCT(MIN(FIND({0,1,2,3,4,5,6,7,8,9},SUBSTITUTE($B880,CHAR(160)," ")&amp;"0123456789"))),ROW(INDIRECT("1:6")))),"0"),"SIN NUMERO"))</f>
        <v/>
      </c>
      <c r="O880" t="str">
        <f ca="1">IF($N880="","",IF(LEFT(UPPER($P880),9)="VERIFICAR","VERIFICAR",IF(AND($H880&lt;&gt;"",COUNTIFS($N$2:$N$1000,$N880,$H$2:$H$1000,$H880)&gt;1),"DUPLICADA",IF(TRIM(IF($A880="","tipo ","")&amp;IF($F880="","fecha de firma ","")&amp;IF($G880="","decisión ","")&amp;IF($H880="","N° resolución ","")&amp;IF($I880="","N° dictamen",""))&lt;&gt;"","INCOMPLETA: "&amp;TRIM(IF($A880="","tipo ","")&amp;IF($F880="","fecha de firma ","")&amp;IF($G880="","decisión ","")&amp;IF($H880="","N° resolución ","")&amp;IF($I880="","N° dictamen","")),IF(LEFT($N880,4)&lt;&gt;"CONC","OK",IF(N($Q880)=0,IF(AND(ISNUMBER($E880),$E880&gt;=DATE(2024,1,1)),"FALTA EN evol_conc","OK"),IF(INDEX(evol_conc!$H:$H,$Q880)&lt;&gt;$F880,"FIRMA DISTINTA EN evol_conc ("&amp;IF(INDEX(evol_conc!$H:$H,$Q880)="","vacía",DAY(INDEX(evol_conc!$H:$H,$Q880))&amp;"/"&amp;MONTH(INDEX(evol_conc!$H:$H,$Q880))&amp;"/"&amp;YEAR(INDEX(evol_conc!$H:$H,$Q880)))&amp;")",IF(INDEX(evol_conc!$G:$G,$Q880)&lt;&gt;$E880,"INGRESO DISTINTO EN evol_conc ("&amp;IF(INDEX(evol_conc!$G:$G,$Q880)="","vacía",DAY(INDEX(evol_conc!$G:$G,$Q880))&amp;"/"&amp;MONTH(INDEX(evol_conc!$G:$G,$Q880))&amp;"/"&amp;YEAR(INDEX(evol_conc!$G:$G,$Q880)))&amp;")","OK"))))))))</f>
        <v/>
      </c>
      <c r="Q880" t="str">
        <f ca="1">IF($N880="","",IFERROR(MATCH($N880,evol_conc!$P:$P,0),0))</f>
        <v/>
      </c>
    </row>
    <row r="881" spans="12:17" ht="18" hidden="1" customHeight="1" x14ac:dyDescent="0.25">
      <c r="L881" s="53" t="str">
        <f t="shared" si="26"/>
        <v/>
      </c>
      <c r="M881" s="19" t="str">
        <f t="shared" si="27"/>
        <v/>
      </c>
      <c r="N881" t="str">
        <f ca="1">IF(TRIM(SUBSTITUTE($B881,CHAR(160)," "))="","",IFERROR(IF(ISNUMBER(SEARCH("INC",$B881)),"INC",IF(ISNUMBER(SEARCH("OPI",$B881)),"OPI",IF(ISNUMBER(SEARCH("DP",$B881)),"DP","CONC")))&amp;" "&amp;TEXT(LOOKUP(9.99E+307,--MID(SUBSTITUTE($B881,CHAR(160)," "),SUMPRODUCT(MIN(FIND({0,1,2,3,4,5,6,7,8,9},SUBSTITUTE($B881,CHAR(160)," ")&amp;"0123456789"))),ROW(INDIRECT("1:6")))),"0"),"SIN NUMERO"))</f>
        <v/>
      </c>
      <c r="O881" t="str">
        <f ca="1">IF($N881="","",IF(LEFT(UPPER($P881),9)="VERIFICAR","VERIFICAR",IF(AND($H881&lt;&gt;"",COUNTIFS($N$2:$N$1000,$N881,$H$2:$H$1000,$H881)&gt;1),"DUPLICADA",IF(TRIM(IF($A881="","tipo ","")&amp;IF($F881="","fecha de firma ","")&amp;IF($G881="","decisión ","")&amp;IF($H881="","N° resolución ","")&amp;IF($I881="","N° dictamen",""))&lt;&gt;"","INCOMPLETA: "&amp;TRIM(IF($A881="","tipo ","")&amp;IF($F881="","fecha de firma ","")&amp;IF($G881="","decisión ","")&amp;IF($H881="","N° resolución ","")&amp;IF($I881="","N° dictamen","")),IF(LEFT($N881,4)&lt;&gt;"CONC","OK",IF(N($Q881)=0,IF(AND(ISNUMBER($E881),$E881&gt;=DATE(2024,1,1)),"FALTA EN evol_conc","OK"),IF(INDEX(evol_conc!$H:$H,$Q881)&lt;&gt;$F881,"FIRMA DISTINTA EN evol_conc ("&amp;IF(INDEX(evol_conc!$H:$H,$Q881)="","vacía",DAY(INDEX(evol_conc!$H:$H,$Q881))&amp;"/"&amp;MONTH(INDEX(evol_conc!$H:$H,$Q881))&amp;"/"&amp;YEAR(INDEX(evol_conc!$H:$H,$Q881)))&amp;")",IF(INDEX(evol_conc!$G:$G,$Q881)&lt;&gt;$E881,"INGRESO DISTINTO EN evol_conc ("&amp;IF(INDEX(evol_conc!$G:$G,$Q881)="","vacía",DAY(INDEX(evol_conc!$G:$G,$Q881))&amp;"/"&amp;MONTH(INDEX(evol_conc!$G:$G,$Q881))&amp;"/"&amp;YEAR(INDEX(evol_conc!$G:$G,$Q881)))&amp;")","OK"))))))))</f>
        <v/>
      </c>
      <c r="Q881" t="str">
        <f ca="1">IF($N881="","",IFERROR(MATCH($N881,evol_conc!$P:$P,0),0))</f>
        <v/>
      </c>
    </row>
    <row r="882" spans="12:17" ht="18" hidden="1" customHeight="1" x14ac:dyDescent="0.25">
      <c r="L882" s="53" t="str">
        <f t="shared" si="26"/>
        <v/>
      </c>
      <c r="M882" s="19" t="str">
        <f t="shared" si="27"/>
        <v/>
      </c>
      <c r="N882" t="str">
        <f ca="1">IF(TRIM(SUBSTITUTE($B882,CHAR(160)," "))="","",IFERROR(IF(ISNUMBER(SEARCH("INC",$B882)),"INC",IF(ISNUMBER(SEARCH("OPI",$B882)),"OPI",IF(ISNUMBER(SEARCH("DP",$B882)),"DP","CONC")))&amp;" "&amp;TEXT(LOOKUP(9.99E+307,--MID(SUBSTITUTE($B882,CHAR(160)," "),SUMPRODUCT(MIN(FIND({0,1,2,3,4,5,6,7,8,9},SUBSTITUTE($B882,CHAR(160)," ")&amp;"0123456789"))),ROW(INDIRECT("1:6")))),"0"),"SIN NUMERO"))</f>
        <v/>
      </c>
      <c r="O882" t="str">
        <f ca="1">IF($N882="","",IF(LEFT(UPPER($P882),9)="VERIFICAR","VERIFICAR",IF(AND($H882&lt;&gt;"",COUNTIFS($N$2:$N$1000,$N882,$H$2:$H$1000,$H882)&gt;1),"DUPLICADA",IF(TRIM(IF($A882="","tipo ","")&amp;IF($F882="","fecha de firma ","")&amp;IF($G882="","decisión ","")&amp;IF($H882="","N° resolución ","")&amp;IF($I882="","N° dictamen",""))&lt;&gt;"","INCOMPLETA: "&amp;TRIM(IF($A882="","tipo ","")&amp;IF($F882="","fecha de firma ","")&amp;IF($G882="","decisión ","")&amp;IF($H882="","N° resolución ","")&amp;IF($I882="","N° dictamen","")),IF(LEFT($N882,4)&lt;&gt;"CONC","OK",IF(N($Q882)=0,IF(AND(ISNUMBER($E882),$E882&gt;=DATE(2024,1,1)),"FALTA EN evol_conc","OK"),IF(INDEX(evol_conc!$H:$H,$Q882)&lt;&gt;$F882,"FIRMA DISTINTA EN evol_conc ("&amp;IF(INDEX(evol_conc!$H:$H,$Q882)="","vacía",DAY(INDEX(evol_conc!$H:$H,$Q882))&amp;"/"&amp;MONTH(INDEX(evol_conc!$H:$H,$Q882))&amp;"/"&amp;YEAR(INDEX(evol_conc!$H:$H,$Q882)))&amp;")",IF(INDEX(evol_conc!$G:$G,$Q882)&lt;&gt;$E882,"INGRESO DISTINTO EN evol_conc ("&amp;IF(INDEX(evol_conc!$G:$G,$Q882)="","vacía",DAY(INDEX(evol_conc!$G:$G,$Q882))&amp;"/"&amp;MONTH(INDEX(evol_conc!$G:$G,$Q882))&amp;"/"&amp;YEAR(INDEX(evol_conc!$G:$G,$Q882)))&amp;")","OK"))))))))</f>
        <v/>
      </c>
      <c r="Q882" t="str">
        <f ca="1">IF($N882="","",IFERROR(MATCH($N882,evol_conc!$P:$P,0),0))</f>
        <v/>
      </c>
    </row>
    <row r="883" spans="12:17" ht="18" hidden="1" customHeight="1" x14ac:dyDescent="0.25">
      <c r="L883" s="53" t="str">
        <f t="shared" si="26"/>
        <v/>
      </c>
      <c r="M883" s="19" t="str">
        <f t="shared" si="27"/>
        <v/>
      </c>
      <c r="N883" t="str">
        <f ca="1">IF(TRIM(SUBSTITUTE($B883,CHAR(160)," "))="","",IFERROR(IF(ISNUMBER(SEARCH("INC",$B883)),"INC",IF(ISNUMBER(SEARCH("OPI",$B883)),"OPI",IF(ISNUMBER(SEARCH("DP",$B883)),"DP","CONC")))&amp;" "&amp;TEXT(LOOKUP(9.99E+307,--MID(SUBSTITUTE($B883,CHAR(160)," "),SUMPRODUCT(MIN(FIND({0,1,2,3,4,5,6,7,8,9},SUBSTITUTE($B883,CHAR(160)," ")&amp;"0123456789"))),ROW(INDIRECT("1:6")))),"0"),"SIN NUMERO"))</f>
        <v/>
      </c>
      <c r="O883" t="str">
        <f ca="1">IF($N883="","",IF(LEFT(UPPER($P883),9)="VERIFICAR","VERIFICAR",IF(AND($H883&lt;&gt;"",COUNTIFS($N$2:$N$1000,$N883,$H$2:$H$1000,$H883)&gt;1),"DUPLICADA",IF(TRIM(IF($A883="","tipo ","")&amp;IF($F883="","fecha de firma ","")&amp;IF($G883="","decisión ","")&amp;IF($H883="","N° resolución ","")&amp;IF($I883="","N° dictamen",""))&lt;&gt;"","INCOMPLETA: "&amp;TRIM(IF($A883="","tipo ","")&amp;IF($F883="","fecha de firma ","")&amp;IF($G883="","decisión ","")&amp;IF($H883="","N° resolución ","")&amp;IF($I883="","N° dictamen","")),IF(LEFT($N883,4)&lt;&gt;"CONC","OK",IF(N($Q883)=0,IF(AND(ISNUMBER($E883),$E883&gt;=DATE(2024,1,1)),"FALTA EN evol_conc","OK"),IF(INDEX(evol_conc!$H:$H,$Q883)&lt;&gt;$F883,"FIRMA DISTINTA EN evol_conc ("&amp;IF(INDEX(evol_conc!$H:$H,$Q883)="","vacía",DAY(INDEX(evol_conc!$H:$H,$Q883))&amp;"/"&amp;MONTH(INDEX(evol_conc!$H:$H,$Q883))&amp;"/"&amp;YEAR(INDEX(evol_conc!$H:$H,$Q883)))&amp;")",IF(INDEX(evol_conc!$G:$G,$Q883)&lt;&gt;$E883,"INGRESO DISTINTO EN evol_conc ("&amp;IF(INDEX(evol_conc!$G:$G,$Q883)="","vacía",DAY(INDEX(evol_conc!$G:$G,$Q883))&amp;"/"&amp;MONTH(INDEX(evol_conc!$G:$G,$Q883))&amp;"/"&amp;YEAR(INDEX(evol_conc!$G:$G,$Q883)))&amp;")","OK"))))))))</f>
        <v/>
      </c>
      <c r="Q883" t="str">
        <f ca="1">IF($N883="","",IFERROR(MATCH($N883,evol_conc!$P:$P,0),0))</f>
        <v/>
      </c>
    </row>
    <row r="884" spans="12:17" ht="18" hidden="1" customHeight="1" x14ac:dyDescent="0.25">
      <c r="L884" s="53" t="str">
        <f t="shared" si="26"/>
        <v/>
      </c>
      <c r="M884" s="19" t="str">
        <f t="shared" si="27"/>
        <v/>
      </c>
      <c r="N884" t="str">
        <f ca="1">IF(TRIM(SUBSTITUTE($B884,CHAR(160)," "))="","",IFERROR(IF(ISNUMBER(SEARCH("INC",$B884)),"INC",IF(ISNUMBER(SEARCH("OPI",$B884)),"OPI",IF(ISNUMBER(SEARCH("DP",$B884)),"DP","CONC")))&amp;" "&amp;TEXT(LOOKUP(9.99E+307,--MID(SUBSTITUTE($B884,CHAR(160)," "),SUMPRODUCT(MIN(FIND({0,1,2,3,4,5,6,7,8,9},SUBSTITUTE($B884,CHAR(160)," ")&amp;"0123456789"))),ROW(INDIRECT("1:6")))),"0"),"SIN NUMERO"))</f>
        <v/>
      </c>
      <c r="O884" t="str">
        <f ca="1">IF($N884="","",IF(LEFT(UPPER($P884),9)="VERIFICAR","VERIFICAR",IF(AND($H884&lt;&gt;"",COUNTIFS($N$2:$N$1000,$N884,$H$2:$H$1000,$H884)&gt;1),"DUPLICADA",IF(TRIM(IF($A884="","tipo ","")&amp;IF($F884="","fecha de firma ","")&amp;IF($G884="","decisión ","")&amp;IF($H884="","N° resolución ","")&amp;IF($I884="","N° dictamen",""))&lt;&gt;"","INCOMPLETA: "&amp;TRIM(IF($A884="","tipo ","")&amp;IF($F884="","fecha de firma ","")&amp;IF($G884="","decisión ","")&amp;IF($H884="","N° resolución ","")&amp;IF($I884="","N° dictamen","")),IF(LEFT($N884,4)&lt;&gt;"CONC","OK",IF(N($Q884)=0,IF(AND(ISNUMBER($E884),$E884&gt;=DATE(2024,1,1)),"FALTA EN evol_conc","OK"),IF(INDEX(evol_conc!$H:$H,$Q884)&lt;&gt;$F884,"FIRMA DISTINTA EN evol_conc ("&amp;IF(INDEX(evol_conc!$H:$H,$Q884)="","vacía",DAY(INDEX(evol_conc!$H:$H,$Q884))&amp;"/"&amp;MONTH(INDEX(evol_conc!$H:$H,$Q884))&amp;"/"&amp;YEAR(INDEX(evol_conc!$H:$H,$Q884)))&amp;")",IF(INDEX(evol_conc!$G:$G,$Q884)&lt;&gt;$E884,"INGRESO DISTINTO EN evol_conc ("&amp;IF(INDEX(evol_conc!$G:$G,$Q884)="","vacía",DAY(INDEX(evol_conc!$G:$G,$Q884))&amp;"/"&amp;MONTH(INDEX(evol_conc!$G:$G,$Q884))&amp;"/"&amp;YEAR(INDEX(evol_conc!$G:$G,$Q884)))&amp;")","OK"))))))))</f>
        <v/>
      </c>
      <c r="Q884" t="str">
        <f ca="1">IF($N884="","",IFERROR(MATCH($N884,evol_conc!$P:$P,0),0))</f>
        <v/>
      </c>
    </row>
    <row r="885" spans="12:17" ht="18" hidden="1" customHeight="1" x14ac:dyDescent="0.25">
      <c r="L885" s="53" t="str">
        <f t="shared" si="26"/>
        <v/>
      </c>
      <c r="M885" s="19" t="str">
        <f t="shared" si="27"/>
        <v/>
      </c>
      <c r="N885" t="str">
        <f ca="1">IF(TRIM(SUBSTITUTE($B885,CHAR(160)," "))="","",IFERROR(IF(ISNUMBER(SEARCH("INC",$B885)),"INC",IF(ISNUMBER(SEARCH("OPI",$B885)),"OPI",IF(ISNUMBER(SEARCH("DP",$B885)),"DP","CONC")))&amp;" "&amp;TEXT(LOOKUP(9.99E+307,--MID(SUBSTITUTE($B885,CHAR(160)," "),SUMPRODUCT(MIN(FIND({0,1,2,3,4,5,6,7,8,9},SUBSTITUTE($B885,CHAR(160)," ")&amp;"0123456789"))),ROW(INDIRECT("1:6")))),"0"),"SIN NUMERO"))</f>
        <v/>
      </c>
      <c r="O885" t="str">
        <f ca="1">IF($N885="","",IF(LEFT(UPPER($P885),9)="VERIFICAR","VERIFICAR",IF(AND($H885&lt;&gt;"",COUNTIFS($N$2:$N$1000,$N885,$H$2:$H$1000,$H885)&gt;1),"DUPLICADA",IF(TRIM(IF($A885="","tipo ","")&amp;IF($F885="","fecha de firma ","")&amp;IF($G885="","decisión ","")&amp;IF($H885="","N° resolución ","")&amp;IF($I885="","N° dictamen",""))&lt;&gt;"","INCOMPLETA: "&amp;TRIM(IF($A885="","tipo ","")&amp;IF($F885="","fecha de firma ","")&amp;IF($G885="","decisión ","")&amp;IF($H885="","N° resolución ","")&amp;IF($I885="","N° dictamen","")),IF(LEFT($N885,4)&lt;&gt;"CONC","OK",IF(N($Q885)=0,IF(AND(ISNUMBER($E885),$E885&gt;=DATE(2024,1,1)),"FALTA EN evol_conc","OK"),IF(INDEX(evol_conc!$H:$H,$Q885)&lt;&gt;$F885,"FIRMA DISTINTA EN evol_conc ("&amp;IF(INDEX(evol_conc!$H:$H,$Q885)="","vacía",DAY(INDEX(evol_conc!$H:$H,$Q885))&amp;"/"&amp;MONTH(INDEX(evol_conc!$H:$H,$Q885))&amp;"/"&amp;YEAR(INDEX(evol_conc!$H:$H,$Q885)))&amp;")",IF(INDEX(evol_conc!$G:$G,$Q885)&lt;&gt;$E885,"INGRESO DISTINTO EN evol_conc ("&amp;IF(INDEX(evol_conc!$G:$G,$Q885)="","vacía",DAY(INDEX(evol_conc!$G:$G,$Q885))&amp;"/"&amp;MONTH(INDEX(evol_conc!$G:$G,$Q885))&amp;"/"&amp;YEAR(INDEX(evol_conc!$G:$G,$Q885)))&amp;")","OK"))))))))</f>
        <v/>
      </c>
      <c r="Q885" t="str">
        <f ca="1">IF($N885="","",IFERROR(MATCH($N885,evol_conc!$P:$P,0),0))</f>
        <v/>
      </c>
    </row>
    <row r="886" spans="12:17" ht="18" hidden="1" customHeight="1" x14ac:dyDescent="0.25">
      <c r="L886" s="53" t="str">
        <f t="shared" si="26"/>
        <v/>
      </c>
      <c r="M886" s="19" t="str">
        <f t="shared" si="27"/>
        <v/>
      </c>
      <c r="N886" t="str">
        <f ca="1">IF(TRIM(SUBSTITUTE($B886,CHAR(160)," "))="","",IFERROR(IF(ISNUMBER(SEARCH("INC",$B886)),"INC",IF(ISNUMBER(SEARCH("OPI",$B886)),"OPI",IF(ISNUMBER(SEARCH("DP",$B886)),"DP","CONC")))&amp;" "&amp;TEXT(LOOKUP(9.99E+307,--MID(SUBSTITUTE($B886,CHAR(160)," "),SUMPRODUCT(MIN(FIND({0,1,2,3,4,5,6,7,8,9},SUBSTITUTE($B886,CHAR(160)," ")&amp;"0123456789"))),ROW(INDIRECT("1:6")))),"0"),"SIN NUMERO"))</f>
        <v/>
      </c>
      <c r="O886" t="str">
        <f ca="1">IF($N886="","",IF(LEFT(UPPER($P886),9)="VERIFICAR","VERIFICAR",IF(AND($H886&lt;&gt;"",COUNTIFS($N$2:$N$1000,$N886,$H$2:$H$1000,$H886)&gt;1),"DUPLICADA",IF(TRIM(IF($A886="","tipo ","")&amp;IF($F886="","fecha de firma ","")&amp;IF($G886="","decisión ","")&amp;IF($H886="","N° resolución ","")&amp;IF($I886="","N° dictamen",""))&lt;&gt;"","INCOMPLETA: "&amp;TRIM(IF($A886="","tipo ","")&amp;IF($F886="","fecha de firma ","")&amp;IF($G886="","decisión ","")&amp;IF($H886="","N° resolución ","")&amp;IF($I886="","N° dictamen","")),IF(LEFT($N886,4)&lt;&gt;"CONC","OK",IF(N($Q886)=0,IF(AND(ISNUMBER($E886),$E886&gt;=DATE(2024,1,1)),"FALTA EN evol_conc","OK"),IF(INDEX(evol_conc!$H:$H,$Q886)&lt;&gt;$F886,"FIRMA DISTINTA EN evol_conc ("&amp;IF(INDEX(evol_conc!$H:$H,$Q886)="","vacía",DAY(INDEX(evol_conc!$H:$H,$Q886))&amp;"/"&amp;MONTH(INDEX(evol_conc!$H:$H,$Q886))&amp;"/"&amp;YEAR(INDEX(evol_conc!$H:$H,$Q886)))&amp;")",IF(INDEX(evol_conc!$G:$G,$Q886)&lt;&gt;$E886,"INGRESO DISTINTO EN evol_conc ("&amp;IF(INDEX(evol_conc!$G:$G,$Q886)="","vacía",DAY(INDEX(evol_conc!$G:$G,$Q886))&amp;"/"&amp;MONTH(INDEX(evol_conc!$G:$G,$Q886))&amp;"/"&amp;YEAR(INDEX(evol_conc!$G:$G,$Q886)))&amp;")","OK"))))))))</f>
        <v/>
      </c>
      <c r="Q886" t="str">
        <f ca="1">IF($N886="","",IFERROR(MATCH($N886,evol_conc!$P:$P,0),0))</f>
        <v/>
      </c>
    </row>
    <row r="887" spans="12:17" ht="18" hidden="1" customHeight="1" x14ac:dyDescent="0.25">
      <c r="L887" s="53" t="str">
        <f t="shared" si="26"/>
        <v/>
      </c>
      <c r="M887" s="19" t="str">
        <f t="shared" si="27"/>
        <v/>
      </c>
      <c r="N887" t="str">
        <f ca="1">IF(TRIM(SUBSTITUTE($B887,CHAR(160)," "))="","",IFERROR(IF(ISNUMBER(SEARCH("INC",$B887)),"INC",IF(ISNUMBER(SEARCH("OPI",$B887)),"OPI",IF(ISNUMBER(SEARCH("DP",$B887)),"DP","CONC")))&amp;" "&amp;TEXT(LOOKUP(9.99E+307,--MID(SUBSTITUTE($B887,CHAR(160)," "),SUMPRODUCT(MIN(FIND({0,1,2,3,4,5,6,7,8,9},SUBSTITUTE($B887,CHAR(160)," ")&amp;"0123456789"))),ROW(INDIRECT("1:6")))),"0"),"SIN NUMERO"))</f>
        <v/>
      </c>
      <c r="O887" t="str">
        <f ca="1">IF($N887="","",IF(LEFT(UPPER($P887),9)="VERIFICAR","VERIFICAR",IF(AND($H887&lt;&gt;"",COUNTIFS($N$2:$N$1000,$N887,$H$2:$H$1000,$H887)&gt;1),"DUPLICADA",IF(TRIM(IF($A887="","tipo ","")&amp;IF($F887="","fecha de firma ","")&amp;IF($G887="","decisión ","")&amp;IF($H887="","N° resolución ","")&amp;IF($I887="","N° dictamen",""))&lt;&gt;"","INCOMPLETA: "&amp;TRIM(IF($A887="","tipo ","")&amp;IF($F887="","fecha de firma ","")&amp;IF($G887="","decisión ","")&amp;IF($H887="","N° resolución ","")&amp;IF($I887="","N° dictamen","")),IF(LEFT($N887,4)&lt;&gt;"CONC","OK",IF(N($Q887)=0,IF(AND(ISNUMBER($E887),$E887&gt;=DATE(2024,1,1)),"FALTA EN evol_conc","OK"),IF(INDEX(evol_conc!$H:$H,$Q887)&lt;&gt;$F887,"FIRMA DISTINTA EN evol_conc ("&amp;IF(INDEX(evol_conc!$H:$H,$Q887)="","vacía",DAY(INDEX(evol_conc!$H:$H,$Q887))&amp;"/"&amp;MONTH(INDEX(evol_conc!$H:$H,$Q887))&amp;"/"&amp;YEAR(INDEX(evol_conc!$H:$H,$Q887)))&amp;")",IF(INDEX(evol_conc!$G:$G,$Q887)&lt;&gt;$E887,"INGRESO DISTINTO EN evol_conc ("&amp;IF(INDEX(evol_conc!$G:$G,$Q887)="","vacía",DAY(INDEX(evol_conc!$G:$G,$Q887))&amp;"/"&amp;MONTH(INDEX(evol_conc!$G:$G,$Q887))&amp;"/"&amp;YEAR(INDEX(evol_conc!$G:$G,$Q887)))&amp;")","OK"))))))))</f>
        <v/>
      </c>
      <c r="Q887" t="str">
        <f ca="1">IF($N887="","",IFERROR(MATCH($N887,evol_conc!$P:$P,0),0))</f>
        <v/>
      </c>
    </row>
    <row r="888" spans="12:17" ht="18" hidden="1" customHeight="1" x14ac:dyDescent="0.25">
      <c r="L888" s="53" t="str">
        <f t="shared" si="26"/>
        <v/>
      </c>
      <c r="M888" s="19" t="str">
        <f t="shared" si="27"/>
        <v/>
      </c>
      <c r="N888" t="str">
        <f ca="1">IF(TRIM(SUBSTITUTE($B888,CHAR(160)," "))="","",IFERROR(IF(ISNUMBER(SEARCH("INC",$B888)),"INC",IF(ISNUMBER(SEARCH("OPI",$B888)),"OPI",IF(ISNUMBER(SEARCH("DP",$B888)),"DP","CONC")))&amp;" "&amp;TEXT(LOOKUP(9.99E+307,--MID(SUBSTITUTE($B888,CHAR(160)," "),SUMPRODUCT(MIN(FIND({0,1,2,3,4,5,6,7,8,9},SUBSTITUTE($B888,CHAR(160)," ")&amp;"0123456789"))),ROW(INDIRECT("1:6")))),"0"),"SIN NUMERO"))</f>
        <v/>
      </c>
      <c r="O888" t="str">
        <f ca="1">IF($N888="","",IF(LEFT(UPPER($P888),9)="VERIFICAR","VERIFICAR",IF(AND($H888&lt;&gt;"",COUNTIFS($N$2:$N$1000,$N888,$H$2:$H$1000,$H888)&gt;1),"DUPLICADA",IF(TRIM(IF($A888="","tipo ","")&amp;IF($F888="","fecha de firma ","")&amp;IF($G888="","decisión ","")&amp;IF($H888="","N° resolución ","")&amp;IF($I888="","N° dictamen",""))&lt;&gt;"","INCOMPLETA: "&amp;TRIM(IF($A888="","tipo ","")&amp;IF($F888="","fecha de firma ","")&amp;IF($G888="","decisión ","")&amp;IF($H888="","N° resolución ","")&amp;IF($I888="","N° dictamen","")),IF(LEFT($N888,4)&lt;&gt;"CONC","OK",IF(N($Q888)=0,IF(AND(ISNUMBER($E888),$E888&gt;=DATE(2024,1,1)),"FALTA EN evol_conc","OK"),IF(INDEX(evol_conc!$H:$H,$Q888)&lt;&gt;$F888,"FIRMA DISTINTA EN evol_conc ("&amp;IF(INDEX(evol_conc!$H:$H,$Q888)="","vacía",DAY(INDEX(evol_conc!$H:$H,$Q888))&amp;"/"&amp;MONTH(INDEX(evol_conc!$H:$H,$Q888))&amp;"/"&amp;YEAR(INDEX(evol_conc!$H:$H,$Q888)))&amp;")",IF(INDEX(evol_conc!$G:$G,$Q888)&lt;&gt;$E888,"INGRESO DISTINTO EN evol_conc ("&amp;IF(INDEX(evol_conc!$G:$G,$Q888)="","vacía",DAY(INDEX(evol_conc!$G:$G,$Q888))&amp;"/"&amp;MONTH(INDEX(evol_conc!$G:$G,$Q888))&amp;"/"&amp;YEAR(INDEX(evol_conc!$G:$G,$Q888)))&amp;")","OK"))))))))</f>
        <v/>
      </c>
      <c r="Q888" t="str">
        <f ca="1">IF($N888="","",IFERROR(MATCH($N888,evol_conc!$P:$P,0),0))</f>
        <v/>
      </c>
    </row>
    <row r="889" spans="12:17" ht="18" hidden="1" customHeight="1" x14ac:dyDescent="0.25">
      <c r="L889" s="53" t="str">
        <f t="shared" si="26"/>
        <v/>
      </c>
      <c r="M889" s="19" t="str">
        <f t="shared" si="27"/>
        <v/>
      </c>
      <c r="N889" t="str">
        <f ca="1">IF(TRIM(SUBSTITUTE($B889,CHAR(160)," "))="","",IFERROR(IF(ISNUMBER(SEARCH("INC",$B889)),"INC",IF(ISNUMBER(SEARCH("OPI",$B889)),"OPI",IF(ISNUMBER(SEARCH("DP",$B889)),"DP","CONC")))&amp;" "&amp;TEXT(LOOKUP(9.99E+307,--MID(SUBSTITUTE($B889,CHAR(160)," "),SUMPRODUCT(MIN(FIND({0,1,2,3,4,5,6,7,8,9},SUBSTITUTE($B889,CHAR(160)," ")&amp;"0123456789"))),ROW(INDIRECT("1:6")))),"0"),"SIN NUMERO"))</f>
        <v/>
      </c>
      <c r="O889" t="str">
        <f ca="1">IF($N889="","",IF(LEFT(UPPER($P889),9)="VERIFICAR","VERIFICAR",IF(AND($H889&lt;&gt;"",COUNTIFS($N$2:$N$1000,$N889,$H$2:$H$1000,$H889)&gt;1),"DUPLICADA",IF(TRIM(IF($A889="","tipo ","")&amp;IF($F889="","fecha de firma ","")&amp;IF($G889="","decisión ","")&amp;IF($H889="","N° resolución ","")&amp;IF($I889="","N° dictamen",""))&lt;&gt;"","INCOMPLETA: "&amp;TRIM(IF($A889="","tipo ","")&amp;IF($F889="","fecha de firma ","")&amp;IF($G889="","decisión ","")&amp;IF($H889="","N° resolución ","")&amp;IF($I889="","N° dictamen","")),IF(LEFT($N889,4)&lt;&gt;"CONC","OK",IF(N($Q889)=0,IF(AND(ISNUMBER($E889),$E889&gt;=DATE(2024,1,1)),"FALTA EN evol_conc","OK"),IF(INDEX(evol_conc!$H:$H,$Q889)&lt;&gt;$F889,"FIRMA DISTINTA EN evol_conc ("&amp;IF(INDEX(evol_conc!$H:$H,$Q889)="","vacía",DAY(INDEX(evol_conc!$H:$H,$Q889))&amp;"/"&amp;MONTH(INDEX(evol_conc!$H:$H,$Q889))&amp;"/"&amp;YEAR(INDEX(evol_conc!$H:$H,$Q889)))&amp;")",IF(INDEX(evol_conc!$G:$G,$Q889)&lt;&gt;$E889,"INGRESO DISTINTO EN evol_conc ("&amp;IF(INDEX(evol_conc!$G:$G,$Q889)="","vacía",DAY(INDEX(evol_conc!$G:$G,$Q889))&amp;"/"&amp;MONTH(INDEX(evol_conc!$G:$G,$Q889))&amp;"/"&amp;YEAR(INDEX(evol_conc!$G:$G,$Q889)))&amp;")","OK"))))))))</f>
        <v/>
      </c>
      <c r="Q889" t="str">
        <f ca="1">IF($N889="","",IFERROR(MATCH($N889,evol_conc!$P:$P,0),0))</f>
        <v/>
      </c>
    </row>
    <row r="890" spans="12:17" ht="18" hidden="1" customHeight="1" x14ac:dyDescent="0.25">
      <c r="L890" s="53" t="str">
        <f t="shared" si="26"/>
        <v/>
      </c>
      <c r="M890" s="19" t="str">
        <f t="shared" si="27"/>
        <v/>
      </c>
      <c r="N890" t="str">
        <f ca="1">IF(TRIM(SUBSTITUTE($B890,CHAR(160)," "))="","",IFERROR(IF(ISNUMBER(SEARCH("INC",$B890)),"INC",IF(ISNUMBER(SEARCH("OPI",$B890)),"OPI",IF(ISNUMBER(SEARCH("DP",$B890)),"DP","CONC")))&amp;" "&amp;TEXT(LOOKUP(9.99E+307,--MID(SUBSTITUTE($B890,CHAR(160)," "),SUMPRODUCT(MIN(FIND({0,1,2,3,4,5,6,7,8,9},SUBSTITUTE($B890,CHAR(160)," ")&amp;"0123456789"))),ROW(INDIRECT("1:6")))),"0"),"SIN NUMERO"))</f>
        <v/>
      </c>
      <c r="O890" t="str">
        <f ca="1">IF($N890="","",IF(LEFT(UPPER($P890),9)="VERIFICAR","VERIFICAR",IF(AND($H890&lt;&gt;"",COUNTIFS($N$2:$N$1000,$N890,$H$2:$H$1000,$H890)&gt;1),"DUPLICADA",IF(TRIM(IF($A890="","tipo ","")&amp;IF($F890="","fecha de firma ","")&amp;IF($G890="","decisión ","")&amp;IF($H890="","N° resolución ","")&amp;IF($I890="","N° dictamen",""))&lt;&gt;"","INCOMPLETA: "&amp;TRIM(IF($A890="","tipo ","")&amp;IF($F890="","fecha de firma ","")&amp;IF($G890="","decisión ","")&amp;IF($H890="","N° resolución ","")&amp;IF($I890="","N° dictamen","")),IF(LEFT($N890,4)&lt;&gt;"CONC","OK",IF(N($Q890)=0,IF(AND(ISNUMBER($E890),$E890&gt;=DATE(2024,1,1)),"FALTA EN evol_conc","OK"),IF(INDEX(evol_conc!$H:$H,$Q890)&lt;&gt;$F890,"FIRMA DISTINTA EN evol_conc ("&amp;IF(INDEX(evol_conc!$H:$H,$Q890)="","vacía",DAY(INDEX(evol_conc!$H:$H,$Q890))&amp;"/"&amp;MONTH(INDEX(evol_conc!$H:$H,$Q890))&amp;"/"&amp;YEAR(INDEX(evol_conc!$H:$H,$Q890)))&amp;")",IF(INDEX(evol_conc!$G:$G,$Q890)&lt;&gt;$E890,"INGRESO DISTINTO EN evol_conc ("&amp;IF(INDEX(evol_conc!$G:$G,$Q890)="","vacía",DAY(INDEX(evol_conc!$G:$G,$Q890))&amp;"/"&amp;MONTH(INDEX(evol_conc!$G:$G,$Q890))&amp;"/"&amp;YEAR(INDEX(evol_conc!$G:$G,$Q890)))&amp;")","OK"))))))))</f>
        <v/>
      </c>
      <c r="Q890" t="str">
        <f ca="1">IF($N890="","",IFERROR(MATCH($N890,evol_conc!$P:$P,0),0))</f>
        <v/>
      </c>
    </row>
    <row r="891" spans="12:17" ht="18" hidden="1" customHeight="1" x14ac:dyDescent="0.25">
      <c r="L891" s="53" t="str">
        <f t="shared" si="26"/>
        <v/>
      </c>
      <c r="M891" s="19" t="str">
        <f t="shared" si="27"/>
        <v/>
      </c>
      <c r="N891" t="str">
        <f ca="1">IF(TRIM(SUBSTITUTE($B891,CHAR(160)," "))="","",IFERROR(IF(ISNUMBER(SEARCH("INC",$B891)),"INC",IF(ISNUMBER(SEARCH("OPI",$B891)),"OPI",IF(ISNUMBER(SEARCH("DP",$B891)),"DP","CONC")))&amp;" "&amp;TEXT(LOOKUP(9.99E+307,--MID(SUBSTITUTE($B891,CHAR(160)," "),SUMPRODUCT(MIN(FIND({0,1,2,3,4,5,6,7,8,9},SUBSTITUTE($B891,CHAR(160)," ")&amp;"0123456789"))),ROW(INDIRECT("1:6")))),"0"),"SIN NUMERO"))</f>
        <v/>
      </c>
      <c r="O891" t="str">
        <f ca="1">IF($N891="","",IF(LEFT(UPPER($P891),9)="VERIFICAR","VERIFICAR",IF(AND($H891&lt;&gt;"",COUNTIFS($N$2:$N$1000,$N891,$H$2:$H$1000,$H891)&gt;1),"DUPLICADA",IF(TRIM(IF($A891="","tipo ","")&amp;IF($F891="","fecha de firma ","")&amp;IF($G891="","decisión ","")&amp;IF($H891="","N° resolución ","")&amp;IF($I891="","N° dictamen",""))&lt;&gt;"","INCOMPLETA: "&amp;TRIM(IF($A891="","tipo ","")&amp;IF($F891="","fecha de firma ","")&amp;IF($G891="","decisión ","")&amp;IF($H891="","N° resolución ","")&amp;IF($I891="","N° dictamen","")),IF(LEFT($N891,4)&lt;&gt;"CONC","OK",IF(N($Q891)=0,IF(AND(ISNUMBER($E891),$E891&gt;=DATE(2024,1,1)),"FALTA EN evol_conc","OK"),IF(INDEX(evol_conc!$H:$H,$Q891)&lt;&gt;$F891,"FIRMA DISTINTA EN evol_conc ("&amp;IF(INDEX(evol_conc!$H:$H,$Q891)="","vacía",DAY(INDEX(evol_conc!$H:$H,$Q891))&amp;"/"&amp;MONTH(INDEX(evol_conc!$H:$H,$Q891))&amp;"/"&amp;YEAR(INDEX(evol_conc!$H:$H,$Q891)))&amp;")",IF(INDEX(evol_conc!$G:$G,$Q891)&lt;&gt;$E891,"INGRESO DISTINTO EN evol_conc ("&amp;IF(INDEX(evol_conc!$G:$G,$Q891)="","vacía",DAY(INDEX(evol_conc!$G:$G,$Q891))&amp;"/"&amp;MONTH(INDEX(evol_conc!$G:$G,$Q891))&amp;"/"&amp;YEAR(INDEX(evol_conc!$G:$G,$Q891)))&amp;")","OK"))))))))</f>
        <v/>
      </c>
      <c r="Q891" t="str">
        <f ca="1">IF($N891="","",IFERROR(MATCH($N891,evol_conc!$P:$P,0),0))</f>
        <v/>
      </c>
    </row>
    <row r="892" spans="12:17" ht="18" hidden="1" customHeight="1" x14ac:dyDescent="0.25">
      <c r="L892" s="53" t="str">
        <f t="shared" si="26"/>
        <v/>
      </c>
      <c r="M892" s="19" t="str">
        <f t="shared" si="27"/>
        <v/>
      </c>
      <c r="N892" t="str">
        <f ca="1">IF(TRIM(SUBSTITUTE($B892,CHAR(160)," "))="","",IFERROR(IF(ISNUMBER(SEARCH("INC",$B892)),"INC",IF(ISNUMBER(SEARCH("OPI",$B892)),"OPI",IF(ISNUMBER(SEARCH("DP",$B892)),"DP","CONC")))&amp;" "&amp;TEXT(LOOKUP(9.99E+307,--MID(SUBSTITUTE($B892,CHAR(160)," "),SUMPRODUCT(MIN(FIND({0,1,2,3,4,5,6,7,8,9},SUBSTITUTE($B892,CHAR(160)," ")&amp;"0123456789"))),ROW(INDIRECT("1:6")))),"0"),"SIN NUMERO"))</f>
        <v/>
      </c>
      <c r="O892" t="str">
        <f ca="1">IF($N892="","",IF(LEFT(UPPER($P892),9)="VERIFICAR","VERIFICAR",IF(AND($H892&lt;&gt;"",COUNTIFS($N$2:$N$1000,$N892,$H$2:$H$1000,$H892)&gt;1),"DUPLICADA",IF(TRIM(IF($A892="","tipo ","")&amp;IF($F892="","fecha de firma ","")&amp;IF($G892="","decisión ","")&amp;IF($H892="","N° resolución ","")&amp;IF($I892="","N° dictamen",""))&lt;&gt;"","INCOMPLETA: "&amp;TRIM(IF($A892="","tipo ","")&amp;IF($F892="","fecha de firma ","")&amp;IF($G892="","decisión ","")&amp;IF($H892="","N° resolución ","")&amp;IF($I892="","N° dictamen","")),IF(LEFT($N892,4)&lt;&gt;"CONC","OK",IF(N($Q892)=0,IF(AND(ISNUMBER($E892),$E892&gt;=DATE(2024,1,1)),"FALTA EN evol_conc","OK"),IF(INDEX(evol_conc!$H:$H,$Q892)&lt;&gt;$F892,"FIRMA DISTINTA EN evol_conc ("&amp;IF(INDEX(evol_conc!$H:$H,$Q892)="","vacía",DAY(INDEX(evol_conc!$H:$H,$Q892))&amp;"/"&amp;MONTH(INDEX(evol_conc!$H:$H,$Q892))&amp;"/"&amp;YEAR(INDEX(evol_conc!$H:$H,$Q892)))&amp;")",IF(INDEX(evol_conc!$G:$G,$Q892)&lt;&gt;$E892,"INGRESO DISTINTO EN evol_conc ("&amp;IF(INDEX(evol_conc!$G:$G,$Q892)="","vacía",DAY(INDEX(evol_conc!$G:$G,$Q892))&amp;"/"&amp;MONTH(INDEX(evol_conc!$G:$G,$Q892))&amp;"/"&amp;YEAR(INDEX(evol_conc!$G:$G,$Q892)))&amp;")","OK"))))))))</f>
        <v/>
      </c>
      <c r="Q892" t="str">
        <f ca="1">IF($N892="","",IFERROR(MATCH($N892,evol_conc!$P:$P,0),0))</f>
        <v/>
      </c>
    </row>
    <row r="893" spans="12:17" ht="18" hidden="1" customHeight="1" x14ac:dyDescent="0.25">
      <c r="L893" s="53" t="str">
        <f t="shared" si="26"/>
        <v/>
      </c>
      <c r="M893" s="19" t="str">
        <f t="shared" si="27"/>
        <v/>
      </c>
      <c r="N893" t="str">
        <f ca="1">IF(TRIM(SUBSTITUTE($B893,CHAR(160)," "))="","",IFERROR(IF(ISNUMBER(SEARCH("INC",$B893)),"INC",IF(ISNUMBER(SEARCH("OPI",$B893)),"OPI",IF(ISNUMBER(SEARCH("DP",$B893)),"DP","CONC")))&amp;" "&amp;TEXT(LOOKUP(9.99E+307,--MID(SUBSTITUTE($B893,CHAR(160)," "),SUMPRODUCT(MIN(FIND({0,1,2,3,4,5,6,7,8,9},SUBSTITUTE($B893,CHAR(160)," ")&amp;"0123456789"))),ROW(INDIRECT("1:6")))),"0"),"SIN NUMERO"))</f>
        <v/>
      </c>
      <c r="O893" t="str">
        <f ca="1">IF($N893="","",IF(LEFT(UPPER($P893),9)="VERIFICAR","VERIFICAR",IF(AND($H893&lt;&gt;"",COUNTIFS($N$2:$N$1000,$N893,$H$2:$H$1000,$H893)&gt;1),"DUPLICADA",IF(TRIM(IF($A893="","tipo ","")&amp;IF($F893="","fecha de firma ","")&amp;IF($G893="","decisión ","")&amp;IF($H893="","N° resolución ","")&amp;IF($I893="","N° dictamen",""))&lt;&gt;"","INCOMPLETA: "&amp;TRIM(IF($A893="","tipo ","")&amp;IF($F893="","fecha de firma ","")&amp;IF($G893="","decisión ","")&amp;IF($H893="","N° resolución ","")&amp;IF($I893="","N° dictamen","")),IF(LEFT($N893,4)&lt;&gt;"CONC","OK",IF(N($Q893)=0,IF(AND(ISNUMBER($E893),$E893&gt;=DATE(2024,1,1)),"FALTA EN evol_conc","OK"),IF(INDEX(evol_conc!$H:$H,$Q893)&lt;&gt;$F893,"FIRMA DISTINTA EN evol_conc ("&amp;IF(INDEX(evol_conc!$H:$H,$Q893)="","vacía",DAY(INDEX(evol_conc!$H:$H,$Q893))&amp;"/"&amp;MONTH(INDEX(evol_conc!$H:$H,$Q893))&amp;"/"&amp;YEAR(INDEX(evol_conc!$H:$H,$Q893)))&amp;")",IF(INDEX(evol_conc!$G:$G,$Q893)&lt;&gt;$E893,"INGRESO DISTINTO EN evol_conc ("&amp;IF(INDEX(evol_conc!$G:$G,$Q893)="","vacía",DAY(INDEX(evol_conc!$G:$G,$Q893))&amp;"/"&amp;MONTH(INDEX(evol_conc!$G:$G,$Q893))&amp;"/"&amp;YEAR(INDEX(evol_conc!$G:$G,$Q893)))&amp;")","OK"))))))))</f>
        <v/>
      </c>
      <c r="Q893" t="str">
        <f ca="1">IF($N893="","",IFERROR(MATCH($N893,evol_conc!$P:$P,0),0))</f>
        <v/>
      </c>
    </row>
    <row r="894" spans="12:17" ht="18" hidden="1" customHeight="1" x14ac:dyDescent="0.25">
      <c r="L894" s="53" t="str">
        <f t="shared" si="26"/>
        <v/>
      </c>
      <c r="M894" s="19" t="str">
        <f t="shared" si="27"/>
        <v/>
      </c>
      <c r="N894" t="str">
        <f ca="1">IF(TRIM(SUBSTITUTE($B894,CHAR(160)," "))="","",IFERROR(IF(ISNUMBER(SEARCH("INC",$B894)),"INC",IF(ISNUMBER(SEARCH("OPI",$B894)),"OPI",IF(ISNUMBER(SEARCH("DP",$B894)),"DP","CONC")))&amp;" "&amp;TEXT(LOOKUP(9.99E+307,--MID(SUBSTITUTE($B894,CHAR(160)," "),SUMPRODUCT(MIN(FIND({0,1,2,3,4,5,6,7,8,9},SUBSTITUTE($B894,CHAR(160)," ")&amp;"0123456789"))),ROW(INDIRECT("1:6")))),"0"),"SIN NUMERO"))</f>
        <v/>
      </c>
      <c r="O894" t="str">
        <f ca="1">IF($N894="","",IF(LEFT(UPPER($P894),9)="VERIFICAR","VERIFICAR",IF(AND($H894&lt;&gt;"",COUNTIFS($N$2:$N$1000,$N894,$H$2:$H$1000,$H894)&gt;1),"DUPLICADA",IF(TRIM(IF($A894="","tipo ","")&amp;IF($F894="","fecha de firma ","")&amp;IF($G894="","decisión ","")&amp;IF($H894="","N° resolución ","")&amp;IF($I894="","N° dictamen",""))&lt;&gt;"","INCOMPLETA: "&amp;TRIM(IF($A894="","tipo ","")&amp;IF($F894="","fecha de firma ","")&amp;IF($G894="","decisión ","")&amp;IF($H894="","N° resolución ","")&amp;IF($I894="","N° dictamen","")),IF(LEFT($N894,4)&lt;&gt;"CONC","OK",IF(N($Q894)=0,IF(AND(ISNUMBER($E894),$E894&gt;=DATE(2024,1,1)),"FALTA EN evol_conc","OK"),IF(INDEX(evol_conc!$H:$H,$Q894)&lt;&gt;$F894,"FIRMA DISTINTA EN evol_conc ("&amp;IF(INDEX(evol_conc!$H:$H,$Q894)="","vacía",DAY(INDEX(evol_conc!$H:$H,$Q894))&amp;"/"&amp;MONTH(INDEX(evol_conc!$H:$H,$Q894))&amp;"/"&amp;YEAR(INDEX(evol_conc!$H:$H,$Q894)))&amp;")",IF(INDEX(evol_conc!$G:$G,$Q894)&lt;&gt;$E894,"INGRESO DISTINTO EN evol_conc ("&amp;IF(INDEX(evol_conc!$G:$G,$Q894)="","vacía",DAY(INDEX(evol_conc!$G:$G,$Q894))&amp;"/"&amp;MONTH(INDEX(evol_conc!$G:$G,$Q894))&amp;"/"&amp;YEAR(INDEX(evol_conc!$G:$G,$Q894)))&amp;")","OK"))))))))</f>
        <v/>
      </c>
      <c r="Q894" t="str">
        <f ca="1">IF($N894="","",IFERROR(MATCH($N894,evol_conc!$P:$P,0),0))</f>
        <v/>
      </c>
    </row>
    <row r="895" spans="12:17" ht="18" hidden="1" customHeight="1" x14ac:dyDescent="0.25">
      <c r="L895" s="53" t="str">
        <f t="shared" si="26"/>
        <v/>
      </c>
      <c r="M895" s="19" t="str">
        <f t="shared" si="27"/>
        <v/>
      </c>
      <c r="N895" t="str">
        <f ca="1">IF(TRIM(SUBSTITUTE($B895,CHAR(160)," "))="","",IFERROR(IF(ISNUMBER(SEARCH("INC",$B895)),"INC",IF(ISNUMBER(SEARCH("OPI",$B895)),"OPI",IF(ISNUMBER(SEARCH("DP",$B895)),"DP","CONC")))&amp;" "&amp;TEXT(LOOKUP(9.99E+307,--MID(SUBSTITUTE($B895,CHAR(160)," "),SUMPRODUCT(MIN(FIND({0,1,2,3,4,5,6,7,8,9},SUBSTITUTE($B895,CHAR(160)," ")&amp;"0123456789"))),ROW(INDIRECT("1:6")))),"0"),"SIN NUMERO"))</f>
        <v/>
      </c>
      <c r="O895" t="str">
        <f ca="1">IF($N895="","",IF(LEFT(UPPER($P895),9)="VERIFICAR","VERIFICAR",IF(AND($H895&lt;&gt;"",COUNTIFS($N$2:$N$1000,$N895,$H$2:$H$1000,$H895)&gt;1),"DUPLICADA",IF(TRIM(IF($A895="","tipo ","")&amp;IF($F895="","fecha de firma ","")&amp;IF($G895="","decisión ","")&amp;IF($H895="","N° resolución ","")&amp;IF($I895="","N° dictamen",""))&lt;&gt;"","INCOMPLETA: "&amp;TRIM(IF($A895="","tipo ","")&amp;IF($F895="","fecha de firma ","")&amp;IF($G895="","decisión ","")&amp;IF($H895="","N° resolución ","")&amp;IF($I895="","N° dictamen","")),IF(LEFT($N895,4)&lt;&gt;"CONC","OK",IF(N($Q895)=0,IF(AND(ISNUMBER($E895),$E895&gt;=DATE(2024,1,1)),"FALTA EN evol_conc","OK"),IF(INDEX(evol_conc!$H:$H,$Q895)&lt;&gt;$F895,"FIRMA DISTINTA EN evol_conc ("&amp;IF(INDEX(evol_conc!$H:$H,$Q895)="","vacía",DAY(INDEX(evol_conc!$H:$H,$Q895))&amp;"/"&amp;MONTH(INDEX(evol_conc!$H:$H,$Q895))&amp;"/"&amp;YEAR(INDEX(evol_conc!$H:$H,$Q895)))&amp;")",IF(INDEX(evol_conc!$G:$G,$Q895)&lt;&gt;$E895,"INGRESO DISTINTO EN evol_conc ("&amp;IF(INDEX(evol_conc!$G:$G,$Q895)="","vacía",DAY(INDEX(evol_conc!$G:$G,$Q895))&amp;"/"&amp;MONTH(INDEX(evol_conc!$G:$G,$Q895))&amp;"/"&amp;YEAR(INDEX(evol_conc!$G:$G,$Q895)))&amp;")","OK"))))))))</f>
        <v/>
      </c>
      <c r="Q895" t="str">
        <f ca="1">IF($N895="","",IFERROR(MATCH($N895,evol_conc!$P:$P,0),0))</f>
        <v/>
      </c>
    </row>
    <row r="896" spans="12:17" ht="18" hidden="1" customHeight="1" x14ac:dyDescent="0.25">
      <c r="L896" s="53" t="str">
        <f t="shared" si="26"/>
        <v/>
      </c>
      <c r="M896" s="19" t="str">
        <f t="shared" si="27"/>
        <v/>
      </c>
      <c r="N896" t="str">
        <f ca="1">IF(TRIM(SUBSTITUTE($B896,CHAR(160)," "))="","",IFERROR(IF(ISNUMBER(SEARCH("INC",$B896)),"INC",IF(ISNUMBER(SEARCH("OPI",$B896)),"OPI",IF(ISNUMBER(SEARCH("DP",$B896)),"DP","CONC")))&amp;" "&amp;TEXT(LOOKUP(9.99E+307,--MID(SUBSTITUTE($B896,CHAR(160)," "),SUMPRODUCT(MIN(FIND({0,1,2,3,4,5,6,7,8,9},SUBSTITUTE($B896,CHAR(160)," ")&amp;"0123456789"))),ROW(INDIRECT("1:6")))),"0"),"SIN NUMERO"))</f>
        <v/>
      </c>
      <c r="O896" t="str">
        <f ca="1">IF($N896="","",IF(LEFT(UPPER($P896),9)="VERIFICAR","VERIFICAR",IF(AND($H896&lt;&gt;"",COUNTIFS($N$2:$N$1000,$N896,$H$2:$H$1000,$H896)&gt;1),"DUPLICADA",IF(TRIM(IF($A896="","tipo ","")&amp;IF($F896="","fecha de firma ","")&amp;IF($G896="","decisión ","")&amp;IF($H896="","N° resolución ","")&amp;IF($I896="","N° dictamen",""))&lt;&gt;"","INCOMPLETA: "&amp;TRIM(IF($A896="","tipo ","")&amp;IF($F896="","fecha de firma ","")&amp;IF($G896="","decisión ","")&amp;IF($H896="","N° resolución ","")&amp;IF($I896="","N° dictamen","")),IF(LEFT($N896,4)&lt;&gt;"CONC","OK",IF(N($Q896)=0,IF(AND(ISNUMBER($E896),$E896&gt;=DATE(2024,1,1)),"FALTA EN evol_conc","OK"),IF(INDEX(evol_conc!$H:$H,$Q896)&lt;&gt;$F896,"FIRMA DISTINTA EN evol_conc ("&amp;IF(INDEX(evol_conc!$H:$H,$Q896)="","vacía",DAY(INDEX(evol_conc!$H:$H,$Q896))&amp;"/"&amp;MONTH(INDEX(evol_conc!$H:$H,$Q896))&amp;"/"&amp;YEAR(INDEX(evol_conc!$H:$H,$Q896)))&amp;")",IF(INDEX(evol_conc!$G:$G,$Q896)&lt;&gt;$E896,"INGRESO DISTINTO EN evol_conc ("&amp;IF(INDEX(evol_conc!$G:$G,$Q896)="","vacía",DAY(INDEX(evol_conc!$G:$G,$Q896))&amp;"/"&amp;MONTH(INDEX(evol_conc!$G:$G,$Q896))&amp;"/"&amp;YEAR(INDEX(evol_conc!$G:$G,$Q896)))&amp;")","OK"))))))))</f>
        <v/>
      </c>
      <c r="Q896" t="str">
        <f ca="1">IF($N896="","",IFERROR(MATCH($N896,evol_conc!$P:$P,0),0))</f>
        <v/>
      </c>
    </row>
    <row r="897" spans="12:17" ht="18" hidden="1" customHeight="1" x14ac:dyDescent="0.25">
      <c r="L897" s="53" t="str">
        <f t="shared" si="26"/>
        <v/>
      </c>
      <c r="M897" s="19" t="str">
        <f t="shared" si="27"/>
        <v/>
      </c>
      <c r="N897" t="str">
        <f ca="1">IF(TRIM(SUBSTITUTE($B897,CHAR(160)," "))="","",IFERROR(IF(ISNUMBER(SEARCH("INC",$B897)),"INC",IF(ISNUMBER(SEARCH("OPI",$B897)),"OPI",IF(ISNUMBER(SEARCH("DP",$B897)),"DP","CONC")))&amp;" "&amp;TEXT(LOOKUP(9.99E+307,--MID(SUBSTITUTE($B897,CHAR(160)," "),SUMPRODUCT(MIN(FIND({0,1,2,3,4,5,6,7,8,9},SUBSTITUTE($B897,CHAR(160)," ")&amp;"0123456789"))),ROW(INDIRECT("1:6")))),"0"),"SIN NUMERO"))</f>
        <v/>
      </c>
      <c r="O897" t="str">
        <f ca="1">IF($N897="","",IF(LEFT(UPPER($P897),9)="VERIFICAR","VERIFICAR",IF(AND($H897&lt;&gt;"",COUNTIFS($N$2:$N$1000,$N897,$H$2:$H$1000,$H897)&gt;1),"DUPLICADA",IF(TRIM(IF($A897="","tipo ","")&amp;IF($F897="","fecha de firma ","")&amp;IF($G897="","decisión ","")&amp;IF($H897="","N° resolución ","")&amp;IF($I897="","N° dictamen",""))&lt;&gt;"","INCOMPLETA: "&amp;TRIM(IF($A897="","tipo ","")&amp;IF($F897="","fecha de firma ","")&amp;IF($G897="","decisión ","")&amp;IF($H897="","N° resolución ","")&amp;IF($I897="","N° dictamen","")),IF(LEFT($N897,4)&lt;&gt;"CONC","OK",IF(N($Q897)=0,IF(AND(ISNUMBER($E897),$E897&gt;=DATE(2024,1,1)),"FALTA EN evol_conc","OK"),IF(INDEX(evol_conc!$H:$H,$Q897)&lt;&gt;$F897,"FIRMA DISTINTA EN evol_conc ("&amp;IF(INDEX(evol_conc!$H:$H,$Q897)="","vacía",DAY(INDEX(evol_conc!$H:$H,$Q897))&amp;"/"&amp;MONTH(INDEX(evol_conc!$H:$H,$Q897))&amp;"/"&amp;YEAR(INDEX(evol_conc!$H:$H,$Q897)))&amp;")",IF(INDEX(evol_conc!$G:$G,$Q897)&lt;&gt;$E897,"INGRESO DISTINTO EN evol_conc ("&amp;IF(INDEX(evol_conc!$G:$G,$Q897)="","vacía",DAY(INDEX(evol_conc!$G:$G,$Q897))&amp;"/"&amp;MONTH(INDEX(evol_conc!$G:$G,$Q897))&amp;"/"&amp;YEAR(INDEX(evol_conc!$G:$G,$Q897)))&amp;")","OK"))))))))</f>
        <v/>
      </c>
      <c r="Q897" t="str">
        <f ca="1">IF($N897="","",IFERROR(MATCH($N897,evol_conc!$P:$P,0),0))</f>
        <v/>
      </c>
    </row>
    <row r="898" spans="12:17" ht="18" hidden="1" customHeight="1" x14ac:dyDescent="0.25">
      <c r="L898" s="53" t="str">
        <f t="shared" ref="L898:L961" si="28">IF(OR($E898="",$F898=""),"",($F898-$E898)/30)</f>
        <v/>
      </c>
      <c r="M898" s="19" t="str">
        <f t="shared" ref="M898:M961" si="29">IF(OR($E898="",$F898=""),"",$F898-$E898)</f>
        <v/>
      </c>
      <c r="N898" t="str">
        <f ca="1">IF(TRIM(SUBSTITUTE($B898,CHAR(160)," "))="","",IFERROR(IF(ISNUMBER(SEARCH("INC",$B898)),"INC",IF(ISNUMBER(SEARCH("OPI",$B898)),"OPI",IF(ISNUMBER(SEARCH("DP",$B898)),"DP","CONC")))&amp;" "&amp;TEXT(LOOKUP(9.99E+307,--MID(SUBSTITUTE($B898,CHAR(160)," "),SUMPRODUCT(MIN(FIND({0,1,2,3,4,5,6,7,8,9},SUBSTITUTE($B898,CHAR(160)," ")&amp;"0123456789"))),ROW(INDIRECT("1:6")))),"0"),"SIN NUMERO"))</f>
        <v/>
      </c>
      <c r="O898" t="str">
        <f ca="1">IF($N898="","",IF(LEFT(UPPER($P898),9)="VERIFICAR","VERIFICAR",IF(AND($H898&lt;&gt;"",COUNTIFS($N$2:$N$1000,$N898,$H$2:$H$1000,$H898)&gt;1),"DUPLICADA",IF(TRIM(IF($A898="","tipo ","")&amp;IF($F898="","fecha de firma ","")&amp;IF($G898="","decisión ","")&amp;IF($H898="","N° resolución ","")&amp;IF($I898="","N° dictamen",""))&lt;&gt;"","INCOMPLETA: "&amp;TRIM(IF($A898="","tipo ","")&amp;IF($F898="","fecha de firma ","")&amp;IF($G898="","decisión ","")&amp;IF($H898="","N° resolución ","")&amp;IF($I898="","N° dictamen","")),IF(LEFT($N898,4)&lt;&gt;"CONC","OK",IF(N($Q898)=0,IF(AND(ISNUMBER($E898),$E898&gt;=DATE(2024,1,1)),"FALTA EN evol_conc","OK"),IF(INDEX(evol_conc!$H:$H,$Q898)&lt;&gt;$F898,"FIRMA DISTINTA EN evol_conc ("&amp;IF(INDEX(evol_conc!$H:$H,$Q898)="","vacía",DAY(INDEX(evol_conc!$H:$H,$Q898))&amp;"/"&amp;MONTH(INDEX(evol_conc!$H:$H,$Q898))&amp;"/"&amp;YEAR(INDEX(evol_conc!$H:$H,$Q898)))&amp;")",IF(INDEX(evol_conc!$G:$G,$Q898)&lt;&gt;$E898,"INGRESO DISTINTO EN evol_conc ("&amp;IF(INDEX(evol_conc!$G:$G,$Q898)="","vacía",DAY(INDEX(evol_conc!$G:$G,$Q898))&amp;"/"&amp;MONTH(INDEX(evol_conc!$G:$G,$Q898))&amp;"/"&amp;YEAR(INDEX(evol_conc!$G:$G,$Q898)))&amp;")","OK"))))))))</f>
        <v/>
      </c>
      <c r="Q898" t="str">
        <f ca="1">IF($N898="","",IFERROR(MATCH($N898,evol_conc!$P:$P,0),0))</f>
        <v/>
      </c>
    </row>
    <row r="899" spans="12:17" ht="18" hidden="1" customHeight="1" x14ac:dyDescent="0.25">
      <c r="L899" s="53" t="str">
        <f t="shared" si="28"/>
        <v/>
      </c>
      <c r="M899" s="19" t="str">
        <f t="shared" si="29"/>
        <v/>
      </c>
      <c r="N899" t="str">
        <f ca="1">IF(TRIM(SUBSTITUTE($B899,CHAR(160)," "))="","",IFERROR(IF(ISNUMBER(SEARCH("INC",$B899)),"INC",IF(ISNUMBER(SEARCH("OPI",$B899)),"OPI",IF(ISNUMBER(SEARCH("DP",$B899)),"DP","CONC")))&amp;" "&amp;TEXT(LOOKUP(9.99E+307,--MID(SUBSTITUTE($B899,CHAR(160)," "),SUMPRODUCT(MIN(FIND({0,1,2,3,4,5,6,7,8,9},SUBSTITUTE($B899,CHAR(160)," ")&amp;"0123456789"))),ROW(INDIRECT("1:6")))),"0"),"SIN NUMERO"))</f>
        <v/>
      </c>
      <c r="O899" t="str">
        <f ca="1">IF($N899="","",IF(LEFT(UPPER($P899),9)="VERIFICAR","VERIFICAR",IF(AND($H899&lt;&gt;"",COUNTIFS($N$2:$N$1000,$N899,$H$2:$H$1000,$H899)&gt;1),"DUPLICADA",IF(TRIM(IF($A899="","tipo ","")&amp;IF($F899="","fecha de firma ","")&amp;IF($G899="","decisión ","")&amp;IF($H899="","N° resolución ","")&amp;IF($I899="","N° dictamen",""))&lt;&gt;"","INCOMPLETA: "&amp;TRIM(IF($A899="","tipo ","")&amp;IF($F899="","fecha de firma ","")&amp;IF($G899="","decisión ","")&amp;IF($H899="","N° resolución ","")&amp;IF($I899="","N° dictamen","")),IF(LEFT($N899,4)&lt;&gt;"CONC","OK",IF(N($Q899)=0,IF(AND(ISNUMBER($E899),$E899&gt;=DATE(2024,1,1)),"FALTA EN evol_conc","OK"),IF(INDEX(evol_conc!$H:$H,$Q899)&lt;&gt;$F899,"FIRMA DISTINTA EN evol_conc ("&amp;IF(INDEX(evol_conc!$H:$H,$Q899)="","vacía",DAY(INDEX(evol_conc!$H:$H,$Q899))&amp;"/"&amp;MONTH(INDEX(evol_conc!$H:$H,$Q899))&amp;"/"&amp;YEAR(INDEX(evol_conc!$H:$H,$Q899)))&amp;")",IF(INDEX(evol_conc!$G:$G,$Q899)&lt;&gt;$E899,"INGRESO DISTINTO EN evol_conc ("&amp;IF(INDEX(evol_conc!$G:$G,$Q899)="","vacía",DAY(INDEX(evol_conc!$G:$G,$Q899))&amp;"/"&amp;MONTH(INDEX(evol_conc!$G:$G,$Q899))&amp;"/"&amp;YEAR(INDEX(evol_conc!$G:$G,$Q899)))&amp;")","OK"))))))))</f>
        <v/>
      </c>
      <c r="Q899" t="str">
        <f ca="1">IF($N899="","",IFERROR(MATCH($N899,evol_conc!$P:$P,0),0))</f>
        <v/>
      </c>
    </row>
    <row r="900" spans="12:17" ht="18" hidden="1" customHeight="1" x14ac:dyDescent="0.25">
      <c r="L900" s="53" t="str">
        <f t="shared" si="28"/>
        <v/>
      </c>
      <c r="M900" s="19" t="str">
        <f t="shared" si="29"/>
        <v/>
      </c>
      <c r="N900" t="str">
        <f ca="1">IF(TRIM(SUBSTITUTE($B900,CHAR(160)," "))="","",IFERROR(IF(ISNUMBER(SEARCH("INC",$B900)),"INC",IF(ISNUMBER(SEARCH("OPI",$B900)),"OPI",IF(ISNUMBER(SEARCH("DP",$B900)),"DP","CONC")))&amp;" "&amp;TEXT(LOOKUP(9.99E+307,--MID(SUBSTITUTE($B900,CHAR(160)," "),SUMPRODUCT(MIN(FIND({0,1,2,3,4,5,6,7,8,9},SUBSTITUTE($B900,CHAR(160)," ")&amp;"0123456789"))),ROW(INDIRECT("1:6")))),"0"),"SIN NUMERO"))</f>
        <v/>
      </c>
      <c r="O900" t="str">
        <f ca="1">IF($N900="","",IF(LEFT(UPPER($P900),9)="VERIFICAR","VERIFICAR",IF(AND($H900&lt;&gt;"",COUNTIFS($N$2:$N$1000,$N900,$H$2:$H$1000,$H900)&gt;1),"DUPLICADA",IF(TRIM(IF($A900="","tipo ","")&amp;IF($F900="","fecha de firma ","")&amp;IF($G900="","decisión ","")&amp;IF($H900="","N° resolución ","")&amp;IF($I900="","N° dictamen",""))&lt;&gt;"","INCOMPLETA: "&amp;TRIM(IF($A900="","tipo ","")&amp;IF($F900="","fecha de firma ","")&amp;IF($G900="","decisión ","")&amp;IF($H900="","N° resolución ","")&amp;IF($I900="","N° dictamen","")),IF(LEFT($N900,4)&lt;&gt;"CONC","OK",IF(N($Q900)=0,IF(AND(ISNUMBER($E900),$E900&gt;=DATE(2024,1,1)),"FALTA EN evol_conc","OK"),IF(INDEX(evol_conc!$H:$H,$Q900)&lt;&gt;$F900,"FIRMA DISTINTA EN evol_conc ("&amp;IF(INDEX(evol_conc!$H:$H,$Q900)="","vacía",DAY(INDEX(evol_conc!$H:$H,$Q900))&amp;"/"&amp;MONTH(INDEX(evol_conc!$H:$H,$Q900))&amp;"/"&amp;YEAR(INDEX(evol_conc!$H:$H,$Q900)))&amp;")",IF(INDEX(evol_conc!$G:$G,$Q900)&lt;&gt;$E900,"INGRESO DISTINTO EN evol_conc ("&amp;IF(INDEX(evol_conc!$G:$G,$Q900)="","vacía",DAY(INDEX(evol_conc!$G:$G,$Q900))&amp;"/"&amp;MONTH(INDEX(evol_conc!$G:$G,$Q900))&amp;"/"&amp;YEAR(INDEX(evol_conc!$G:$G,$Q900)))&amp;")","OK"))))))))</f>
        <v/>
      </c>
      <c r="Q900" t="str">
        <f ca="1">IF($N900="","",IFERROR(MATCH($N900,evol_conc!$P:$P,0),0))</f>
        <v/>
      </c>
    </row>
    <row r="901" spans="12:17" ht="18" hidden="1" customHeight="1" x14ac:dyDescent="0.25">
      <c r="L901" s="53" t="str">
        <f t="shared" si="28"/>
        <v/>
      </c>
      <c r="M901" s="19" t="str">
        <f t="shared" si="29"/>
        <v/>
      </c>
      <c r="N901" t="str">
        <f ca="1">IF(TRIM(SUBSTITUTE($B901,CHAR(160)," "))="","",IFERROR(IF(ISNUMBER(SEARCH("INC",$B901)),"INC",IF(ISNUMBER(SEARCH("OPI",$B901)),"OPI",IF(ISNUMBER(SEARCH("DP",$B901)),"DP","CONC")))&amp;" "&amp;TEXT(LOOKUP(9.99E+307,--MID(SUBSTITUTE($B901,CHAR(160)," "),SUMPRODUCT(MIN(FIND({0,1,2,3,4,5,6,7,8,9},SUBSTITUTE($B901,CHAR(160)," ")&amp;"0123456789"))),ROW(INDIRECT("1:6")))),"0"),"SIN NUMERO"))</f>
        <v/>
      </c>
      <c r="O901" t="str">
        <f ca="1">IF($N901="","",IF(LEFT(UPPER($P901),9)="VERIFICAR","VERIFICAR",IF(AND($H901&lt;&gt;"",COUNTIFS($N$2:$N$1000,$N901,$H$2:$H$1000,$H901)&gt;1),"DUPLICADA",IF(TRIM(IF($A901="","tipo ","")&amp;IF($F901="","fecha de firma ","")&amp;IF($G901="","decisión ","")&amp;IF($H901="","N° resolución ","")&amp;IF($I901="","N° dictamen",""))&lt;&gt;"","INCOMPLETA: "&amp;TRIM(IF($A901="","tipo ","")&amp;IF($F901="","fecha de firma ","")&amp;IF($G901="","decisión ","")&amp;IF($H901="","N° resolución ","")&amp;IF($I901="","N° dictamen","")),IF(LEFT($N901,4)&lt;&gt;"CONC","OK",IF(N($Q901)=0,IF(AND(ISNUMBER($E901),$E901&gt;=DATE(2024,1,1)),"FALTA EN evol_conc","OK"),IF(INDEX(evol_conc!$H:$H,$Q901)&lt;&gt;$F901,"FIRMA DISTINTA EN evol_conc ("&amp;IF(INDEX(evol_conc!$H:$H,$Q901)="","vacía",DAY(INDEX(evol_conc!$H:$H,$Q901))&amp;"/"&amp;MONTH(INDEX(evol_conc!$H:$H,$Q901))&amp;"/"&amp;YEAR(INDEX(evol_conc!$H:$H,$Q901)))&amp;")",IF(INDEX(evol_conc!$G:$G,$Q901)&lt;&gt;$E901,"INGRESO DISTINTO EN evol_conc ("&amp;IF(INDEX(evol_conc!$G:$G,$Q901)="","vacía",DAY(INDEX(evol_conc!$G:$G,$Q901))&amp;"/"&amp;MONTH(INDEX(evol_conc!$G:$G,$Q901))&amp;"/"&amp;YEAR(INDEX(evol_conc!$G:$G,$Q901)))&amp;")","OK"))))))))</f>
        <v/>
      </c>
      <c r="Q901" t="str">
        <f ca="1">IF($N901="","",IFERROR(MATCH($N901,evol_conc!$P:$P,0),0))</f>
        <v/>
      </c>
    </row>
    <row r="902" spans="12:17" ht="18" hidden="1" customHeight="1" x14ac:dyDescent="0.25">
      <c r="L902" s="53" t="str">
        <f t="shared" si="28"/>
        <v/>
      </c>
      <c r="M902" s="19" t="str">
        <f t="shared" si="29"/>
        <v/>
      </c>
      <c r="N902" t="str">
        <f ca="1">IF(TRIM(SUBSTITUTE($B902,CHAR(160)," "))="","",IFERROR(IF(ISNUMBER(SEARCH("INC",$B902)),"INC",IF(ISNUMBER(SEARCH("OPI",$B902)),"OPI",IF(ISNUMBER(SEARCH("DP",$B902)),"DP","CONC")))&amp;" "&amp;TEXT(LOOKUP(9.99E+307,--MID(SUBSTITUTE($B902,CHAR(160)," "),SUMPRODUCT(MIN(FIND({0,1,2,3,4,5,6,7,8,9},SUBSTITUTE($B902,CHAR(160)," ")&amp;"0123456789"))),ROW(INDIRECT("1:6")))),"0"),"SIN NUMERO"))</f>
        <v/>
      </c>
      <c r="O902" t="str">
        <f ca="1">IF($N902="","",IF(LEFT(UPPER($P902),9)="VERIFICAR","VERIFICAR",IF(AND($H902&lt;&gt;"",COUNTIFS($N$2:$N$1000,$N902,$H$2:$H$1000,$H902)&gt;1),"DUPLICADA",IF(TRIM(IF($A902="","tipo ","")&amp;IF($F902="","fecha de firma ","")&amp;IF($G902="","decisión ","")&amp;IF($H902="","N° resolución ","")&amp;IF($I902="","N° dictamen",""))&lt;&gt;"","INCOMPLETA: "&amp;TRIM(IF($A902="","tipo ","")&amp;IF($F902="","fecha de firma ","")&amp;IF($G902="","decisión ","")&amp;IF($H902="","N° resolución ","")&amp;IF($I902="","N° dictamen","")),IF(LEFT($N902,4)&lt;&gt;"CONC","OK",IF(N($Q902)=0,IF(AND(ISNUMBER($E902),$E902&gt;=DATE(2024,1,1)),"FALTA EN evol_conc","OK"),IF(INDEX(evol_conc!$H:$H,$Q902)&lt;&gt;$F902,"FIRMA DISTINTA EN evol_conc ("&amp;IF(INDEX(evol_conc!$H:$H,$Q902)="","vacía",DAY(INDEX(evol_conc!$H:$H,$Q902))&amp;"/"&amp;MONTH(INDEX(evol_conc!$H:$H,$Q902))&amp;"/"&amp;YEAR(INDEX(evol_conc!$H:$H,$Q902)))&amp;")",IF(INDEX(evol_conc!$G:$G,$Q902)&lt;&gt;$E902,"INGRESO DISTINTO EN evol_conc ("&amp;IF(INDEX(evol_conc!$G:$G,$Q902)="","vacía",DAY(INDEX(evol_conc!$G:$G,$Q902))&amp;"/"&amp;MONTH(INDEX(evol_conc!$G:$G,$Q902))&amp;"/"&amp;YEAR(INDEX(evol_conc!$G:$G,$Q902)))&amp;")","OK"))))))))</f>
        <v/>
      </c>
      <c r="Q902" t="str">
        <f ca="1">IF($N902="","",IFERROR(MATCH($N902,evol_conc!$P:$P,0),0))</f>
        <v/>
      </c>
    </row>
    <row r="903" spans="12:17" ht="18" hidden="1" customHeight="1" x14ac:dyDescent="0.25">
      <c r="L903" s="53" t="str">
        <f t="shared" si="28"/>
        <v/>
      </c>
      <c r="M903" s="19" t="str">
        <f t="shared" si="29"/>
        <v/>
      </c>
      <c r="N903" t="str">
        <f ca="1">IF(TRIM(SUBSTITUTE($B903,CHAR(160)," "))="","",IFERROR(IF(ISNUMBER(SEARCH("INC",$B903)),"INC",IF(ISNUMBER(SEARCH("OPI",$B903)),"OPI",IF(ISNUMBER(SEARCH("DP",$B903)),"DP","CONC")))&amp;" "&amp;TEXT(LOOKUP(9.99E+307,--MID(SUBSTITUTE($B903,CHAR(160)," "),SUMPRODUCT(MIN(FIND({0,1,2,3,4,5,6,7,8,9},SUBSTITUTE($B903,CHAR(160)," ")&amp;"0123456789"))),ROW(INDIRECT("1:6")))),"0"),"SIN NUMERO"))</f>
        <v/>
      </c>
      <c r="O903" t="str">
        <f ca="1">IF($N903="","",IF(LEFT(UPPER($P903),9)="VERIFICAR","VERIFICAR",IF(AND($H903&lt;&gt;"",COUNTIFS($N$2:$N$1000,$N903,$H$2:$H$1000,$H903)&gt;1),"DUPLICADA",IF(TRIM(IF($A903="","tipo ","")&amp;IF($F903="","fecha de firma ","")&amp;IF($G903="","decisión ","")&amp;IF($H903="","N° resolución ","")&amp;IF($I903="","N° dictamen",""))&lt;&gt;"","INCOMPLETA: "&amp;TRIM(IF($A903="","tipo ","")&amp;IF($F903="","fecha de firma ","")&amp;IF($G903="","decisión ","")&amp;IF($H903="","N° resolución ","")&amp;IF($I903="","N° dictamen","")),IF(LEFT($N903,4)&lt;&gt;"CONC","OK",IF(N($Q903)=0,IF(AND(ISNUMBER($E903),$E903&gt;=DATE(2024,1,1)),"FALTA EN evol_conc","OK"),IF(INDEX(evol_conc!$H:$H,$Q903)&lt;&gt;$F903,"FIRMA DISTINTA EN evol_conc ("&amp;IF(INDEX(evol_conc!$H:$H,$Q903)="","vacía",DAY(INDEX(evol_conc!$H:$H,$Q903))&amp;"/"&amp;MONTH(INDEX(evol_conc!$H:$H,$Q903))&amp;"/"&amp;YEAR(INDEX(evol_conc!$H:$H,$Q903)))&amp;")",IF(INDEX(evol_conc!$G:$G,$Q903)&lt;&gt;$E903,"INGRESO DISTINTO EN evol_conc ("&amp;IF(INDEX(evol_conc!$G:$G,$Q903)="","vacía",DAY(INDEX(evol_conc!$G:$G,$Q903))&amp;"/"&amp;MONTH(INDEX(evol_conc!$G:$G,$Q903))&amp;"/"&amp;YEAR(INDEX(evol_conc!$G:$G,$Q903)))&amp;")","OK"))))))))</f>
        <v/>
      </c>
      <c r="Q903" t="str">
        <f ca="1">IF($N903="","",IFERROR(MATCH($N903,evol_conc!$P:$P,0),0))</f>
        <v/>
      </c>
    </row>
    <row r="904" spans="12:17" ht="18" hidden="1" customHeight="1" x14ac:dyDescent="0.25">
      <c r="L904" s="53" t="str">
        <f t="shared" si="28"/>
        <v/>
      </c>
      <c r="M904" s="19" t="str">
        <f t="shared" si="29"/>
        <v/>
      </c>
      <c r="N904" t="str">
        <f ca="1">IF(TRIM(SUBSTITUTE($B904,CHAR(160)," "))="","",IFERROR(IF(ISNUMBER(SEARCH("INC",$B904)),"INC",IF(ISNUMBER(SEARCH("OPI",$B904)),"OPI",IF(ISNUMBER(SEARCH("DP",$B904)),"DP","CONC")))&amp;" "&amp;TEXT(LOOKUP(9.99E+307,--MID(SUBSTITUTE($B904,CHAR(160)," "),SUMPRODUCT(MIN(FIND({0,1,2,3,4,5,6,7,8,9},SUBSTITUTE($B904,CHAR(160)," ")&amp;"0123456789"))),ROW(INDIRECT("1:6")))),"0"),"SIN NUMERO"))</f>
        <v/>
      </c>
      <c r="O904" t="str">
        <f ca="1">IF($N904="","",IF(LEFT(UPPER($P904),9)="VERIFICAR","VERIFICAR",IF(AND($H904&lt;&gt;"",COUNTIFS($N$2:$N$1000,$N904,$H$2:$H$1000,$H904)&gt;1),"DUPLICADA",IF(TRIM(IF($A904="","tipo ","")&amp;IF($F904="","fecha de firma ","")&amp;IF($G904="","decisión ","")&amp;IF($H904="","N° resolución ","")&amp;IF($I904="","N° dictamen",""))&lt;&gt;"","INCOMPLETA: "&amp;TRIM(IF($A904="","tipo ","")&amp;IF($F904="","fecha de firma ","")&amp;IF($G904="","decisión ","")&amp;IF($H904="","N° resolución ","")&amp;IF($I904="","N° dictamen","")),IF(LEFT($N904,4)&lt;&gt;"CONC","OK",IF(N($Q904)=0,IF(AND(ISNUMBER($E904),$E904&gt;=DATE(2024,1,1)),"FALTA EN evol_conc","OK"),IF(INDEX(evol_conc!$H:$H,$Q904)&lt;&gt;$F904,"FIRMA DISTINTA EN evol_conc ("&amp;IF(INDEX(evol_conc!$H:$H,$Q904)="","vacía",DAY(INDEX(evol_conc!$H:$H,$Q904))&amp;"/"&amp;MONTH(INDEX(evol_conc!$H:$H,$Q904))&amp;"/"&amp;YEAR(INDEX(evol_conc!$H:$H,$Q904)))&amp;")",IF(INDEX(evol_conc!$G:$G,$Q904)&lt;&gt;$E904,"INGRESO DISTINTO EN evol_conc ("&amp;IF(INDEX(evol_conc!$G:$G,$Q904)="","vacía",DAY(INDEX(evol_conc!$G:$G,$Q904))&amp;"/"&amp;MONTH(INDEX(evol_conc!$G:$G,$Q904))&amp;"/"&amp;YEAR(INDEX(evol_conc!$G:$G,$Q904)))&amp;")","OK"))))))))</f>
        <v/>
      </c>
      <c r="Q904" t="str">
        <f ca="1">IF($N904="","",IFERROR(MATCH($N904,evol_conc!$P:$P,0),0))</f>
        <v/>
      </c>
    </row>
    <row r="905" spans="12:17" ht="18" hidden="1" customHeight="1" x14ac:dyDescent="0.25">
      <c r="L905" s="53" t="str">
        <f t="shared" si="28"/>
        <v/>
      </c>
      <c r="M905" s="19" t="str">
        <f t="shared" si="29"/>
        <v/>
      </c>
      <c r="N905" t="str">
        <f ca="1">IF(TRIM(SUBSTITUTE($B905,CHAR(160)," "))="","",IFERROR(IF(ISNUMBER(SEARCH("INC",$B905)),"INC",IF(ISNUMBER(SEARCH("OPI",$B905)),"OPI",IF(ISNUMBER(SEARCH("DP",$B905)),"DP","CONC")))&amp;" "&amp;TEXT(LOOKUP(9.99E+307,--MID(SUBSTITUTE($B905,CHAR(160)," "),SUMPRODUCT(MIN(FIND({0,1,2,3,4,5,6,7,8,9},SUBSTITUTE($B905,CHAR(160)," ")&amp;"0123456789"))),ROW(INDIRECT("1:6")))),"0"),"SIN NUMERO"))</f>
        <v/>
      </c>
      <c r="O905" t="str">
        <f ca="1">IF($N905="","",IF(LEFT(UPPER($P905),9)="VERIFICAR","VERIFICAR",IF(AND($H905&lt;&gt;"",COUNTIFS($N$2:$N$1000,$N905,$H$2:$H$1000,$H905)&gt;1),"DUPLICADA",IF(TRIM(IF($A905="","tipo ","")&amp;IF($F905="","fecha de firma ","")&amp;IF($G905="","decisión ","")&amp;IF($H905="","N° resolución ","")&amp;IF($I905="","N° dictamen",""))&lt;&gt;"","INCOMPLETA: "&amp;TRIM(IF($A905="","tipo ","")&amp;IF($F905="","fecha de firma ","")&amp;IF($G905="","decisión ","")&amp;IF($H905="","N° resolución ","")&amp;IF($I905="","N° dictamen","")),IF(LEFT($N905,4)&lt;&gt;"CONC","OK",IF(N($Q905)=0,IF(AND(ISNUMBER($E905),$E905&gt;=DATE(2024,1,1)),"FALTA EN evol_conc","OK"),IF(INDEX(evol_conc!$H:$H,$Q905)&lt;&gt;$F905,"FIRMA DISTINTA EN evol_conc ("&amp;IF(INDEX(evol_conc!$H:$H,$Q905)="","vacía",DAY(INDEX(evol_conc!$H:$H,$Q905))&amp;"/"&amp;MONTH(INDEX(evol_conc!$H:$H,$Q905))&amp;"/"&amp;YEAR(INDEX(evol_conc!$H:$H,$Q905)))&amp;")",IF(INDEX(evol_conc!$G:$G,$Q905)&lt;&gt;$E905,"INGRESO DISTINTO EN evol_conc ("&amp;IF(INDEX(evol_conc!$G:$G,$Q905)="","vacía",DAY(INDEX(evol_conc!$G:$G,$Q905))&amp;"/"&amp;MONTH(INDEX(evol_conc!$G:$G,$Q905))&amp;"/"&amp;YEAR(INDEX(evol_conc!$G:$G,$Q905)))&amp;")","OK"))))))))</f>
        <v/>
      </c>
      <c r="Q905" t="str">
        <f ca="1">IF($N905="","",IFERROR(MATCH($N905,evol_conc!$P:$P,0),0))</f>
        <v/>
      </c>
    </row>
    <row r="906" spans="12:17" ht="18" hidden="1" customHeight="1" x14ac:dyDescent="0.25">
      <c r="L906" s="53" t="str">
        <f t="shared" si="28"/>
        <v/>
      </c>
      <c r="M906" s="19" t="str">
        <f t="shared" si="29"/>
        <v/>
      </c>
      <c r="N906" t="str">
        <f ca="1">IF(TRIM(SUBSTITUTE($B906,CHAR(160)," "))="","",IFERROR(IF(ISNUMBER(SEARCH("INC",$B906)),"INC",IF(ISNUMBER(SEARCH("OPI",$B906)),"OPI",IF(ISNUMBER(SEARCH("DP",$B906)),"DP","CONC")))&amp;" "&amp;TEXT(LOOKUP(9.99E+307,--MID(SUBSTITUTE($B906,CHAR(160)," "),SUMPRODUCT(MIN(FIND({0,1,2,3,4,5,6,7,8,9},SUBSTITUTE($B906,CHAR(160)," ")&amp;"0123456789"))),ROW(INDIRECT("1:6")))),"0"),"SIN NUMERO"))</f>
        <v/>
      </c>
      <c r="O906" t="str">
        <f ca="1">IF($N906="","",IF(LEFT(UPPER($P906),9)="VERIFICAR","VERIFICAR",IF(AND($H906&lt;&gt;"",COUNTIFS($N$2:$N$1000,$N906,$H$2:$H$1000,$H906)&gt;1),"DUPLICADA",IF(TRIM(IF($A906="","tipo ","")&amp;IF($F906="","fecha de firma ","")&amp;IF($G906="","decisión ","")&amp;IF($H906="","N° resolución ","")&amp;IF($I906="","N° dictamen",""))&lt;&gt;"","INCOMPLETA: "&amp;TRIM(IF($A906="","tipo ","")&amp;IF($F906="","fecha de firma ","")&amp;IF($G906="","decisión ","")&amp;IF($H906="","N° resolución ","")&amp;IF($I906="","N° dictamen","")),IF(LEFT($N906,4)&lt;&gt;"CONC","OK",IF(N($Q906)=0,IF(AND(ISNUMBER($E906),$E906&gt;=DATE(2024,1,1)),"FALTA EN evol_conc","OK"),IF(INDEX(evol_conc!$H:$H,$Q906)&lt;&gt;$F906,"FIRMA DISTINTA EN evol_conc ("&amp;IF(INDEX(evol_conc!$H:$H,$Q906)="","vacía",DAY(INDEX(evol_conc!$H:$H,$Q906))&amp;"/"&amp;MONTH(INDEX(evol_conc!$H:$H,$Q906))&amp;"/"&amp;YEAR(INDEX(evol_conc!$H:$H,$Q906)))&amp;")",IF(INDEX(evol_conc!$G:$G,$Q906)&lt;&gt;$E906,"INGRESO DISTINTO EN evol_conc ("&amp;IF(INDEX(evol_conc!$G:$G,$Q906)="","vacía",DAY(INDEX(evol_conc!$G:$G,$Q906))&amp;"/"&amp;MONTH(INDEX(evol_conc!$G:$G,$Q906))&amp;"/"&amp;YEAR(INDEX(evol_conc!$G:$G,$Q906)))&amp;")","OK"))))))))</f>
        <v/>
      </c>
      <c r="Q906" t="str">
        <f ca="1">IF($N906="","",IFERROR(MATCH($N906,evol_conc!$P:$P,0),0))</f>
        <v/>
      </c>
    </row>
    <row r="907" spans="12:17" ht="18" hidden="1" customHeight="1" x14ac:dyDescent="0.25">
      <c r="L907" s="53" t="str">
        <f t="shared" si="28"/>
        <v/>
      </c>
      <c r="M907" s="19" t="str">
        <f t="shared" si="29"/>
        <v/>
      </c>
      <c r="N907" t="str">
        <f ca="1">IF(TRIM(SUBSTITUTE($B907,CHAR(160)," "))="","",IFERROR(IF(ISNUMBER(SEARCH("INC",$B907)),"INC",IF(ISNUMBER(SEARCH("OPI",$B907)),"OPI",IF(ISNUMBER(SEARCH("DP",$B907)),"DP","CONC")))&amp;" "&amp;TEXT(LOOKUP(9.99E+307,--MID(SUBSTITUTE($B907,CHAR(160)," "),SUMPRODUCT(MIN(FIND({0,1,2,3,4,5,6,7,8,9},SUBSTITUTE($B907,CHAR(160)," ")&amp;"0123456789"))),ROW(INDIRECT("1:6")))),"0"),"SIN NUMERO"))</f>
        <v/>
      </c>
      <c r="O907" t="str">
        <f ca="1">IF($N907="","",IF(LEFT(UPPER($P907),9)="VERIFICAR","VERIFICAR",IF(AND($H907&lt;&gt;"",COUNTIFS($N$2:$N$1000,$N907,$H$2:$H$1000,$H907)&gt;1),"DUPLICADA",IF(TRIM(IF($A907="","tipo ","")&amp;IF($F907="","fecha de firma ","")&amp;IF($G907="","decisión ","")&amp;IF($H907="","N° resolución ","")&amp;IF($I907="","N° dictamen",""))&lt;&gt;"","INCOMPLETA: "&amp;TRIM(IF($A907="","tipo ","")&amp;IF($F907="","fecha de firma ","")&amp;IF($G907="","decisión ","")&amp;IF($H907="","N° resolución ","")&amp;IF($I907="","N° dictamen","")),IF(LEFT($N907,4)&lt;&gt;"CONC","OK",IF(N($Q907)=0,IF(AND(ISNUMBER($E907),$E907&gt;=DATE(2024,1,1)),"FALTA EN evol_conc","OK"),IF(INDEX(evol_conc!$H:$H,$Q907)&lt;&gt;$F907,"FIRMA DISTINTA EN evol_conc ("&amp;IF(INDEX(evol_conc!$H:$H,$Q907)="","vacía",DAY(INDEX(evol_conc!$H:$H,$Q907))&amp;"/"&amp;MONTH(INDEX(evol_conc!$H:$H,$Q907))&amp;"/"&amp;YEAR(INDEX(evol_conc!$H:$H,$Q907)))&amp;")",IF(INDEX(evol_conc!$G:$G,$Q907)&lt;&gt;$E907,"INGRESO DISTINTO EN evol_conc ("&amp;IF(INDEX(evol_conc!$G:$G,$Q907)="","vacía",DAY(INDEX(evol_conc!$G:$G,$Q907))&amp;"/"&amp;MONTH(INDEX(evol_conc!$G:$G,$Q907))&amp;"/"&amp;YEAR(INDEX(evol_conc!$G:$G,$Q907)))&amp;")","OK"))))))))</f>
        <v/>
      </c>
      <c r="Q907" t="str">
        <f ca="1">IF($N907="","",IFERROR(MATCH($N907,evol_conc!$P:$P,0),0))</f>
        <v/>
      </c>
    </row>
    <row r="908" spans="12:17" ht="18" hidden="1" customHeight="1" x14ac:dyDescent="0.25">
      <c r="L908" s="53" t="str">
        <f t="shared" si="28"/>
        <v/>
      </c>
      <c r="M908" s="19" t="str">
        <f t="shared" si="29"/>
        <v/>
      </c>
      <c r="N908" t="str">
        <f ca="1">IF(TRIM(SUBSTITUTE($B908,CHAR(160)," "))="","",IFERROR(IF(ISNUMBER(SEARCH("INC",$B908)),"INC",IF(ISNUMBER(SEARCH("OPI",$B908)),"OPI",IF(ISNUMBER(SEARCH("DP",$B908)),"DP","CONC")))&amp;" "&amp;TEXT(LOOKUP(9.99E+307,--MID(SUBSTITUTE($B908,CHAR(160)," "),SUMPRODUCT(MIN(FIND({0,1,2,3,4,5,6,7,8,9},SUBSTITUTE($B908,CHAR(160)," ")&amp;"0123456789"))),ROW(INDIRECT("1:6")))),"0"),"SIN NUMERO"))</f>
        <v/>
      </c>
      <c r="O908" t="str">
        <f ca="1">IF($N908="","",IF(LEFT(UPPER($P908),9)="VERIFICAR","VERIFICAR",IF(AND($H908&lt;&gt;"",COUNTIFS($N$2:$N$1000,$N908,$H$2:$H$1000,$H908)&gt;1),"DUPLICADA",IF(TRIM(IF($A908="","tipo ","")&amp;IF($F908="","fecha de firma ","")&amp;IF($G908="","decisión ","")&amp;IF($H908="","N° resolución ","")&amp;IF($I908="","N° dictamen",""))&lt;&gt;"","INCOMPLETA: "&amp;TRIM(IF($A908="","tipo ","")&amp;IF($F908="","fecha de firma ","")&amp;IF($G908="","decisión ","")&amp;IF($H908="","N° resolución ","")&amp;IF($I908="","N° dictamen","")),IF(LEFT($N908,4)&lt;&gt;"CONC","OK",IF(N($Q908)=0,IF(AND(ISNUMBER($E908),$E908&gt;=DATE(2024,1,1)),"FALTA EN evol_conc","OK"),IF(INDEX(evol_conc!$H:$H,$Q908)&lt;&gt;$F908,"FIRMA DISTINTA EN evol_conc ("&amp;IF(INDEX(evol_conc!$H:$H,$Q908)="","vacía",DAY(INDEX(evol_conc!$H:$H,$Q908))&amp;"/"&amp;MONTH(INDEX(evol_conc!$H:$H,$Q908))&amp;"/"&amp;YEAR(INDEX(evol_conc!$H:$H,$Q908)))&amp;")",IF(INDEX(evol_conc!$G:$G,$Q908)&lt;&gt;$E908,"INGRESO DISTINTO EN evol_conc ("&amp;IF(INDEX(evol_conc!$G:$G,$Q908)="","vacía",DAY(INDEX(evol_conc!$G:$G,$Q908))&amp;"/"&amp;MONTH(INDEX(evol_conc!$G:$G,$Q908))&amp;"/"&amp;YEAR(INDEX(evol_conc!$G:$G,$Q908)))&amp;")","OK"))))))))</f>
        <v/>
      </c>
      <c r="Q908" t="str">
        <f ca="1">IF($N908="","",IFERROR(MATCH($N908,evol_conc!$P:$P,0),0))</f>
        <v/>
      </c>
    </row>
    <row r="909" spans="12:17" ht="18" hidden="1" customHeight="1" x14ac:dyDescent="0.25">
      <c r="L909" s="53" t="str">
        <f t="shared" si="28"/>
        <v/>
      </c>
      <c r="M909" s="19" t="str">
        <f t="shared" si="29"/>
        <v/>
      </c>
      <c r="N909" t="str">
        <f ca="1">IF(TRIM(SUBSTITUTE($B909,CHAR(160)," "))="","",IFERROR(IF(ISNUMBER(SEARCH("INC",$B909)),"INC",IF(ISNUMBER(SEARCH("OPI",$B909)),"OPI",IF(ISNUMBER(SEARCH("DP",$B909)),"DP","CONC")))&amp;" "&amp;TEXT(LOOKUP(9.99E+307,--MID(SUBSTITUTE($B909,CHAR(160)," "),SUMPRODUCT(MIN(FIND({0,1,2,3,4,5,6,7,8,9},SUBSTITUTE($B909,CHAR(160)," ")&amp;"0123456789"))),ROW(INDIRECT("1:6")))),"0"),"SIN NUMERO"))</f>
        <v/>
      </c>
      <c r="O909" t="str">
        <f ca="1">IF($N909="","",IF(LEFT(UPPER($P909),9)="VERIFICAR","VERIFICAR",IF(AND($H909&lt;&gt;"",COUNTIFS($N$2:$N$1000,$N909,$H$2:$H$1000,$H909)&gt;1),"DUPLICADA",IF(TRIM(IF($A909="","tipo ","")&amp;IF($F909="","fecha de firma ","")&amp;IF($G909="","decisión ","")&amp;IF($H909="","N° resolución ","")&amp;IF($I909="","N° dictamen",""))&lt;&gt;"","INCOMPLETA: "&amp;TRIM(IF($A909="","tipo ","")&amp;IF($F909="","fecha de firma ","")&amp;IF($G909="","decisión ","")&amp;IF($H909="","N° resolución ","")&amp;IF($I909="","N° dictamen","")),IF(LEFT($N909,4)&lt;&gt;"CONC","OK",IF(N($Q909)=0,IF(AND(ISNUMBER($E909),$E909&gt;=DATE(2024,1,1)),"FALTA EN evol_conc","OK"),IF(INDEX(evol_conc!$H:$H,$Q909)&lt;&gt;$F909,"FIRMA DISTINTA EN evol_conc ("&amp;IF(INDEX(evol_conc!$H:$H,$Q909)="","vacía",DAY(INDEX(evol_conc!$H:$H,$Q909))&amp;"/"&amp;MONTH(INDEX(evol_conc!$H:$H,$Q909))&amp;"/"&amp;YEAR(INDEX(evol_conc!$H:$H,$Q909)))&amp;")",IF(INDEX(evol_conc!$G:$G,$Q909)&lt;&gt;$E909,"INGRESO DISTINTO EN evol_conc ("&amp;IF(INDEX(evol_conc!$G:$G,$Q909)="","vacía",DAY(INDEX(evol_conc!$G:$G,$Q909))&amp;"/"&amp;MONTH(INDEX(evol_conc!$G:$G,$Q909))&amp;"/"&amp;YEAR(INDEX(evol_conc!$G:$G,$Q909)))&amp;")","OK"))))))))</f>
        <v/>
      </c>
      <c r="Q909" t="str">
        <f ca="1">IF($N909="","",IFERROR(MATCH($N909,evol_conc!$P:$P,0),0))</f>
        <v/>
      </c>
    </row>
    <row r="910" spans="12:17" ht="18" hidden="1" customHeight="1" x14ac:dyDescent="0.25">
      <c r="L910" s="53" t="str">
        <f t="shared" si="28"/>
        <v/>
      </c>
      <c r="M910" s="19" t="str">
        <f t="shared" si="29"/>
        <v/>
      </c>
      <c r="N910" t="str">
        <f ca="1">IF(TRIM(SUBSTITUTE($B910,CHAR(160)," "))="","",IFERROR(IF(ISNUMBER(SEARCH("INC",$B910)),"INC",IF(ISNUMBER(SEARCH("OPI",$B910)),"OPI",IF(ISNUMBER(SEARCH("DP",$B910)),"DP","CONC")))&amp;" "&amp;TEXT(LOOKUP(9.99E+307,--MID(SUBSTITUTE($B910,CHAR(160)," "),SUMPRODUCT(MIN(FIND({0,1,2,3,4,5,6,7,8,9},SUBSTITUTE($B910,CHAR(160)," ")&amp;"0123456789"))),ROW(INDIRECT("1:6")))),"0"),"SIN NUMERO"))</f>
        <v/>
      </c>
      <c r="O910" t="str">
        <f ca="1">IF($N910="","",IF(LEFT(UPPER($P910),9)="VERIFICAR","VERIFICAR",IF(AND($H910&lt;&gt;"",COUNTIFS($N$2:$N$1000,$N910,$H$2:$H$1000,$H910)&gt;1),"DUPLICADA",IF(TRIM(IF($A910="","tipo ","")&amp;IF($F910="","fecha de firma ","")&amp;IF($G910="","decisión ","")&amp;IF($H910="","N° resolución ","")&amp;IF($I910="","N° dictamen",""))&lt;&gt;"","INCOMPLETA: "&amp;TRIM(IF($A910="","tipo ","")&amp;IF($F910="","fecha de firma ","")&amp;IF($G910="","decisión ","")&amp;IF($H910="","N° resolución ","")&amp;IF($I910="","N° dictamen","")),IF(LEFT($N910,4)&lt;&gt;"CONC","OK",IF(N($Q910)=0,IF(AND(ISNUMBER($E910),$E910&gt;=DATE(2024,1,1)),"FALTA EN evol_conc","OK"),IF(INDEX(evol_conc!$H:$H,$Q910)&lt;&gt;$F910,"FIRMA DISTINTA EN evol_conc ("&amp;IF(INDEX(evol_conc!$H:$H,$Q910)="","vacía",DAY(INDEX(evol_conc!$H:$H,$Q910))&amp;"/"&amp;MONTH(INDEX(evol_conc!$H:$H,$Q910))&amp;"/"&amp;YEAR(INDEX(evol_conc!$H:$H,$Q910)))&amp;")",IF(INDEX(evol_conc!$G:$G,$Q910)&lt;&gt;$E910,"INGRESO DISTINTO EN evol_conc ("&amp;IF(INDEX(evol_conc!$G:$G,$Q910)="","vacía",DAY(INDEX(evol_conc!$G:$G,$Q910))&amp;"/"&amp;MONTH(INDEX(evol_conc!$G:$G,$Q910))&amp;"/"&amp;YEAR(INDEX(evol_conc!$G:$G,$Q910)))&amp;")","OK"))))))))</f>
        <v/>
      </c>
      <c r="Q910" t="str">
        <f ca="1">IF($N910="","",IFERROR(MATCH($N910,evol_conc!$P:$P,0),0))</f>
        <v/>
      </c>
    </row>
    <row r="911" spans="12:17" ht="18" hidden="1" customHeight="1" x14ac:dyDescent="0.25">
      <c r="L911" s="53" t="str">
        <f t="shared" si="28"/>
        <v/>
      </c>
      <c r="M911" s="19" t="str">
        <f t="shared" si="29"/>
        <v/>
      </c>
      <c r="N911" t="str">
        <f ca="1">IF(TRIM(SUBSTITUTE($B911,CHAR(160)," "))="","",IFERROR(IF(ISNUMBER(SEARCH("INC",$B911)),"INC",IF(ISNUMBER(SEARCH("OPI",$B911)),"OPI",IF(ISNUMBER(SEARCH("DP",$B911)),"DP","CONC")))&amp;" "&amp;TEXT(LOOKUP(9.99E+307,--MID(SUBSTITUTE($B911,CHAR(160)," "),SUMPRODUCT(MIN(FIND({0,1,2,3,4,5,6,7,8,9},SUBSTITUTE($B911,CHAR(160)," ")&amp;"0123456789"))),ROW(INDIRECT("1:6")))),"0"),"SIN NUMERO"))</f>
        <v/>
      </c>
      <c r="O911" t="str">
        <f ca="1">IF($N911="","",IF(LEFT(UPPER($P911),9)="VERIFICAR","VERIFICAR",IF(AND($H911&lt;&gt;"",COUNTIFS($N$2:$N$1000,$N911,$H$2:$H$1000,$H911)&gt;1),"DUPLICADA",IF(TRIM(IF($A911="","tipo ","")&amp;IF($F911="","fecha de firma ","")&amp;IF($G911="","decisión ","")&amp;IF($H911="","N° resolución ","")&amp;IF($I911="","N° dictamen",""))&lt;&gt;"","INCOMPLETA: "&amp;TRIM(IF($A911="","tipo ","")&amp;IF($F911="","fecha de firma ","")&amp;IF($G911="","decisión ","")&amp;IF($H911="","N° resolución ","")&amp;IF($I911="","N° dictamen","")),IF(LEFT($N911,4)&lt;&gt;"CONC","OK",IF(N($Q911)=0,IF(AND(ISNUMBER($E911),$E911&gt;=DATE(2024,1,1)),"FALTA EN evol_conc","OK"),IF(INDEX(evol_conc!$H:$H,$Q911)&lt;&gt;$F911,"FIRMA DISTINTA EN evol_conc ("&amp;IF(INDEX(evol_conc!$H:$H,$Q911)="","vacía",DAY(INDEX(evol_conc!$H:$H,$Q911))&amp;"/"&amp;MONTH(INDEX(evol_conc!$H:$H,$Q911))&amp;"/"&amp;YEAR(INDEX(evol_conc!$H:$H,$Q911)))&amp;")",IF(INDEX(evol_conc!$G:$G,$Q911)&lt;&gt;$E911,"INGRESO DISTINTO EN evol_conc ("&amp;IF(INDEX(evol_conc!$G:$G,$Q911)="","vacía",DAY(INDEX(evol_conc!$G:$G,$Q911))&amp;"/"&amp;MONTH(INDEX(evol_conc!$G:$G,$Q911))&amp;"/"&amp;YEAR(INDEX(evol_conc!$G:$G,$Q911)))&amp;")","OK"))))))))</f>
        <v/>
      </c>
      <c r="Q911" t="str">
        <f ca="1">IF($N911="","",IFERROR(MATCH($N911,evol_conc!$P:$P,0),0))</f>
        <v/>
      </c>
    </row>
    <row r="912" spans="12:17" ht="18" hidden="1" customHeight="1" x14ac:dyDescent="0.25">
      <c r="L912" s="53" t="str">
        <f t="shared" si="28"/>
        <v/>
      </c>
      <c r="M912" s="19" t="str">
        <f t="shared" si="29"/>
        <v/>
      </c>
      <c r="N912" t="str">
        <f ca="1">IF(TRIM(SUBSTITUTE($B912,CHAR(160)," "))="","",IFERROR(IF(ISNUMBER(SEARCH("INC",$B912)),"INC",IF(ISNUMBER(SEARCH("OPI",$B912)),"OPI",IF(ISNUMBER(SEARCH("DP",$B912)),"DP","CONC")))&amp;" "&amp;TEXT(LOOKUP(9.99E+307,--MID(SUBSTITUTE($B912,CHAR(160)," "),SUMPRODUCT(MIN(FIND({0,1,2,3,4,5,6,7,8,9},SUBSTITUTE($B912,CHAR(160)," ")&amp;"0123456789"))),ROW(INDIRECT("1:6")))),"0"),"SIN NUMERO"))</f>
        <v/>
      </c>
      <c r="O912" t="str">
        <f ca="1">IF($N912="","",IF(LEFT(UPPER($P912),9)="VERIFICAR","VERIFICAR",IF(AND($H912&lt;&gt;"",COUNTIFS($N$2:$N$1000,$N912,$H$2:$H$1000,$H912)&gt;1),"DUPLICADA",IF(TRIM(IF($A912="","tipo ","")&amp;IF($F912="","fecha de firma ","")&amp;IF($G912="","decisión ","")&amp;IF($H912="","N° resolución ","")&amp;IF($I912="","N° dictamen",""))&lt;&gt;"","INCOMPLETA: "&amp;TRIM(IF($A912="","tipo ","")&amp;IF($F912="","fecha de firma ","")&amp;IF($G912="","decisión ","")&amp;IF($H912="","N° resolución ","")&amp;IF($I912="","N° dictamen","")),IF(LEFT($N912,4)&lt;&gt;"CONC","OK",IF(N($Q912)=0,IF(AND(ISNUMBER($E912),$E912&gt;=DATE(2024,1,1)),"FALTA EN evol_conc","OK"),IF(INDEX(evol_conc!$H:$H,$Q912)&lt;&gt;$F912,"FIRMA DISTINTA EN evol_conc ("&amp;IF(INDEX(evol_conc!$H:$H,$Q912)="","vacía",DAY(INDEX(evol_conc!$H:$H,$Q912))&amp;"/"&amp;MONTH(INDEX(evol_conc!$H:$H,$Q912))&amp;"/"&amp;YEAR(INDEX(evol_conc!$H:$H,$Q912)))&amp;")",IF(INDEX(evol_conc!$G:$G,$Q912)&lt;&gt;$E912,"INGRESO DISTINTO EN evol_conc ("&amp;IF(INDEX(evol_conc!$G:$G,$Q912)="","vacía",DAY(INDEX(evol_conc!$G:$G,$Q912))&amp;"/"&amp;MONTH(INDEX(evol_conc!$G:$G,$Q912))&amp;"/"&amp;YEAR(INDEX(evol_conc!$G:$G,$Q912)))&amp;")","OK"))))))))</f>
        <v/>
      </c>
      <c r="Q912" t="str">
        <f ca="1">IF($N912="","",IFERROR(MATCH($N912,evol_conc!$P:$P,0),0))</f>
        <v/>
      </c>
    </row>
    <row r="913" spans="12:17" ht="18" hidden="1" customHeight="1" x14ac:dyDescent="0.25">
      <c r="L913" s="53" t="str">
        <f t="shared" si="28"/>
        <v/>
      </c>
      <c r="M913" s="19" t="str">
        <f t="shared" si="29"/>
        <v/>
      </c>
      <c r="N913" t="str">
        <f ca="1">IF(TRIM(SUBSTITUTE($B913,CHAR(160)," "))="","",IFERROR(IF(ISNUMBER(SEARCH("INC",$B913)),"INC",IF(ISNUMBER(SEARCH("OPI",$B913)),"OPI",IF(ISNUMBER(SEARCH("DP",$B913)),"DP","CONC")))&amp;" "&amp;TEXT(LOOKUP(9.99E+307,--MID(SUBSTITUTE($B913,CHAR(160)," "),SUMPRODUCT(MIN(FIND({0,1,2,3,4,5,6,7,8,9},SUBSTITUTE($B913,CHAR(160)," ")&amp;"0123456789"))),ROW(INDIRECT("1:6")))),"0"),"SIN NUMERO"))</f>
        <v/>
      </c>
      <c r="O913" t="str">
        <f ca="1">IF($N913="","",IF(LEFT(UPPER($P913),9)="VERIFICAR","VERIFICAR",IF(AND($H913&lt;&gt;"",COUNTIFS($N$2:$N$1000,$N913,$H$2:$H$1000,$H913)&gt;1),"DUPLICADA",IF(TRIM(IF($A913="","tipo ","")&amp;IF($F913="","fecha de firma ","")&amp;IF($G913="","decisión ","")&amp;IF($H913="","N° resolución ","")&amp;IF($I913="","N° dictamen",""))&lt;&gt;"","INCOMPLETA: "&amp;TRIM(IF($A913="","tipo ","")&amp;IF($F913="","fecha de firma ","")&amp;IF($G913="","decisión ","")&amp;IF($H913="","N° resolución ","")&amp;IF($I913="","N° dictamen","")),IF(LEFT($N913,4)&lt;&gt;"CONC","OK",IF(N($Q913)=0,IF(AND(ISNUMBER($E913),$E913&gt;=DATE(2024,1,1)),"FALTA EN evol_conc","OK"),IF(INDEX(evol_conc!$H:$H,$Q913)&lt;&gt;$F913,"FIRMA DISTINTA EN evol_conc ("&amp;IF(INDEX(evol_conc!$H:$H,$Q913)="","vacía",DAY(INDEX(evol_conc!$H:$H,$Q913))&amp;"/"&amp;MONTH(INDEX(evol_conc!$H:$H,$Q913))&amp;"/"&amp;YEAR(INDEX(evol_conc!$H:$H,$Q913)))&amp;")",IF(INDEX(evol_conc!$G:$G,$Q913)&lt;&gt;$E913,"INGRESO DISTINTO EN evol_conc ("&amp;IF(INDEX(evol_conc!$G:$G,$Q913)="","vacía",DAY(INDEX(evol_conc!$G:$G,$Q913))&amp;"/"&amp;MONTH(INDEX(evol_conc!$G:$G,$Q913))&amp;"/"&amp;YEAR(INDEX(evol_conc!$G:$G,$Q913)))&amp;")","OK"))))))))</f>
        <v/>
      </c>
      <c r="Q913" t="str">
        <f ca="1">IF($N913="","",IFERROR(MATCH($N913,evol_conc!$P:$P,0),0))</f>
        <v/>
      </c>
    </row>
    <row r="914" spans="12:17" ht="18" hidden="1" customHeight="1" x14ac:dyDescent="0.25">
      <c r="L914" s="53" t="str">
        <f t="shared" si="28"/>
        <v/>
      </c>
      <c r="M914" s="19" t="str">
        <f t="shared" si="29"/>
        <v/>
      </c>
      <c r="N914" t="str">
        <f ca="1">IF(TRIM(SUBSTITUTE($B914,CHAR(160)," "))="","",IFERROR(IF(ISNUMBER(SEARCH("INC",$B914)),"INC",IF(ISNUMBER(SEARCH("OPI",$B914)),"OPI",IF(ISNUMBER(SEARCH("DP",$B914)),"DP","CONC")))&amp;" "&amp;TEXT(LOOKUP(9.99E+307,--MID(SUBSTITUTE($B914,CHAR(160)," "),SUMPRODUCT(MIN(FIND({0,1,2,3,4,5,6,7,8,9},SUBSTITUTE($B914,CHAR(160)," ")&amp;"0123456789"))),ROW(INDIRECT("1:6")))),"0"),"SIN NUMERO"))</f>
        <v/>
      </c>
      <c r="O914" t="str">
        <f ca="1">IF($N914="","",IF(LEFT(UPPER($P914),9)="VERIFICAR","VERIFICAR",IF(AND($H914&lt;&gt;"",COUNTIFS($N$2:$N$1000,$N914,$H$2:$H$1000,$H914)&gt;1),"DUPLICADA",IF(TRIM(IF($A914="","tipo ","")&amp;IF($F914="","fecha de firma ","")&amp;IF($G914="","decisión ","")&amp;IF($H914="","N° resolución ","")&amp;IF($I914="","N° dictamen",""))&lt;&gt;"","INCOMPLETA: "&amp;TRIM(IF($A914="","tipo ","")&amp;IF($F914="","fecha de firma ","")&amp;IF($G914="","decisión ","")&amp;IF($H914="","N° resolución ","")&amp;IF($I914="","N° dictamen","")),IF(LEFT($N914,4)&lt;&gt;"CONC","OK",IF(N($Q914)=0,IF(AND(ISNUMBER($E914),$E914&gt;=DATE(2024,1,1)),"FALTA EN evol_conc","OK"),IF(INDEX(evol_conc!$H:$H,$Q914)&lt;&gt;$F914,"FIRMA DISTINTA EN evol_conc ("&amp;IF(INDEX(evol_conc!$H:$H,$Q914)="","vacía",DAY(INDEX(evol_conc!$H:$H,$Q914))&amp;"/"&amp;MONTH(INDEX(evol_conc!$H:$H,$Q914))&amp;"/"&amp;YEAR(INDEX(evol_conc!$H:$H,$Q914)))&amp;")",IF(INDEX(evol_conc!$G:$G,$Q914)&lt;&gt;$E914,"INGRESO DISTINTO EN evol_conc ("&amp;IF(INDEX(evol_conc!$G:$G,$Q914)="","vacía",DAY(INDEX(evol_conc!$G:$G,$Q914))&amp;"/"&amp;MONTH(INDEX(evol_conc!$G:$G,$Q914))&amp;"/"&amp;YEAR(INDEX(evol_conc!$G:$G,$Q914)))&amp;")","OK"))))))))</f>
        <v/>
      </c>
      <c r="Q914" t="str">
        <f ca="1">IF($N914="","",IFERROR(MATCH($N914,evol_conc!$P:$P,0),0))</f>
        <v/>
      </c>
    </row>
    <row r="915" spans="12:17" ht="18" hidden="1" customHeight="1" x14ac:dyDescent="0.25">
      <c r="L915" s="53" t="str">
        <f t="shared" si="28"/>
        <v/>
      </c>
      <c r="M915" s="19" t="str">
        <f t="shared" si="29"/>
        <v/>
      </c>
      <c r="N915" t="str">
        <f ca="1">IF(TRIM(SUBSTITUTE($B915,CHAR(160)," "))="","",IFERROR(IF(ISNUMBER(SEARCH("INC",$B915)),"INC",IF(ISNUMBER(SEARCH("OPI",$B915)),"OPI",IF(ISNUMBER(SEARCH("DP",$B915)),"DP","CONC")))&amp;" "&amp;TEXT(LOOKUP(9.99E+307,--MID(SUBSTITUTE($B915,CHAR(160)," "),SUMPRODUCT(MIN(FIND({0,1,2,3,4,5,6,7,8,9},SUBSTITUTE($B915,CHAR(160)," ")&amp;"0123456789"))),ROW(INDIRECT("1:6")))),"0"),"SIN NUMERO"))</f>
        <v/>
      </c>
      <c r="O915" t="str">
        <f ca="1">IF($N915="","",IF(LEFT(UPPER($P915),9)="VERIFICAR","VERIFICAR",IF(AND($H915&lt;&gt;"",COUNTIFS($N$2:$N$1000,$N915,$H$2:$H$1000,$H915)&gt;1),"DUPLICADA",IF(TRIM(IF($A915="","tipo ","")&amp;IF($F915="","fecha de firma ","")&amp;IF($G915="","decisión ","")&amp;IF($H915="","N° resolución ","")&amp;IF($I915="","N° dictamen",""))&lt;&gt;"","INCOMPLETA: "&amp;TRIM(IF($A915="","tipo ","")&amp;IF($F915="","fecha de firma ","")&amp;IF($G915="","decisión ","")&amp;IF($H915="","N° resolución ","")&amp;IF($I915="","N° dictamen","")),IF(LEFT($N915,4)&lt;&gt;"CONC","OK",IF(N($Q915)=0,IF(AND(ISNUMBER($E915),$E915&gt;=DATE(2024,1,1)),"FALTA EN evol_conc","OK"),IF(INDEX(evol_conc!$H:$H,$Q915)&lt;&gt;$F915,"FIRMA DISTINTA EN evol_conc ("&amp;IF(INDEX(evol_conc!$H:$H,$Q915)="","vacía",DAY(INDEX(evol_conc!$H:$H,$Q915))&amp;"/"&amp;MONTH(INDEX(evol_conc!$H:$H,$Q915))&amp;"/"&amp;YEAR(INDEX(evol_conc!$H:$H,$Q915)))&amp;")",IF(INDEX(evol_conc!$G:$G,$Q915)&lt;&gt;$E915,"INGRESO DISTINTO EN evol_conc ("&amp;IF(INDEX(evol_conc!$G:$G,$Q915)="","vacía",DAY(INDEX(evol_conc!$G:$G,$Q915))&amp;"/"&amp;MONTH(INDEX(evol_conc!$G:$G,$Q915))&amp;"/"&amp;YEAR(INDEX(evol_conc!$G:$G,$Q915)))&amp;")","OK"))))))))</f>
        <v/>
      </c>
      <c r="Q915" t="str">
        <f ca="1">IF($N915="","",IFERROR(MATCH($N915,evol_conc!$P:$P,0),0))</f>
        <v/>
      </c>
    </row>
    <row r="916" spans="12:17" ht="18" hidden="1" customHeight="1" x14ac:dyDescent="0.25">
      <c r="L916" s="53" t="str">
        <f t="shared" si="28"/>
        <v/>
      </c>
      <c r="M916" s="19" t="str">
        <f t="shared" si="29"/>
        <v/>
      </c>
      <c r="N916" t="str">
        <f ca="1">IF(TRIM(SUBSTITUTE($B916,CHAR(160)," "))="","",IFERROR(IF(ISNUMBER(SEARCH("INC",$B916)),"INC",IF(ISNUMBER(SEARCH("OPI",$B916)),"OPI",IF(ISNUMBER(SEARCH("DP",$B916)),"DP","CONC")))&amp;" "&amp;TEXT(LOOKUP(9.99E+307,--MID(SUBSTITUTE($B916,CHAR(160)," "),SUMPRODUCT(MIN(FIND({0,1,2,3,4,5,6,7,8,9},SUBSTITUTE($B916,CHAR(160)," ")&amp;"0123456789"))),ROW(INDIRECT("1:6")))),"0"),"SIN NUMERO"))</f>
        <v/>
      </c>
      <c r="O916" t="str">
        <f ca="1">IF($N916="","",IF(LEFT(UPPER($P916),9)="VERIFICAR","VERIFICAR",IF(AND($H916&lt;&gt;"",COUNTIFS($N$2:$N$1000,$N916,$H$2:$H$1000,$H916)&gt;1),"DUPLICADA",IF(TRIM(IF($A916="","tipo ","")&amp;IF($F916="","fecha de firma ","")&amp;IF($G916="","decisión ","")&amp;IF($H916="","N° resolución ","")&amp;IF($I916="","N° dictamen",""))&lt;&gt;"","INCOMPLETA: "&amp;TRIM(IF($A916="","tipo ","")&amp;IF($F916="","fecha de firma ","")&amp;IF($G916="","decisión ","")&amp;IF($H916="","N° resolución ","")&amp;IF($I916="","N° dictamen","")),IF(LEFT($N916,4)&lt;&gt;"CONC","OK",IF(N($Q916)=0,IF(AND(ISNUMBER($E916),$E916&gt;=DATE(2024,1,1)),"FALTA EN evol_conc","OK"),IF(INDEX(evol_conc!$H:$H,$Q916)&lt;&gt;$F916,"FIRMA DISTINTA EN evol_conc ("&amp;IF(INDEX(evol_conc!$H:$H,$Q916)="","vacía",DAY(INDEX(evol_conc!$H:$H,$Q916))&amp;"/"&amp;MONTH(INDEX(evol_conc!$H:$H,$Q916))&amp;"/"&amp;YEAR(INDEX(evol_conc!$H:$H,$Q916)))&amp;")",IF(INDEX(evol_conc!$G:$G,$Q916)&lt;&gt;$E916,"INGRESO DISTINTO EN evol_conc ("&amp;IF(INDEX(evol_conc!$G:$G,$Q916)="","vacía",DAY(INDEX(evol_conc!$G:$G,$Q916))&amp;"/"&amp;MONTH(INDEX(evol_conc!$G:$G,$Q916))&amp;"/"&amp;YEAR(INDEX(evol_conc!$G:$G,$Q916)))&amp;")","OK"))))))))</f>
        <v/>
      </c>
      <c r="Q916" t="str">
        <f ca="1">IF($N916="","",IFERROR(MATCH($N916,evol_conc!$P:$P,0),0))</f>
        <v/>
      </c>
    </row>
    <row r="917" spans="12:17" ht="18" hidden="1" customHeight="1" x14ac:dyDescent="0.25">
      <c r="L917" s="53" t="str">
        <f t="shared" si="28"/>
        <v/>
      </c>
      <c r="M917" s="19" t="str">
        <f t="shared" si="29"/>
        <v/>
      </c>
      <c r="N917" t="str">
        <f ca="1">IF(TRIM(SUBSTITUTE($B917,CHAR(160)," "))="","",IFERROR(IF(ISNUMBER(SEARCH("INC",$B917)),"INC",IF(ISNUMBER(SEARCH("OPI",$B917)),"OPI",IF(ISNUMBER(SEARCH("DP",$B917)),"DP","CONC")))&amp;" "&amp;TEXT(LOOKUP(9.99E+307,--MID(SUBSTITUTE($B917,CHAR(160)," "),SUMPRODUCT(MIN(FIND({0,1,2,3,4,5,6,7,8,9},SUBSTITUTE($B917,CHAR(160)," ")&amp;"0123456789"))),ROW(INDIRECT("1:6")))),"0"),"SIN NUMERO"))</f>
        <v/>
      </c>
      <c r="O917" t="str">
        <f ca="1">IF($N917="","",IF(LEFT(UPPER($P917),9)="VERIFICAR","VERIFICAR",IF(AND($H917&lt;&gt;"",COUNTIFS($N$2:$N$1000,$N917,$H$2:$H$1000,$H917)&gt;1),"DUPLICADA",IF(TRIM(IF($A917="","tipo ","")&amp;IF($F917="","fecha de firma ","")&amp;IF($G917="","decisión ","")&amp;IF($H917="","N° resolución ","")&amp;IF($I917="","N° dictamen",""))&lt;&gt;"","INCOMPLETA: "&amp;TRIM(IF($A917="","tipo ","")&amp;IF($F917="","fecha de firma ","")&amp;IF($G917="","decisión ","")&amp;IF($H917="","N° resolución ","")&amp;IF($I917="","N° dictamen","")),IF(LEFT($N917,4)&lt;&gt;"CONC","OK",IF(N($Q917)=0,IF(AND(ISNUMBER($E917),$E917&gt;=DATE(2024,1,1)),"FALTA EN evol_conc","OK"),IF(INDEX(evol_conc!$H:$H,$Q917)&lt;&gt;$F917,"FIRMA DISTINTA EN evol_conc ("&amp;IF(INDEX(evol_conc!$H:$H,$Q917)="","vacía",DAY(INDEX(evol_conc!$H:$H,$Q917))&amp;"/"&amp;MONTH(INDEX(evol_conc!$H:$H,$Q917))&amp;"/"&amp;YEAR(INDEX(evol_conc!$H:$H,$Q917)))&amp;")",IF(INDEX(evol_conc!$G:$G,$Q917)&lt;&gt;$E917,"INGRESO DISTINTO EN evol_conc ("&amp;IF(INDEX(evol_conc!$G:$G,$Q917)="","vacía",DAY(INDEX(evol_conc!$G:$G,$Q917))&amp;"/"&amp;MONTH(INDEX(evol_conc!$G:$G,$Q917))&amp;"/"&amp;YEAR(INDEX(evol_conc!$G:$G,$Q917)))&amp;")","OK"))))))))</f>
        <v/>
      </c>
      <c r="Q917" t="str">
        <f ca="1">IF($N917="","",IFERROR(MATCH($N917,evol_conc!$P:$P,0),0))</f>
        <v/>
      </c>
    </row>
    <row r="918" spans="12:17" ht="18" hidden="1" customHeight="1" x14ac:dyDescent="0.25">
      <c r="L918" s="53" t="str">
        <f t="shared" si="28"/>
        <v/>
      </c>
      <c r="M918" s="19" t="str">
        <f t="shared" si="29"/>
        <v/>
      </c>
      <c r="N918" t="str">
        <f ca="1">IF(TRIM(SUBSTITUTE($B918,CHAR(160)," "))="","",IFERROR(IF(ISNUMBER(SEARCH("INC",$B918)),"INC",IF(ISNUMBER(SEARCH("OPI",$B918)),"OPI",IF(ISNUMBER(SEARCH("DP",$B918)),"DP","CONC")))&amp;" "&amp;TEXT(LOOKUP(9.99E+307,--MID(SUBSTITUTE($B918,CHAR(160)," "),SUMPRODUCT(MIN(FIND({0,1,2,3,4,5,6,7,8,9},SUBSTITUTE($B918,CHAR(160)," ")&amp;"0123456789"))),ROW(INDIRECT("1:6")))),"0"),"SIN NUMERO"))</f>
        <v/>
      </c>
      <c r="O918" t="str">
        <f ca="1">IF($N918="","",IF(LEFT(UPPER($P918),9)="VERIFICAR","VERIFICAR",IF(AND($H918&lt;&gt;"",COUNTIFS($N$2:$N$1000,$N918,$H$2:$H$1000,$H918)&gt;1),"DUPLICADA",IF(TRIM(IF($A918="","tipo ","")&amp;IF($F918="","fecha de firma ","")&amp;IF($G918="","decisión ","")&amp;IF($H918="","N° resolución ","")&amp;IF($I918="","N° dictamen",""))&lt;&gt;"","INCOMPLETA: "&amp;TRIM(IF($A918="","tipo ","")&amp;IF($F918="","fecha de firma ","")&amp;IF($G918="","decisión ","")&amp;IF($H918="","N° resolución ","")&amp;IF($I918="","N° dictamen","")),IF(LEFT($N918,4)&lt;&gt;"CONC","OK",IF(N($Q918)=0,IF(AND(ISNUMBER($E918),$E918&gt;=DATE(2024,1,1)),"FALTA EN evol_conc","OK"),IF(INDEX(evol_conc!$H:$H,$Q918)&lt;&gt;$F918,"FIRMA DISTINTA EN evol_conc ("&amp;IF(INDEX(evol_conc!$H:$H,$Q918)="","vacía",DAY(INDEX(evol_conc!$H:$H,$Q918))&amp;"/"&amp;MONTH(INDEX(evol_conc!$H:$H,$Q918))&amp;"/"&amp;YEAR(INDEX(evol_conc!$H:$H,$Q918)))&amp;")",IF(INDEX(evol_conc!$G:$G,$Q918)&lt;&gt;$E918,"INGRESO DISTINTO EN evol_conc ("&amp;IF(INDEX(evol_conc!$G:$G,$Q918)="","vacía",DAY(INDEX(evol_conc!$G:$G,$Q918))&amp;"/"&amp;MONTH(INDEX(evol_conc!$G:$G,$Q918))&amp;"/"&amp;YEAR(INDEX(evol_conc!$G:$G,$Q918)))&amp;")","OK"))))))))</f>
        <v/>
      </c>
      <c r="Q918" t="str">
        <f ca="1">IF($N918="","",IFERROR(MATCH($N918,evol_conc!$P:$P,0),0))</f>
        <v/>
      </c>
    </row>
    <row r="919" spans="12:17" ht="18" hidden="1" customHeight="1" x14ac:dyDescent="0.25">
      <c r="L919" s="53" t="str">
        <f t="shared" si="28"/>
        <v/>
      </c>
      <c r="M919" s="19" t="str">
        <f t="shared" si="29"/>
        <v/>
      </c>
      <c r="N919" t="str">
        <f ca="1">IF(TRIM(SUBSTITUTE($B919,CHAR(160)," "))="","",IFERROR(IF(ISNUMBER(SEARCH("INC",$B919)),"INC",IF(ISNUMBER(SEARCH("OPI",$B919)),"OPI",IF(ISNUMBER(SEARCH("DP",$B919)),"DP","CONC")))&amp;" "&amp;TEXT(LOOKUP(9.99E+307,--MID(SUBSTITUTE($B919,CHAR(160)," "),SUMPRODUCT(MIN(FIND({0,1,2,3,4,5,6,7,8,9},SUBSTITUTE($B919,CHAR(160)," ")&amp;"0123456789"))),ROW(INDIRECT("1:6")))),"0"),"SIN NUMERO"))</f>
        <v/>
      </c>
      <c r="O919" t="str">
        <f ca="1">IF($N919="","",IF(LEFT(UPPER($P919),9)="VERIFICAR","VERIFICAR",IF(AND($H919&lt;&gt;"",COUNTIFS($N$2:$N$1000,$N919,$H$2:$H$1000,$H919)&gt;1),"DUPLICADA",IF(TRIM(IF($A919="","tipo ","")&amp;IF($F919="","fecha de firma ","")&amp;IF($G919="","decisión ","")&amp;IF($H919="","N° resolución ","")&amp;IF($I919="","N° dictamen",""))&lt;&gt;"","INCOMPLETA: "&amp;TRIM(IF($A919="","tipo ","")&amp;IF($F919="","fecha de firma ","")&amp;IF($G919="","decisión ","")&amp;IF($H919="","N° resolución ","")&amp;IF($I919="","N° dictamen","")),IF(LEFT($N919,4)&lt;&gt;"CONC","OK",IF(N($Q919)=0,IF(AND(ISNUMBER($E919),$E919&gt;=DATE(2024,1,1)),"FALTA EN evol_conc","OK"),IF(INDEX(evol_conc!$H:$H,$Q919)&lt;&gt;$F919,"FIRMA DISTINTA EN evol_conc ("&amp;IF(INDEX(evol_conc!$H:$H,$Q919)="","vacía",DAY(INDEX(evol_conc!$H:$H,$Q919))&amp;"/"&amp;MONTH(INDEX(evol_conc!$H:$H,$Q919))&amp;"/"&amp;YEAR(INDEX(evol_conc!$H:$H,$Q919)))&amp;")",IF(INDEX(evol_conc!$G:$G,$Q919)&lt;&gt;$E919,"INGRESO DISTINTO EN evol_conc ("&amp;IF(INDEX(evol_conc!$G:$G,$Q919)="","vacía",DAY(INDEX(evol_conc!$G:$G,$Q919))&amp;"/"&amp;MONTH(INDEX(evol_conc!$G:$G,$Q919))&amp;"/"&amp;YEAR(INDEX(evol_conc!$G:$G,$Q919)))&amp;")","OK"))))))))</f>
        <v/>
      </c>
      <c r="Q919" t="str">
        <f ca="1">IF($N919="","",IFERROR(MATCH($N919,evol_conc!$P:$P,0),0))</f>
        <v/>
      </c>
    </row>
    <row r="920" spans="12:17" ht="18" hidden="1" customHeight="1" x14ac:dyDescent="0.25">
      <c r="L920" s="53" t="str">
        <f t="shared" si="28"/>
        <v/>
      </c>
      <c r="M920" s="19" t="str">
        <f t="shared" si="29"/>
        <v/>
      </c>
      <c r="N920" t="str">
        <f ca="1">IF(TRIM(SUBSTITUTE($B920,CHAR(160)," "))="","",IFERROR(IF(ISNUMBER(SEARCH("INC",$B920)),"INC",IF(ISNUMBER(SEARCH("OPI",$B920)),"OPI",IF(ISNUMBER(SEARCH("DP",$B920)),"DP","CONC")))&amp;" "&amp;TEXT(LOOKUP(9.99E+307,--MID(SUBSTITUTE($B920,CHAR(160)," "),SUMPRODUCT(MIN(FIND({0,1,2,3,4,5,6,7,8,9},SUBSTITUTE($B920,CHAR(160)," ")&amp;"0123456789"))),ROW(INDIRECT("1:6")))),"0"),"SIN NUMERO"))</f>
        <v/>
      </c>
      <c r="O920" t="str">
        <f ca="1">IF($N920="","",IF(LEFT(UPPER($P920),9)="VERIFICAR","VERIFICAR",IF(AND($H920&lt;&gt;"",COUNTIFS($N$2:$N$1000,$N920,$H$2:$H$1000,$H920)&gt;1),"DUPLICADA",IF(TRIM(IF($A920="","tipo ","")&amp;IF($F920="","fecha de firma ","")&amp;IF($G920="","decisión ","")&amp;IF($H920="","N° resolución ","")&amp;IF($I920="","N° dictamen",""))&lt;&gt;"","INCOMPLETA: "&amp;TRIM(IF($A920="","tipo ","")&amp;IF($F920="","fecha de firma ","")&amp;IF($G920="","decisión ","")&amp;IF($H920="","N° resolución ","")&amp;IF($I920="","N° dictamen","")),IF(LEFT($N920,4)&lt;&gt;"CONC","OK",IF(N($Q920)=0,IF(AND(ISNUMBER($E920),$E920&gt;=DATE(2024,1,1)),"FALTA EN evol_conc","OK"),IF(INDEX(evol_conc!$H:$H,$Q920)&lt;&gt;$F920,"FIRMA DISTINTA EN evol_conc ("&amp;IF(INDEX(evol_conc!$H:$H,$Q920)="","vacía",DAY(INDEX(evol_conc!$H:$H,$Q920))&amp;"/"&amp;MONTH(INDEX(evol_conc!$H:$H,$Q920))&amp;"/"&amp;YEAR(INDEX(evol_conc!$H:$H,$Q920)))&amp;")",IF(INDEX(evol_conc!$G:$G,$Q920)&lt;&gt;$E920,"INGRESO DISTINTO EN evol_conc ("&amp;IF(INDEX(evol_conc!$G:$G,$Q920)="","vacía",DAY(INDEX(evol_conc!$G:$G,$Q920))&amp;"/"&amp;MONTH(INDEX(evol_conc!$G:$G,$Q920))&amp;"/"&amp;YEAR(INDEX(evol_conc!$G:$G,$Q920)))&amp;")","OK"))))))))</f>
        <v/>
      </c>
      <c r="Q920" t="str">
        <f ca="1">IF($N920="","",IFERROR(MATCH($N920,evol_conc!$P:$P,0),0))</f>
        <v/>
      </c>
    </row>
    <row r="921" spans="12:17" ht="18" hidden="1" customHeight="1" x14ac:dyDescent="0.25">
      <c r="L921" s="53" t="str">
        <f t="shared" si="28"/>
        <v/>
      </c>
      <c r="M921" s="19" t="str">
        <f t="shared" si="29"/>
        <v/>
      </c>
      <c r="N921" t="str">
        <f ca="1">IF(TRIM(SUBSTITUTE($B921,CHAR(160)," "))="","",IFERROR(IF(ISNUMBER(SEARCH("INC",$B921)),"INC",IF(ISNUMBER(SEARCH("OPI",$B921)),"OPI",IF(ISNUMBER(SEARCH("DP",$B921)),"DP","CONC")))&amp;" "&amp;TEXT(LOOKUP(9.99E+307,--MID(SUBSTITUTE($B921,CHAR(160)," "),SUMPRODUCT(MIN(FIND({0,1,2,3,4,5,6,7,8,9},SUBSTITUTE($B921,CHAR(160)," ")&amp;"0123456789"))),ROW(INDIRECT("1:6")))),"0"),"SIN NUMERO"))</f>
        <v/>
      </c>
      <c r="O921" t="str">
        <f ca="1">IF($N921="","",IF(LEFT(UPPER($P921),9)="VERIFICAR","VERIFICAR",IF(AND($H921&lt;&gt;"",COUNTIFS($N$2:$N$1000,$N921,$H$2:$H$1000,$H921)&gt;1),"DUPLICADA",IF(TRIM(IF($A921="","tipo ","")&amp;IF($F921="","fecha de firma ","")&amp;IF($G921="","decisión ","")&amp;IF($H921="","N° resolución ","")&amp;IF($I921="","N° dictamen",""))&lt;&gt;"","INCOMPLETA: "&amp;TRIM(IF($A921="","tipo ","")&amp;IF($F921="","fecha de firma ","")&amp;IF($G921="","decisión ","")&amp;IF($H921="","N° resolución ","")&amp;IF($I921="","N° dictamen","")),IF(LEFT($N921,4)&lt;&gt;"CONC","OK",IF(N($Q921)=0,IF(AND(ISNUMBER($E921),$E921&gt;=DATE(2024,1,1)),"FALTA EN evol_conc","OK"),IF(INDEX(evol_conc!$H:$H,$Q921)&lt;&gt;$F921,"FIRMA DISTINTA EN evol_conc ("&amp;IF(INDEX(evol_conc!$H:$H,$Q921)="","vacía",DAY(INDEX(evol_conc!$H:$H,$Q921))&amp;"/"&amp;MONTH(INDEX(evol_conc!$H:$H,$Q921))&amp;"/"&amp;YEAR(INDEX(evol_conc!$H:$H,$Q921)))&amp;")",IF(INDEX(evol_conc!$G:$G,$Q921)&lt;&gt;$E921,"INGRESO DISTINTO EN evol_conc ("&amp;IF(INDEX(evol_conc!$G:$G,$Q921)="","vacía",DAY(INDEX(evol_conc!$G:$G,$Q921))&amp;"/"&amp;MONTH(INDEX(evol_conc!$G:$G,$Q921))&amp;"/"&amp;YEAR(INDEX(evol_conc!$G:$G,$Q921)))&amp;")","OK"))))))))</f>
        <v/>
      </c>
      <c r="Q921" t="str">
        <f ca="1">IF($N921="","",IFERROR(MATCH($N921,evol_conc!$P:$P,0),0))</f>
        <v/>
      </c>
    </row>
    <row r="922" spans="12:17" ht="18" hidden="1" customHeight="1" x14ac:dyDescent="0.25">
      <c r="L922" s="53" t="str">
        <f t="shared" si="28"/>
        <v/>
      </c>
      <c r="M922" s="19" t="str">
        <f t="shared" si="29"/>
        <v/>
      </c>
      <c r="N922" t="str">
        <f ca="1">IF(TRIM(SUBSTITUTE($B922,CHAR(160)," "))="","",IFERROR(IF(ISNUMBER(SEARCH("INC",$B922)),"INC",IF(ISNUMBER(SEARCH("OPI",$B922)),"OPI",IF(ISNUMBER(SEARCH("DP",$B922)),"DP","CONC")))&amp;" "&amp;TEXT(LOOKUP(9.99E+307,--MID(SUBSTITUTE($B922,CHAR(160)," "),SUMPRODUCT(MIN(FIND({0,1,2,3,4,5,6,7,8,9},SUBSTITUTE($B922,CHAR(160)," ")&amp;"0123456789"))),ROW(INDIRECT("1:6")))),"0"),"SIN NUMERO"))</f>
        <v/>
      </c>
      <c r="O922" t="str">
        <f ca="1">IF($N922="","",IF(LEFT(UPPER($P922),9)="VERIFICAR","VERIFICAR",IF(AND($H922&lt;&gt;"",COUNTIFS($N$2:$N$1000,$N922,$H$2:$H$1000,$H922)&gt;1),"DUPLICADA",IF(TRIM(IF($A922="","tipo ","")&amp;IF($F922="","fecha de firma ","")&amp;IF($G922="","decisión ","")&amp;IF($H922="","N° resolución ","")&amp;IF($I922="","N° dictamen",""))&lt;&gt;"","INCOMPLETA: "&amp;TRIM(IF($A922="","tipo ","")&amp;IF($F922="","fecha de firma ","")&amp;IF($G922="","decisión ","")&amp;IF($H922="","N° resolución ","")&amp;IF($I922="","N° dictamen","")),IF(LEFT($N922,4)&lt;&gt;"CONC","OK",IF(N($Q922)=0,IF(AND(ISNUMBER($E922),$E922&gt;=DATE(2024,1,1)),"FALTA EN evol_conc","OK"),IF(INDEX(evol_conc!$H:$H,$Q922)&lt;&gt;$F922,"FIRMA DISTINTA EN evol_conc ("&amp;IF(INDEX(evol_conc!$H:$H,$Q922)="","vacía",DAY(INDEX(evol_conc!$H:$H,$Q922))&amp;"/"&amp;MONTH(INDEX(evol_conc!$H:$H,$Q922))&amp;"/"&amp;YEAR(INDEX(evol_conc!$H:$H,$Q922)))&amp;")",IF(INDEX(evol_conc!$G:$G,$Q922)&lt;&gt;$E922,"INGRESO DISTINTO EN evol_conc ("&amp;IF(INDEX(evol_conc!$G:$G,$Q922)="","vacía",DAY(INDEX(evol_conc!$G:$G,$Q922))&amp;"/"&amp;MONTH(INDEX(evol_conc!$G:$G,$Q922))&amp;"/"&amp;YEAR(INDEX(evol_conc!$G:$G,$Q922)))&amp;")","OK"))))))))</f>
        <v/>
      </c>
      <c r="Q922" t="str">
        <f ca="1">IF($N922="","",IFERROR(MATCH($N922,evol_conc!$P:$P,0),0))</f>
        <v/>
      </c>
    </row>
    <row r="923" spans="12:17" ht="18" hidden="1" customHeight="1" x14ac:dyDescent="0.25">
      <c r="L923" s="53" t="str">
        <f t="shared" si="28"/>
        <v/>
      </c>
      <c r="M923" s="19" t="str">
        <f t="shared" si="29"/>
        <v/>
      </c>
      <c r="N923" t="str">
        <f ca="1">IF(TRIM(SUBSTITUTE($B923,CHAR(160)," "))="","",IFERROR(IF(ISNUMBER(SEARCH("INC",$B923)),"INC",IF(ISNUMBER(SEARCH("OPI",$B923)),"OPI",IF(ISNUMBER(SEARCH("DP",$B923)),"DP","CONC")))&amp;" "&amp;TEXT(LOOKUP(9.99E+307,--MID(SUBSTITUTE($B923,CHAR(160)," "),SUMPRODUCT(MIN(FIND({0,1,2,3,4,5,6,7,8,9},SUBSTITUTE($B923,CHAR(160)," ")&amp;"0123456789"))),ROW(INDIRECT("1:6")))),"0"),"SIN NUMERO"))</f>
        <v/>
      </c>
      <c r="O923" t="str">
        <f ca="1">IF($N923="","",IF(LEFT(UPPER($P923),9)="VERIFICAR","VERIFICAR",IF(AND($H923&lt;&gt;"",COUNTIFS($N$2:$N$1000,$N923,$H$2:$H$1000,$H923)&gt;1),"DUPLICADA",IF(TRIM(IF($A923="","tipo ","")&amp;IF($F923="","fecha de firma ","")&amp;IF($G923="","decisión ","")&amp;IF($H923="","N° resolución ","")&amp;IF($I923="","N° dictamen",""))&lt;&gt;"","INCOMPLETA: "&amp;TRIM(IF($A923="","tipo ","")&amp;IF($F923="","fecha de firma ","")&amp;IF($G923="","decisión ","")&amp;IF($H923="","N° resolución ","")&amp;IF($I923="","N° dictamen","")),IF(LEFT($N923,4)&lt;&gt;"CONC","OK",IF(N($Q923)=0,IF(AND(ISNUMBER($E923),$E923&gt;=DATE(2024,1,1)),"FALTA EN evol_conc","OK"),IF(INDEX(evol_conc!$H:$H,$Q923)&lt;&gt;$F923,"FIRMA DISTINTA EN evol_conc ("&amp;IF(INDEX(evol_conc!$H:$H,$Q923)="","vacía",DAY(INDEX(evol_conc!$H:$H,$Q923))&amp;"/"&amp;MONTH(INDEX(evol_conc!$H:$H,$Q923))&amp;"/"&amp;YEAR(INDEX(evol_conc!$H:$H,$Q923)))&amp;")",IF(INDEX(evol_conc!$G:$G,$Q923)&lt;&gt;$E923,"INGRESO DISTINTO EN evol_conc ("&amp;IF(INDEX(evol_conc!$G:$G,$Q923)="","vacía",DAY(INDEX(evol_conc!$G:$G,$Q923))&amp;"/"&amp;MONTH(INDEX(evol_conc!$G:$G,$Q923))&amp;"/"&amp;YEAR(INDEX(evol_conc!$G:$G,$Q923)))&amp;")","OK"))))))))</f>
        <v/>
      </c>
      <c r="Q923" t="str">
        <f ca="1">IF($N923="","",IFERROR(MATCH($N923,evol_conc!$P:$P,0),0))</f>
        <v/>
      </c>
    </row>
    <row r="924" spans="12:17" ht="18" hidden="1" customHeight="1" x14ac:dyDescent="0.25">
      <c r="L924" s="53" t="str">
        <f t="shared" si="28"/>
        <v/>
      </c>
      <c r="M924" s="19" t="str">
        <f t="shared" si="29"/>
        <v/>
      </c>
      <c r="N924" t="str">
        <f ca="1">IF(TRIM(SUBSTITUTE($B924,CHAR(160)," "))="","",IFERROR(IF(ISNUMBER(SEARCH("INC",$B924)),"INC",IF(ISNUMBER(SEARCH("OPI",$B924)),"OPI",IF(ISNUMBER(SEARCH("DP",$B924)),"DP","CONC")))&amp;" "&amp;TEXT(LOOKUP(9.99E+307,--MID(SUBSTITUTE($B924,CHAR(160)," "),SUMPRODUCT(MIN(FIND({0,1,2,3,4,5,6,7,8,9},SUBSTITUTE($B924,CHAR(160)," ")&amp;"0123456789"))),ROW(INDIRECT("1:6")))),"0"),"SIN NUMERO"))</f>
        <v/>
      </c>
      <c r="O924" t="str">
        <f ca="1">IF($N924="","",IF(LEFT(UPPER($P924),9)="VERIFICAR","VERIFICAR",IF(AND($H924&lt;&gt;"",COUNTIFS($N$2:$N$1000,$N924,$H$2:$H$1000,$H924)&gt;1),"DUPLICADA",IF(TRIM(IF($A924="","tipo ","")&amp;IF($F924="","fecha de firma ","")&amp;IF($G924="","decisión ","")&amp;IF($H924="","N° resolución ","")&amp;IF($I924="","N° dictamen",""))&lt;&gt;"","INCOMPLETA: "&amp;TRIM(IF($A924="","tipo ","")&amp;IF($F924="","fecha de firma ","")&amp;IF($G924="","decisión ","")&amp;IF($H924="","N° resolución ","")&amp;IF($I924="","N° dictamen","")),IF(LEFT($N924,4)&lt;&gt;"CONC","OK",IF(N($Q924)=0,IF(AND(ISNUMBER($E924),$E924&gt;=DATE(2024,1,1)),"FALTA EN evol_conc","OK"),IF(INDEX(evol_conc!$H:$H,$Q924)&lt;&gt;$F924,"FIRMA DISTINTA EN evol_conc ("&amp;IF(INDEX(evol_conc!$H:$H,$Q924)="","vacía",DAY(INDEX(evol_conc!$H:$H,$Q924))&amp;"/"&amp;MONTH(INDEX(evol_conc!$H:$H,$Q924))&amp;"/"&amp;YEAR(INDEX(evol_conc!$H:$H,$Q924)))&amp;")",IF(INDEX(evol_conc!$G:$G,$Q924)&lt;&gt;$E924,"INGRESO DISTINTO EN evol_conc ("&amp;IF(INDEX(evol_conc!$G:$G,$Q924)="","vacía",DAY(INDEX(evol_conc!$G:$G,$Q924))&amp;"/"&amp;MONTH(INDEX(evol_conc!$G:$G,$Q924))&amp;"/"&amp;YEAR(INDEX(evol_conc!$G:$G,$Q924)))&amp;")","OK"))))))))</f>
        <v/>
      </c>
      <c r="Q924" t="str">
        <f ca="1">IF($N924="","",IFERROR(MATCH($N924,evol_conc!$P:$P,0),0))</f>
        <v/>
      </c>
    </row>
    <row r="925" spans="12:17" ht="18" hidden="1" customHeight="1" x14ac:dyDescent="0.25">
      <c r="L925" s="53" t="str">
        <f t="shared" si="28"/>
        <v/>
      </c>
      <c r="M925" s="19" t="str">
        <f t="shared" si="29"/>
        <v/>
      </c>
      <c r="N925" t="str">
        <f ca="1">IF(TRIM(SUBSTITUTE($B925,CHAR(160)," "))="","",IFERROR(IF(ISNUMBER(SEARCH("INC",$B925)),"INC",IF(ISNUMBER(SEARCH("OPI",$B925)),"OPI",IF(ISNUMBER(SEARCH("DP",$B925)),"DP","CONC")))&amp;" "&amp;TEXT(LOOKUP(9.99E+307,--MID(SUBSTITUTE($B925,CHAR(160)," "),SUMPRODUCT(MIN(FIND({0,1,2,3,4,5,6,7,8,9},SUBSTITUTE($B925,CHAR(160)," ")&amp;"0123456789"))),ROW(INDIRECT("1:6")))),"0"),"SIN NUMERO"))</f>
        <v/>
      </c>
      <c r="O925" t="str">
        <f ca="1">IF($N925="","",IF(LEFT(UPPER($P925),9)="VERIFICAR","VERIFICAR",IF(AND($H925&lt;&gt;"",COUNTIFS($N$2:$N$1000,$N925,$H$2:$H$1000,$H925)&gt;1),"DUPLICADA",IF(TRIM(IF($A925="","tipo ","")&amp;IF($F925="","fecha de firma ","")&amp;IF($G925="","decisión ","")&amp;IF($H925="","N° resolución ","")&amp;IF($I925="","N° dictamen",""))&lt;&gt;"","INCOMPLETA: "&amp;TRIM(IF($A925="","tipo ","")&amp;IF($F925="","fecha de firma ","")&amp;IF($G925="","decisión ","")&amp;IF($H925="","N° resolución ","")&amp;IF($I925="","N° dictamen","")),IF(LEFT($N925,4)&lt;&gt;"CONC","OK",IF(N($Q925)=0,IF(AND(ISNUMBER($E925),$E925&gt;=DATE(2024,1,1)),"FALTA EN evol_conc","OK"),IF(INDEX(evol_conc!$H:$H,$Q925)&lt;&gt;$F925,"FIRMA DISTINTA EN evol_conc ("&amp;IF(INDEX(evol_conc!$H:$H,$Q925)="","vacía",DAY(INDEX(evol_conc!$H:$H,$Q925))&amp;"/"&amp;MONTH(INDEX(evol_conc!$H:$H,$Q925))&amp;"/"&amp;YEAR(INDEX(evol_conc!$H:$H,$Q925)))&amp;")",IF(INDEX(evol_conc!$G:$G,$Q925)&lt;&gt;$E925,"INGRESO DISTINTO EN evol_conc ("&amp;IF(INDEX(evol_conc!$G:$G,$Q925)="","vacía",DAY(INDEX(evol_conc!$G:$G,$Q925))&amp;"/"&amp;MONTH(INDEX(evol_conc!$G:$G,$Q925))&amp;"/"&amp;YEAR(INDEX(evol_conc!$G:$G,$Q925)))&amp;")","OK"))))))))</f>
        <v/>
      </c>
      <c r="Q925" t="str">
        <f ca="1">IF($N925="","",IFERROR(MATCH($N925,evol_conc!$P:$P,0),0))</f>
        <v/>
      </c>
    </row>
    <row r="926" spans="12:17" ht="18" hidden="1" customHeight="1" x14ac:dyDescent="0.25">
      <c r="L926" s="53" t="str">
        <f t="shared" si="28"/>
        <v/>
      </c>
      <c r="M926" s="19" t="str">
        <f t="shared" si="29"/>
        <v/>
      </c>
      <c r="N926" t="str">
        <f ca="1">IF(TRIM(SUBSTITUTE($B926,CHAR(160)," "))="","",IFERROR(IF(ISNUMBER(SEARCH("INC",$B926)),"INC",IF(ISNUMBER(SEARCH("OPI",$B926)),"OPI",IF(ISNUMBER(SEARCH("DP",$B926)),"DP","CONC")))&amp;" "&amp;TEXT(LOOKUP(9.99E+307,--MID(SUBSTITUTE($B926,CHAR(160)," "),SUMPRODUCT(MIN(FIND({0,1,2,3,4,5,6,7,8,9},SUBSTITUTE($B926,CHAR(160)," ")&amp;"0123456789"))),ROW(INDIRECT("1:6")))),"0"),"SIN NUMERO"))</f>
        <v/>
      </c>
      <c r="O926" t="str">
        <f ca="1">IF($N926="","",IF(LEFT(UPPER($P926),9)="VERIFICAR","VERIFICAR",IF(AND($H926&lt;&gt;"",COUNTIFS($N$2:$N$1000,$N926,$H$2:$H$1000,$H926)&gt;1),"DUPLICADA",IF(TRIM(IF($A926="","tipo ","")&amp;IF($F926="","fecha de firma ","")&amp;IF($G926="","decisión ","")&amp;IF($H926="","N° resolución ","")&amp;IF($I926="","N° dictamen",""))&lt;&gt;"","INCOMPLETA: "&amp;TRIM(IF($A926="","tipo ","")&amp;IF($F926="","fecha de firma ","")&amp;IF($G926="","decisión ","")&amp;IF($H926="","N° resolución ","")&amp;IF($I926="","N° dictamen","")),IF(LEFT($N926,4)&lt;&gt;"CONC","OK",IF(N($Q926)=0,IF(AND(ISNUMBER($E926),$E926&gt;=DATE(2024,1,1)),"FALTA EN evol_conc","OK"),IF(INDEX(evol_conc!$H:$H,$Q926)&lt;&gt;$F926,"FIRMA DISTINTA EN evol_conc ("&amp;IF(INDEX(evol_conc!$H:$H,$Q926)="","vacía",DAY(INDEX(evol_conc!$H:$H,$Q926))&amp;"/"&amp;MONTH(INDEX(evol_conc!$H:$H,$Q926))&amp;"/"&amp;YEAR(INDEX(evol_conc!$H:$H,$Q926)))&amp;")",IF(INDEX(evol_conc!$G:$G,$Q926)&lt;&gt;$E926,"INGRESO DISTINTO EN evol_conc ("&amp;IF(INDEX(evol_conc!$G:$G,$Q926)="","vacía",DAY(INDEX(evol_conc!$G:$G,$Q926))&amp;"/"&amp;MONTH(INDEX(evol_conc!$G:$G,$Q926))&amp;"/"&amp;YEAR(INDEX(evol_conc!$G:$G,$Q926)))&amp;")","OK"))))))))</f>
        <v/>
      </c>
      <c r="Q926" t="str">
        <f ca="1">IF($N926="","",IFERROR(MATCH($N926,evol_conc!$P:$P,0),0))</f>
        <v/>
      </c>
    </row>
    <row r="927" spans="12:17" ht="18" hidden="1" customHeight="1" x14ac:dyDescent="0.25">
      <c r="L927" s="53" t="str">
        <f t="shared" si="28"/>
        <v/>
      </c>
      <c r="M927" s="19" t="str">
        <f t="shared" si="29"/>
        <v/>
      </c>
      <c r="N927" t="str">
        <f ca="1">IF(TRIM(SUBSTITUTE($B927,CHAR(160)," "))="","",IFERROR(IF(ISNUMBER(SEARCH("INC",$B927)),"INC",IF(ISNUMBER(SEARCH("OPI",$B927)),"OPI",IF(ISNUMBER(SEARCH("DP",$B927)),"DP","CONC")))&amp;" "&amp;TEXT(LOOKUP(9.99E+307,--MID(SUBSTITUTE($B927,CHAR(160)," "),SUMPRODUCT(MIN(FIND({0,1,2,3,4,5,6,7,8,9},SUBSTITUTE($B927,CHAR(160)," ")&amp;"0123456789"))),ROW(INDIRECT("1:6")))),"0"),"SIN NUMERO"))</f>
        <v/>
      </c>
      <c r="O927" t="str">
        <f ca="1">IF($N927="","",IF(LEFT(UPPER($P927),9)="VERIFICAR","VERIFICAR",IF(AND($H927&lt;&gt;"",COUNTIFS($N$2:$N$1000,$N927,$H$2:$H$1000,$H927)&gt;1),"DUPLICADA",IF(TRIM(IF($A927="","tipo ","")&amp;IF($F927="","fecha de firma ","")&amp;IF($G927="","decisión ","")&amp;IF($H927="","N° resolución ","")&amp;IF($I927="","N° dictamen",""))&lt;&gt;"","INCOMPLETA: "&amp;TRIM(IF($A927="","tipo ","")&amp;IF($F927="","fecha de firma ","")&amp;IF($G927="","decisión ","")&amp;IF($H927="","N° resolución ","")&amp;IF($I927="","N° dictamen","")),IF(LEFT($N927,4)&lt;&gt;"CONC","OK",IF(N($Q927)=0,IF(AND(ISNUMBER($E927),$E927&gt;=DATE(2024,1,1)),"FALTA EN evol_conc","OK"),IF(INDEX(evol_conc!$H:$H,$Q927)&lt;&gt;$F927,"FIRMA DISTINTA EN evol_conc ("&amp;IF(INDEX(evol_conc!$H:$H,$Q927)="","vacía",DAY(INDEX(evol_conc!$H:$H,$Q927))&amp;"/"&amp;MONTH(INDEX(evol_conc!$H:$H,$Q927))&amp;"/"&amp;YEAR(INDEX(evol_conc!$H:$H,$Q927)))&amp;")",IF(INDEX(evol_conc!$G:$G,$Q927)&lt;&gt;$E927,"INGRESO DISTINTO EN evol_conc ("&amp;IF(INDEX(evol_conc!$G:$G,$Q927)="","vacía",DAY(INDEX(evol_conc!$G:$G,$Q927))&amp;"/"&amp;MONTH(INDEX(evol_conc!$G:$G,$Q927))&amp;"/"&amp;YEAR(INDEX(evol_conc!$G:$G,$Q927)))&amp;")","OK"))))))))</f>
        <v/>
      </c>
      <c r="Q927" t="str">
        <f ca="1">IF($N927="","",IFERROR(MATCH($N927,evol_conc!$P:$P,0),0))</f>
        <v/>
      </c>
    </row>
    <row r="928" spans="12:17" ht="18" hidden="1" customHeight="1" x14ac:dyDescent="0.25">
      <c r="L928" s="53" t="str">
        <f t="shared" si="28"/>
        <v/>
      </c>
      <c r="M928" s="19" t="str">
        <f t="shared" si="29"/>
        <v/>
      </c>
      <c r="N928" t="str">
        <f ca="1">IF(TRIM(SUBSTITUTE($B928,CHAR(160)," "))="","",IFERROR(IF(ISNUMBER(SEARCH("INC",$B928)),"INC",IF(ISNUMBER(SEARCH("OPI",$B928)),"OPI",IF(ISNUMBER(SEARCH("DP",$B928)),"DP","CONC")))&amp;" "&amp;TEXT(LOOKUP(9.99E+307,--MID(SUBSTITUTE($B928,CHAR(160)," "),SUMPRODUCT(MIN(FIND({0,1,2,3,4,5,6,7,8,9},SUBSTITUTE($B928,CHAR(160)," ")&amp;"0123456789"))),ROW(INDIRECT("1:6")))),"0"),"SIN NUMERO"))</f>
        <v/>
      </c>
      <c r="O928" t="str">
        <f ca="1">IF($N928="","",IF(LEFT(UPPER($P928),9)="VERIFICAR","VERIFICAR",IF(AND($H928&lt;&gt;"",COUNTIFS($N$2:$N$1000,$N928,$H$2:$H$1000,$H928)&gt;1),"DUPLICADA",IF(TRIM(IF($A928="","tipo ","")&amp;IF($F928="","fecha de firma ","")&amp;IF($G928="","decisión ","")&amp;IF($H928="","N° resolución ","")&amp;IF($I928="","N° dictamen",""))&lt;&gt;"","INCOMPLETA: "&amp;TRIM(IF($A928="","tipo ","")&amp;IF($F928="","fecha de firma ","")&amp;IF($G928="","decisión ","")&amp;IF($H928="","N° resolución ","")&amp;IF($I928="","N° dictamen","")),IF(LEFT($N928,4)&lt;&gt;"CONC","OK",IF(N($Q928)=0,IF(AND(ISNUMBER($E928),$E928&gt;=DATE(2024,1,1)),"FALTA EN evol_conc","OK"),IF(INDEX(evol_conc!$H:$H,$Q928)&lt;&gt;$F928,"FIRMA DISTINTA EN evol_conc ("&amp;IF(INDEX(evol_conc!$H:$H,$Q928)="","vacía",DAY(INDEX(evol_conc!$H:$H,$Q928))&amp;"/"&amp;MONTH(INDEX(evol_conc!$H:$H,$Q928))&amp;"/"&amp;YEAR(INDEX(evol_conc!$H:$H,$Q928)))&amp;")",IF(INDEX(evol_conc!$G:$G,$Q928)&lt;&gt;$E928,"INGRESO DISTINTO EN evol_conc ("&amp;IF(INDEX(evol_conc!$G:$G,$Q928)="","vacía",DAY(INDEX(evol_conc!$G:$G,$Q928))&amp;"/"&amp;MONTH(INDEX(evol_conc!$G:$G,$Q928))&amp;"/"&amp;YEAR(INDEX(evol_conc!$G:$G,$Q928)))&amp;")","OK"))))))))</f>
        <v/>
      </c>
      <c r="Q928" t="str">
        <f ca="1">IF($N928="","",IFERROR(MATCH($N928,evol_conc!$P:$P,0),0))</f>
        <v/>
      </c>
    </row>
    <row r="929" spans="12:17" ht="18" hidden="1" customHeight="1" x14ac:dyDescent="0.25">
      <c r="L929" s="53" t="str">
        <f t="shared" si="28"/>
        <v/>
      </c>
      <c r="M929" s="19" t="str">
        <f t="shared" si="29"/>
        <v/>
      </c>
      <c r="N929" t="str">
        <f ca="1">IF(TRIM(SUBSTITUTE($B929,CHAR(160)," "))="","",IFERROR(IF(ISNUMBER(SEARCH("INC",$B929)),"INC",IF(ISNUMBER(SEARCH("OPI",$B929)),"OPI",IF(ISNUMBER(SEARCH("DP",$B929)),"DP","CONC")))&amp;" "&amp;TEXT(LOOKUP(9.99E+307,--MID(SUBSTITUTE($B929,CHAR(160)," "),SUMPRODUCT(MIN(FIND({0,1,2,3,4,5,6,7,8,9},SUBSTITUTE($B929,CHAR(160)," ")&amp;"0123456789"))),ROW(INDIRECT("1:6")))),"0"),"SIN NUMERO"))</f>
        <v/>
      </c>
      <c r="O929" t="str">
        <f ca="1">IF($N929="","",IF(LEFT(UPPER($P929),9)="VERIFICAR","VERIFICAR",IF(AND($H929&lt;&gt;"",COUNTIFS($N$2:$N$1000,$N929,$H$2:$H$1000,$H929)&gt;1),"DUPLICADA",IF(TRIM(IF($A929="","tipo ","")&amp;IF($F929="","fecha de firma ","")&amp;IF($G929="","decisión ","")&amp;IF($H929="","N° resolución ","")&amp;IF($I929="","N° dictamen",""))&lt;&gt;"","INCOMPLETA: "&amp;TRIM(IF($A929="","tipo ","")&amp;IF($F929="","fecha de firma ","")&amp;IF($G929="","decisión ","")&amp;IF($H929="","N° resolución ","")&amp;IF($I929="","N° dictamen","")),IF(LEFT($N929,4)&lt;&gt;"CONC","OK",IF(N($Q929)=0,IF(AND(ISNUMBER($E929),$E929&gt;=DATE(2024,1,1)),"FALTA EN evol_conc","OK"),IF(INDEX(evol_conc!$H:$H,$Q929)&lt;&gt;$F929,"FIRMA DISTINTA EN evol_conc ("&amp;IF(INDEX(evol_conc!$H:$H,$Q929)="","vacía",DAY(INDEX(evol_conc!$H:$H,$Q929))&amp;"/"&amp;MONTH(INDEX(evol_conc!$H:$H,$Q929))&amp;"/"&amp;YEAR(INDEX(evol_conc!$H:$H,$Q929)))&amp;")",IF(INDEX(evol_conc!$G:$G,$Q929)&lt;&gt;$E929,"INGRESO DISTINTO EN evol_conc ("&amp;IF(INDEX(evol_conc!$G:$G,$Q929)="","vacía",DAY(INDEX(evol_conc!$G:$G,$Q929))&amp;"/"&amp;MONTH(INDEX(evol_conc!$G:$G,$Q929))&amp;"/"&amp;YEAR(INDEX(evol_conc!$G:$G,$Q929)))&amp;")","OK"))))))))</f>
        <v/>
      </c>
      <c r="Q929" t="str">
        <f ca="1">IF($N929="","",IFERROR(MATCH($N929,evol_conc!$P:$P,0),0))</f>
        <v/>
      </c>
    </row>
    <row r="930" spans="12:17" ht="18" hidden="1" customHeight="1" x14ac:dyDescent="0.25">
      <c r="L930" s="53" t="str">
        <f t="shared" si="28"/>
        <v/>
      </c>
      <c r="M930" s="19" t="str">
        <f t="shared" si="29"/>
        <v/>
      </c>
      <c r="N930" t="str">
        <f ca="1">IF(TRIM(SUBSTITUTE($B930,CHAR(160)," "))="","",IFERROR(IF(ISNUMBER(SEARCH("INC",$B930)),"INC",IF(ISNUMBER(SEARCH("OPI",$B930)),"OPI",IF(ISNUMBER(SEARCH("DP",$B930)),"DP","CONC")))&amp;" "&amp;TEXT(LOOKUP(9.99E+307,--MID(SUBSTITUTE($B930,CHAR(160)," "),SUMPRODUCT(MIN(FIND({0,1,2,3,4,5,6,7,8,9},SUBSTITUTE($B930,CHAR(160)," ")&amp;"0123456789"))),ROW(INDIRECT("1:6")))),"0"),"SIN NUMERO"))</f>
        <v/>
      </c>
      <c r="O930" t="str">
        <f ca="1">IF($N930="","",IF(LEFT(UPPER($P930),9)="VERIFICAR","VERIFICAR",IF(AND($H930&lt;&gt;"",COUNTIFS($N$2:$N$1000,$N930,$H$2:$H$1000,$H930)&gt;1),"DUPLICADA",IF(TRIM(IF($A930="","tipo ","")&amp;IF($F930="","fecha de firma ","")&amp;IF($G930="","decisión ","")&amp;IF($H930="","N° resolución ","")&amp;IF($I930="","N° dictamen",""))&lt;&gt;"","INCOMPLETA: "&amp;TRIM(IF($A930="","tipo ","")&amp;IF($F930="","fecha de firma ","")&amp;IF($G930="","decisión ","")&amp;IF($H930="","N° resolución ","")&amp;IF($I930="","N° dictamen","")),IF(LEFT($N930,4)&lt;&gt;"CONC","OK",IF(N($Q930)=0,IF(AND(ISNUMBER($E930),$E930&gt;=DATE(2024,1,1)),"FALTA EN evol_conc","OK"),IF(INDEX(evol_conc!$H:$H,$Q930)&lt;&gt;$F930,"FIRMA DISTINTA EN evol_conc ("&amp;IF(INDEX(evol_conc!$H:$H,$Q930)="","vacía",DAY(INDEX(evol_conc!$H:$H,$Q930))&amp;"/"&amp;MONTH(INDEX(evol_conc!$H:$H,$Q930))&amp;"/"&amp;YEAR(INDEX(evol_conc!$H:$H,$Q930)))&amp;")",IF(INDEX(evol_conc!$G:$G,$Q930)&lt;&gt;$E930,"INGRESO DISTINTO EN evol_conc ("&amp;IF(INDEX(evol_conc!$G:$G,$Q930)="","vacía",DAY(INDEX(evol_conc!$G:$G,$Q930))&amp;"/"&amp;MONTH(INDEX(evol_conc!$G:$G,$Q930))&amp;"/"&amp;YEAR(INDEX(evol_conc!$G:$G,$Q930)))&amp;")","OK"))))))))</f>
        <v/>
      </c>
      <c r="Q930" t="str">
        <f ca="1">IF($N930="","",IFERROR(MATCH($N930,evol_conc!$P:$P,0),0))</f>
        <v/>
      </c>
    </row>
    <row r="931" spans="12:17" ht="18" hidden="1" customHeight="1" x14ac:dyDescent="0.25">
      <c r="L931" s="53" t="str">
        <f t="shared" si="28"/>
        <v/>
      </c>
      <c r="M931" s="19" t="str">
        <f t="shared" si="29"/>
        <v/>
      </c>
      <c r="N931" t="str">
        <f ca="1">IF(TRIM(SUBSTITUTE($B931,CHAR(160)," "))="","",IFERROR(IF(ISNUMBER(SEARCH("INC",$B931)),"INC",IF(ISNUMBER(SEARCH("OPI",$B931)),"OPI",IF(ISNUMBER(SEARCH("DP",$B931)),"DP","CONC")))&amp;" "&amp;TEXT(LOOKUP(9.99E+307,--MID(SUBSTITUTE($B931,CHAR(160)," "),SUMPRODUCT(MIN(FIND({0,1,2,3,4,5,6,7,8,9},SUBSTITUTE($B931,CHAR(160)," ")&amp;"0123456789"))),ROW(INDIRECT("1:6")))),"0"),"SIN NUMERO"))</f>
        <v/>
      </c>
      <c r="O931" t="str">
        <f ca="1">IF($N931="","",IF(LEFT(UPPER($P931),9)="VERIFICAR","VERIFICAR",IF(AND($H931&lt;&gt;"",COUNTIFS($N$2:$N$1000,$N931,$H$2:$H$1000,$H931)&gt;1),"DUPLICADA",IF(TRIM(IF($A931="","tipo ","")&amp;IF($F931="","fecha de firma ","")&amp;IF($G931="","decisión ","")&amp;IF($H931="","N° resolución ","")&amp;IF($I931="","N° dictamen",""))&lt;&gt;"","INCOMPLETA: "&amp;TRIM(IF($A931="","tipo ","")&amp;IF($F931="","fecha de firma ","")&amp;IF($G931="","decisión ","")&amp;IF($H931="","N° resolución ","")&amp;IF($I931="","N° dictamen","")),IF(LEFT($N931,4)&lt;&gt;"CONC","OK",IF(N($Q931)=0,IF(AND(ISNUMBER($E931),$E931&gt;=DATE(2024,1,1)),"FALTA EN evol_conc","OK"),IF(INDEX(evol_conc!$H:$H,$Q931)&lt;&gt;$F931,"FIRMA DISTINTA EN evol_conc ("&amp;IF(INDEX(evol_conc!$H:$H,$Q931)="","vacía",DAY(INDEX(evol_conc!$H:$H,$Q931))&amp;"/"&amp;MONTH(INDEX(evol_conc!$H:$H,$Q931))&amp;"/"&amp;YEAR(INDEX(evol_conc!$H:$H,$Q931)))&amp;")",IF(INDEX(evol_conc!$G:$G,$Q931)&lt;&gt;$E931,"INGRESO DISTINTO EN evol_conc ("&amp;IF(INDEX(evol_conc!$G:$G,$Q931)="","vacía",DAY(INDEX(evol_conc!$G:$G,$Q931))&amp;"/"&amp;MONTH(INDEX(evol_conc!$G:$G,$Q931))&amp;"/"&amp;YEAR(INDEX(evol_conc!$G:$G,$Q931)))&amp;")","OK"))))))))</f>
        <v/>
      </c>
      <c r="Q931" t="str">
        <f ca="1">IF($N931="","",IFERROR(MATCH($N931,evol_conc!$P:$P,0),0))</f>
        <v/>
      </c>
    </row>
    <row r="932" spans="12:17" ht="18" hidden="1" customHeight="1" x14ac:dyDescent="0.25">
      <c r="L932" s="53" t="str">
        <f t="shared" si="28"/>
        <v/>
      </c>
      <c r="M932" s="19" t="str">
        <f t="shared" si="29"/>
        <v/>
      </c>
      <c r="N932" t="str">
        <f ca="1">IF(TRIM(SUBSTITUTE($B932,CHAR(160)," "))="","",IFERROR(IF(ISNUMBER(SEARCH("INC",$B932)),"INC",IF(ISNUMBER(SEARCH("OPI",$B932)),"OPI",IF(ISNUMBER(SEARCH("DP",$B932)),"DP","CONC")))&amp;" "&amp;TEXT(LOOKUP(9.99E+307,--MID(SUBSTITUTE($B932,CHAR(160)," "),SUMPRODUCT(MIN(FIND({0,1,2,3,4,5,6,7,8,9},SUBSTITUTE($B932,CHAR(160)," ")&amp;"0123456789"))),ROW(INDIRECT("1:6")))),"0"),"SIN NUMERO"))</f>
        <v/>
      </c>
      <c r="O932" t="str">
        <f ca="1">IF($N932="","",IF(LEFT(UPPER($P932),9)="VERIFICAR","VERIFICAR",IF(AND($H932&lt;&gt;"",COUNTIFS($N$2:$N$1000,$N932,$H$2:$H$1000,$H932)&gt;1),"DUPLICADA",IF(TRIM(IF($A932="","tipo ","")&amp;IF($F932="","fecha de firma ","")&amp;IF($G932="","decisión ","")&amp;IF($H932="","N° resolución ","")&amp;IF($I932="","N° dictamen",""))&lt;&gt;"","INCOMPLETA: "&amp;TRIM(IF($A932="","tipo ","")&amp;IF($F932="","fecha de firma ","")&amp;IF($G932="","decisión ","")&amp;IF($H932="","N° resolución ","")&amp;IF($I932="","N° dictamen","")),IF(LEFT($N932,4)&lt;&gt;"CONC","OK",IF(N($Q932)=0,IF(AND(ISNUMBER($E932),$E932&gt;=DATE(2024,1,1)),"FALTA EN evol_conc","OK"),IF(INDEX(evol_conc!$H:$H,$Q932)&lt;&gt;$F932,"FIRMA DISTINTA EN evol_conc ("&amp;IF(INDEX(evol_conc!$H:$H,$Q932)="","vacía",DAY(INDEX(evol_conc!$H:$H,$Q932))&amp;"/"&amp;MONTH(INDEX(evol_conc!$H:$H,$Q932))&amp;"/"&amp;YEAR(INDEX(evol_conc!$H:$H,$Q932)))&amp;")",IF(INDEX(evol_conc!$G:$G,$Q932)&lt;&gt;$E932,"INGRESO DISTINTO EN evol_conc ("&amp;IF(INDEX(evol_conc!$G:$G,$Q932)="","vacía",DAY(INDEX(evol_conc!$G:$G,$Q932))&amp;"/"&amp;MONTH(INDEX(evol_conc!$G:$G,$Q932))&amp;"/"&amp;YEAR(INDEX(evol_conc!$G:$G,$Q932)))&amp;")","OK"))))))))</f>
        <v/>
      </c>
      <c r="Q932" t="str">
        <f ca="1">IF($N932="","",IFERROR(MATCH($N932,evol_conc!$P:$P,0),0))</f>
        <v/>
      </c>
    </row>
    <row r="933" spans="12:17" ht="18" hidden="1" customHeight="1" x14ac:dyDescent="0.25">
      <c r="L933" s="53" t="str">
        <f t="shared" si="28"/>
        <v/>
      </c>
      <c r="M933" s="19" t="str">
        <f t="shared" si="29"/>
        <v/>
      </c>
      <c r="N933" t="str">
        <f ca="1">IF(TRIM(SUBSTITUTE($B933,CHAR(160)," "))="","",IFERROR(IF(ISNUMBER(SEARCH("INC",$B933)),"INC",IF(ISNUMBER(SEARCH("OPI",$B933)),"OPI",IF(ISNUMBER(SEARCH("DP",$B933)),"DP","CONC")))&amp;" "&amp;TEXT(LOOKUP(9.99E+307,--MID(SUBSTITUTE($B933,CHAR(160)," "),SUMPRODUCT(MIN(FIND({0,1,2,3,4,5,6,7,8,9},SUBSTITUTE($B933,CHAR(160)," ")&amp;"0123456789"))),ROW(INDIRECT("1:6")))),"0"),"SIN NUMERO"))</f>
        <v/>
      </c>
      <c r="O933" t="str">
        <f ca="1">IF($N933="","",IF(LEFT(UPPER($P933),9)="VERIFICAR","VERIFICAR",IF(AND($H933&lt;&gt;"",COUNTIFS($N$2:$N$1000,$N933,$H$2:$H$1000,$H933)&gt;1),"DUPLICADA",IF(TRIM(IF($A933="","tipo ","")&amp;IF($F933="","fecha de firma ","")&amp;IF($G933="","decisión ","")&amp;IF($H933="","N° resolución ","")&amp;IF($I933="","N° dictamen",""))&lt;&gt;"","INCOMPLETA: "&amp;TRIM(IF($A933="","tipo ","")&amp;IF($F933="","fecha de firma ","")&amp;IF($G933="","decisión ","")&amp;IF($H933="","N° resolución ","")&amp;IF($I933="","N° dictamen","")),IF(LEFT($N933,4)&lt;&gt;"CONC","OK",IF(N($Q933)=0,IF(AND(ISNUMBER($E933),$E933&gt;=DATE(2024,1,1)),"FALTA EN evol_conc","OK"),IF(INDEX(evol_conc!$H:$H,$Q933)&lt;&gt;$F933,"FIRMA DISTINTA EN evol_conc ("&amp;IF(INDEX(evol_conc!$H:$H,$Q933)="","vacía",DAY(INDEX(evol_conc!$H:$H,$Q933))&amp;"/"&amp;MONTH(INDEX(evol_conc!$H:$H,$Q933))&amp;"/"&amp;YEAR(INDEX(evol_conc!$H:$H,$Q933)))&amp;")",IF(INDEX(evol_conc!$G:$G,$Q933)&lt;&gt;$E933,"INGRESO DISTINTO EN evol_conc ("&amp;IF(INDEX(evol_conc!$G:$G,$Q933)="","vacía",DAY(INDEX(evol_conc!$G:$G,$Q933))&amp;"/"&amp;MONTH(INDEX(evol_conc!$G:$G,$Q933))&amp;"/"&amp;YEAR(INDEX(evol_conc!$G:$G,$Q933)))&amp;")","OK"))))))))</f>
        <v/>
      </c>
      <c r="Q933" t="str">
        <f ca="1">IF($N933="","",IFERROR(MATCH($N933,evol_conc!$P:$P,0),0))</f>
        <v/>
      </c>
    </row>
    <row r="934" spans="12:17" ht="18" hidden="1" customHeight="1" x14ac:dyDescent="0.25">
      <c r="L934" s="53" t="str">
        <f t="shared" si="28"/>
        <v/>
      </c>
      <c r="M934" s="19" t="str">
        <f t="shared" si="29"/>
        <v/>
      </c>
      <c r="N934" t="str">
        <f ca="1">IF(TRIM(SUBSTITUTE($B934,CHAR(160)," "))="","",IFERROR(IF(ISNUMBER(SEARCH("INC",$B934)),"INC",IF(ISNUMBER(SEARCH("OPI",$B934)),"OPI",IF(ISNUMBER(SEARCH("DP",$B934)),"DP","CONC")))&amp;" "&amp;TEXT(LOOKUP(9.99E+307,--MID(SUBSTITUTE($B934,CHAR(160)," "),SUMPRODUCT(MIN(FIND({0,1,2,3,4,5,6,7,8,9},SUBSTITUTE($B934,CHAR(160)," ")&amp;"0123456789"))),ROW(INDIRECT("1:6")))),"0"),"SIN NUMERO"))</f>
        <v/>
      </c>
      <c r="O934" t="str">
        <f ca="1">IF($N934="","",IF(LEFT(UPPER($P934),9)="VERIFICAR","VERIFICAR",IF(AND($H934&lt;&gt;"",COUNTIFS($N$2:$N$1000,$N934,$H$2:$H$1000,$H934)&gt;1),"DUPLICADA",IF(TRIM(IF($A934="","tipo ","")&amp;IF($F934="","fecha de firma ","")&amp;IF($G934="","decisión ","")&amp;IF($H934="","N° resolución ","")&amp;IF($I934="","N° dictamen",""))&lt;&gt;"","INCOMPLETA: "&amp;TRIM(IF($A934="","tipo ","")&amp;IF($F934="","fecha de firma ","")&amp;IF($G934="","decisión ","")&amp;IF($H934="","N° resolución ","")&amp;IF($I934="","N° dictamen","")),IF(LEFT($N934,4)&lt;&gt;"CONC","OK",IF(N($Q934)=0,IF(AND(ISNUMBER($E934),$E934&gt;=DATE(2024,1,1)),"FALTA EN evol_conc","OK"),IF(INDEX(evol_conc!$H:$H,$Q934)&lt;&gt;$F934,"FIRMA DISTINTA EN evol_conc ("&amp;IF(INDEX(evol_conc!$H:$H,$Q934)="","vacía",DAY(INDEX(evol_conc!$H:$H,$Q934))&amp;"/"&amp;MONTH(INDEX(evol_conc!$H:$H,$Q934))&amp;"/"&amp;YEAR(INDEX(evol_conc!$H:$H,$Q934)))&amp;")",IF(INDEX(evol_conc!$G:$G,$Q934)&lt;&gt;$E934,"INGRESO DISTINTO EN evol_conc ("&amp;IF(INDEX(evol_conc!$G:$G,$Q934)="","vacía",DAY(INDEX(evol_conc!$G:$G,$Q934))&amp;"/"&amp;MONTH(INDEX(evol_conc!$G:$G,$Q934))&amp;"/"&amp;YEAR(INDEX(evol_conc!$G:$G,$Q934)))&amp;")","OK"))))))))</f>
        <v/>
      </c>
      <c r="Q934" t="str">
        <f ca="1">IF($N934="","",IFERROR(MATCH($N934,evol_conc!$P:$P,0),0))</f>
        <v/>
      </c>
    </row>
    <row r="935" spans="12:17" ht="18" hidden="1" customHeight="1" x14ac:dyDescent="0.25">
      <c r="L935" s="53" t="str">
        <f t="shared" si="28"/>
        <v/>
      </c>
      <c r="M935" s="19" t="str">
        <f t="shared" si="29"/>
        <v/>
      </c>
      <c r="N935" t="str">
        <f ca="1">IF(TRIM(SUBSTITUTE($B935,CHAR(160)," "))="","",IFERROR(IF(ISNUMBER(SEARCH("INC",$B935)),"INC",IF(ISNUMBER(SEARCH("OPI",$B935)),"OPI",IF(ISNUMBER(SEARCH("DP",$B935)),"DP","CONC")))&amp;" "&amp;TEXT(LOOKUP(9.99E+307,--MID(SUBSTITUTE($B935,CHAR(160)," "),SUMPRODUCT(MIN(FIND({0,1,2,3,4,5,6,7,8,9},SUBSTITUTE($B935,CHAR(160)," ")&amp;"0123456789"))),ROW(INDIRECT("1:6")))),"0"),"SIN NUMERO"))</f>
        <v/>
      </c>
      <c r="O935" t="str">
        <f ca="1">IF($N935="","",IF(LEFT(UPPER($P935),9)="VERIFICAR","VERIFICAR",IF(AND($H935&lt;&gt;"",COUNTIFS($N$2:$N$1000,$N935,$H$2:$H$1000,$H935)&gt;1),"DUPLICADA",IF(TRIM(IF($A935="","tipo ","")&amp;IF($F935="","fecha de firma ","")&amp;IF($G935="","decisión ","")&amp;IF($H935="","N° resolución ","")&amp;IF($I935="","N° dictamen",""))&lt;&gt;"","INCOMPLETA: "&amp;TRIM(IF($A935="","tipo ","")&amp;IF($F935="","fecha de firma ","")&amp;IF($G935="","decisión ","")&amp;IF($H935="","N° resolución ","")&amp;IF($I935="","N° dictamen","")),IF(LEFT($N935,4)&lt;&gt;"CONC","OK",IF(N($Q935)=0,IF(AND(ISNUMBER($E935),$E935&gt;=DATE(2024,1,1)),"FALTA EN evol_conc","OK"),IF(INDEX(evol_conc!$H:$H,$Q935)&lt;&gt;$F935,"FIRMA DISTINTA EN evol_conc ("&amp;IF(INDEX(evol_conc!$H:$H,$Q935)="","vacía",DAY(INDEX(evol_conc!$H:$H,$Q935))&amp;"/"&amp;MONTH(INDEX(evol_conc!$H:$H,$Q935))&amp;"/"&amp;YEAR(INDEX(evol_conc!$H:$H,$Q935)))&amp;")",IF(INDEX(evol_conc!$G:$G,$Q935)&lt;&gt;$E935,"INGRESO DISTINTO EN evol_conc ("&amp;IF(INDEX(evol_conc!$G:$G,$Q935)="","vacía",DAY(INDEX(evol_conc!$G:$G,$Q935))&amp;"/"&amp;MONTH(INDEX(evol_conc!$G:$G,$Q935))&amp;"/"&amp;YEAR(INDEX(evol_conc!$G:$G,$Q935)))&amp;")","OK"))))))))</f>
        <v/>
      </c>
      <c r="Q935" t="str">
        <f ca="1">IF($N935="","",IFERROR(MATCH($N935,evol_conc!$P:$P,0),0))</f>
        <v/>
      </c>
    </row>
    <row r="936" spans="12:17" ht="18" hidden="1" customHeight="1" x14ac:dyDescent="0.25">
      <c r="L936" s="53" t="str">
        <f t="shared" si="28"/>
        <v/>
      </c>
      <c r="M936" s="19" t="str">
        <f t="shared" si="29"/>
        <v/>
      </c>
      <c r="N936" t="str">
        <f ca="1">IF(TRIM(SUBSTITUTE($B936,CHAR(160)," "))="","",IFERROR(IF(ISNUMBER(SEARCH("INC",$B936)),"INC",IF(ISNUMBER(SEARCH("OPI",$B936)),"OPI",IF(ISNUMBER(SEARCH("DP",$B936)),"DP","CONC")))&amp;" "&amp;TEXT(LOOKUP(9.99E+307,--MID(SUBSTITUTE($B936,CHAR(160)," "),SUMPRODUCT(MIN(FIND({0,1,2,3,4,5,6,7,8,9},SUBSTITUTE($B936,CHAR(160)," ")&amp;"0123456789"))),ROW(INDIRECT("1:6")))),"0"),"SIN NUMERO"))</f>
        <v/>
      </c>
      <c r="O936" t="str">
        <f ca="1">IF($N936="","",IF(LEFT(UPPER($P936),9)="VERIFICAR","VERIFICAR",IF(AND($H936&lt;&gt;"",COUNTIFS($N$2:$N$1000,$N936,$H$2:$H$1000,$H936)&gt;1),"DUPLICADA",IF(TRIM(IF($A936="","tipo ","")&amp;IF($F936="","fecha de firma ","")&amp;IF($G936="","decisión ","")&amp;IF($H936="","N° resolución ","")&amp;IF($I936="","N° dictamen",""))&lt;&gt;"","INCOMPLETA: "&amp;TRIM(IF($A936="","tipo ","")&amp;IF($F936="","fecha de firma ","")&amp;IF($G936="","decisión ","")&amp;IF($H936="","N° resolución ","")&amp;IF($I936="","N° dictamen","")),IF(LEFT($N936,4)&lt;&gt;"CONC","OK",IF(N($Q936)=0,IF(AND(ISNUMBER($E936),$E936&gt;=DATE(2024,1,1)),"FALTA EN evol_conc","OK"),IF(INDEX(evol_conc!$H:$H,$Q936)&lt;&gt;$F936,"FIRMA DISTINTA EN evol_conc ("&amp;IF(INDEX(evol_conc!$H:$H,$Q936)="","vacía",DAY(INDEX(evol_conc!$H:$H,$Q936))&amp;"/"&amp;MONTH(INDEX(evol_conc!$H:$H,$Q936))&amp;"/"&amp;YEAR(INDEX(evol_conc!$H:$H,$Q936)))&amp;")",IF(INDEX(evol_conc!$G:$G,$Q936)&lt;&gt;$E936,"INGRESO DISTINTO EN evol_conc ("&amp;IF(INDEX(evol_conc!$G:$G,$Q936)="","vacía",DAY(INDEX(evol_conc!$G:$G,$Q936))&amp;"/"&amp;MONTH(INDEX(evol_conc!$G:$G,$Q936))&amp;"/"&amp;YEAR(INDEX(evol_conc!$G:$G,$Q936)))&amp;")","OK"))))))))</f>
        <v/>
      </c>
      <c r="Q936" t="str">
        <f ca="1">IF($N936="","",IFERROR(MATCH($N936,evol_conc!$P:$P,0),0))</f>
        <v/>
      </c>
    </row>
    <row r="937" spans="12:17" ht="18" hidden="1" customHeight="1" x14ac:dyDescent="0.25">
      <c r="L937" s="53" t="str">
        <f t="shared" si="28"/>
        <v/>
      </c>
      <c r="M937" s="19" t="str">
        <f t="shared" si="29"/>
        <v/>
      </c>
      <c r="N937" t="str">
        <f ca="1">IF(TRIM(SUBSTITUTE($B937,CHAR(160)," "))="","",IFERROR(IF(ISNUMBER(SEARCH("INC",$B937)),"INC",IF(ISNUMBER(SEARCH("OPI",$B937)),"OPI",IF(ISNUMBER(SEARCH("DP",$B937)),"DP","CONC")))&amp;" "&amp;TEXT(LOOKUP(9.99E+307,--MID(SUBSTITUTE($B937,CHAR(160)," "),SUMPRODUCT(MIN(FIND({0,1,2,3,4,5,6,7,8,9},SUBSTITUTE($B937,CHAR(160)," ")&amp;"0123456789"))),ROW(INDIRECT("1:6")))),"0"),"SIN NUMERO"))</f>
        <v/>
      </c>
      <c r="O937" t="str">
        <f ca="1">IF($N937="","",IF(LEFT(UPPER($P937),9)="VERIFICAR","VERIFICAR",IF(AND($H937&lt;&gt;"",COUNTIFS($N$2:$N$1000,$N937,$H$2:$H$1000,$H937)&gt;1),"DUPLICADA",IF(TRIM(IF($A937="","tipo ","")&amp;IF($F937="","fecha de firma ","")&amp;IF($G937="","decisión ","")&amp;IF($H937="","N° resolución ","")&amp;IF($I937="","N° dictamen",""))&lt;&gt;"","INCOMPLETA: "&amp;TRIM(IF($A937="","tipo ","")&amp;IF($F937="","fecha de firma ","")&amp;IF($G937="","decisión ","")&amp;IF($H937="","N° resolución ","")&amp;IF($I937="","N° dictamen","")),IF(LEFT($N937,4)&lt;&gt;"CONC","OK",IF(N($Q937)=0,IF(AND(ISNUMBER($E937),$E937&gt;=DATE(2024,1,1)),"FALTA EN evol_conc","OK"),IF(INDEX(evol_conc!$H:$H,$Q937)&lt;&gt;$F937,"FIRMA DISTINTA EN evol_conc ("&amp;IF(INDEX(evol_conc!$H:$H,$Q937)="","vacía",DAY(INDEX(evol_conc!$H:$H,$Q937))&amp;"/"&amp;MONTH(INDEX(evol_conc!$H:$H,$Q937))&amp;"/"&amp;YEAR(INDEX(evol_conc!$H:$H,$Q937)))&amp;")",IF(INDEX(evol_conc!$G:$G,$Q937)&lt;&gt;$E937,"INGRESO DISTINTO EN evol_conc ("&amp;IF(INDEX(evol_conc!$G:$G,$Q937)="","vacía",DAY(INDEX(evol_conc!$G:$G,$Q937))&amp;"/"&amp;MONTH(INDEX(evol_conc!$G:$G,$Q937))&amp;"/"&amp;YEAR(INDEX(evol_conc!$G:$G,$Q937)))&amp;")","OK"))))))))</f>
        <v/>
      </c>
      <c r="Q937" t="str">
        <f ca="1">IF($N937="","",IFERROR(MATCH($N937,evol_conc!$P:$P,0),0))</f>
        <v/>
      </c>
    </row>
    <row r="938" spans="12:17" ht="18" hidden="1" customHeight="1" x14ac:dyDescent="0.25">
      <c r="L938" s="53" t="str">
        <f t="shared" si="28"/>
        <v/>
      </c>
      <c r="M938" s="19" t="str">
        <f t="shared" si="29"/>
        <v/>
      </c>
      <c r="N938" t="str">
        <f ca="1">IF(TRIM(SUBSTITUTE($B938,CHAR(160)," "))="","",IFERROR(IF(ISNUMBER(SEARCH("INC",$B938)),"INC",IF(ISNUMBER(SEARCH("OPI",$B938)),"OPI",IF(ISNUMBER(SEARCH("DP",$B938)),"DP","CONC")))&amp;" "&amp;TEXT(LOOKUP(9.99E+307,--MID(SUBSTITUTE($B938,CHAR(160)," "),SUMPRODUCT(MIN(FIND({0,1,2,3,4,5,6,7,8,9},SUBSTITUTE($B938,CHAR(160)," ")&amp;"0123456789"))),ROW(INDIRECT("1:6")))),"0"),"SIN NUMERO"))</f>
        <v/>
      </c>
      <c r="O938" t="str">
        <f ca="1">IF($N938="","",IF(LEFT(UPPER($P938),9)="VERIFICAR","VERIFICAR",IF(AND($H938&lt;&gt;"",COUNTIFS($N$2:$N$1000,$N938,$H$2:$H$1000,$H938)&gt;1),"DUPLICADA",IF(TRIM(IF($A938="","tipo ","")&amp;IF($F938="","fecha de firma ","")&amp;IF($G938="","decisión ","")&amp;IF($H938="","N° resolución ","")&amp;IF($I938="","N° dictamen",""))&lt;&gt;"","INCOMPLETA: "&amp;TRIM(IF($A938="","tipo ","")&amp;IF($F938="","fecha de firma ","")&amp;IF($G938="","decisión ","")&amp;IF($H938="","N° resolución ","")&amp;IF($I938="","N° dictamen","")),IF(LEFT($N938,4)&lt;&gt;"CONC","OK",IF(N($Q938)=0,IF(AND(ISNUMBER($E938),$E938&gt;=DATE(2024,1,1)),"FALTA EN evol_conc","OK"),IF(INDEX(evol_conc!$H:$H,$Q938)&lt;&gt;$F938,"FIRMA DISTINTA EN evol_conc ("&amp;IF(INDEX(evol_conc!$H:$H,$Q938)="","vacía",DAY(INDEX(evol_conc!$H:$H,$Q938))&amp;"/"&amp;MONTH(INDEX(evol_conc!$H:$H,$Q938))&amp;"/"&amp;YEAR(INDEX(evol_conc!$H:$H,$Q938)))&amp;")",IF(INDEX(evol_conc!$G:$G,$Q938)&lt;&gt;$E938,"INGRESO DISTINTO EN evol_conc ("&amp;IF(INDEX(evol_conc!$G:$G,$Q938)="","vacía",DAY(INDEX(evol_conc!$G:$G,$Q938))&amp;"/"&amp;MONTH(INDEX(evol_conc!$G:$G,$Q938))&amp;"/"&amp;YEAR(INDEX(evol_conc!$G:$G,$Q938)))&amp;")","OK"))))))))</f>
        <v/>
      </c>
      <c r="Q938" t="str">
        <f ca="1">IF($N938="","",IFERROR(MATCH($N938,evol_conc!$P:$P,0),0))</f>
        <v/>
      </c>
    </row>
    <row r="939" spans="12:17" ht="18" hidden="1" customHeight="1" x14ac:dyDescent="0.25">
      <c r="L939" s="53" t="str">
        <f t="shared" si="28"/>
        <v/>
      </c>
      <c r="M939" s="19" t="str">
        <f t="shared" si="29"/>
        <v/>
      </c>
      <c r="N939" t="str">
        <f ca="1">IF(TRIM(SUBSTITUTE($B939,CHAR(160)," "))="","",IFERROR(IF(ISNUMBER(SEARCH("INC",$B939)),"INC",IF(ISNUMBER(SEARCH("OPI",$B939)),"OPI",IF(ISNUMBER(SEARCH("DP",$B939)),"DP","CONC")))&amp;" "&amp;TEXT(LOOKUP(9.99E+307,--MID(SUBSTITUTE($B939,CHAR(160)," "),SUMPRODUCT(MIN(FIND({0,1,2,3,4,5,6,7,8,9},SUBSTITUTE($B939,CHAR(160)," ")&amp;"0123456789"))),ROW(INDIRECT("1:6")))),"0"),"SIN NUMERO"))</f>
        <v/>
      </c>
      <c r="O939" t="str">
        <f ca="1">IF($N939="","",IF(LEFT(UPPER($P939),9)="VERIFICAR","VERIFICAR",IF(AND($H939&lt;&gt;"",COUNTIFS($N$2:$N$1000,$N939,$H$2:$H$1000,$H939)&gt;1),"DUPLICADA",IF(TRIM(IF($A939="","tipo ","")&amp;IF($F939="","fecha de firma ","")&amp;IF($G939="","decisión ","")&amp;IF($H939="","N° resolución ","")&amp;IF($I939="","N° dictamen",""))&lt;&gt;"","INCOMPLETA: "&amp;TRIM(IF($A939="","tipo ","")&amp;IF($F939="","fecha de firma ","")&amp;IF($G939="","decisión ","")&amp;IF($H939="","N° resolución ","")&amp;IF($I939="","N° dictamen","")),IF(LEFT($N939,4)&lt;&gt;"CONC","OK",IF(N($Q939)=0,IF(AND(ISNUMBER($E939),$E939&gt;=DATE(2024,1,1)),"FALTA EN evol_conc","OK"),IF(INDEX(evol_conc!$H:$H,$Q939)&lt;&gt;$F939,"FIRMA DISTINTA EN evol_conc ("&amp;IF(INDEX(evol_conc!$H:$H,$Q939)="","vacía",DAY(INDEX(evol_conc!$H:$H,$Q939))&amp;"/"&amp;MONTH(INDEX(evol_conc!$H:$H,$Q939))&amp;"/"&amp;YEAR(INDEX(evol_conc!$H:$H,$Q939)))&amp;")",IF(INDEX(evol_conc!$G:$G,$Q939)&lt;&gt;$E939,"INGRESO DISTINTO EN evol_conc ("&amp;IF(INDEX(evol_conc!$G:$G,$Q939)="","vacía",DAY(INDEX(evol_conc!$G:$G,$Q939))&amp;"/"&amp;MONTH(INDEX(evol_conc!$G:$G,$Q939))&amp;"/"&amp;YEAR(INDEX(evol_conc!$G:$G,$Q939)))&amp;")","OK"))))))))</f>
        <v/>
      </c>
      <c r="Q939" t="str">
        <f ca="1">IF($N939="","",IFERROR(MATCH($N939,evol_conc!$P:$P,0),0))</f>
        <v/>
      </c>
    </row>
    <row r="940" spans="12:17" ht="18" hidden="1" customHeight="1" x14ac:dyDescent="0.25">
      <c r="L940" s="53" t="str">
        <f t="shared" si="28"/>
        <v/>
      </c>
      <c r="M940" s="19" t="str">
        <f t="shared" si="29"/>
        <v/>
      </c>
      <c r="N940" t="str">
        <f ca="1">IF(TRIM(SUBSTITUTE($B940,CHAR(160)," "))="","",IFERROR(IF(ISNUMBER(SEARCH("INC",$B940)),"INC",IF(ISNUMBER(SEARCH("OPI",$B940)),"OPI",IF(ISNUMBER(SEARCH("DP",$B940)),"DP","CONC")))&amp;" "&amp;TEXT(LOOKUP(9.99E+307,--MID(SUBSTITUTE($B940,CHAR(160)," "),SUMPRODUCT(MIN(FIND({0,1,2,3,4,5,6,7,8,9},SUBSTITUTE($B940,CHAR(160)," ")&amp;"0123456789"))),ROW(INDIRECT("1:6")))),"0"),"SIN NUMERO"))</f>
        <v/>
      </c>
      <c r="O940" t="str">
        <f ca="1">IF($N940="","",IF(LEFT(UPPER($P940),9)="VERIFICAR","VERIFICAR",IF(AND($H940&lt;&gt;"",COUNTIFS($N$2:$N$1000,$N940,$H$2:$H$1000,$H940)&gt;1),"DUPLICADA",IF(TRIM(IF($A940="","tipo ","")&amp;IF($F940="","fecha de firma ","")&amp;IF($G940="","decisión ","")&amp;IF($H940="","N° resolución ","")&amp;IF($I940="","N° dictamen",""))&lt;&gt;"","INCOMPLETA: "&amp;TRIM(IF($A940="","tipo ","")&amp;IF($F940="","fecha de firma ","")&amp;IF($G940="","decisión ","")&amp;IF($H940="","N° resolución ","")&amp;IF($I940="","N° dictamen","")),IF(LEFT($N940,4)&lt;&gt;"CONC","OK",IF(N($Q940)=0,IF(AND(ISNUMBER($E940),$E940&gt;=DATE(2024,1,1)),"FALTA EN evol_conc","OK"),IF(INDEX(evol_conc!$H:$H,$Q940)&lt;&gt;$F940,"FIRMA DISTINTA EN evol_conc ("&amp;IF(INDEX(evol_conc!$H:$H,$Q940)="","vacía",DAY(INDEX(evol_conc!$H:$H,$Q940))&amp;"/"&amp;MONTH(INDEX(evol_conc!$H:$H,$Q940))&amp;"/"&amp;YEAR(INDEX(evol_conc!$H:$H,$Q940)))&amp;")",IF(INDEX(evol_conc!$G:$G,$Q940)&lt;&gt;$E940,"INGRESO DISTINTO EN evol_conc ("&amp;IF(INDEX(evol_conc!$G:$G,$Q940)="","vacía",DAY(INDEX(evol_conc!$G:$G,$Q940))&amp;"/"&amp;MONTH(INDEX(evol_conc!$G:$G,$Q940))&amp;"/"&amp;YEAR(INDEX(evol_conc!$G:$G,$Q940)))&amp;")","OK"))))))))</f>
        <v/>
      </c>
      <c r="Q940" t="str">
        <f ca="1">IF($N940="","",IFERROR(MATCH($N940,evol_conc!$P:$P,0),0))</f>
        <v/>
      </c>
    </row>
    <row r="941" spans="12:17" ht="18" hidden="1" customHeight="1" x14ac:dyDescent="0.25">
      <c r="L941" s="53" t="str">
        <f t="shared" si="28"/>
        <v/>
      </c>
      <c r="M941" s="19" t="str">
        <f t="shared" si="29"/>
        <v/>
      </c>
      <c r="N941" t="str">
        <f ca="1">IF(TRIM(SUBSTITUTE($B941,CHAR(160)," "))="","",IFERROR(IF(ISNUMBER(SEARCH("INC",$B941)),"INC",IF(ISNUMBER(SEARCH("OPI",$B941)),"OPI",IF(ISNUMBER(SEARCH("DP",$B941)),"DP","CONC")))&amp;" "&amp;TEXT(LOOKUP(9.99E+307,--MID(SUBSTITUTE($B941,CHAR(160)," "),SUMPRODUCT(MIN(FIND({0,1,2,3,4,5,6,7,8,9},SUBSTITUTE($B941,CHAR(160)," ")&amp;"0123456789"))),ROW(INDIRECT("1:6")))),"0"),"SIN NUMERO"))</f>
        <v/>
      </c>
      <c r="O941" t="str">
        <f ca="1">IF($N941="","",IF(LEFT(UPPER($P941),9)="VERIFICAR","VERIFICAR",IF(AND($H941&lt;&gt;"",COUNTIFS($N$2:$N$1000,$N941,$H$2:$H$1000,$H941)&gt;1),"DUPLICADA",IF(TRIM(IF($A941="","tipo ","")&amp;IF($F941="","fecha de firma ","")&amp;IF($G941="","decisión ","")&amp;IF($H941="","N° resolución ","")&amp;IF($I941="","N° dictamen",""))&lt;&gt;"","INCOMPLETA: "&amp;TRIM(IF($A941="","tipo ","")&amp;IF($F941="","fecha de firma ","")&amp;IF($G941="","decisión ","")&amp;IF($H941="","N° resolución ","")&amp;IF($I941="","N° dictamen","")),IF(LEFT($N941,4)&lt;&gt;"CONC","OK",IF(N($Q941)=0,IF(AND(ISNUMBER($E941),$E941&gt;=DATE(2024,1,1)),"FALTA EN evol_conc","OK"),IF(INDEX(evol_conc!$H:$H,$Q941)&lt;&gt;$F941,"FIRMA DISTINTA EN evol_conc ("&amp;IF(INDEX(evol_conc!$H:$H,$Q941)="","vacía",DAY(INDEX(evol_conc!$H:$H,$Q941))&amp;"/"&amp;MONTH(INDEX(evol_conc!$H:$H,$Q941))&amp;"/"&amp;YEAR(INDEX(evol_conc!$H:$H,$Q941)))&amp;")",IF(INDEX(evol_conc!$G:$G,$Q941)&lt;&gt;$E941,"INGRESO DISTINTO EN evol_conc ("&amp;IF(INDEX(evol_conc!$G:$G,$Q941)="","vacía",DAY(INDEX(evol_conc!$G:$G,$Q941))&amp;"/"&amp;MONTH(INDEX(evol_conc!$G:$G,$Q941))&amp;"/"&amp;YEAR(INDEX(evol_conc!$G:$G,$Q941)))&amp;")","OK"))))))))</f>
        <v/>
      </c>
      <c r="Q941" t="str">
        <f ca="1">IF($N941="","",IFERROR(MATCH($N941,evol_conc!$P:$P,0),0))</f>
        <v/>
      </c>
    </row>
    <row r="942" spans="12:17" ht="18" hidden="1" customHeight="1" x14ac:dyDescent="0.25">
      <c r="L942" s="53" t="str">
        <f t="shared" si="28"/>
        <v/>
      </c>
      <c r="M942" s="19" t="str">
        <f t="shared" si="29"/>
        <v/>
      </c>
      <c r="N942" t="str">
        <f ca="1">IF(TRIM(SUBSTITUTE($B942,CHAR(160)," "))="","",IFERROR(IF(ISNUMBER(SEARCH("INC",$B942)),"INC",IF(ISNUMBER(SEARCH("OPI",$B942)),"OPI",IF(ISNUMBER(SEARCH("DP",$B942)),"DP","CONC")))&amp;" "&amp;TEXT(LOOKUP(9.99E+307,--MID(SUBSTITUTE($B942,CHAR(160)," "),SUMPRODUCT(MIN(FIND({0,1,2,3,4,5,6,7,8,9},SUBSTITUTE($B942,CHAR(160)," ")&amp;"0123456789"))),ROW(INDIRECT("1:6")))),"0"),"SIN NUMERO"))</f>
        <v/>
      </c>
      <c r="O942" t="str">
        <f ca="1">IF($N942="","",IF(LEFT(UPPER($P942),9)="VERIFICAR","VERIFICAR",IF(AND($H942&lt;&gt;"",COUNTIFS($N$2:$N$1000,$N942,$H$2:$H$1000,$H942)&gt;1),"DUPLICADA",IF(TRIM(IF($A942="","tipo ","")&amp;IF($F942="","fecha de firma ","")&amp;IF($G942="","decisión ","")&amp;IF($H942="","N° resolución ","")&amp;IF($I942="","N° dictamen",""))&lt;&gt;"","INCOMPLETA: "&amp;TRIM(IF($A942="","tipo ","")&amp;IF($F942="","fecha de firma ","")&amp;IF($G942="","decisión ","")&amp;IF($H942="","N° resolución ","")&amp;IF($I942="","N° dictamen","")),IF(LEFT($N942,4)&lt;&gt;"CONC","OK",IF(N($Q942)=0,IF(AND(ISNUMBER($E942),$E942&gt;=DATE(2024,1,1)),"FALTA EN evol_conc","OK"),IF(INDEX(evol_conc!$H:$H,$Q942)&lt;&gt;$F942,"FIRMA DISTINTA EN evol_conc ("&amp;IF(INDEX(evol_conc!$H:$H,$Q942)="","vacía",DAY(INDEX(evol_conc!$H:$H,$Q942))&amp;"/"&amp;MONTH(INDEX(evol_conc!$H:$H,$Q942))&amp;"/"&amp;YEAR(INDEX(evol_conc!$H:$H,$Q942)))&amp;")",IF(INDEX(evol_conc!$G:$G,$Q942)&lt;&gt;$E942,"INGRESO DISTINTO EN evol_conc ("&amp;IF(INDEX(evol_conc!$G:$G,$Q942)="","vacía",DAY(INDEX(evol_conc!$G:$G,$Q942))&amp;"/"&amp;MONTH(INDEX(evol_conc!$G:$G,$Q942))&amp;"/"&amp;YEAR(INDEX(evol_conc!$G:$G,$Q942)))&amp;")","OK"))))))))</f>
        <v/>
      </c>
      <c r="Q942" t="str">
        <f ca="1">IF($N942="","",IFERROR(MATCH($N942,evol_conc!$P:$P,0),0))</f>
        <v/>
      </c>
    </row>
    <row r="943" spans="12:17" ht="18" hidden="1" customHeight="1" x14ac:dyDescent="0.25">
      <c r="L943" s="53" t="str">
        <f t="shared" si="28"/>
        <v/>
      </c>
      <c r="M943" s="19" t="str">
        <f t="shared" si="29"/>
        <v/>
      </c>
      <c r="N943" t="str">
        <f ca="1">IF(TRIM(SUBSTITUTE($B943,CHAR(160)," "))="","",IFERROR(IF(ISNUMBER(SEARCH("INC",$B943)),"INC",IF(ISNUMBER(SEARCH("OPI",$B943)),"OPI",IF(ISNUMBER(SEARCH("DP",$B943)),"DP","CONC")))&amp;" "&amp;TEXT(LOOKUP(9.99E+307,--MID(SUBSTITUTE($B943,CHAR(160)," "),SUMPRODUCT(MIN(FIND({0,1,2,3,4,5,6,7,8,9},SUBSTITUTE($B943,CHAR(160)," ")&amp;"0123456789"))),ROW(INDIRECT("1:6")))),"0"),"SIN NUMERO"))</f>
        <v/>
      </c>
      <c r="O943" t="str">
        <f ca="1">IF($N943="","",IF(LEFT(UPPER($P943),9)="VERIFICAR","VERIFICAR",IF(AND($H943&lt;&gt;"",COUNTIFS($N$2:$N$1000,$N943,$H$2:$H$1000,$H943)&gt;1),"DUPLICADA",IF(TRIM(IF($A943="","tipo ","")&amp;IF($F943="","fecha de firma ","")&amp;IF($G943="","decisión ","")&amp;IF($H943="","N° resolución ","")&amp;IF($I943="","N° dictamen",""))&lt;&gt;"","INCOMPLETA: "&amp;TRIM(IF($A943="","tipo ","")&amp;IF($F943="","fecha de firma ","")&amp;IF($G943="","decisión ","")&amp;IF($H943="","N° resolución ","")&amp;IF($I943="","N° dictamen","")),IF(LEFT($N943,4)&lt;&gt;"CONC","OK",IF(N($Q943)=0,IF(AND(ISNUMBER($E943),$E943&gt;=DATE(2024,1,1)),"FALTA EN evol_conc","OK"),IF(INDEX(evol_conc!$H:$H,$Q943)&lt;&gt;$F943,"FIRMA DISTINTA EN evol_conc ("&amp;IF(INDEX(evol_conc!$H:$H,$Q943)="","vacía",DAY(INDEX(evol_conc!$H:$H,$Q943))&amp;"/"&amp;MONTH(INDEX(evol_conc!$H:$H,$Q943))&amp;"/"&amp;YEAR(INDEX(evol_conc!$H:$H,$Q943)))&amp;")",IF(INDEX(evol_conc!$G:$G,$Q943)&lt;&gt;$E943,"INGRESO DISTINTO EN evol_conc ("&amp;IF(INDEX(evol_conc!$G:$G,$Q943)="","vacía",DAY(INDEX(evol_conc!$G:$G,$Q943))&amp;"/"&amp;MONTH(INDEX(evol_conc!$G:$G,$Q943))&amp;"/"&amp;YEAR(INDEX(evol_conc!$G:$G,$Q943)))&amp;")","OK"))))))))</f>
        <v/>
      </c>
      <c r="Q943" t="str">
        <f ca="1">IF($N943="","",IFERROR(MATCH($N943,evol_conc!$P:$P,0),0))</f>
        <v/>
      </c>
    </row>
    <row r="944" spans="12:17" ht="18" hidden="1" customHeight="1" x14ac:dyDescent="0.25">
      <c r="L944" s="53" t="str">
        <f t="shared" si="28"/>
        <v/>
      </c>
      <c r="M944" s="19" t="str">
        <f t="shared" si="29"/>
        <v/>
      </c>
      <c r="N944" t="str">
        <f ca="1">IF(TRIM(SUBSTITUTE($B944,CHAR(160)," "))="","",IFERROR(IF(ISNUMBER(SEARCH("INC",$B944)),"INC",IF(ISNUMBER(SEARCH("OPI",$B944)),"OPI",IF(ISNUMBER(SEARCH("DP",$B944)),"DP","CONC")))&amp;" "&amp;TEXT(LOOKUP(9.99E+307,--MID(SUBSTITUTE($B944,CHAR(160)," "),SUMPRODUCT(MIN(FIND({0,1,2,3,4,5,6,7,8,9},SUBSTITUTE($B944,CHAR(160)," ")&amp;"0123456789"))),ROW(INDIRECT("1:6")))),"0"),"SIN NUMERO"))</f>
        <v/>
      </c>
      <c r="O944" t="str">
        <f ca="1">IF($N944="","",IF(LEFT(UPPER($P944),9)="VERIFICAR","VERIFICAR",IF(AND($H944&lt;&gt;"",COUNTIFS($N$2:$N$1000,$N944,$H$2:$H$1000,$H944)&gt;1),"DUPLICADA",IF(TRIM(IF($A944="","tipo ","")&amp;IF($F944="","fecha de firma ","")&amp;IF($G944="","decisión ","")&amp;IF($H944="","N° resolución ","")&amp;IF($I944="","N° dictamen",""))&lt;&gt;"","INCOMPLETA: "&amp;TRIM(IF($A944="","tipo ","")&amp;IF($F944="","fecha de firma ","")&amp;IF($G944="","decisión ","")&amp;IF($H944="","N° resolución ","")&amp;IF($I944="","N° dictamen","")),IF(LEFT($N944,4)&lt;&gt;"CONC","OK",IF(N($Q944)=0,IF(AND(ISNUMBER($E944),$E944&gt;=DATE(2024,1,1)),"FALTA EN evol_conc","OK"),IF(INDEX(evol_conc!$H:$H,$Q944)&lt;&gt;$F944,"FIRMA DISTINTA EN evol_conc ("&amp;IF(INDEX(evol_conc!$H:$H,$Q944)="","vacía",DAY(INDEX(evol_conc!$H:$H,$Q944))&amp;"/"&amp;MONTH(INDEX(evol_conc!$H:$H,$Q944))&amp;"/"&amp;YEAR(INDEX(evol_conc!$H:$H,$Q944)))&amp;")",IF(INDEX(evol_conc!$G:$G,$Q944)&lt;&gt;$E944,"INGRESO DISTINTO EN evol_conc ("&amp;IF(INDEX(evol_conc!$G:$G,$Q944)="","vacía",DAY(INDEX(evol_conc!$G:$G,$Q944))&amp;"/"&amp;MONTH(INDEX(evol_conc!$G:$G,$Q944))&amp;"/"&amp;YEAR(INDEX(evol_conc!$G:$G,$Q944)))&amp;")","OK"))))))))</f>
        <v/>
      </c>
      <c r="Q944" t="str">
        <f ca="1">IF($N944="","",IFERROR(MATCH($N944,evol_conc!$P:$P,0),0))</f>
        <v/>
      </c>
    </row>
    <row r="945" spans="12:17" ht="18" hidden="1" customHeight="1" x14ac:dyDescent="0.25">
      <c r="L945" s="53" t="str">
        <f t="shared" si="28"/>
        <v/>
      </c>
      <c r="M945" s="19" t="str">
        <f t="shared" si="29"/>
        <v/>
      </c>
      <c r="N945" t="str">
        <f ca="1">IF(TRIM(SUBSTITUTE($B945,CHAR(160)," "))="","",IFERROR(IF(ISNUMBER(SEARCH("INC",$B945)),"INC",IF(ISNUMBER(SEARCH("OPI",$B945)),"OPI",IF(ISNUMBER(SEARCH("DP",$B945)),"DP","CONC")))&amp;" "&amp;TEXT(LOOKUP(9.99E+307,--MID(SUBSTITUTE($B945,CHAR(160)," "),SUMPRODUCT(MIN(FIND({0,1,2,3,4,5,6,7,8,9},SUBSTITUTE($B945,CHAR(160)," ")&amp;"0123456789"))),ROW(INDIRECT("1:6")))),"0"),"SIN NUMERO"))</f>
        <v/>
      </c>
      <c r="O945" t="str">
        <f ca="1">IF($N945="","",IF(LEFT(UPPER($P945),9)="VERIFICAR","VERIFICAR",IF(AND($H945&lt;&gt;"",COUNTIFS($N$2:$N$1000,$N945,$H$2:$H$1000,$H945)&gt;1),"DUPLICADA",IF(TRIM(IF($A945="","tipo ","")&amp;IF($F945="","fecha de firma ","")&amp;IF($G945="","decisión ","")&amp;IF($H945="","N° resolución ","")&amp;IF($I945="","N° dictamen",""))&lt;&gt;"","INCOMPLETA: "&amp;TRIM(IF($A945="","tipo ","")&amp;IF($F945="","fecha de firma ","")&amp;IF($G945="","decisión ","")&amp;IF($H945="","N° resolución ","")&amp;IF($I945="","N° dictamen","")),IF(LEFT($N945,4)&lt;&gt;"CONC","OK",IF(N($Q945)=0,IF(AND(ISNUMBER($E945),$E945&gt;=DATE(2024,1,1)),"FALTA EN evol_conc","OK"),IF(INDEX(evol_conc!$H:$H,$Q945)&lt;&gt;$F945,"FIRMA DISTINTA EN evol_conc ("&amp;IF(INDEX(evol_conc!$H:$H,$Q945)="","vacía",DAY(INDEX(evol_conc!$H:$H,$Q945))&amp;"/"&amp;MONTH(INDEX(evol_conc!$H:$H,$Q945))&amp;"/"&amp;YEAR(INDEX(evol_conc!$H:$H,$Q945)))&amp;")",IF(INDEX(evol_conc!$G:$G,$Q945)&lt;&gt;$E945,"INGRESO DISTINTO EN evol_conc ("&amp;IF(INDEX(evol_conc!$G:$G,$Q945)="","vacía",DAY(INDEX(evol_conc!$G:$G,$Q945))&amp;"/"&amp;MONTH(INDEX(evol_conc!$G:$G,$Q945))&amp;"/"&amp;YEAR(INDEX(evol_conc!$G:$G,$Q945)))&amp;")","OK"))))))))</f>
        <v/>
      </c>
      <c r="Q945" t="str">
        <f ca="1">IF($N945="","",IFERROR(MATCH($N945,evol_conc!$P:$P,0),0))</f>
        <v/>
      </c>
    </row>
    <row r="946" spans="12:17" ht="18" hidden="1" customHeight="1" x14ac:dyDescent="0.25">
      <c r="L946" s="53" t="str">
        <f t="shared" si="28"/>
        <v/>
      </c>
      <c r="M946" s="19" t="str">
        <f t="shared" si="29"/>
        <v/>
      </c>
      <c r="N946" t="str">
        <f ca="1">IF(TRIM(SUBSTITUTE($B946,CHAR(160)," "))="","",IFERROR(IF(ISNUMBER(SEARCH("INC",$B946)),"INC",IF(ISNUMBER(SEARCH("OPI",$B946)),"OPI",IF(ISNUMBER(SEARCH("DP",$B946)),"DP","CONC")))&amp;" "&amp;TEXT(LOOKUP(9.99E+307,--MID(SUBSTITUTE($B946,CHAR(160)," "),SUMPRODUCT(MIN(FIND({0,1,2,3,4,5,6,7,8,9},SUBSTITUTE($B946,CHAR(160)," ")&amp;"0123456789"))),ROW(INDIRECT("1:6")))),"0"),"SIN NUMERO"))</f>
        <v/>
      </c>
      <c r="O946" t="str">
        <f ca="1">IF($N946="","",IF(LEFT(UPPER($P946),9)="VERIFICAR","VERIFICAR",IF(AND($H946&lt;&gt;"",COUNTIFS($N$2:$N$1000,$N946,$H$2:$H$1000,$H946)&gt;1),"DUPLICADA",IF(TRIM(IF($A946="","tipo ","")&amp;IF($F946="","fecha de firma ","")&amp;IF($G946="","decisión ","")&amp;IF($H946="","N° resolución ","")&amp;IF($I946="","N° dictamen",""))&lt;&gt;"","INCOMPLETA: "&amp;TRIM(IF($A946="","tipo ","")&amp;IF($F946="","fecha de firma ","")&amp;IF($G946="","decisión ","")&amp;IF($H946="","N° resolución ","")&amp;IF($I946="","N° dictamen","")),IF(LEFT($N946,4)&lt;&gt;"CONC","OK",IF(N($Q946)=0,IF(AND(ISNUMBER($E946),$E946&gt;=DATE(2024,1,1)),"FALTA EN evol_conc","OK"),IF(INDEX(evol_conc!$H:$H,$Q946)&lt;&gt;$F946,"FIRMA DISTINTA EN evol_conc ("&amp;IF(INDEX(evol_conc!$H:$H,$Q946)="","vacía",DAY(INDEX(evol_conc!$H:$H,$Q946))&amp;"/"&amp;MONTH(INDEX(evol_conc!$H:$H,$Q946))&amp;"/"&amp;YEAR(INDEX(evol_conc!$H:$H,$Q946)))&amp;")",IF(INDEX(evol_conc!$G:$G,$Q946)&lt;&gt;$E946,"INGRESO DISTINTO EN evol_conc ("&amp;IF(INDEX(evol_conc!$G:$G,$Q946)="","vacía",DAY(INDEX(evol_conc!$G:$G,$Q946))&amp;"/"&amp;MONTH(INDEX(evol_conc!$G:$G,$Q946))&amp;"/"&amp;YEAR(INDEX(evol_conc!$G:$G,$Q946)))&amp;")","OK"))))))))</f>
        <v/>
      </c>
      <c r="Q946" t="str">
        <f ca="1">IF($N946="","",IFERROR(MATCH($N946,evol_conc!$P:$P,0),0))</f>
        <v/>
      </c>
    </row>
    <row r="947" spans="12:17" ht="18" hidden="1" customHeight="1" x14ac:dyDescent="0.25">
      <c r="L947" s="53" t="str">
        <f t="shared" si="28"/>
        <v/>
      </c>
      <c r="M947" s="19" t="str">
        <f t="shared" si="29"/>
        <v/>
      </c>
      <c r="N947" t="str">
        <f ca="1">IF(TRIM(SUBSTITUTE($B947,CHAR(160)," "))="","",IFERROR(IF(ISNUMBER(SEARCH("INC",$B947)),"INC",IF(ISNUMBER(SEARCH("OPI",$B947)),"OPI",IF(ISNUMBER(SEARCH("DP",$B947)),"DP","CONC")))&amp;" "&amp;TEXT(LOOKUP(9.99E+307,--MID(SUBSTITUTE($B947,CHAR(160)," "),SUMPRODUCT(MIN(FIND({0,1,2,3,4,5,6,7,8,9},SUBSTITUTE($B947,CHAR(160)," ")&amp;"0123456789"))),ROW(INDIRECT("1:6")))),"0"),"SIN NUMERO"))</f>
        <v/>
      </c>
      <c r="O947" t="str">
        <f ca="1">IF($N947="","",IF(LEFT(UPPER($P947),9)="VERIFICAR","VERIFICAR",IF(AND($H947&lt;&gt;"",COUNTIFS($N$2:$N$1000,$N947,$H$2:$H$1000,$H947)&gt;1),"DUPLICADA",IF(TRIM(IF($A947="","tipo ","")&amp;IF($F947="","fecha de firma ","")&amp;IF($G947="","decisión ","")&amp;IF($H947="","N° resolución ","")&amp;IF($I947="","N° dictamen",""))&lt;&gt;"","INCOMPLETA: "&amp;TRIM(IF($A947="","tipo ","")&amp;IF($F947="","fecha de firma ","")&amp;IF($G947="","decisión ","")&amp;IF($H947="","N° resolución ","")&amp;IF($I947="","N° dictamen","")),IF(LEFT($N947,4)&lt;&gt;"CONC","OK",IF(N($Q947)=0,IF(AND(ISNUMBER($E947),$E947&gt;=DATE(2024,1,1)),"FALTA EN evol_conc","OK"),IF(INDEX(evol_conc!$H:$H,$Q947)&lt;&gt;$F947,"FIRMA DISTINTA EN evol_conc ("&amp;IF(INDEX(evol_conc!$H:$H,$Q947)="","vacía",DAY(INDEX(evol_conc!$H:$H,$Q947))&amp;"/"&amp;MONTH(INDEX(evol_conc!$H:$H,$Q947))&amp;"/"&amp;YEAR(INDEX(evol_conc!$H:$H,$Q947)))&amp;")",IF(INDEX(evol_conc!$G:$G,$Q947)&lt;&gt;$E947,"INGRESO DISTINTO EN evol_conc ("&amp;IF(INDEX(evol_conc!$G:$G,$Q947)="","vacía",DAY(INDEX(evol_conc!$G:$G,$Q947))&amp;"/"&amp;MONTH(INDEX(evol_conc!$G:$G,$Q947))&amp;"/"&amp;YEAR(INDEX(evol_conc!$G:$G,$Q947)))&amp;")","OK"))))))))</f>
        <v/>
      </c>
      <c r="Q947" t="str">
        <f ca="1">IF($N947="","",IFERROR(MATCH($N947,evol_conc!$P:$P,0),0))</f>
        <v/>
      </c>
    </row>
    <row r="948" spans="12:17" ht="18" hidden="1" customHeight="1" x14ac:dyDescent="0.25">
      <c r="L948" s="53" t="str">
        <f t="shared" si="28"/>
        <v/>
      </c>
      <c r="M948" s="19" t="str">
        <f t="shared" si="29"/>
        <v/>
      </c>
      <c r="N948" t="str">
        <f ca="1">IF(TRIM(SUBSTITUTE($B948,CHAR(160)," "))="","",IFERROR(IF(ISNUMBER(SEARCH("INC",$B948)),"INC",IF(ISNUMBER(SEARCH("OPI",$B948)),"OPI",IF(ISNUMBER(SEARCH("DP",$B948)),"DP","CONC")))&amp;" "&amp;TEXT(LOOKUP(9.99E+307,--MID(SUBSTITUTE($B948,CHAR(160)," "),SUMPRODUCT(MIN(FIND({0,1,2,3,4,5,6,7,8,9},SUBSTITUTE($B948,CHAR(160)," ")&amp;"0123456789"))),ROW(INDIRECT("1:6")))),"0"),"SIN NUMERO"))</f>
        <v/>
      </c>
      <c r="O948" t="str">
        <f ca="1">IF($N948="","",IF(LEFT(UPPER($P948),9)="VERIFICAR","VERIFICAR",IF(AND($H948&lt;&gt;"",COUNTIFS($N$2:$N$1000,$N948,$H$2:$H$1000,$H948)&gt;1),"DUPLICADA",IF(TRIM(IF($A948="","tipo ","")&amp;IF($F948="","fecha de firma ","")&amp;IF($G948="","decisión ","")&amp;IF($H948="","N° resolución ","")&amp;IF($I948="","N° dictamen",""))&lt;&gt;"","INCOMPLETA: "&amp;TRIM(IF($A948="","tipo ","")&amp;IF($F948="","fecha de firma ","")&amp;IF($G948="","decisión ","")&amp;IF($H948="","N° resolución ","")&amp;IF($I948="","N° dictamen","")),IF(LEFT($N948,4)&lt;&gt;"CONC","OK",IF(N($Q948)=0,IF(AND(ISNUMBER($E948),$E948&gt;=DATE(2024,1,1)),"FALTA EN evol_conc","OK"),IF(INDEX(evol_conc!$H:$H,$Q948)&lt;&gt;$F948,"FIRMA DISTINTA EN evol_conc ("&amp;IF(INDEX(evol_conc!$H:$H,$Q948)="","vacía",DAY(INDEX(evol_conc!$H:$H,$Q948))&amp;"/"&amp;MONTH(INDEX(evol_conc!$H:$H,$Q948))&amp;"/"&amp;YEAR(INDEX(evol_conc!$H:$H,$Q948)))&amp;")",IF(INDEX(evol_conc!$G:$G,$Q948)&lt;&gt;$E948,"INGRESO DISTINTO EN evol_conc ("&amp;IF(INDEX(evol_conc!$G:$G,$Q948)="","vacía",DAY(INDEX(evol_conc!$G:$G,$Q948))&amp;"/"&amp;MONTH(INDEX(evol_conc!$G:$G,$Q948))&amp;"/"&amp;YEAR(INDEX(evol_conc!$G:$G,$Q948)))&amp;")","OK"))))))))</f>
        <v/>
      </c>
      <c r="Q948" t="str">
        <f ca="1">IF($N948="","",IFERROR(MATCH($N948,evol_conc!$P:$P,0),0))</f>
        <v/>
      </c>
    </row>
    <row r="949" spans="12:17" ht="18" hidden="1" customHeight="1" x14ac:dyDescent="0.25">
      <c r="L949" s="53" t="str">
        <f t="shared" si="28"/>
        <v/>
      </c>
      <c r="M949" s="19" t="str">
        <f t="shared" si="29"/>
        <v/>
      </c>
      <c r="N949" t="str">
        <f ca="1">IF(TRIM(SUBSTITUTE($B949,CHAR(160)," "))="","",IFERROR(IF(ISNUMBER(SEARCH("INC",$B949)),"INC",IF(ISNUMBER(SEARCH("OPI",$B949)),"OPI",IF(ISNUMBER(SEARCH("DP",$B949)),"DP","CONC")))&amp;" "&amp;TEXT(LOOKUP(9.99E+307,--MID(SUBSTITUTE($B949,CHAR(160)," "),SUMPRODUCT(MIN(FIND({0,1,2,3,4,5,6,7,8,9},SUBSTITUTE($B949,CHAR(160)," ")&amp;"0123456789"))),ROW(INDIRECT("1:6")))),"0"),"SIN NUMERO"))</f>
        <v/>
      </c>
      <c r="O949" t="str">
        <f ca="1">IF($N949="","",IF(LEFT(UPPER($P949),9)="VERIFICAR","VERIFICAR",IF(AND($H949&lt;&gt;"",COUNTIFS($N$2:$N$1000,$N949,$H$2:$H$1000,$H949)&gt;1),"DUPLICADA",IF(TRIM(IF($A949="","tipo ","")&amp;IF($F949="","fecha de firma ","")&amp;IF($G949="","decisión ","")&amp;IF($H949="","N° resolución ","")&amp;IF($I949="","N° dictamen",""))&lt;&gt;"","INCOMPLETA: "&amp;TRIM(IF($A949="","tipo ","")&amp;IF($F949="","fecha de firma ","")&amp;IF($G949="","decisión ","")&amp;IF($H949="","N° resolución ","")&amp;IF($I949="","N° dictamen","")),IF(LEFT($N949,4)&lt;&gt;"CONC","OK",IF(N($Q949)=0,IF(AND(ISNUMBER($E949),$E949&gt;=DATE(2024,1,1)),"FALTA EN evol_conc","OK"),IF(INDEX(evol_conc!$H:$H,$Q949)&lt;&gt;$F949,"FIRMA DISTINTA EN evol_conc ("&amp;IF(INDEX(evol_conc!$H:$H,$Q949)="","vacía",DAY(INDEX(evol_conc!$H:$H,$Q949))&amp;"/"&amp;MONTH(INDEX(evol_conc!$H:$H,$Q949))&amp;"/"&amp;YEAR(INDEX(evol_conc!$H:$H,$Q949)))&amp;")",IF(INDEX(evol_conc!$G:$G,$Q949)&lt;&gt;$E949,"INGRESO DISTINTO EN evol_conc ("&amp;IF(INDEX(evol_conc!$G:$G,$Q949)="","vacía",DAY(INDEX(evol_conc!$G:$G,$Q949))&amp;"/"&amp;MONTH(INDEX(evol_conc!$G:$G,$Q949))&amp;"/"&amp;YEAR(INDEX(evol_conc!$G:$G,$Q949)))&amp;")","OK"))))))))</f>
        <v/>
      </c>
      <c r="Q949" t="str">
        <f ca="1">IF($N949="","",IFERROR(MATCH($N949,evol_conc!$P:$P,0),0))</f>
        <v/>
      </c>
    </row>
    <row r="950" spans="12:17" ht="18" hidden="1" customHeight="1" x14ac:dyDescent="0.25">
      <c r="L950" s="53" t="str">
        <f t="shared" si="28"/>
        <v/>
      </c>
      <c r="M950" s="19" t="str">
        <f t="shared" si="29"/>
        <v/>
      </c>
      <c r="N950" t="str">
        <f ca="1">IF(TRIM(SUBSTITUTE($B950,CHAR(160)," "))="","",IFERROR(IF(ISNUMBER(SEARCH("INC",$B950)),"INC",IF(ISNUMBER(SEARCH("OPI",$B950)),"OPI",IF(ISNUMBER(SEARCH("DP",$B950)),"DP","CONC")))&amp;" "&amp;TEXT(LOOKUP(9.99E+307,--MID(SUBSTITUTE($B950,CHAR(160)," "),SUMPRODUCT(MIN(FIND({0,1,2,3,4,5,6,7,8,9},SUBSTITUTE($B950,CHAR(160)," ")&amp;"0123456789"))),ROW(INDIRECT("1:6")))),"0"),"SIN NUMERO"))</f>
        <v/>
      </c>
      <c r="O950" t="str">
        <f ca="1">IF($N950="","",IF(LEFT(UPPER($P950),9)="VERIFICAR","VERIFICAR",IF(AND($H950&lt;&gt;"",COUNTIFS($N$2:$N$1000,$N950,$H$2:$H$1000,$H950)&gt;1),"DUPLICADA",IF(TRIM(IF($A950="","tipo ","")&amp;IF($F950="","fecha de firma ","")&amp;IF($G950="","decisión ","")&amp;IF($H950="","N° resolución ","")&amp;IF($I950="","N° dictamen",""))&lt;&gt;"","INCOMPLETA: "&amp;TRIM(IF($A950="","tipo ","")&amp;IF($F950="","fecha de firma ","")&amp;IF($G950="","decisión ","")&amp;IF($H950="","N° resolución ","")&amp;IF($I950="","N° dictamen","")),IF(LEFT($N950,4)&lt;&gt;"CONC","OK",IF(N($Q950)=0,IF(AND(ISNUMBER($E950),$E950&gt;=DATE(2024,1,1)),"FALTA EN evol_conc","OK"),IF(INDEX(evol_conc!$H:$H,$Q950)&lt;&gt;$F950,"FIRMA DISTINTA EN evol_conc ("&amp;IF(INDEX(evol_conc!$H:$H,$Q950)="","vacía",DAY(INDEX(evol_conc!$H:$H,$Q950))&amp;"/"&amp;MONTH(INDEX(evol_conc!$H:$H,$Q950))&amp;"/"&amp;YEAR(INDEX(evol_conc!$H:$H,$Q950)))&amp;")",IF(INDEX(evol_conc!$G:$G,$Q950)&lt;&gt;$E950,"INGRESO DISTINTO EN evol_conc ("&amp;IF(INDEX(evol_conc!$G:$G,$Q950)="","vacía",DAY(INDEX(evol_conc!$G:$G,$Q950))&amp;"/"&amp;MONTH(INDEX(evol_conc!$G:$G,$Q950))&amp;"/"&amp;YEAR(INDEX(evol_conc!$G:$G,$Q950)))&amp;")","OK"))))))))</f>
        <v/>
      </c>
      <c r="Q950" t="str">
        <f ca="1">IF($N950="","",IFERROR(MATCH($N950,evol_conc!$P:$P,0),0))</f>
        <v/>
      </c>
    </row>
    <row r="951" spans="12:17" ht="18" hidden="1" customHeight="1" x14ac:dyDescent="0.25">
      <c r="L951" s="53" t="str">
        <f t="shared" si="28"/>
        <v/>
      </c>
      <c r="M951" s="19" t="str">
        <f t="shared" si="29"/>
        <v/>
      </c>
      <c r="N951" t="str">
        <f ca="1">IF(TRIM(SUBSTITUTE($B951,CHAR(160)," "))="","",IFERROR(IF(ISNUMBER(SEARCH("INC",$B951)),"INC",IF(ISNUMBER(SEARCH("OPI",$B951)),"OPI",IF(ISNUMBER(SEARCH("DP",$B951)),"DP","CONC")))&amp;" "&amp;TEXT(LOOKUP(9.99E+307,--MID(SUBSTITUTE($B951,CHAR(160)," "),SUMPRODUCT(MIN(FIND({0,1,2,3,4,5,6,7,8,9},SUBSTITUTE($B951,CHAR(160)," ")&amp;"0123456789"))),ROW(INDIRECT("1:6")))),"0"),"SIN NUMERO"))</f>
        <v/>
      </c>
      <c r="O951" t="str">
        <f ca="1">IF($N951="","",IF(LEFT(UPPER($P951),9)="VERIFICAR","VERIFICAR",IF(AND($H951&lt;&gt;"",COUNTIFS($N$2:$N$1000,$N951,$H$2:$H$1000,$H951)&gt;1),"DUPLICADA",IF(TRIM(IF($A951="","tipo ","")&amp;IF($F951="","fecha de firma ","")&amp;IF($G951="","decisión ","")&amp;IF($H951="","N° resolución ","")&amp;IF($I951="","N° dictamen",""))&lt;&gt;"","INCOMPLETA: "&amp;TRIM(IF($A951="","tipo ","")&amp;IF($F951="","fecha de firma ","")&amp;IF($G951="","decisión ","")&amp;IF($H951="","N° resolución ","")&amp;IF($I951="","N° dictamen","")),IF(LEFT($N951,4)&lt;&gt;"CONC","OK",IF(N($Q951)=0,IF(AND(ISNUMBER($E951),$E951&gt;=DATE(2024,1,1)),"FALTA EN evol_conc","OK"),IF(INDEX(evol_conc!$H:$H,$Q951)&lt;&gt;$F951,"FIRMA DISTINTA EN evol_conc ("&amp;IF(INDEX(evol_conc!$H:$H,$Q951)="","vacía",DAY(INDEX(evol_conc!$H:$H,$Q951))&amp;"/"&amp;MONTH(INDEX(evol_conc!$H:$H,$Q951))&amp;"/"&amp;YEAR(INDEX(evol_conc!$H:$H,$Q951)))&amp;")",IF(INDEX(evol_conc!$G:$G,$Q951)&lt;&gt;$E951,"INGRESO DISTINTO EN evol_conc ("&amp;IF(INDEX(evol_conc!$G:$G,$Q951)="","vacía",DAY(INDEX(evol_conc!$G:$G,$Q951))&amp;"/"&amp;MONTH(INDEX(evol_conc!$G:$G,$Q951))&amp;"/"&amp;YEAR(INDEX(evol_conc!$G:$G,$Q951)))&amp;")","OK"))))))))</f>
        <v/>
      </c>
      <c r="Q951" t="str">
        <f ca="1">IF($N951="","",IFERROR(MATCH($N951,evol_conc!$P:$P,0),0))</f>
        <v/>
      </c>
    </row>
    <row r="952" spans="12:17" ht="18" hidden="1" customHeight="1" x14ac:dyDescent="0.25">
      <c r="L952" s="53" t="str">
        <f t="shared" si="28"/>
        <v/>
      </c>
      <c r="M952" s="19" t="str">
        <f t="shared" si="29"/>
        <v/>
      </c>
      <c r="N952" t="str">
        <f ca="1">IF(TRIM(SUBSTITUTE($B952,CHAR(160)," "))="","",IFERROR(IF(ISNUMBER(SEARCH("INC",$B952)),"INC",IF(ISNUMBER(SEARCH("OPI",$B952)),"OPI",IF(ISNUMBER(SEARCH("DP",$B952)),"DP","CONC")))&amp;" "&amp;TEXT(LOOKUP(9.99E+307,--MID(SUBSTITUTE($B952,CHAR(160)," "),SUMPRODUCT(MIN(FIND({0,1,2,3,4,5,6,7,8,9},SUBSTITUTE($B952,CHAR(160)," ")&amp;"0123456789"))),ROW(INDIRECT("1:6")))),"0"),"SIN NUMERO"))</f>
        <v/>
      </c>
      <c r="O952" t="str">
        <f ca="1">IF($N952="","",IF(LEFT(UPPER($P952),9)="VERIFICAR","VERIFICAR",IF(AND($H952&lt;&gt;"",COUNTIFS($N$2:$N$1000,$N952,$H$2:$H$1000,$H952)&gt;1),"DUPLICADA",IF(TRIM(IF($A952="","tipo ","")&amp;IF($F952="","fecha de firma ","")&amp;IF($G952="","decisión ","")&amp;IF($H952="","N° resolución ","")&amp;IF($I952="","N° dictamen",""))&lt;&gt;"","INCOMPLETA: "&amp;TRIM(IF($A952="","tipo ","")&amp;IF($F952="","fecha de firma ","")&amp;IF($G952="","decisión ","")&amp;IF($H952="","N° resolución ","")&amp;IF($I952="","N° dictamen","")),IF(LEFT($N952,4)&lt;&gt;"CONC","OK",IF(N($Q952)=0,IF(AND(ISNUMBER($E952),$E952&gt;=DATE(2024,1,1)),"FALTA EN evol_conc","OK"),IF(INDEX(evol_conc!$H:$H,$Q952)&lt;&gt;$F952,"FIRMA DISTINTA EN evol_conc ("&amp;IF(INDEX(evol_conc!$H:$H,$Q952)="","vacía",DAY(INDEX(evol_conc!$H:$H,$Q952))&amp;"/"&amp;MONTH(INDEX(evol_conc!$H:$H,$Q952))&amp;"/"&amp;YEAR(INDEX(evol_conc!$H:$H,$Q952)))&amp;")",IF(INDEX(evol_conc!$G:$G,$Q952)&lt;&gt;$E952,"INGRESO DISTINTO EN evol_conc ("&amp;IF(INDEX(evol_conc!$G:$G,$Q952)="","vacía",DAY(INDEX(evol_conc!$G:$G,$Q952))&amp;"/"&amp;MONTH(INDEX(evol_conc!$G:$G,$Q952))&amp;"/"&amp;YEAR(INDEX(evol_conc!$G:$G,$Q952)))&amp;")","OK"))))))))</f>
        <v/>
      </c>
      <c r="Q952" t="str">
        <f ca="1">IF($N952="","",IFERROR(MATCH($N952,evol_conc!$P:$P,0),0))</f>
        <v/>
      </c>
    </row>
    <row r="953" spans="12:17" ht="18" hidden="1" customHeight="1" x14ac:dyDescent="0.25">
      <c r="L953" s="53" t="str">
        <f t="shared" si="28"/>
        <v/>
      </c>
      <c r="M953" s="19" t="str">
        <f t="shared" si="29"/>
        <v/>
      </c>
      <c r="N953" t="str">
        <f ca="1">IF(TRIM(SUBSTITUTE($B953,CHAR(160)," "))="","",IFERROR(IF(ISNUMBER(SEARCH("INC",$B953)),"INC",IF(ISNUMBER(SEARCH("OPI",$B953)),"OPI",IF(ISNUMBER(SEARCH("DP",$B953)),"DP","CONC")))&amp;" "&amp;TEXT(LOOKUP(9.99E+307,--MID(SUBSTITUTE($B953,CHAR(160)," "),SUMPRODUCT(MIN(FIND({0,1,2,3,4,5,6,7,8,9},SUBSTITUTE($B953,CHAR(160)," ")&amp;"0123456789"))),ROW(INDIRECT("1:6")))),"0"),"SIN NUMERO"))</f>
        <v/>
      </c>
      <c r="O953" t="str">
        <f ca="1">IF($N953="","",IF(LEFT(UPPER($P953),9)="VERIFICAR","VERIFICAR",IF(AND($H953&lt;&gt;"",COUNTIFS($N$2:$N$1000,$N953,$H$2:$H$1000,$H953)&gt;1),"DUPLICADA",IF(TRIM(IF($A953="","tipo ","")&amp;IF($F953="","fecha de firma ","")&amp;IF($G953="","decisión ","")&amp;IF($H953="","N° resolución ","")&amp;IF($I953="","N° dictamen",""))&lt;&gt;"","INCOMPLETA: "&amp;TRIM(IF($A953="","tipo ","")&amp;IF($F953="","fecha de firma ","")&amp;IF($G953="","decisión ","")&amp;IF($H953="","N° resolución ","")&amp;IF($I953="","N° dictamen","")),IF(LEFT($N953,4)&lt;&gt;"CONC","OK",IF(N($Q953)=0,IF(AND(ISNUMBER($E953),$E953&gt;=DATE(2024,1,1)),"FALTA EN evol_conc","OK"),IF(INDEX(evol_conc!$H:$H,$Q953)&lt;&gt;$F953,"FIRMA DISTINTA EN evol_conc ("&amp;IF(INDEX(evol_conc!$H:$H,$Q953)="","vacía",DAY(INDEX(evol_conc!$H:$H,$Q953))&amp;"/"&amp;MONTH(INDEX(evol_conc!$H:$H,$Q953))&amp;"/"&amp;YEAR(INDEX(evol_conc!$H:$H,$Q953)))&amp;")",IF(INDEX(evol_conc!$G:$G,$Q953)&lt;&gt;$E953,"INGRESO DISTINTO EN evol_conc ("&amp;IF(INDEX(evol_conc!$G:$G,$Q953)="","vacía",DAY(INDEX(evol_conc!$G:$G,$Q953))&amp;"/"&amp;MONTH(INDEX(evol_conc!$G:$G,$Q953))&amp;"/"&amp;YEAR(INDEX(evol_conc!$G:$G,$Q953)))&amp;")","OK"))))))))</f>
        <v/>
      </c>
      <c r="Q953" t="str">
        <f ca="1">IF($N953="","",IFERROR(MATCH($N953,evol_conc!$P:$P,0),0))</f>
        <v/>
      </c>
    </row>
    <row r="954" spans="12:17" ht="18" hidden="1" customHeight="1" x14ac:dyDescent="0.25">
      <c r="L954" s="53" t="str">
        <f t="shared" si="28"/>
        <v/>
      </c>
      <c r="M954" s="19" t="str">
        <f t="shared" si="29"/>
        <v/>
      </c>
      <c r="N954" t="str">
        <f ca="1">IF(TRIM(SUBSTITUTE($B954,CHAR(160)," "))="","",IFERROR(IF(ISNUMBER(SEARCH("INC",$B954)),"INC",IF(ISNUMBER(SEARCH("OPI",$B954)),"OPI",IF(ISNUMBER(SEARCH("DP",$B954)),"DP","CONC")))&amp;" "&amp;TEXT(LOOKUP(9.99E+307,--MID(SUBSTITUTE($B954,CHAR(160)," "),SUMPRODUCT(MIN(FIND({0,1,2,3,4,5,6,7,8,9},SUBSTITUTE($B954,CHAR(160)," ")&amp;"0123456789"))),ROW(INDIRECT("1:6")))),"0"),"SIN NUMERO"))</f>
        <v/>
      </c>
      <c r="O954" t="str">
        <f ca="1">IF($N954="","",IF(LEFT(UPPER($P954),9)="VERIFICAR","VERIFICAR",IF(AND($H954&lt;&gt;"",COUNTIFS($N$2:$N$1000,$N954,$H$2:$H$1000,$H954)&gt;1),"DUPLICADA",IF(TRIM(IF($A954="","tipo ","")&amp;IF($F954="","fecha de firma ","")&amp;IF($G954="","decisión ","")&amp;IF($H954="","N° resolución ","")&amp;IF($I954="","N° dictamen",""))&lt;&gt;"","INCOMPLETA: "&amp;TRIM(IF($A954="","tipo ","")&amp;IF($F954="","fecha de firma ","")&amp;IF($G954="","decisión ","")&amp;IF($H954="","N° resolución ","")&amp;IF($I954="","N° dictamen","")),IF(LEFT($N954,4)&lt;&gt;"CONC","OK",IF(N($Q954)=0,IF(AND(ISNUMBER($E954),$E954&gt;=DATE(2024,1,1)),"FALTA EN evol_conc","OK"),IF(INDEX(evol_conc!$H:$H,$Q954)&lt;&gt;$F954,"FIRMA DISTINTA EN evol_conc ("&amp;IF(INDEX(evol_conc!$H:$H,$Q954)="","vacía",DAY(INDEX(evol_conc!$H:$H,$Q954))&amp;"/"&amp;MONTH(INDEX(evol_conc!$H:$H,$Q954))&amp;"/"&amp;YEAR(INDEX(evol_conc!$H:$H,$Q954)))&amp;")",IF(INDEX(evol_conc!$G:$G,$Q954)&lt;&gt;$E954,"INGRESO DISTINTO EN evol_conc ("&amp;IF(INDEX(evol_conc!$G:$G,$Q954)="","vacía",DAY(INDEX(evol_conc!$G:$G,$Q954))&amp;"/"&amp;MONTH(INDEX(evol_conc!$G:$G,$Q954))&amp;"/"&amp;YEAR(INDEX(evol_conc!$G:$G,$Q954)))&amp;")","OK"))))))))</f>
        <v/>
      </c>
      <c r="Q954" t="str">
        <f ca="1">IF($N954="","",IFERROR(MATCH($N954,evol_conc!$P:$P,0),0))</f>
        <v/>
      </c>
    </row>
    <row r="955" spans="12:17" ht="18" hidden="1" customHeight="1" x14ac:dyDescent="0.25">
      <c r="L955" s="53" t="str">
        <f t="shared" si="28"/>
        <v/>
      </c>
      <c r="M955" s="19" t="str">
        <f t="shared" si="29"/>
        <v/>
      </c>
      <c r="N955" t="str">
        <f ca="1">IF(TRIM(SUBSTITUTE($B955,CHAR(160)," "))="","",IFERROR(IF(ISNUMBER(SEARCH("INC",$B955)),"INC",IF(ISNUMBER(SEARCH("OPI",$B955)),"OPI",IF(ISNUMBER(SEARCH("DP",$B955)),"DP","CONC")))&amp;" "&amp;TEXT(LOOKUP(9.99E+307,--MID(SUBSTITUTE($B955,CHAR(160)," "),SUMPRODUCT(MIN(FIND({0,1,2,3,4,5,6,7,8,9},SUBSTITUTE($B955,CHAR(160)," ")&amp;"0123456789"))),ROW(INDIRECT("1:6")))),"0"),"SIN NUMERO"))</f>
        <v/>
      </c>
      <c r="O955" t="str">
        <f ca="1">IF($N955="","",IF(LEFT(UPPER($P955),9)="VERIFICAR","VERIFICAR",IF(AND($H955&lt;&gt;"",COUNTIFS($N$2:$N$1000,$N955,$H$2:$H$1000,$H955)&gt;1),"DUPLICADA",IF(TRIM(IF($A955="","tipo ","")&amp;IF($F955="","fecha de firma ","")&amp;IF($G955="","decisión ","")&amp;IF($H955="","N° resolución ","")&amp;IF($I955="","N° dictamen",""))&lt;&gt;"","INCOMPLETA: "&amp;TRIM(IF($A955="","tipo ","")&amp;IF($F955="","fecha de firma ","")&amp;IF($G955="","decisión ","")&amp;IF($H955="","N° resolución ","")&amp;IF($I955="","N° dictamen","")),IF(LEFT($N955,4)&lt;&gt;"CONC","OK",IF(N($Q955)=0,IF(AND(ISNUMBER($E955),$E955&gt;=DATE(2024,1,1)),"FALTA EN evol_conc","OK"),IF(INDEX(evol_conc!$H:$H,$Q955)&lt;&gt;$F955,"FIRMA DISTINTA EN evol_conc ("&amp;IF(INDEX(evol_conc!$H:$H,$Q955)="","vacía",DAY(INDEX(evol_conc!$H:$H,$Q955))&amp;"/"&amp;MONTH(INDEX(evol_conc!$H:$H,$Q955))&amp;"/"&amp;YEAR(INDEX(evol_conc!$H:$H,$Q955)))&amp;")",IF(INDEX(evol_conc!$G:$G,$Q955)&lt;&gt;$E955,"INGRESO DISTINTO EN evol_conc ("&amp;IF(INDEX(evol_conc!$G:$G,$Q955)="","vacía",DAY(INDEX(evol_conc!$G:$G,$Q955))&amp;"/"&amp;MONTH(INDEX(evol_conc!$G:$G,$Q955))&amp;"/"&amp;YEAR(INDEX(evol_conc!$G:$G,$Q955)))&amp;")","OK"))))))))</f>
        <v/>
      </c>
      <c r="Q955" t="str">
        <f ca="1">IF($N955="","",IFERROR(MATCH($N955,evol_conc!$P:$P,0),0))</f>
        <v/>
      </c>
    </row>
    <row r="956" spans="12:17" ht="18" hidden="1" customHeight="1" x14ac:dyDescent="0.25">
      <c r="L956" s="53" t="str">
        <f t="shared" si="28"/>
        <v/>
      </c>
      <c r="M956" s="19" t="str">
        <f t="shared" si="29"/>
        <v/>
      </c>
      <c r="N956" t="str">
        <f ca="1">IF(TRIM(SUBSTITUTE($B956,CHAR(160)," "))="","",IFERROR(IF(ISNUMBER(SEARCH("INC",$B956)),"INC",IF(ISNUMBER(SEARCH("OPI",$B956)),"OPI",IF(ISNUMBER(SEARCH("DP",$B956)),"DP","CONC")))&amp;" "&amp;TEXT(LOOKUP(9.99E+307,--MID(SUBSTITUTE($B956,CHAR(160)," "),SUMPRODUCT(MIN(FIND({0,1,2,3,4,5,6,7,8,9},SUBSTITUTE($B956,CHAR(160)," ")&amp;"0123456789"))),ROW(INDIRECT("1:6")))),"0"),"SIN NUMERO"))</f>
        <v/>
      </c>
      <c r="O956" t="str">
        <f ca="1">IF($N956="","",IF(LEFT(UPPER($P956),9)="VERIFICAR","VERIFICAR",IF(AND($H956&lt;&gt;"",COUNTIFS($N$2:$N$1000,$N956,$H$2:$H$1000,$H956)&gt;1),"DUPLICADA",IF(TRIM(IF($A956="","tipo ","")&amp;IF($F956="","fecha de firma ","")&amp;IF($G956="","decisión ","")&amp;IF($H956="","N° resolución ","")&amp;IF($I956="","N° dictamen",""))&lt;&gt;"","INCOMPLETA: "&amp;TRIM(IF($A956="","tipo ","")&amp;IF($F956="","fecha de firma ","")&amp;IF($G956="","decisión ","")&amp;IF($H956="","N° resolución ","")&amp;IF($I956="","N° dictamen","")),IF(LEFT($N956,4)&lt;&gt;"CONC","OK",IF(N($Q956)=0,IF(AND(ISNUMBER($E956),$E956&gt;=DATE(2024,1,1)),"FALTA EN evol_conc","OK"),IF(INDEX(evol_conc!$H:$H,$Q956)&lt;&gt;$F956,"FIRMA DISTINTA EN evol_conc ("&amp;IF(INDEX(evol_conc!$H:$H,$Q956)="","vacía",DAY(INDEX(evol_conc!$H:$H,$Q956))&amp;"/"&amp;MONTH(INDEX(evol_conc!$H:$H,$Q956))&amp;"/"&amp;YEAR(INDEX(evol_conc!$H:$H,$Q956)))&amp;")",IF(INDEX(evol_conc!$G:$G,$Q956)&lt;&gt;$E956,"INGRESO DISTINTO EN evol_conc ("&amp;IF(INDEX(evol_conc!$G:$G,$Q956)="","vacía",DAY(INDEX(evol_conc!$G:$G,$Q956))&amp;"/"&amp;MONTH(INDEX(evol_conc!$G:$G,$Q956))&amp;"/"&amp;YEAR(INDEX(evol_conc!$G:$G,$Q956)))&amp;")","OK"))))))))</f>
        <v/>
      </c>
      <c r="Q956" t="str">
        <f ca="1">IF($N956="","",IFERROR(MATCH($N956,evol_conc!$P:$P,0),0))</f>
        <v/>
      </c>
    </row>
    <row r="957" spans="12:17" ht="18" hidden="1" customHeight="1" x14ac:dyDescent="0.25">
      <c r="L957" s="53" t="str">
        <f t="shared" si="28"/>
        <v/>
      </c>
      <c r="M957" s="19" t="str">
        <f t="shared" si="29"/>
        <v/>
      </c>
      <c r="N957" t="str">
        <f ca="1">IF(TRIM(SUBSTITUTE($B957,CHAR(160)," "))="","",IFERROR(IF(ISNUMBER(SEARCH("INC",$B957)),"INC",IF(ISNUMBER(SEARCH("OPI",$B957)),"OPI",IF(ISNUMBER(SEARCH("DP",$B957)),"DP","CONC")))&amp;" "&amp;TEXT(LOOKUP(9.99E+307,--MID(SUBSTITUTE($B957,CHAR(160)," "),SUMPRODUCT(MIN(FIND({0,1,2,3,4,5,6,7,8,9},SUBSTITUTE($B957,CHAR(160)," ")&amp;"0123456789"))),ROW(INDIRECT("1:6")))),"0"),"SIN NUMERO"))</f>
        <v/>
      </c>
      <c r="O957" t="str">
        <f ca="1">IF($N957="","",IF(LEFT(UPPER($P957),9)="VERIFICAR","VERIFICAR",IF(AND($H957&lt;&gt;"",COUNTIFS($N$2:$N$1000,$N957,$H$2:$H$1000,$H957)&gt;1),"DUPLICADA",IF(TRIM(IF($A957="","tipo ","")&amp;IF($F957="","fecha de firma ","")&amp;IF($G957="","decisión ","")&amp;IF($H957="","N° resolución ","")&amp;IF($I957="","N° dictamen",""))&lt;&gt;"","INCOMPLETA: "&amp;TRIM(IF($A957="","tipo ","")&amp;IF($F957="","fecha de firma ","")&amp;IF($G957="","decisión ","")&amp;IF($H957="","N° resolución ","")&amp;IF($I957="","N° dictamen","")),IF(LEFT($N957,4)&lt;&gt;"CONC","OK",IF(N($Q957)=0,IF(AND(ISNUMBER($E957),$E957&gt;=DATE(2024,1,1)),"FALTA EN evol_conc","OK"),IF(INDEX(evol_conc!$H:$H,$Q957)&lt;&gt;$F957,"FIRMA DISTINTA EN evol_conc ("&amp;IF(INDEX(evol_conc!$H:$H,$Q957)="","vacía",DAY(INDEX(evol_conc!$H:$H,$Q957))&amp;"/"&amp;MONTH(INDEX(evol_conc!$H:$H,$Q957))&amp;"/"&amp;YEAR(INDEX(evol_conc!$H:$H,$Q957)))&amp;")",IF(INDEX(evol_conc!$G:$G,$Q957)&lt;&gt;$E957,"INGRESO DISTINTO EN evol_conc ("&amp;IF(INDEX(evol_conc!$G:$G,$Q957)="","vacía",DAY(INDEX(evol_conc!$G:$G,$Q957))&amp;"/"&amp;MONTH(INDEX(evol_conc!$G:$G,$Q957))&amp;"/"&amp;YEAR(INDEX(evol_conc!$G:$G,$Q957)))&amp;")","OK"))))))))</f>
        <v/>
      </c>
      <c r="Q957" t="str">
        <f ca="1">IF($N957="","",IFERROR(MATCH($N957,evol_conc!$P:$P,0),0))</f>
        <v/>
      </c>
    </row>
    <row r="958" spans="12:17" ht="18" hidden="1" customHeight="1" x14ac:dyDescent="0.25">
      <c r="L958" s="53" t="str">
        <f t="shared" si="28"/>
        <v/>
      </c>
      <c r="M958" s="19" t="str">
        <f t="shared" si="29"/>
        <v/>
      </c>
      <c r="N958" t="str">
        <f ca="1">IF(TRIM(SUBSTITUTE($B958,CHAR(160)," "))="","",IFERROR(IF(ISNUMBER(SEARCH("INC",$B958)),"INC",IF(ISNUMBER(SEARCH("OPI",$B958)),"OPI",IF(ISNUMBER(SEARCH("DP",$B958)),"DP","CONC")))&amp;" "&amp;TEXT(LOOKUP(9.99E+307,--MID(SUBSTITUTE($B958,CHAR(160)," "),SUMPRODUCT(MIN(FIND({0,1,2,3,4,5,6,7,8,9},SUBSTITUTE($B958,CHAR(160)," ")&amp;"0123456789"))),ROW(INDIRECT("1:6")))),"0"),"SIN NUMERO"))</f>
        <v/>
      </c>
      <c r="O958" t="str">
        <f ca="1">IF($N958="","",IF(LEFT(UPPER($P958),9)="VERIFICAR","VERIFICAR",IF(AND($H958&lt;&gt;"",COUNTIFS($N$2:$N$1000,$N958,$H$2:$H$1000,$H958)&gt;1),"DUPLICADA",IF(TRIM(IF($A958="","tipo ","")&amp;IF($F958="","fecha de firma ","")&amp;IF($G958="","decisión ","")&amp;IF($H958="","N° resolución ","")&amp;IF($I958="","N° dictamen",""))&lt;&gt;"","INCOMPLETA: "&amp;TRIM(IF($A958="","tipo ","")&amp;IF($F958="","fecha de firma ","")&amp;IF($G958="","decisión ","")&amp;IF($H958="","N° resolución ","")&amp;IF($I958="","N° dictamen","")),IF(LEFT($N958,4)&lt;&gt;"CONC","OK",IF(N($Q958)=0,IF(AND(ISNUMBER($E958),$E958&gt;=DATE(2024,1,1)),"FALTA EN evol_conc","OK"),IF(INDEX(evol_conc!$H:$H,$Q958)&lt;&gt;$F958,"FIRMA DISTINTA EN evol_conc ("&amp;IF(INDEX(evol_conc!$H:$H,$Q958)="","vacía",DAY(INDEX(evol_conc!$H:$H,$Q958))&amp;"/"&amp;MONTH(INDEX(evol_conc!$H:$H,$Q958))&amp;"/"&amp;YEAR(INDEX(evol_conc!$H:$H,$Q958)))&amp;")",IF(INDEX(evol_conc!$G:$G,$Q958)&lt;&gt;$E958,"INGRESO DISTINTO EN evol_conc ("&amp;IF(INDEX(evol_conc!$G:$G,$Q958)="","vacía",DAY(INDEX(evol_conc!$G:$G,$Q958))&amp;"/"&amp;MONTH(INDEX(evol_conc!$G:$G,$Q958))&amp;"/"&amp;YEAR(INDEX(evol_conc!$G:$G,$Q958)))&amp;")","OK"))))))))</f>
        <v/>
      </c>
      <c r="Q958" t="str">
        <f ca="1">IF($N958="","",IFERROR(MATCH($N958,evol_conc!$P:$P,0),0))</f>
        <v/>
      </c>
    </row>
    <row r="959" spans="12:17" ht="18" hidden="1" customHeight="1" x14ac:dyDescent="0.25">
      <c r="L959" s="53" t="str">
        <f t="shared" si="28"/>
        <v/>
      </c>
      <c r="M959" s="19" t="str">
        <f t="shared" si="29"/>
        <v/>
      </c>
      <c r="N959" t="str">
        <f ca="1">IF(TRIM(SUBSTITUTE($B959,CHAR(160)," "))="","",IFERROR(IF(ISNUMBER(SEARCH("INC",$B959)),"INC",IF(ISNUMBER(SEARCH("OPI",$B959)),"OPI",IF(ISNUMBER(SEARCH("DP",$B959)),"DP","CONC")))&amp;" "&amp;TEXT(LOOKUP(9.99E+307,--MID(SUBSTITUTE($B959,CHAR(160)," "),SUMPRODUCT(MIN(FIND({0,1,2,3,4,5,6,7,8,9},SUBSTITUTE($B959,CHAR(160)," ")&amp;"0123456789"))),ROW(INDIRECT("1:6")))),"0"),"SIN NUMERO"))</f>
        <v/>
      </c>
      <c r="O959" t="str">
        <f ca="1">IF($N959="","",IF(LEFT(UPPER($P959),9)="VERIFICAR","VERIFICAR",IF(AND($H959&lt;&gt;"",COUNTIFS($N$2:$N$1000,$N959,$H$2:$H$1000,$H959)&gt;1),"DUPLICADA",IF(TRIM(IF($A959="","tipo ","")&amp;IF($F959="","fecha de firma ","")&amp;IF($G959="","decisión ","")&amp;IF($H959="","N° resolución ","")&amp;IF($I959="","N° dictamen",""))&lt;&gt;"","INCOMPLETA: "&amp;TRIM(IF($A959="","tipo ","")&amp;IF($F959="","fecha de firma ","")&amp;IF($G959="","decisión ","")&amp;IF($H959="","N° resolución ","")&amp;IF($I959="","N° dictamen","")),IF(LEFT($N959,4)&lt;&gt;"CONC","OK",IF(N($Q959)=0,IF(AND(ISNUMBER($E959),$E959&gt;=DATE(2024,1,1)),"FALTA EN evol_conc","OK"),IF(INDEX(evol_conc!$H:$H,$Q959)&lt;&gt;$F959,"FIRMA DISTINTA EN evol_conc ("&amp;IF(INDEX(evol_conc!$H:$H,$Q959)="","vacía",DAY(INDEX(evol_conc!$H:$H,$Q959))&amp;"/"&amp;MONTH(INDEX(evol_conc!$H:$H,$Q959))&amp;"/"&amp;YEAR(INDEX(evol_conc!$H:$H,$Q959)))&amp;")",IF(INDEX(evol_conc!$G:$G,$Q959)&lt;&gt;$E959,"INGRESO DISTINTO EN evol_conc ("&amp;IF(INDEX(evol_conc!$G:$G,$Q959)="","vacía",DAY(INDEX(evol_conc!$G:$G,$Q959))&amp;"/"&amp;MONTH(INDEX(evol_conc!$G:$G,$Q959))&amp;"/"&amp;YEAR(INDEX(evol_conc!$G:$G,$Q959)))&amp;")","OK"))))))))</f>
        <v/>
      </c>
      <c r="Q959" t="str">
        <f ca="1">IF($N959="","",IFERROR(MATCH($N959,evol_conc!$P:$P,0),0))</f>
        <v/>
      </c>
    </row>
    <row r="960" spans="12:17" ht="18" hidden="1" customHeight="1" x14ac:dyDescent="0.25">
      <c r="L960" s="53" t="str">
        <f t="shared" si="28"/>
        <v/>
      </c>
      <c r="M960" s="19" t="str">
        <f t="shared" si="29"/>
        <v/>
      </c>
      <c r="N960" t="str">
        <f ca="1">IF(TRIM(SUBSTITUTE($B960,CHAR(160)," "))="","",IFERROR(IF(ISNUMBER(SEARCH("INC",$B960)),"INC",IF(ISNUMBER(SEARCH("OPI",$B960)),"OPI",IF(ISNUMBER(SEARCH("DP",$B960)),"DP","CONC")))&amp;" "&amp;TEXT(LOOKUP(9.99E+307,--MID(SUBSTITUTE($B960,CHAR(160)," "),SUMPRODUCT(MIN(FIND({0,1,2,3,4,5,6,7,8,9},SUBSTITUTE($B960,CHAR(160)," ")&amp;"0123456789"))),ROW(INDIRECT("1:6")))),"0"),"SIN NUMERO"))</f>
        <v/>
      </c>
      <c r="O960" t="str">
        <f ca="1">IF($N960="","",IF(LEFT(UPPER($P960),9)="VERIFICAR","VERIFICAR",IF(AND($H960&lt;&gt;"",COUNTIFS($N$2:$N$1000,$N960,$H$2:$H$1000,$H960)&gt;1),"DUPLICADA",IF(TRIM(IF($A960="","tipo ","")&amp;IF($F960="","fecha de firma ","")&amp;IF($G960="","decisión ","")&amp;IF($H960="","N° resolución ","")&amp;IF($I960="","N° dictamen",""))&lt;&gt;"","INCOMPLETA: "&amp;TRIM(IF($A960="","tipo ","")&amp;IF($F960="","fecha de firma ","")&amp;IF($G960="","decisión ","")&amp;IF($H960="","N° resolución ","")&amp;IF($I960="","N° dictamen","")),IF(LEFT($N960,4)&lt;&gt;"CONC","OK",IF(N($Q960)=0,IF(AND(ISNUMBER($E960),$E960&gt;=DATE(2024,1,1)),"FALTA EN evol_conc","OK"),IF(INDEX(evol_conc!$H:$H,$Q960)&lt;&gt;$F960,"FIRMA DISTINTA EN evol_conc ("&amp;IF(INDEX(evol_conc!$H:$H,$Q960)="","vacía",DAY(INDEX(evol_conc!$H:$H,$Q960))&amp;"/"&amp;MONTH(INDEX(evol_conc!$H:$H,$Q960))&amp;"/"&amp;YEAR(INDEX(evol_conc!$H:$H,$Q960)))&amp;")",IF(INDEX(evol_conc!$G:$G,$Q960)&lt;&gt;$E960,"INGRESO DISTINTO EN evol_conc ("&amp;IF(INDEX(evol_conc!$G:$G,$Q960)="","vacía",DAY(INDEX(evol_conc!$G:$G,$Q960))&amp;"/"&amp;MONTH(INDEX(evol_conc!$G:$G,$Q960))&amp;"/"&amp;YEAR(INDEX(evol_conc!$G:$G,$Q960)))&amp;")","OK"))))))))</f>
        <v/>
      </c>
      <c r="Q960" t="str">
        <f ca="1">IF($N960="","",IFERROR(MATCH($N960,evol_conc!$P:$P,0),0))</f>
        <v/>
      </c>
    </row>
    <row r="961" spans="12:17" ht="18" hidden="1" customHeight="1" x14ac:dyDescent="0.25">
      <c r="L961" s="53" t="str">
        <f t="shared" si="28"/>
        <v/>
      </c>
      <c r="M961" s="19" t="str">
        <f t="shared" si="29"/>
        <v/>
      </c>
      <c r="N961" t="str">
        <f ca="1">IF(TRIM(SUBSTITUTE($B961,CHAR(160)," "))="","",IFERROR(IF(ISNUMBER(SEARCH("INC",$B961)),"INC",IF(ISNUMBER(SEARCH("OPI",$B961)),"OPI",IF(ISNUMBER(SEARCH("DP",$B961)),"DP","CONC")))&amp;" "&amp;TEXT(LOOKUP(9.99E+307,--MID(SUBSTITUTE($B961,CHAR(160)," "),SUMPRODUCT(MIN(FIND({0,1,2,3,4,5,6,7,8,9},SUBSTITUTE($B961,CHAR(160)," ")&amp;"0123456789"))),ROW(INDIRECT("1:6")))),"0"),"SIN NUMERO"))</f>
        <v/>
      </c>
      <c r="O961" t="str">
        <f ca="1">IF($N961="","",IF(LEFT(UPPER($P961),9)="VERIFICAR","VERIFICAR",IF(AND($H961&lt;&gt;"",COUNTIFS($N$2:$N$1000,$N961,$H$2:$H$1000,$H961)&gt;1),"DUPLICADA",IF(TRIM(IF($A961="","tipo ","")&amp;IF($F961="","fecha de firma ","")&amp;IF($G961="","decisión ","")&amp;IF($H961="","N° resolución ","")&amp;IF($I961="","N° dictamen",""))&lt;&gt;"","INCOMPLETA: "&amp;TRIM(IF($A961="","tipo ","")&amp;IF($F961="","fecha de firma ","")&amp;IF($G961="","decisión ","")&amp;IF($H961="","N° resolución ","")&amp;IF($I961="","N° dictamen","")),IF(LEFT($N961,4)&lt;&gt;"CONC","OK",IF(N($Q961)=0,IF(AND(ISNUMBER($E961),$E961&gt;=DATE(2024,1,1)),"FALTA EN evol_conc","OK"),IF(INDEX(evol_conc!$H:$H,$Q961)&lt;&gt;$F961,"FIRMA DISTINTA EN evol_conc ("&amp;IF(INDEX(evol_conc!$H:$H,$Q961)="","vacía",DAY(INDEX(evol_conc!$H:$H,$Q961))&amp;"/"&amp;MONTH(INDEX(evol_conc!$H:$H,$Q961))&amp;"/"&amp;YEAR(INDEX(evol_conc!$H:$H,$Q961)))&amp;")",IF(INDEX(evol_conc!$G:$G,$Q961)&lt;&gt;$E961,"INGRESO DISTINTO EN evol_conc ("&amp;IF(INDEX(evol_conc!$G:$G,$Q961)="","vacía",DAY(INDEX(evol_conc!$G:$G,$Q961))&amp;"/"&amp;MONTH(INDEX(evol_conc!$G:$G,$Q961))&amp;"/"&amp;YEAR(INDEX(evol_conc!$G:$G,$Q961)))&amp;")","OK"))))))))</f>
        <v/>
      </c>
      <c r="Q961" t="str">
        <f ca="1">IF($N961="","",IFERROR(MATCH($N961,evol_conc!$P:$P,0),0))</f>
        <v/>
      </c>
    </row>
    <row r="962" spans="12:17" ht="18" hidden="1" customHeight="1" x14ac:dyDescent="0.25">
      <c r="L962" s="53" t="str">
        <f t="shared" ref="L962:L1000" si="30">IF(OR($E962="",$F962=""),"",($F962-$E962)/30)</f>
        <v/>
      </c>
      <c r="M962" s="19" t="str">
        <f t="shared" ref="M962:M1000" si="31">IF(OR($E962="",$F962=""),"",$F962-$E962)</f>
        <v/>
      </c>
      <c r="N962" t="str">
        <f ca="1">IF(TRIM(SUBSTITUTE($B962,CHAR(160)," "))="","",IFERROR(IF(ISNUMBER(SEARCH("INC",$B962)),"INC",IF(ISNUMBER(SEARCH("OPI",$B962)),"OPI",IF(ISNUMBER(SEARCH("DP",$B962)),"DP","CONC")))&amp;" "&amp;TEXT(LOOKUP(9.99E+307,--MID(SUBSTITUTE($B962,CHAR(160)," "),SUMPRODUCT(MIN(FIND({0,1,2,3,4,5,6,7,8,9},SUBSTITUTE($B962,CHAR(160)," ")&amp;"0123456789"))),ROW(INDIRECT("1:6")))),"0"),"SIN NUMERO"))</f>
        <v/>
      </c>
      <c r="O962" t="str">
        <f ca="1">IF($N962="","",IF(LEFT(UPPER($P962),9)="VERIFICAR","VERIFICAR",IF(AND($H962&lt;&gt;"",COUNTIFS($N$2:$N$1000,$N962,$H$2:$H$1000,$H962)&gt;1),"DUPLICADA",IF(TRIM(IF($A962="","tipo ","")&amp;IF($F962="","fecha de firma ","")&amp;IF($G962="","decisión ","")&amp;IF($H962="","N° resolución ","")&amp;IF($I962="","N° dictamen",""))&lt;&gt;"","INCOMPLETA: "&amp;TRIM(IF($A962="","tipo ","")&amp;IF($F962="","fecha de firma ","")&amp;IF($G962="","decisión ","")&amp;IF($H962="","N° resolución ","")&amp;IF($I962="","N° dictamen","")),IF(LEFT($N962,4)&lt;&gt;"CONC","OK",IF(N($Q962)=0,IF(AND(ISNUMBER($E962),$E962&gt;=DATE(2024,1,1)),"FALTA EN evol_conc","OK"),IF(INDEX(evol_conc!$H:$H,$Q962)&lt;&gt;$F962,"FIRMA DISTINTA EN evol_conc ("&amp;IF(INDEX(evol_conc!$H:$H,$Q962)="","vacía",DAY(INDEX(evol_conc!$H:$H,$Q962))&amp;"/"&amp;MONTH(INDEX(evol_conc!$H:$H,$Q962))&amp;"/"&amp;YEAR(INDEX(evol_conc!$H:$H,$Q962)))&amp;")",IF(INDEX(evol_conc!$G:$G,$Q962)&lt;&gt;$E962,"INGRESO DISTINTO EN evol_conc ("&amp;IF(INDEX(evol_conc!$G:$G,$Q962)="","vacía",DAY(INDEX(evol_conc!$G:$G,$Q962))&amp;"/"&amp;MONTH(INDEX(evol_conc!$G:$G,$Q962))&amp;"/"&amp;YEAR(INDEX(evol_conc!$G:$G,$Q962)))&amp;")","OK"))))))))</f>
        <v/>
      </c>
      <c r="Q962" t="str">
        <f ca="1">IF($N962="","",IFERROR(MATCH($N962,evol_conc!$P:$P,0),0))</f>
        <v/>
      </c>
    </row>
    <row r="963" spans="12:17" ht="18" hidden="1" customHeight="1" x14ac:dyDescent="0.25">
      <c r="L963" s="53" t="str">
        <f t="shared" si="30"/>
        <v/>
      </c>
      <c r="M963" s="19" t="str">
        <f t="shared" si="31"/>
        <v/>
      </c>
      <c r="N963" t="str">
        <f ca="1">IF(TRIM(SUBSTITUTE($B963,CHAR(160)," "))="","",IFERROR(IF(ISNUMBER(SEARCH("INC",$B963)),"INC",IF(ISNUMBER(SEARCH("OPI",$B963)),"OPI",IF(ISNUMBER(SEARCH("DP",$B963)),"DP","CONC")))&amp;" "&amp;TEXT(LOOKUP(9.99E+307,--MID(SUBSTITUTE($B963,CHAR(160)," "),SUMPRODUCT(MIN(FIND({0,1,2,3,4,5,6,7,8,9},SUBSTITUTE($B963,CHAR(160)," ")&amp;"0123456789"))),ROW(INDIRECT("1:6")))),"0"),"SIN NUMERO"))</f>
        <v/>
      </c>
      <c r="O963" t="str">
        <f ca="1">IF($N963="","",IF(LEFT(UPPER($P963),9)="VERIFICAR","VERIFICAR",IF(AND($H963&lt;&gt;"",COUNTIFS($N$2:$N$1000,$N963,$H$2:$H$1000,$H963)&gt;1),"DUPLICADA",IF(TRIM(IF($A963="","tipo ","")&amp;IF($F963="","fecha de firma ","")&amp;IF($G963="","decisión ","")&amp;IF($H963="","N° resolución ","")&amp;IF($I963="","N° dictamen",""))&lt;&gt;"","INCOMPLETA: "&amp;TRIM(IF($A963="","tipo ","")&amp;IF($F963="","fecha de firma ","")&amp;IF($G963="","decisión ","")&amp;IF($H963="","N° resolución ","")&amp;IF($I963="","N° dictamen","")),IF(LEFT($N963,4)&lt;&gt;"CONC","OK",IF(N($Q963)=0,IF(AND(ISNUMBER($E963),$E963&gt;=DATE(2024,1,1)),"FALTA EN evol_conc","OK"),IF(INDEX(evol_conc!$H:$H,$Q963)&lt;&gt;$F963,"FIRMA DISTINTA EN evol_conc ("&amp;IF(INDEX(evol_conc!$H:$H,$Q963)="","vacía",DAY(INDEX(evol_conc!$H:$H,$Q963))&amp;"/"&amp;MONTH(INDEX(evol_conc!$H:$H,$Q963))&amp;"/"&amp;YEAR(INDEX(evol_conc!$H:$H,$Q963)))&amp;")",IF(INDEX(evol_conc!$G:$G,$Q963)&lt;&gt;$E963,"INGRESO DISTINTO EN evol_conc ("&amp;IF(INDEX(evol_conc!$G:$G,$Q963)="","vacía",DAY(INDEX(evol_conc!$G:$G,$Q963))&amp;"/"&amp;MONTH(INDEX(evol_conc!$G:$G,$Q963))&amp;"/"&amp;YEAR(INDEX(evol_conc!$G:$G,$Q963)))&amp;")","OK"))))))))</f>
        <v/>
      </c>
      <c r="Q963" t="str">
        <f ca="1">IF($N963="","",IFERROR(MATCH($N963,evol_conc!$P:$P,0),0))</f>
        <v/>
      </c>
    </row>
    <row r="964" spans="12:17" ht="18" hidden="1" customHeight="1" x14ac:dyDescent="0.25">
      <c r="L964" s="53" t="str">
        <f t="shared" si="30"/>
        <v/>
      </c>
      <c r="M964" s="19" t="str">
        <f t="shared" si="31"/>
        <v/>
      </c>
      <c r="N964" t="str">
        <f ca="1">IF(TRIM(SUBSTITUTE($B964,CHAR(160)," "))="","",IFERROR(IF(ISNUMBER(SEARCH("INC",$B964)),"INC",IF(ISNUMBER(SEARCH("OPI",$B964)),"OPI",IF(ISNUMBER(SEARCH("DP",$B964)),"DP","CONC")))&amp;" "&amp;TEXT(LOOKUP(9.99E+307,--MID(SUBSTITUTE($B964,CHAR(160)," "),SUMPRODUCT(MIN(FIND({0,1,2,3,4,5,6,7,8,9},SUBSTITUTE($B964,CHAR(160)," ")&amp;"0123456789"))),ROW(INDIRECT("1:6")))),"0"),"SIN NUMERO"))</f>
        <v/>
      </c>
      <c r="O964" t="str">
        <f ca="1">IF($N964="","",IF(LEFT(UPPER($P964),9)="VERIFICAR","VERIFICAR",IF(AND($H964&lt;&gt;"",COUNTIFS($N$2:$N$1000,$N964,$H$2:$H$1000,$H964)&gt;1),"DUPLICADA",IF(TRIM(IF($A964="","tipo ","")&amp;IF($F964="","fecha de firma ","")&amp;IF($G964="","decisión ","")&amp;IF($H964="","N° resolución ","")&amp;IF($I964="","N° dictamen",""))&lt;&gt;"","INCOMPLETA: "&amp;TRIM(IF($A964="","tipo ","")&amp;IF($F964="","fecha de firma ","")&amp;IF($G964="","decisión ","")&amp;IF($H964="","N° resolución ","")&amp;IF($I964="","N° dictamen","")),IF(LEFT($N964,4)&lt;&gt;"CONC","OK",IF(N($Q964)=0,IF(AND(ISNUMBER($E964),$E964&gt;=DATE(2024,1,1)),"FALTA EN evol_conc","OK"),IF(INDEX(evol_conc!$H:$H,$Q964)&lt;&gt;$F964,"FIRMA DISTINTA EN evol_conc ("&amp;IF(INDEX(evol_conc!$H:$H,$Q964)="","vacía",DAY(INDEX(evol_conc!$H:$H,$Q964))&amp;"/"&amp;MONTH(INDEX(evol_conc!$H:$H,$Q964))&amp;"/"&amp;YEAR(INDEX(evol_conc!$H:$H,$Q964)))&amp;")",IF(INDEX(evol_conc!$G:$G,$Q964)&lt;&gt;$E964,"INGRESO DISTINTO EN evol_conc ("&amp;IF(INDEX(evol_conc!$G:$G,$Q964)="","vacía",DAY(INDEX(evol_conc!$G:$G,$Q964))&amp;"/"&amp;MONTH(INDEX(evol_conc!$G:$G,$Q964))&amp;"/"&amp;YEAR(INDEX(evol_conc!$G:$G,$Q964)))&amp;")","OK"))))))))</f>
        <v/>
      </c>
      <c r="Q964" t="str">
        <f ca="1">IF($N964="","",IFERROR(MATCH($N964,evol_conc!$P:$P,0),0))</f>
        <v/>
      </c>
    </row>
    <row r="965" spans="12:17" ht="18" hidden="1" customHeight="1" x14ac:dyDescent="0.25">
      <c r="L965" s="53" t="str">
        <f t="shared" si="30"/>
        <v/>
      </c>
      <c r="M965" s="19" t="str">
        <f t="shared" si="31"/>
        <v/>
      </c>
      <c r="N965" t="str">
        <f ca="1">IF(TRIM(SUBSTITUTE($B965,CHAR(160)," "))="","",IFERROR(IF(ISNUMBER(SEARCH("INC",$B965)),"INC",IF(ISNUMBER(SEARCH("OPI",$B965)),"OPI",IF(ISNUMBER(SEARCH("DP",$B965)),"DP","CONC")))&amp;" "&amp;TEXT(LOOKUP(9.99E+307,--MID(SUBSTITUTE($B965,CHAR(160)," "),SUMPRODUCT(MIN(FIND({0,1,2,3,4,5,6,7,8,9},SUBSTITUTE($B965,CHAR(160)," ")&amp;"0123456789"))),ROW(INDIRECT("1:6")))),"0"),"SIN NUMERO"))</f>
        <v/>
      </c>
      <c r="O965" t="str">
        <f ca="1">IF($N965="","",IF(LEFT(UPPER($P965),9)="VERIFICAR","VERIFICAR",IF(AND($H965&lt;&gt;"",COUNTIFS($N$2:$N$1000,$N965,$H$2:$H$1000,$H965)&gt;1),"DUPLICADA",IF(TRIM(IF($A965="","tipo ","")&amp;IF($F965="","fecha de firma ","")&amp;IF($G965="","decisión ","")&amp;IF($H965="","N° resolución ","")&amp;IF($I965="","N° dictamen",""))&lt;&gt;"","INCOMPLETA: "&amp;TRIM(IF($A965="","tipo ","")&amp;IF($F965="","fecha de firma ","")&amp;IF($G965="","decisión ","")&amp;IF($H965="","N° resolución ","")&amp;IF($I965="","N° dictamen","")),IF(LEFT($N965,4)&lt;&gt;"CONC","OK",IF(N($Q965)=0,IF(AND(ISNUMBER($E965),$E965&gt;=DATE(2024,1,1)),"FALTA EN evol_conc","OK"),IF(INDEX(evol_conc!$H:$H,$Q965)&lt;&gt;$F965,"FIRMA DISTINTA EN evol_conc ("&amp;IF(INDEX(evol_conc!$H:$H,$Q965)="","vacía",DAY(INDEX(evol_conc!$H:$H,$Q965))&amp;"/"&amp;MONTH(INDEX(evol_conc!$H:$H,$Q965))&amp;"/"&amp;YEAR(INDEX(evol_conc!$H:$H,$Q965)))&amp;")",IF(INDEX(evol_conc!$G:$G,$Q965)&lt;&gt;$E965,"INGRESO DISTINTO EN evol_conc ("&amp;IF(INDEX(evol_conc!$G:$G,$Q965)="","vacía",DAY(INDEX(evol_conc!$G:$G,$Q965))&amp;"/"&amp;MONTH(INDEX(evol_conc!$G:$G,$Q965))&amp;"/"&amp;YEAR(INDEX(evol_conc!$G:$G,$Q965)))&amp;")","OK"))))))))</f>
        <v/>
      </c>
      <c r="Q965" t="str">
        <f ca="1">IF($N965="","",IFERROR(MATCH($N965,evol_conc!$P:$P,0),0))</f>
        <v/>
      </c>
    </row>
    <row r="966" spans="12:17" ht="18" hidden="1" customHeight="1" x14ac:dyDescent="0.25">
      <c r="L966" s="53" t="str">
        <f t="shared" si="30"/>
        <v/>
      </c>
      <c r="M966" s="19" t="str">
        <f t="shared" si="31"/>
        <v/>
      </c>
      <c r="N966" t="str">
        <f ca="1">IF(TRIM(SUBSTITUTE($B966,CHAR(160)," "))="","",IFERROR(IF(ISNUMBER(SEARCH("INC",$B966)),"INC",IF(ISNUMBER(SEARCH("OPI",$B966)),"OPI",IF(ISNUMBER(SEARCH("DP",$B966)),"DP","CONC")))&amp;" "&amp;TEXT(LOOKUP(9.99E+307,--MID(SUBSTITUTE($B966,CHAR(160)," "),SUMPRODUCT(MIN(FIND({0,1,2,3,4,5,6,7,8,9},SUBSTITUTE($B966,CHAR(160)," ")&amp;"0123456789"))),ROW(INDIRECT("1:6")))),"0"),"SIN NUMERO"))</f>
        <v/>
      </c>
      <c r="O966" t="str">
        <f ca="1">IF($N966="","",IF(LEFT(UPPER($P966),9)="VERIFICAR","VERIFICAR",IF(AND($H966&lt;&gt;"",COUNTIFS($N$2:$N$1000,$N966,$H$2:$H$1000,$H966)&gt;1),"DUPLICADA",IF(TRIM(IF($A966="","tipo ","")&amp;IF($F966="","fecha de firma ","")&amp;IF($G966="","decisión ","")&amp;IF($H966="","N° resolución ","")&amp;IF($I966="","N° dictamen",""))&lt;&gt;"","INCOMPLETA: "&amp;TRIM(IF($A966="","tipo ","")&amp;IF($F966="","fecha de firma ","")&amp;IF($G966="","decisión ","")&amp;IF($H966="","N° resolución ","")&amp;IF($I966="","N° dictamen","")),IF(LEFT($N966,4)&lt;&gt;"CONC","OK",IF(N($Q966)=0,IF(AND(ISNUMBER($E966),$E966&gt;=DATE(2024,1,1)),"FALTA EN evol_conc","OK"),IF(INDEX(evol_conc!$H:$H,$Q966)&lt;&gt;$F966,"FIRMA DISTINTA EN evol_conc ("&amp;IF(INDEX(evol_conc!$H:$H,$Q966)="","vacía",DAY(INDEX(evol_conc!$H:$H,$Q966))&amp;"/"&amp;MONTH(INDEX(evol_conc!$H:$H,$Q966))&amp;"/"&amp;YEAR(INDEX(evol_conc!$H:$H,$Q966)))&amp;")",IF(INDEX(evol_conc!$G:$G,$Q966)&lt;&gt;$E966,"INGRESO DISTINTO EN evol_conc ("&amp;IF(INDEX(evol_conc!$G:$G,$Q966)="","vacía",DAY(INDEX(evol_conc!$G:$G,$Q966))&amp;"/"&amp;MONTH(INDEX(evol_conc!$G:$G,$Q966))&amp;"/"&amp;YEAR(INDEX(evol_conc!$G:$G,$Q966)))&amp;")","OK"))))))))</f>
        <v/>
      </c>
      <c r="Q966" t="str">
        <f ca="1">IF($N966="","",IFERROR(MATCH($N966,evol_conc!$P:$P,0),0))</f>
        <v/>
      </c>
    </row>
    <row r="967" spans="12:17" ht="18" hidden="1" customHeight="1" x14ac:dyDescent="0.25">
      <c r="L967" s="53" t="str">
        <f t="shared" si="30"/>
        <v/>
      </c>
      <c r="M967" s="19" t="str">
        <f t="shared" si="31"/>
        <v/>
      </c>
      <c r="N967" t="str">
        <f ca="1">IF(TRIM(SUBSTITUTE($B967,CHAR(160)," "))="","",IFERROR(IF(ISNUMBER(SEARCH("INC",$B967)),"INC",IF(ISNUMBER(SEARCH("OPI",$B967)),"OPI",IF(ISNUMBER(SEARCH("DP",$B967)),"DP","CONC")))&amp;" "&amp;TEXT(LOOKUP(9.99E+307,--MID(SUBSTITUTE($B967,CHAR(160)," "),SUMPRODUCT(MIN(FIND({0,1,2,3,4,5,6,7,8,9},SUBSTITUTE($B967,CHAR(160)," ")&amp;"0123456789"))),ROW(INDIRECT("1:6")))),"0"),"SIN NUMERO"))</f>
        <v/>
      </c>
      <c r="O967" t="str">
        <f ca="1">IF($N967="","",IF(LEFT(UPPER($P967),9)="VERIFICAR","VERIFICAR",IF(AND($H967&lt;&gt;"",COUNTIFS($N$2:$N$1000,$N967,$H$2:$H$1000,$H967)&gt;1),"DUPLICADA",IF(TRIM(IF($A967="","tipo ","")&amp;IF($F967="","fecha de firma ","")&amp;IF($G967="","decisión ","")&amp;IF($H967="","N° resolución ","")&amp;IF($I967="","N° dictamen",""))&lt;&gt;"","INCOMPLETA: "&amp;TRIM(IF($A967="","tipo ","")&amp;IF($F967="","fecha de firma ","")&amp;IF($G967="","decisión ","")&amp;IF($H967="","N° resolución ","")&amp;IF($I967="","N° dictamen","")),IF(LEFT($N967,4)&lt;&gt;"CONC","OK",IF(N($Q967)=0,IF(AND(ISNUMBER($E967),$E967&gt;=DATE(2024,1,1)),"FALTA EN evol_conc","OK"),IF(INDEX(evol_conc!$H:$H,$Q967)&lt;&gt;$F967,"FIRMA DISTINTA EN evol_conc ("&amp;IF(INDEX(evol_conc!$H:$H,$Q967)="","vacía",DAY(INDEX(evol_conc!$H:$H,$Q967))&amp;"/"&amp;MONTH(INDEX(evol_conc!$H:$H,$Q967))&amp;"/"&amp;YEAR(INDEX(evol_conc!$H:$H,$Q967)))&amp;")",IF(INDEX(evol_conc!$G:$G,$Q967)&lt;&gt;$E967,"INGRESO DISTINTO EN evol_conc ("&amp;IF(INDEX(evol_conc!$G:$G,$Q967)="","vacía",DAY(INDEX(evol_conc!$G:$G,$Q967))&amp;"/"&amp;MONTH(INDEX(evol_conc!$G:$G,$Q967))&amp;"/"&amp;YEAR(INDEX(evol_conc!$G:$G,$Q967)))&amp;")","OK"))))))))</f>
        <v/>
      </c>
      <c r="Q967" t="str">
        <f ca="1">IF($N967="","",IFERROR(MATCH($N967,evol_conc!$P:$P,0),0))</f>
        <v/>
      </c>
    </row>
    <row r="968" spans="12:17" ht="18" hidden="1" customHeight="1" x14ac:dyDescent="0.25">
      <c r="L968" s="53" t="str">
        <f t="shared" si="30"/>
        <v/>
      </c>
      <c r="M968" s="19" t="str">
        <f t="shared" si="31"/>
        <v/>
      </c>
      <c r="N968" t="str">
        <f ca="1">IF(TRIM(SUBSTITUTE($B968,CHAR(160)," "))="","",IFERROR(IF(ISNUMBER(SEARCH("INC",$B968)),"INC",IF(ISNUMBER(SEARCH("OPI",$B968)),"OPI",IF(ISNUMBER(SEARCH("DP",$B968)),"DP","CONC")))&amp;" "&amp;TEXT(LOOKUP(9.99E+307,--MID(SUBSTITUTE($B968,CHAR(160)," "),SUMPRODUCT(MIN(FIND({0,1,2,3,4,5,6,7,8,9},SUBSTITUTE($B968,CHAR(160)," ")&amp;"0123456789"))),ROW(INDIRECT("1:6")))),"0"),"SIN NUMERO"))</f>
        <v/>
      </c>
      <c r="O968" t="str">
        <f ca="1">IF($N968="","",IF(LEFT(UPPER($P968),9)="VERIFICAR","VERIFICAR",IF(AND($H968&lt;&gt;"",COUNTIFS($N$2:$N$1000,$N968,$H$2:$H$1000,$H968)&gt;1),"DUPLICADA",IF(TRIM(IF($A968="","tipo ","")&amp;IF($F968="","fecha de firma ","")&amp;IF($G968="","decisión ","")&amp;IF($H968="","N° resolución ","")&amp;IF($I968="","N° dictamen",""))&lt;&gt;"","INCOMPLETA: "&amp;TRIM(IF($A968="","tipo ","")&amp;IF($F968="","fecha de firma ","")&amp;IF($G968="","decisión ","")&amp;IF($H968="","N° resolución ","")&amp;IF($I968="","N° dictamen","")),IF(LEFT($N968,4)&lt;&gt;"CONC","OK",IF(N($Q968)=0,IF(AND(ISNUMBER($E968),$E968&gt;=DATE(2024,1,1)),"FALTA EN evol_conc","OK"),IF(INDEX(evol_conc!$H:$H,$Q968)&lt;&gt;$F968,"FIRMA DISTINTA EN evol_conc ("&amp;IF(INDEX(evol_conc!$H:$H,$Q968)="","vacía",DAY(INDEX(evol_conc!$H:$H,$Q968))&amp;"/"&amp;MONTH(INDEX(evol_conc!$H:$H,$Q968))&amp;"/"&amp;YEAR(INDEX(evol_conc!$H:$H,$Q968)))&amp;")",IF(INDEX(evol_conc!$G:$G,$Q968)&lt;&gt;$E968,"INGRESO DISTINTO EN evol_conc ("&amp;IF(INDEX(evol_conc!$G:$G,$Q968)="","vacía",DAY(INDEX(evol_conc!$G:$G,$Q968))&amp;"/"&amp;MONTH(INDEX(evol_conc!$G:$G,$Q968))&amp;"/"&amp;YEAR(INDEX(evol_conc!$G:$G,$Q968)))&amp;")","OK"))))))))</f>
        <v/>
      </c>
      <c r="Q968" t="str">
        <f ca="1">IF($N968="","",IFERROR(MATCH($N968,evol_conc!$P:$P,0),0))</f>
        <v/>
      </c>
    </row>
    <row r="969" spans="12:17" ht="18" hidden="1" customHeight="1" x14ac:dyDescent="0.25">
      <c r="L969" s="53" t="str">
        <f t="shared" si="30"/>
        <v/>
      </c>
      <c r="M969" s="19" t="str">
        <f t="shared" si="31"/>
        <v/>
      </c>
      <c r="N969" t="str">
        <f ca="1">IF(TRIM(SUBSTITUTE($B969,CHAR(160)," "))="","",IFERROR(IF(ISNUMBER(SEARCH("INC",$B969)),"INC",IF(ISNUMBER(SEARCH("OPI",$B969)),"OPI",IF(ISNUMBER(SEARCH("DP",$B969)),"DP","CONC")))&amp;" "&amp;TEXT(LOOKUP(9.99E+307,--MID(SUBSTITUTE($B969,CHAR(160)," "),SUMPRODUCT(MIN(FIND({0,1,2,3,4,5,6,7,8,9},SUBSTITUTE($B969,CHAR(160)," ")&amp;"0123456789"))),ROW(INDIRECT("1:6")))),"0"),"SIN NUMERO"))</f>
        <v/>
      </c>
      <c r="O969" t="str">
        <f ca="1">IF($N969="","",IF(LEFT(UPPER($P969),9)="VERIFICAR","VERIFICAR",IF(AND($H969&lt;&gt;"",COUNTIFS($N$2:$N$1000,$N969,$H$2:$H$1000,$H969)&gt;1),"DUPLICADA",IF(TRIM(IF($A969="","tipo ","")&amp;IF($F969="","fecha de firma ","")&amp;IF($G969="","decisión ","")&amp;IF($H969="","N° resolución ","")&amp;IF($I969="","N° dictamen",""))&lt;&gt;"","INCOMPLETA: "&amp;TRIM(IF($A969="","tipo ","")&amp;IF($F969="","fecha de firma ","")&amp;IF($G969="","decisión ","")&amp;IF($H969="","N° resolución ","")&amp;IF($I969="","N° dictamen","")),IF(LEFT($N969,4)&lt;&gt;"CONC","OK",IF(N($Q969)=0,IF(AND(ISNUMBER($E969),$E969&gt;=DATE(2024,1,1)),"FALTA EN evol_conc","OK"),IF(INDEX(evol_conc!$H:$H,$Q969)&lt;&gt;$F969,"FIRMA DISTINTA EN evol_conc ("&amp;IF(INDEX(evol_conc!$H:$H,$Q969)="","vacía",DAY(INDEX(evol_conc!$H:$H,$Q969))&amp;"/"&amp;MONTH(INDEX(evol_conc!$H:$H,$Q969))&amp;"/"&amp;YEAR(INDEX(evol_conc!$H:$H,$Q969)))&amp;")",IF(INDEX(evol_conc!$G:$G,$Q969)&lt;&gt;$E969,"INGRESO DISTINTO EN evol_conc ("&amp;IF(INDEX(evol_conc!$G:$G,$Q969)="","vacía",DAY(INDEX(evol_conc!$G:$G,$Q969))&amp;"/"&amp;MONTH(INDEX(evol_conc!$G:$G,$Q969))&amp;"/"&amp;YEAR(INDEX(evol_conc!$G:$G,$Q969)))&amp;")","OK"))))))))</f>
        <v/>
      </c>
      <c r="Q969" t="str">
        <f ca="1">IF($N969="","",IFERROR(MATCH($N969,evol_conc!$P:$P,0),0))</f>
        <v/>
      </c>
    </row>
    <row r="970" spans="12:17" ht="18" hidden="1" customHeight="1" x14ac:dyDescent="0.25">
      <c r="L970" s="53" t="str">
        <f t="shared" si="30"/>
        <v/>
      </c>
      <c r="M970" s="19" t="str">
        <f t="shared" si="31"/>
        <v/>
      </c>
      <c r="N970" t="str">
        <f ca="1">IF(TRIM(SUBSTITUTE($B970,CHAR(160)," "))="","",IFERROR(IF(ISNUMBER(SEARCH("INC",$B970)),"INC",IF(ISNUMBER(SEARCH("OPI",$B970)),"OPI",IF(ISNUMBER(SEARCH("DP",$B970)),"DP","CONC")))&amp;" "&amp;TEXT(LOOKUP(9.99E+307,--MID(SUBSTITUTE($B970,CHAR(160)," "),SUMPRODUCT(MIN(FIND({0,1,2,3,4,5,6,7,8,9},SUBSTITUTE($B970,CHAR(160)," ")&amp;"0123456789"))),ROW(INDIRECT("1:6")))),"0"),"SIN NUMERO"))</f>
        <v/>
      </c>
      <c r="O970" t="str">
        <f ca="1">IF($N970="","",IF(LEFT(UPPER($P970),9)="VERIFICAR","VERIFICAR",IF(AND($H970&lt;&gt;"",COUNTIFS($N$2:$N$1000,$N970,$H$2:$H$1000,$H970)&gt;1),"DUPLICADA",IF(TRIM(IF($A970="","tipo ","")&amp;IF($F970="","fecha de firma ","")&amp;IF($G970="","decisión ","")&amp;IF($H970="","N° resolución ","")&amp;IF($I970="","N° dictamen",""))&lt;&gt;"","INCOMPLETA: "&amp;TRIM(IF($A970="","tipo ","")&amp;IF($F970="","fecha de firma ","")&amp;IF($G970="","decisión ","")&amp;IF($H970="","N° resolución ","")&amp;IF($I970="","N° dictamen","")),IF(LEFT($N970,4)&lt;&gt;"CONC","OK",IF(N($Q970)=0,IF(AND(ISNUMBER($E970),$E970&gt;=DATE(2024,1,1)),"FALTA EN evol_conc","OK"),IF(INDEX(evol_conc!$H:$H,$Q970)&lt;&gt;$F970,"FIRMA DISTINTA EN evol_conc ("&amp;IF(INDEX(evol_conc!$H:$H,$Q970)="","vacía",DAY(INDEX(evol_conc!$H:$H,$Q970))&amp;"/"&amp;MONTH(INDEX(evol_conc!$H:$H,$Q970))&amp;"/"&amp;YEAR(INDEX(evol_conc!$H:$H,$Q970)))&amp;")",IF(INDEX(evol_conc!$G:$G,$Q970)&lt;&gt;$E970,"INGRESO DISTINTO EN evol_conc ("&amp;IF(INDEX(evol_conc!$G:$G,$Q970)="","vacía",DAY(INDEX(evol_conc!$G:$G,$Q970))&amp;"/"&amp;MONTH(INDEX(evol_conc!$G:$G,$Q970))&amp;"/"&amp;YEAR(INDEX(evol_conc!$G:$G,$Q970)))&amp;")","OK"))))))))</f>
        <v/>
      </c>
      <c r="Q970" t="str">
        <f ca="1">IF($N970="","",IFERROR(MATCH($N970,evol_conc!$P:$P,0),0))</f>
        <v/>
      </c>
    </row>
    <row r="971" spans="12:17" ht="18" hidden="1" customHeight="1" x14ac:dyDescent="0.25">
      <c r="L971" s="53" t="str">
        <f t="shared" si="30"/>
        <v/>
      </c>
      <c r="M971" s="19" t="str">
        <f t="shared" si="31"/>
        <v/>
      </c>
      <c r="N971" t="str">
        <f ca="1">IF(TRIM(SUBSTITUTE($B971,CHAR(160)," "))="","",IFERROR(IF(ISNUMBER(SEARCH("INC",$B971)),"INC",IF(ISNUMBER(SEARCH("OPI",$B971)),"OPI",IF(ISNUMBER(SEARCH("DP",$B971)),"DP","CONC")))&amp;" "&amp;TEXT(LOOKUP(9.99E+307,--MID(SUBSTITUTE($B971,CHAR(160)," "),SUMPRODUCT(MIN(FIND({0,1,2,3,4,5,6,7,8,9},SUBSTITUTE($B971,CHAR(160)," ")&amp;"0123456789"))),ROW(INDIRECT("1:6")))),"0"),"SIN NUMERO"))</f>
        <v/>
      </c>
      <c r="O971" t="str">
        <f ca="1">IF($N971="","",IF(LEFT(UPPER($P971),9)="VERIFICAR","VERIFICAR",IF(AND($H971&lt;&gt;"",COUNTIFS($N$2:$N$1000,$N971,$H$2:$H$1000,$H971)&gt;1),"DUPLICADA",IF(TRIM(IF($A971="","tipo ","")&amp;IF($F971="","fecha de firma ","")&amp;IF($G971="","decisión ","")&amp;IF($H971="","N° resolución ","")&amp;IF($I971="","N° dictamen",""))&lt;&gt;"","INCOMPLETA: "&amp;TRIM(IF($A971="","tipo ","")&amp;IF($F971="","fecha de firma ","")&amp;IF($G971="","decisión ","")&amp;IF($H971="","N° resolución ","")&amp;IF($I971="","N° dictamen","")),IF(LEFT($N971,4)&lt;&gt;"CONC","OK",IF(N($Q971)=0,IF(AND(ISNUMBER($E971),$E971&gt;=DATE(2024,1,1)),"FALTA EN evol_conc","OK"),IF(INDEX(evol_conc!$H:$H,$Q971)&lt;&gt;$F971,"FIRMA DISTINTA EN evol_conc ("&amp;IF(INDEX(evol_conc!$H:$H,$Q971)="","vacía",DAY(INDEX(evol_conc!$H:$H,$Q971))&amp;"/"&amp;MONTH(INDEX(evol_conc!$H:$H,$Q971))&amp;"/"&amp;YEAR(INDEX(evol_conc!$H:$H,$Q971)))&amp;")",IF(INDEX(evol_conc!$G:$G,$Q971)&lt;&gt;$E971,"INGRESO DISTINTO EN evol_conc ("&amp;IF(INDEX(evol_conc!$G:$G,$Q971)="","vacía",DAY(INDEX(evol_conc!$G:$G,$Q971))&amp;"/"&amp;MONTH(INDEX(evol_conc!$G:$G,$Q971))&amp;"/"&amp;YEAR(INDEX(evol_conc!$G:$G,$Q971)))&amp;")","OK"))))))))</f>
        <v/>
      </c>
      <c r="Q971" t="str">
        <f ca="1">IF($N971="","",IFERROR(MATCH($N971,evol_conc!$P:$P,0),0))</f>
        <v/>
      </c>
    </row>
    <row r="972" spans="12:17" ht="18" hidden="1" customHeight="1" x14ac:dyDescent="0.25">
      <c r="L972" s="53" t="str">
        <f t="shared" si="30"/>
        <v/>
      </c>
      <c r="M972" s="19" t="str">
        <f t="shared" si="31"/>
        <v/>
      </c>
      <c r="N972" t="str">
        <f ca="1">IF(TRIM(SUBSTITUTE($B972,CHAR(160)," "))="","",IFERROR(IF(ISNUMBER(SEARCH("INC",$B972)),"INC",IF(ISNUMBER(SEARCH("OPI",$B972)),"OPI",IF(ISNUMBER(SEARCH("DP",$B972)),"DP","CONC")))&amp;" "&amp;TEXT(LOOKUP(9.99E+307,--MID(SUBSTITUTE($B972,CHAR(160)," "),SUMPRODUCT(MIN(FIND({0,1,2,3,4,5,6,7,8,9},SUBSTITUTE($B972,CHAR(160)," ")&amp;"0123456789"))),ROW(INDIRECT("1:6")))),"0"),"SIN NUMERO"))</f>
        <v/>
      </c>
      <c r="O972" t="str">
        <f ca="1">IF($N972="","",IF(LEFT(UPPER($P972),9)="VERIFICAR","VERIFICAR",IF(AND($H972&lt;&gt;"",COUNTIFS($N$2:$N$1000,$N972,$H$2:$H$1000,$H972)&gt;1),"DUPLICADA",IF(TRIM(IF($A972="","tipo ","")&amp;IF($F972="","fecha de firma ","")&amp;IF($G972="","decisión ","")&amp;IF($H972="","N° resolución ","")&amp;IF($I972="","N° dictamen",""))&lt;&gt;"","INCOMPLETA: "&amp;TRIM(IF($A972="","tipo ","")&amp;IF($F972="","fecha de firma ","")&amp;IF($G972="","decisión ","")&amp;IF($H972="","N° resolución ","")&amp;IF($I972="","N° dictamen","")),IF(LEFT($N972,4)&lt;&gt;"CONC","OK",IF(N($Q972)=0,IF(AND(ISNUMBER($E972),$E972&gt;=DATE(2024,1,1)),"FALTA EN evol_conc","OK"),IF(INDEX(evol_conc!$H:$H,$Q972)&lt;&gt;$F972,"FIRMA DISTINTA EN evol_conc ("&amp;IF(INDEX(evol_conc!$H:$H,$Q972)="","vacía",DAY(INDEX(evol_conc!$H:$H,$Q972))&amp;"/"&amp;MONTH(INDEX(evol_conc!$H:$H,$Q972))&amp;"/"&amp;YEAR(INDEX(evol_conc!$H:$H,$Q972)))&amp;")",IF(INDEX(evol_conc!$G:$G,$Q972)&lt;&gt;$E972,"INGRESO DISTINTO EN evol_conc ("&amp;IF(INDEX(evol_conc!$G:$G,$Q972)="","vacía",DAY(INDEX(evol_conc!$G:$G,$Q972))&amp;"/"&amp;MONTH(INDEX(evol_conc!$G:$G,$Q972))&amp;"/"&amp;YEAR(INDEX(evol_conc!$G:$G,$Q972)))&amp;")","OK"))))))))</f>
        <v/>
      </c>
      <c r="Q972" t="str">
        <f ca="1">IF($N972="","",IFERROR(MATCH($N972,evol_conc!$P:$P,0),0))</f>
        <v/>
      </c>
    </row>
    <row r="973" spans="12:17" ht="18" hidden="1" customHeight="1" x14ac:dyDescent="0.25">
      <c r="L973" s="53" t="str">
        <f t="shared" si="30"/>
        <v/>
      </c>
      <c r="M973" s="19" t="str">
        <f t="shared" si="31"/>
        <v/>
      </c>
      <c r="N973" t="str">
        <f ca="1">IF(TRIM(SUBSTITUTE($B973,CHAR(160)," "))="","",IFERROR(IF(ISNUMBER(SEARCH("INC",$B973)),"INC",IF(ISNUMBER(SEARCH("OPI",$B973)),"OPI",IF(ISNUMBER(SEARCH("DP",$B973)),"DP","CONC")))&amp;" "&amp;TEXT(LOOKUP(9.99E+307,--MID(SUBSTITUTE($B973,CHAR(160)," "),SUMPRODUCT(MIN(FIND({0,1,2,3,4,5,6,7,8,9},SUBSTITUTE($B973,CHAR(160)," ")&amp;"0123456789"))),ROW(INDIRECT("1:6")))),"0"),"SIN NUMERO"))</f>
        <v/>
      </c>
      <c r="O973" t="str">
        <f ca="1">IF($N973="","",IF(LEFT(UPPER($P973),9)="VERIFICAR","VERIFICAR",IF(AND($H973&lt;&gt;"",COUNTIFS($N$2:$N$1000,$N973,$H$2:$H$1000,$H973)&gt;1),"DUPLICADA",IF(TRIM(IF($A973="","tipo ","")&amp;IF($F973="","fecha de firma ","")&amp;IF($G973="","decisión ","")&amp;IF($H973="","N° resolución ","")&amp;IF($I973="","N° dictamen",""))&lt;&gt;"","INCOMPLETA: "&amp;TRIM(IF($A973="","tipo ","")&amp;IF($F973="","fecha de firma ","")&amp;IF($G973="","decisión ","")&amp;IF($H973="","N° resolución ","")&amp;IF($I973="","N° dictamen","")),IF(LEFT($N973,4)&lt;&gt;"CONC","OK",IF(N($Q973)=0,IF(AND(ISNUMBER($E973),$E973&gt;=DATE(2024,1,1)),"FALTA EN evol_conc","OK"),IF(INDEX(evol_conc!$H:$H,$Q973)&lt;&gt;$F973,"FIRMA DISTINTA EN evol_conc ("&amp;IF(INDEX(evol_conc!$H:$H,$Q973)="","vacía",DAY(INDEX(evol_conc!$H:$H,$Q973))&amp;"/"&amp;MONTH(INDEX(evol_conc!$H:$H,$Q973))&amp;"/"&amp;YEAR(INDEX(evol_conc!$H:$H,$Q973)))&amp;")",IF(INDEX(evol_conc!$G:$G,$Q973)&lt;&gt;$E973,"INGRESO DISTINTO EN evol_conc ("&amp;IF(INDEX(evol_conc!$G:$G,$Q973)="","vacía",DAY(INDEX(evol_conc!$G:$G,$Q973))&amp;"/"&amp;MONTH(INDEX(evol_conc!$G:$G,$Q973))&amp;"/"&amp;YEAR(INDEX(evol_conc!$G:$G,$Q973)))&amp;")","OK"))))))))</f>
        <v/>
      </c>
      <c r="Q973" t="str">
        <f ca="1">IF($N973="","",IFERROR(MATCH($N973,evol_conc!$P:$P,0),0))</f>
        <v/>
      </c>
    </row>
    <row r="974" spans="12:17" ht="18" hidden="1" customHeight="1" x14ac:dyDescent="0.25">
      <c r="L974" s="53" t="str">
        <f t="shared" si="30"/>
        <v/>
      </c>
      <c r="M974" s="19" t="str">
        <f t="shared" si="31"/>
        <v/>
      </c>
      <c r="N974" t="str">
        <f ca="1">IF(TRIM(SUBSTITUTE($B974,CHAR(160)," "))="","",IFERROR(IF(ISNUMBER(SEARCH("INC",$B974)),"INC",IF(ISNUMBER(SEARCH("OPI",$B974)),"OPI",IF(ISNUMBER(SEARCH("DP",$B974)),"DP","CONC")))&amp;" "&amp;TEXT(LOOKUP(9.99E+307,--MID(SUBSTITUTE($B974,CHAR(160)," "),SUMPRODUCT(MIN(FIND({0,1,2,3,4,5,6,7,8,9},SUBSTITUTE($B974,CHAR(160)," ")&amp;"0123456789"))),ROW(INDIRECT("1:6")))),"0"),"SIN NUMERO"))</f>
        <v/>
      </c>
      <c r="O974" t="str">
        <f ca="1">IF($N974="","",IF(LEFT(UPPER($P974),9)="VERIFICAR","VERIFICAR",IF(AND($H974&lt;&gt;"",COUNTIFS($N$2:$N$1000,$N974,$H$2:$H$1000,$H974)&gt;1),"DUPLICADA",IF(TRIM(IF($A974="","tipo ","")&amp;IF($F974="","fecha de firma ","")&amp;IF($G974="","decisión ","")&amp;IF($H974="","N° resolución ","")&amp;IF($I974="","N° dictamen",""))&lt;&gt;"","INCOMPLETA: "&amp;TRIM(IF($A974="","tipo ","")&amp;IF($F974="","fecha de firma ","")&amp;IF($G974="","decisión ","")&amp;IF($H974="","N° resolución ","")&amp;IF($I974="","N° dictamen","")),IF(LEFT($N974,4)&lt;&gt;"CONC","OK",IF(N($Q974)=0,IF(AND(ISNUMBER($E974),$E974&gt;=DATE(2024,1,1)),"FALTA EN evol_conc","OK"),IF(INDEX(evol_conc!$H:$H,$Q974)&lt;&gt;$F974,"FIRMA DISTINTA EN evol_conc ("&amp;IF(INDEX(evol_conc!$H:$H,$Q974)="","vacía",DAY(INDEX(evol_conc!$H:$H,$Q974))&amp;"/"&amp;MONTH(INDEX(evol_conc!$H:$H,$Q974))&amp;"/"&amp;YEAR(INDEX(evol_conc!$H:$H,$Q974)))&amp;")",IF(INDEX(evol_conc!$G:$G,$Q974)&lt;&gt;$E974,"INGRESO DISTINTO EN evol_conc ("&amp;IF(INDEX(evol_conc!$G:$G,$Q974)="","vacía",DAY(INDEX(evol_conc!$G:$G,$Q974))&amp;"/"&amp;MONTH(INDEX(evol_conc!$G:$G,$Q974))&amp;"/"&amp;YEAR(INDEX(evol_conc!$G:$G,$Q974)))&amp;")","OK"))))))))</f>
        <v/>
      </c>
      <c r="Q974" t="str">
        <f ca="1">IF($N974="","",IFERROR(MATCH($N974,evol_conc!$P:$P,0),0))</f>
        <v/>
      </c>
    </row>
    <row r="975" spans="12:17" ht="18" hidden="1" customHeight="1" x14ac:dyDescent="0.25">
      <c r="L975" s="53" t="str">
        <f t="shared" si="30"/>
        <v/>
      </c>
      <c r="M975" s="19" t="str">
        <f t="shared" si="31"/>
        <v/>
      </c>
      <c r="N975" t="str">
        <f ca="1">IF(TRIM(SUBSTITUTE($B975,CHAR(160)," "))="","",IFERROR(IF(ISNUMBER(SEARCH("INC",$B975)),"INC",IF(ISNUMBER(SEARCH("OPI",$B975)),"OPI",IF(ISNUMBER(SEARCH("DP",$B975)),"DP","CONC")))&amp;" "&amp;TEXT(LOOKUP(9.99E+307,--MID(SUBSTITUTE($B975,CHAR(160)," "),SUMPRODUCT(MIN(FIND({0,1,2,3,4,5,6,7,8,9},SUBSTITUTE($B975,CHAR(160)," ")&amp;"0123456789"))),ROW(INDIRECT("1:6")))),"0"),"SIN NUMERO"))</f>
        <v/>
      </c>
      <c r="O975" t="str">
        <f ca="1">IF($N975="","",IF(LEFT(UPPER($P975),9)="VERIFICAR","VERIFICAR",IF(AND($H975&lt;&gt;"",COUNTIFS($N$2:$N$1000,$N975,$H$2:$H$1000,$H975)&gt;1),"DUPLICADA",IF(TRIM(IF($A975="","tipo ","")&amp;IF($F975="","fecha de firma ","")&amp;IF($G975="","decisión ","")&amp;IF($H975="","N° resolución ","")&amp;IF($I975="","N° dictamen",""))&lt;&gt;"","INCOMPLETA: "&amp;TRIM(IF($A975="","tipo ","")&amp;IF($F975="","fecha de firma ","")&amp;IF($G975="","decisión ","")&amp;IF($H975="","N° resolución ","")&amp;IF($I975="","N° dictamen","")),IF(LEFT($N975,4)&lt;&gt;"CONC","OK",IF(N($Q975)=0,IF(AND(ISNUMBER($E975),$E975&gt;=DATE(2024,1,1)),"FALTA EN evol_conc","OK"),IF(INDEX(evol_conc!$H:$H,$Q975)&lt;&gt;$F975,"FIRMA DISTINTA EN evol_conc ("&amp;IF(INDEX(evol_conc!$H:$H,$Q975)="","vacía",DAY(INDEX(evol_conc!$H:$H,$Q975))&amp;"/"&amp;MONTH(INDEX(evol_conc!$H:$H,$Q975))&amp;"/"&amp;YEAR(INDEX(evol_conc!$H:$H,$Q975)))&amp;")",IF(INDEX(evol_conc!$G:$G,$Q975)&lt;&gt;$E975,"INGRESO DISTINTO EN evol_conc ("&amp;IF(INDEX(evol_conc!$G:$G,$Q975)="","vacía",DAY(INDEX(evol_conc!$G:$G,$Q975))&amp;"/"&amp;MONTH(INDEX(evol_conc!$G:$G,$Q975))&amp;"/"&amp;YEAR(INDEX(evol_conc!$G:$G,$Q975)))&amp;")","OK"))))))))</f>
        <v/>
      </c>
      <c r="Q975" t="str">
        <f ca="1">IF($N975="","",IFERROR(MATCH($N975,evol_conc!$P:$P,0),0))</f>
        <v/>
      </c>
    </row>
    <row r="976" spans="12:17" ht="18" hidden="1" customHeight="1" x14ac:dyDescent="0.25">
      <c r="L976" s="53" t="str">
        <f t="shared" si="30"/>
        <v/>
      </c>
      <c r="M976" s="19" t="str">
        <f t="shared" si="31"/>
        <v/>
      </c>
      <c r="N976" t="str">
        <f ca="1">IF(TRIM(SUBSTITUTE($B976,CHAR(160)," "))="","",IFERROR(IF(ISNUMBER(SEARCH("INC",$B976)),"INC",IF(ISNUMBER(SEARCH("OPI",$B976)),"OPI",IF(ISNUMBER(SEARCH("DP",$B976)),"DP","CONC")))&amp;" "&amp;TEXT(LOOKUP(9.99E+307,--MID(SUBSTITUTE($B976,CHAR(160)," "),SUMPRODUCT(MIN(FIND({0,1,2,3,4,5,6,7,8,9},SUBSTITUTE($B976,CHAR(160)," ")&amp;"0123456789"))),ROW(INDIRECT("1:6")))),"0"),"SIN NUMERO"))</f>
        <v/>
      </c>
      <c r="O976" t="str">
        <f ca="1">IF($N976="","",IF(LEFT(UPPER($P976),9)="VERIFICAR","VERIFICAR",IF(AND($H976&lt;&gt;"",COUNTIFS($N$2:$N$1000,$N976,$H$2:$H$1000,$H976)&gt;1),"DUPLICADA",IF(TRIM(IF($A976="","tipo ","")&amp;IF($F976="","fecha de firma ","")&amp;IF($G976="","decisión ","")&amp;IF($H976="","N° resolución ","")&amp;IF($I976="","N° dictamen",""))&lt;&gt;"","INCOMPLETA: "&amp;TRIM(IF($A976="","tipo ","")&amp;IF($F976="","fecha de firma ","")&amp;IF($G976="","decisión ","")&amp;IF($H976="","N° resolución ","")&amp;IF($I976="","N° dictamen","")),IF(LEFT($N976,4)&lt;&gt;"CONC","OK",IF(N($Q976)=0,IF(AND(ISNUMBER($E976),$E976&gt;=DATE(2024,1,1)),"FALTA EN evol_conc","OK"),IF(INDEX(evol_conc!$H:$H,$Q976)&lt;&gt;$F976,"FIRMA DISTINTA EN evol_conc ("&amp;IF(INDEX(evol_conc!$H:$H,$Q976)="","vacía",DAY(INDEX(evol_conc!$H:$H,$Q976))&amp;"/"&amp;MONTH(INDEX(evol_conc!$H:$H,$Q976))&amp;"/"&amp;YEAR(INDEX(evol_conc!$H:$H,$Q976)))&amp;")",IF(INDEX(evol_conc!$G:$G,$Q976)&lt;&gt;$E976,"INGRESO DISTINTO EN evol_conc ("&amp;IF(INDEX(evol_conc!$G:$G,$Q976)="","vacía",DAY(INDEX(evol_conc!$G:$G,$Q976))&amp;"/"&amp;MONTH(INDEX(evol_conc!$G:$G,$Q976))&amp;"/"&amp;YEAR(INDEX(evol_conc!$G:$G,$Q976)))&amp;")","OK"))))))))</f>
        <v/>
      </c>
      <c r="Q976" t="str">
        <f ca="1">IF($N976="","",IFERROR(MATCH($N976,evol_conc!$P:$P,0),0))</f>
        <v/>
      </c>
    </row>
    <row r="977" spans="12:17" ht="18" hidden="1" customHeight="1" x14ac:dyDescent="0.25">
      <c r="L977" s="53" t="str">
        <f t="shared" si="30"/>
        <v/>
      </c>
      <c r="M977" s="19" t="str">
        <f t="shared" si="31"/>
        <v/>
      </c>
      <c r="N977" t="str">
        <f ca="1">IF(TRIM(SUBSTITUTE($B977,CHAR(160)," "))="","",IFERROR(IF(ISNUMBER(SEARCH("INC",$B977)),"INC",IF(ISNUMBER(SEARCH("OPI",$B977)),"OPI",IF(ISNUMBER(SEARCH("DP",$B977)),"DP","CONC")))&amp;" "&amp;TEXT(LOOKUP(9.99E+307,--MID(SUBSTITUTE($B977,CHAR(160)," "),SUMPRODUCT(MIN(FIND({0,1,2,3,4,5,6,7,8,9},SUBSTITUTE($B977,CHAR(160)," ")&amp;"0123456789"))),ROW(INDIRECT("1:6")))),"0"),"SIN NUMERO"))</f>
        <v/>
      </c>
      <c r="O977" t="str">
        <f ca="1">IF($N977="","",IF(LEFT(UPPER($P977),9)="VERIFICAR","VERIFICAR",IF(AND($H977&lt;&gt;"",COUNTIFS($N$2:$N$1000,$N977,$H$2:$H$1000,$H977)&gt;1),"DUPLICADA",IF(TRIM(IF($A977="","tipo ","")&amp;IF($F977="","fecha de firma ","")&amp;IF($G977="","decisión ","")&amp;IF($H977="","N° resolución ","")&amp;IF($I977="","N° dictamen",""))&lt;&gt;"","INCOMPLETA: "&amp;TRIM(IF($A977="","tipo ","")&amp;IF($F977="","fecha de firma ","")&amp;IF($G977="","decisión ","")&amp;IF($H977="","N° resolución ","")&amp;IF($I977="","N° dictamen","")),IF(LEFT($N977,4)&lt;&gt;"CONC","OK",IF(N($Q977)=0,IF(AND(ISNUMBER($E977),$E977&gt;=DATE(2024,1,1)),"FALTA EN evol_conc","OK"),IF(INDEX(evol_conc!$H:$H,$Q977)&lt;&gt;$F977,"FIRMA DISTINTA EN evol_conc ("&amp;IF(INDEX(evol_conc!$H:$H,$Q977)="","vacía",DAY(INDEX(evol_conc!$H:$H,$Q977))&amp;"/"&amp;MONTH(INDEX(evol_conc!$H:$H,$Q977))&amp;"/"&amp;YEAR(INDEX(evol_conc!$H:$H,$Q977)))&amp;")",IF(INDEX(evol_conc!$G:$G,$Q977)&lt;&gt;$E977,"INGRESO DISTINTO EN evol_conc ("&amp;IF(INDEX(evol_conc!$G:$G,$Q977)="","vacía",DAY(INDEX(evol_conc!$G:$G,$Q977))&amp;"/"&amp;MONTH(INDEX(evol_conc!$G:$G,$Q977))&amp;"/"&amp;YEAR(INDEX(evol_conc!$G:$G,$Q977)))&amp;")","OK"))))))))</f>
        <v/>
      </c>
      <c r="Q977" t="str">
        <f ca="1">IF($N977="","",IFERROR(MATCH($N977,evol_conc!$P:$P,0),0))</f>
        <v/>
      </c>
    </row>
    <row r="978" spans="12:17" ht="18" hidden="1" customHeight="1" x14ac:dyDescent="0.25">
      <c r="L978" s="53" t="str">
        <f t="shared" si="30"/>
        <v/>
      </c>
      <c r="M978" s="19" t="str">
        <f t="shared" si="31"/>
        <v/>
      </c>
      <c r="N978" t="str">
        <f ca="1">IF(TRIM(SUBSTITUTE($B978,CHAR(160)," "))="","",IFERROR(IF(ISNUMBER(SEARCH("INC",$B978)),"INC",IF(ISNUMBER(SEARCH("OPI",$B978)),"OPI",IF(ISNUMBER(SEARCH("DP",$B978)),"DP","CONC")))&amp;" "&amp;TEXT(LOOKUP(9.99E+307,--MID(SUBSTITUTE($B978,CHAR(160)," "),SUMPRODUCT(MIN(FIND({0,1,2,3,4,5,6,7,8,9},SUBSTITUTE($B978,CHAR(160)," ")&amp;"0123456789"))),ROW(INDIRECT("1:6")))),"0"),"SIN NUMERO"))</f>
        <v/>
      </c>
      <c r="O978" t="str">
        <f ca="1">IF($N978="","",IF(LEFT(UPPER($P978),9)="VERIFICAR","VERIFICAR",IF(AND($H978&lt;&gt;"",COUNTIFS($N$2:$N$1000,$N978,$H$2:$H$1000,$H978)&gt;1),"DUPLICADA",IF(TRIM(IF($A978="","tipo ","")&amp;IF($F978="","fecha de firma ","")&amp;IF($G978="","decisión ","")&amp;IF($H978="","N° resolución ","")&amp;IF($I978="","N° dictamen",""))&lt;&gt;"","INCOMPLETA: "&amp;TRIM(IF($A978="","tipo ","")&amp;IF($F978="","fecha de firma ","")&amp;IF($G978="","decisión ","")&amp;IF($H978="","N° resolución ","")&amp;IF($I978="","N° dictamen","")),IF(LEFT($N978,4)&lt;&gt;"CONC","OK",IF(N($Q978)=0,IF(AND(ISNUMBER($E978),$E978&gt;=DATE(2024,1,1)),"FALTA EN evol_conc","OK"),IF(INDEX(evol_conc!$H:$H,$Q978)&lt;&gt;$F978,"FIRMA DISTINTA EN evol_conc ("&amp;IF(INDEX(evol_conc!$H:$H,$Q978)="","vacía",DAY(INDEX(evol_conc!$H:$H,$Q978))&amp;"/"&amp;MONTH(INDEX(evol_conc!$H:$H,$Q978))&amp;"/"&amp;YEAR(INDEX(evol_conc!$H:$H,$Q978)))&amp;")",IF(INDEX(evol_conc!$G:$G,$Q978)&lt;&gt;$E978,"INGRESO DISTINTO EN evol_conc ("&amp;IF(INDEX(evol_conc!$G:$G,$Q978)="","vacía",DAY(INDEX(evol_conc!$G:$G,$Q978))&amp;"/"&amp;MONTH(INDEX(evol_conc!$G:$G,$Q978))&amp;"/"&amp;YEAR(INDEX(evol_conc!$G:$G,$Q978)))&amp;")","OK"))))))))</f>
        <v/>
      </c>
      <c r="Q978" t="str">
        <f ca="1">IF($N978="","",IFERROR(MATCH($N978,evol_conc!$P:$P,0),0))</f>
        <v/>
      </c>
    </row>
    <row r="979" spans="12:17" ht="18" hidden="1" customHeight="1" x14ac:dyDescent="0.25">
      <c r="L979" s="53" t="str">
        <f t="shared" si="30"/>
        <v/>
      </c>
      <c r="M979" s="19" t="str">
        <f t="shared" si="31"/>
        <v/>
      </c>
      <c r="N979" t="str">
        <f ca="1">IF(TRIM(SUBSTITUTE($B979,CHAR(160)," "))="","",IFERROR(IF(ISNUMBER(SEARCH("INC",$B979)),"INC",IF(ISNUMBER(SEARCH("OPI",$B979)),"OPI",IF(ISNUMBER(SEARCH("DP",$B979)),"DP","CONC")))&amp;" "&amp;TEXT(LOOKUP(9.99E+307,--MID(SUBSTITUTE($B979,CHAR(160)," "),SUMPRODUCT(MIN(FIND({0,1,2,3,4,5,6,7,8,9},SUBSTITUTE($B979,CHAR(160)," ")&amp;"0123456789"))),ROW(INDIRECT("1:6")))),"0"),"SIN NUMERO"))</f>
        <v/>
      </c>
      <c r="O979" t="str">
        <f ca="1">IF($N979="","",IF(LEFT(UPPER($P979),9)="VERIFICAR","VERIFICAR",IF(AND($H979&lt;&gt;"",COUNTIFS($N$2:$N$1000,$N979,$H$2:$H$1000,$H979)&gt;1),"DUPLICADA",IF(TRIM(IF($A979="","tipo ","")&amp;IF($F979="","fecha de firma ","")&amp;IF($G979="","decisión ","")&amp;IF($H979="","N° resolución ","")&amp;IF($I979="","N° dictamen",""))&lt;&gt;"","INCOMPLETA: "&amp;TRIM(IF($A979="","tipo ","")&amp;IF($F979="","fecha de firma ","")&amp;IF($G979="","decisión ","")&amp;IF($H979="","N° resolución ","")&amp;IF($I979="","N° dictamen","")),IF(LEFT($N979,4)&lt;&gt;"CONC","OK",IF(N($Q979)=0,IF(AND(ISNUMBER($E979),$E979&gt;=DATE(2024,1,1)),"FALTA EN evol_conc","OK"),IF(INDEX(evol_conc!$H:$H,$Q979)&lt;&gt;$F979,"FIRMA DISTINTA EN evol_conc ("&amp;IF(INDEX(evol_conc!$H:$H,$Q979)="","vacía",DAY(INDEX(evol_conc!$H:$H,$Q979))&amp;"/"&amp;MONTH(INDEX(evol_conc!$H:$H,$Q979))&amp;"/"&amp;YEAR(INDEX(evol_conc!$H:$H,$Q979)))&amp;")",IF(INDEX(evol_conc!$G:$G,$Q979)&lt;&gt;$E979,"INGRESO DISTINTO EN evol_conc ("&amp;IF(INDEX(evol_conc!$G:$G,$Q979)="","vacía",DAY(INDEX(evol_conc!$G:$G,$Q979))&amp;"/"&amp;MONTH(INDEX(evol_conc!$G:$G,$Q979))&amp;"/"&amp;YEAR(INDEX(evol_conc!$G:$G,$Q979)))&amp;")","OK"))))))))</f>
        <v/>
      </c>
      <c r="Q979" t="str">
        <f ca="1">IF($N979="","",IFERROR(MATCH($N979,evol_conc!$P:$P,0),0))</f>
        <v/>
      </c>
    </row>
    <row r="980" spans="12:17" ht="18" hidden="1" customHeight="1" x14ac:dyDescent="0.25">
      <c r="L980" s="53" t="str">
        <f t="shared" si="30"/>
        <v/>
      </c>
      <c r="M980" s="19" t="str">
        <f t="shared" si="31"/>
        <v/>
      </c>
      <c r="N980" t="str">
        <f ca="1">IF(TRIM(SUBSTITUTE($B980,CHAR(160)," "))="","",IFERROR(IF(ISNUMBER(SEARCH("INC",$B980)),"INC",IF(ISNUMBER(SEARCH("OPI",$B980)),"OPI",IF(ISNUMBER(SEARCH("DP",$B980)),"DP","CONC")))&amp;" "&amp;TEXT(LOOKUP(9.99E+307,--MID(SUBSTITUTE($B980,CHAR(160)," "),SUMPRODUCT(MIN(FIND({0,1,2,3,4,5,6,7,8,9},SUBSTITUTE($B980,CHAR(160)," ")&amp;"0123456789"))),ROW(INDIRECT("1:6")))),"0"),"SIN NUMERO"))</f>
        <v/>
      </c>
      <c r="O980" t="str">
        <f ca="1">IF($N980="","",IF(LEFT(UPPER($P980),9)="VERIFICAR","VERIFICAR",IF(AND($H980&lt;&gt;"",COUNTIFS($N$2:$N$1000,$N980,$H$2:$H$1000,$H980)&gt;1),"DUPLICADA",IF(TRIM(IF($A980="","tipo ","")&amp;IF($F980="","fecha de firma ","")&amp;IF($G980="","decisión ","")&amp;IF($H980="","N° resolución ","")&amp;IF($I980="","N° dictamen",""))&lt;&gt;"","INCOMPLETA: "&amp;TRIM(IF($A980="","tipo ","")&amp;IF($F980="","fecha de firma ","")&amp;IF($G980="","decisión ","")&amp;IF($H980="","N° resolución ","")&amp;IF($I980="","N° dictamen","")),IF(LEFT($N980,4)&lt;&gt;"CONC","OK",IF(N($Q980)=0,IF(AND(ISNUMBER($E980),$E980&gt;=DATE(2024,1,1)),"FALTA EN evol_conc","OK"),IF(INDEX(evol_conc!$H:$H,$Q980)&lt;&gt;$F980,"FIRMA DISTINTA EN evol_conc ("&amp;IF(INDEX(evol_conc!$H:$H,$Q980)="","vacía",DAY(INDEX(evol_conc!$H:$H,$Q980))&amp;"/"&amp;MONTH(INDEX(evol_conc!$H:$H,$Q980))&amp;"/"&amp;YEAR(INDEX(evol_conc!$H:$H,$Q980)))&amp;")",IF(INDEX(evol_conc!$G:$G,$Q980)&lt;&gt;$E980,"INGRESO DISTINTO EN evol_conc ("&amp;IF(INDEX(evol_conc!$G:$G,$Q980)="","vacía",DAY(INDEX(evol_conc!$G:$G,$Q980))&amp;"/"&amp;MONTH(INDEX(evol_conc!$G:$G,$Q980))&amp;"/"&amp;YEAR(INDEX(evol_conc!$G:$G,$Q980)))&amp;")","OK"))))))))</f>
        <v/>
      </c>
      <c r="Q980" t="str">
        <f ca="1">IF($N980="","",IFERROR(MATCH($N980,evol_conc!$P:$P,0),0))</f>
        <v/>
      </c>
    </row>
    <row r="981" spans="12:17" ht="18" hidden="1" customHeight="1" x14ac:dyDescent="0.25">
      <c r="L981" s="53" t="str">
        <f t="shared" si="30"/>
        <v/>
      </c>
      <c r="M981" s="19" t="str">
        <f t="shared" si="31"/>
        <v/>
      </c>
      <c r="N981" t="str">
        <f ca="1">IF(TRIM(SUBSTITUTE($B981,CHAR(160)," "))="","",IFERROR(IF(ISNUMBER(SEARCH("INC",$B981)),"INC",IF(ISNUMBER(SEARCH("OPI",$B981)),"OPI",IF(ISNUMBER(SEARCH("DP",$B981)),"DP","CONC")))&amp;" "&amp;TEXT(LOOKUP(9.99E+307,--MID(SUBSTITUTE($B981,CHAR(160)," "),SUMPRODUCT(MIN(FIND({0,1,2,3,4,5,6,7,8,9},SUBSTITUTE($B981,CHAR(160)," ")&amp;"0123456789"))),ROW(INDIRECT("1:6")))),"0"),"SIN NUMERO"))</f>
        <v/>
      </c>
      <c r="O981" t="str">
        <f ca="1">IF($N981="","",IF(LEFT(UPPER($P981),9)="VERIFICAR","VERIFICAR",IF(AND($H981&lt;&gt;"",COUNTIFS($N$2:$N$1000,$N981,$H$2:$H$1000,$H981)&gt;1),"DUPLICADA",IF(TRIM(IF($A981="","tipo ","")&amp;IF($F981="","fecha de firma ","")&amp;IF($G981="","decisión ","")&amp;IF($H981="","N° resolución ","")&amp;IF($I981="","N° dictamen",""))&lt;&gt;"","INCOMPLETA: "&amp;TRIM(IF($A981="","tipo ","")&amp;IF($F981="","fecha de firma ","")&amp;IF($G981="","decisión ","")&amp;IF($H981="","N° resolución ","")&amp;IF($I981="","N° dictamen","")),IF(LEFT($N981,4)&lt;&gt;"CONC","OK",IF(N($Q981)=0,IF(AND(ISNUMBER($E981),$E981&gt;=DATE(2024,1,1)),"FALTA EN evol_conc","OK"),IF(INDEX(evol_conc!$H:$H,$Q981)&lt;&gt;$F981,"FIRMA DISTINTA EN evol_conc ("&amp;IF(INDEX(evol_conc!$H:$H,$Q981)="","vacía",DAY(INDEX(evol_conc!$H:$H,$Q981))&amp;"/"&amp;MONTH(INDEX(evol_conc!$H:$H,$Q981))&amp;"/"&amp;YEAR(INDEX(evol_conc!$H:$H,$Q981)))&amp;")",IF(INDEX(evol_conc!$G:$G,$Q981)&lt;&gt;$E981,"INGRESO DISTINTO EN evol_conc ("&amp;IF(INDEX(evol_conc!$G:$G,$Q981)="","vacía",DAY(INDEX(evol_conc!$G:$G,$Q981))&amp;"/"&amp;MONTH(INDEX(evol_conc!$G:$G,$Q981))&amp;"/"&amp;YEAR(INDEX(evol_conc!$G:$G,$Q981)))&amp;")","OK"))))))))</f>
        <v/>
      </c>
      <c r="Q981" t="str">
        <f ca="1">IF($N981="","",IFERROR(MATCH($N981,evol_conc!$P:$P,0),0))</f>
        <v/>
      </c>
    </row>
    <row r="982" spans="12:17" ht="18" hidden="1" customHeight="1" x14ac:dyDescent="0.25">
      <c r="L982" s="53" t="str">
        <f t="shared" si="30"/>
        <v/>
      </c>
      <c r="M982" s="19" t="str">
        <f t="shared" si="31"/>
        <v/>
      </c>
      <c r="N982" t="str">
        <f ca="1">IF(TRIM(SUBSTITUTE($B982,CHAR(160)," "))="","",IFERROR(IF(ISNUMBER(SEARCH("INC",$B982)),"INC",IF(ISNUMBER(SEARCH("OPI",$B982)),"OPI",IF(ISNUMBER(SEARCH("DP",$B982)),"DP","CONC")))&amp;" "&amp;TEXT(LOOKUP(9.99E+307,--MID(SUBSTITUTE($B982,CHAR(160)," "),SUMPRODUCT(MIN(FIND({0,1,2,3,4,5,6,7,8,9},SUBSTITUTE($B982,CHAR(160)," ")&amp;"0123456789"))),ROW(INDIRECT("1:6")))),"0"),"SIN NUMERO"))</f>
        <v/>
      </c>
      <c r="O982" t="str">
        <f ca="1">IF($N982="","",IF(LEFT(UPPER($P982),9)="VERIFICAR","VERIFICAR",IF(AND($H982&lt;&gt;"",COUNTIFS($N$2:$N$1000,$N982,$H$2:$H$1000,$H982)&gt;1),"DUPLICADA",IF(TRIM(IF($A982="","tipo ","")&amp;IF($F982="","fecha de firma ","")&amp;IF($G982="","decisión ","")&amp;IF($H982="","N° resolución ","")&amp;IF($I982="","N° dictamen",""))&lt;&gt;"","INCOMPLETA: "&amp;TRIM(IF($A982="","tipo ","")&amp;IF($F982="","fecha de firma ","")&amp;IF($G982="","decisión ","")&amp;IF($H982="","N° resolución ","")&amp;IF($I982="","N° dictamen","")),IF(LEFT($N982,4)&lt;&gt;"CONC","OK",IF(N($Q982)=0,IF(AND(ISNUMBER($E982),$E982&gt;=DATE(2024,1,1)),"FALTA EN evol_conc","OK"),IF(INDEX(evol_conc!$H:$H,$Q982)&lt;&gt;$F982,"FIRMA DISTINTA EN evol_conc ("&amp;IF(INDEX(evol_conc!$H:$H,$Q982)="","vacía",DAY(INDEX(evol_conc!$H:$H,$Q982))&amp;"/"&amp;MONTH(INDEX(evol_conc!$H:$H,$Q982))&amp;"/"&amp;YEAR(INDEX(evol_conc!$H:$H,$Q982)))&amp;")",IF(INDEX(evol_conc!$G:$G,$Q982)&lt;&gt;$E982,"INGRESO DISTINTO EN evol_conc ("&amp;IF(INDEX(evol_conc!$G:$G,$Q982)="","vacía",DAY(INDEX(evol_conc!$G:$G,$Q982))&amp;"/"&amp;MONTH(INDEX(evol_conc!$G:$G,$Q982))&amp;"/"&amp;YEAR(INDEX(evol_conc!$G:$G,$Q982)))&amp;")","OK"))))))))</f>
        <v/>
      </c>
      <c r="Q982" t="str">
        <f ca="1">IF($N982="","",IFERROR(MATCH($N982,evol_conc!$P:$P,0),0))</f>
        <v/>
      </c>
    </row>
    <row r="983" spans="12:17" ht="18" hidden="1" customHeight="1" x14ac:dyDescent="0.25">
      <c r="L983" s="53" t="str">
        <f t="shared" si="30"/>
        <v/>
      </c>
      <c r="M983" s="19" t="str">
        <f t="shared" si="31"/>
        <v/>
      </c>
      <c r="N983" t="str">
        <f ca="1">IF(TRIM(SUBSTITUTE($B983,CHAR(160)," "))="","",IFERROR(IF(ISNUMBER(SEARCH("INC",$B983)),"INC",IF(ISNUMBER(SEARCH("OPI",$B983)),"OPI",IF(ISNUMBER(SEARCH("DP",$B983)),"DP","CONC")))&amp;" "&amp;TEXT(LOOKUP(9.99E+307,--MID(SUBSTITUTE($B983,CHAR(160)," "),SUMPRODUCT(MIN(FIND({0,1,2,3,4,5,6,7,8,9},SUBSTITUTE($B983,CHAR(160)," ")&amp;"0123456789"))),ROW(INDIRECT("1:6")))),"0"),"SIN NUMERO"))</f>
        <v/>
      </c>
      <c r="O983" t="str">
        <f ca="1">IF($N983="","",IF(LEFT(UPPER($P983),9)="VERIFICAR","VERIFICAR",IF(AND($H983&lt;&gt;"",COUNTIFS($N$2:$N$1000,$N983,$H$2:$H$1000,$H983)&gt;1),"DUPLICADA",IF(TRIM(IF($A983="","tipo ","")&amp;IF($F983="","fecha de firma ","")&amp;IF($G983="","decisión ","")&amp;IF($H983="","N° resolución ","")&amp;IF($I983="","N° dictamen",""))&lt;&gt;"","INCOMPLETA: "&amp;TRIM(IF($A983="","tipo ","")&amp;IF($F983="","fecha de firma ","")&amp;IF($G983="","decisión ","")&amp;IF($H983="","N° resolución ","")&amp;IF($I983="","N° dictamen","")),IF(LEFT($N983,4)&lt;&gt;"CONC","OK",IF(N($Q983)=0,IF(AND(ISNUMBER($E983),$E983&gt;=DATE(2024,1,1)),"FALTA EN evol_conc","OK"),IF(INDEX(evol_conc!$H:$H,$Q983)&lt;&gt;$F983,"FIRMA DISTINTA EN evol_conc ("&amp;IF(INDEX(evol_conc!$H:$H,$Q983)="","vacía",DAY(INDEX(evol_conc!$H:$H,$Q983))&amp;"/"&amp;MONTH(INDEX(evol_conc!$H:$H,$Q983))&amp;"/"&amp;YEAR(INDEX(evol_conc!$H:$H,$Q983)))&amp;")",IF(INDEX(evol_conc!$G:$G,$Q983)&lt;&gt;$E983,"INGRESO DISTINTO EN evol_conc ("&amp;IF(INDEX(evol_conc!$G:$G,$Q983)="","vacía",DAY(INDEX(evol_conc!$G:$G,$Q983))&amp;"/"&amp;MONTH(INDEX(evol_conc!$G:$G,$Q983))&amp;"/"&amp;YEAR(INDEX(evol_conc!$G:$G,$Q983)))&amp;")","OK"))))))))</f>
        <v/>
      </c>
      <c r="Q983" t="str">
        <f ca="1">IF($N983="","",IFERROR(MATCH($N983,evol_conc!$P:$P,0),0))</f>
        <v/>
      </c>
    </row>
    <row r="984" spans="12:17" ht="18" hidden="1" customHeight="1" x14ac:dyDescent="0.25">
      <c r="L984" s="53" t="str">
        <f t="shared" si="30"/>
        <v/>
      </c>
      <c r="M984" s="19" t="str">
        <f t="shared" si="31"/>
        <v/>
      </c>
      <c r="N984" t="str">
        <f ca="1">IF(TRIM(SUBSTITUTE($B984,CHAR(160)," "))="","",IFERROR(IF(ISNUMBER(SEARCH("INC",$B984)),"INC",IF(ISNUMBER(SEARCH("OPI",$B984)),"OPI",IF(ISNUMBER(SEARCH("DP",$B984)),"DP","CONC")))&amp;" "&amp;TEXT(LOOKUP(9.99E+307,--MID(SUBSTITUTE($B984,CHAR(160)," "),SUMPRODUCT(MIN(FIND({0,1,2,3,4,5,6,7,8,9},SUBSTITUTE($B984,CHAR(160)," ")&amp;"0123456789"))),ROW(INDIRECT("1:6")))),"0"),"SIN NUMERO"))</f>
        <v/>
      </c>
      <c r="O984" t="str">
        <f ca="1">IF($N984="","",IF(LEFT(UPPER($P984),9)="VERIFICAR","VERIFICAR",IF(AND($H984&lt;&gt;"",COUNTIFS($N$2:$N$1000,$N984,$H$2:$H$1000,$H984)&gt;1),"DUPLICADA",IF(TRIM(IF($A984="","tipo ","")&amp;IF($F984="","fecha de firma ","")&amp;IF($G984="","decisión ","")&amp;IF($H984="","N° resolución ","")&amp;IF($I984="","N° dictamen",""))&lt;&gt;"","INCOMPLETA: "&amp;TRIM(IF($A984="","tipo ","")&amp;IF($F984="","fecha de firma ","")&amp;IF($G984="","decisión ","")&amp;IF($H984="","N° resolución ","")&amp;IF($I984="","N° dictamen","")),IF(LEFT($N984,4)&lt;&gt;"CONC","OK",IF(N($Q984)=0,IF(AND(ISNUMBER($E984),$E984&gt;=DATE(2024,1,1)),"FALTA EN evol_conc","OK"),IF(INDEX(evol_conc!$H:$H,$Q984)&lt;&gt;$F984,"FIRMA DISTINTA EN evol_conc ("&amp;IF(INDEX(evol_conc!$H:$H,$Q984)="","vacía",DAY(INDEX(evol_conc!$H:$H,$Q984))&amp;"/"&amp;MONTH(INDEX(evol_conc!$H:$H,$Q984))&amp;"/"&amp;YEAR(INDEX(evol_conc!$H:$H,$Q984)))&amp;")",IF(INDEX(evol_conc!$G:$G,$Q984)&lt;&gt;$E984,"INGRESO DISTINTO EN evol_conc ("&amp;IF(INDEX(evol_conc!$G:$G,$Q984)="","vacía",DAY(INDEX(evol_conc!$G:$G,$Q984))&amp;"/"&amp;MONTH(INDEX(evol_conc!$G:$G,$Q984))&amp;"/"&amp;YEAR(INDEX(evol_conc!$G:$G,$Q984)))&amp;")","OK"))))))))</f>
        <v/>
      </c>
      <c r="Q984" t="str">
        <f ca="1">IF($N984="","",IFERROR(MATCH($N984,evol_conc!$P:$P,0),0))</f>
        <v/>
      </c>
    </row>
    <row r="985" spans="12:17" ht="18" hidden="1" customHeight="1" x14ac:dyDescent="0.25">
      <c r="L985" s="53" t="str">
        <f t="shared" si="30"/>
        <v/>
      </c>
      <c r="M985" s="19" t="str">
        <f t="shared" si="31"/>
        <v/>
      </c>
      <c r="N985" t="str">
        <f ca="1">IF(TRIM(SUBSTITUTE($B985,CHAR(160)," "))="","",IFERROR(IF(ISNUMBER(SEARCH("INC",$B985)),"INC",IF(ISNUMBER(SEARCH("OPI",$B985)),"OPI",IF(ISNUMBER(SEARCH("DP",$B985)),"DP","CONC")))&amp;" "&amp;TEXT(LOOKUP(9.99E+307,--MID(SUBSTITUTE($B985,CHAR(160)," "),SUMPRODUCT(MIN(FIND({0,1,2,3,4,5,6,7,8,9},SUBSTITUTE($B985,CHAR(160)," ")&amp;"0123456789"))),ROW(INDIRECT("1:6")))),"0"),"SIN NUMERO"))</f>
        <v/>
      </c>
      <c r="O985" t="str">
        <f ca="1">IF($N985="","",IF(LEFT(UPPER($P985),9)="VERIFICAR","VERIFICAR",IF(AND($H985&lt;&gt;"",COUNTIFS($N$2:$N$1000,$N985,$H$2:$H$1000,$H985)&gt;1),"DUPLICADA",IF(TRIM(IF($A985="","tipo ","")&amp;IF($F985="","fecha de firma ","")&amp;IF($G985="","decisión ","")&amp;IF($H985="","N° resolución ","")&amp;IF($I985="","N° dictamen",""))&lt;&gt;"","INCOMPLETA: "&amp;TRIM(IF($A985="","tipo ","")&amp;IF($F985="","fecha de firma ","")&amp;IF($G985="","decisión ","")&amp;IF($H985="","N° resolución ","")&amp;IF($I985="","N° dictamen","")),IF(LEFT($N985,4)&lt;&gt;"CONC","OK",IF(N($Q985)=0,IF(AND(ISNUMBER($E985),$E985&gt;=DATE(2024,1,1)),"FALTA EN evol_conc","OK"),IF(INDEX(evol_conc!$H:$H,$Q985)&lt;&gt;$F985,"FIRMA DISTINTA EN evol_conc ("&amp;IF(INDEX(evol_conc!$H:$H,$Q985)="","vacía",DAY(INDEX(evol_conc!$H:$H,$Q985))&amp;"/"&amp;MONTH(INDEX(evol_conc!$H:$H,$Q985))&amp;"/"&amp;YEAR(INDEX(evol_conc!$H:$H,$Q985)))&amp;")",IF(INDEX(evol_conc!$G:$G,$Q985)&lt;&gt;$E985,"INGRESO DISTINTO EN evol_conc ("&amp;IF(INDEX(evol_conc!$G:$G,$Q985)="","vacía",DAY(INDEX(evol_conc!$G:$G,$Q985))&amp;"/"&amp;MONTH(INDEX(evol_conc!$G:$G,$Q985))&amp;"/"&amp;YEAR(INDEX(evol_conc!$G:$G,$Q985)))&amp;")","OK"))))))))</f>
        <v/>
      </c>
      <c r="Q985" t="str">
        <f ca="1">IF($N985="","",IFERROR(MATCH($N985,evol_conc!$P:$P,0),0))</f>
        <v/>
      </c>
    </row>
    <row r="986" spans="12:17" ht="18" hidden="1" customHeight="1" x14ac:dyDescent="0.25">
      <c r="L986" s="53" t="str">
        <f t="shared" si="30"/>
        <v/>
      </c>
      <c r="M986" s="19" t="str">
        <f t="shared" si="31"/>
        <v/>
      </c>
      <c r="N986" t="str">
        <f ca="1">IF(TRIM(SUBSTITUTE($B986,CHAR(160)," "))="","",IFERROR(IF(ISNUMBER(SEARCH("INC",$B986)),"INC",IF(ISNUMBER(SEARCH("OPI",$B986)),"OPI",IF(ISNUMBER(SEARCH("DP",$B986)),"DP","CONC")))&amp;" "&amp;TEXT(LOOKUP(9.99E+307,--MID(SUBSTITUTE($B986,CHAR(160)," "),SUMPRODUCT(MIN(FIND({0,1,2,3,4,5,6,7,8,9},SUBSTITUTE($B986,CHAR(160)," ")&amp;"0123456789"))),ROW(INDIRECT("1:6")))),"0"),"SIN NUMERO"))</f>
        <v/>
      </c>
      <c r="O986" t="str">
        <f ca="1">IF($N986="","",IF(LEFT(UPPER($P986),9)="VERIFICAR","VERIFICAR",IF(AND($H986&lt;&gt;"",COUNTIFS($N$2:$N$1000,$N986,$H$2:$H$1000,$H986)&gt;1),"DUPLICADA",IF(TRIM(IF($A986="","tipo ","")&amp;IF($F986="","fecha de firma ","")&amp;IF($G986="","decisión ","")&amp;IF($H986="","N° resolución ","")&amp;IF($I986="","N° dictamen",""))&lt;&gt;"","INCOMPLETA: "&amp;TRIM(IF($A986="","tipo ","")&amp;IF($F986="","fecha de firma ","")&amp;IF($G986="","decisión ","")&amp;IF($H986="","N° resolución ","")&amp;IF($I986="","N° dictamen","")),IF(LEFT($N986,4)&lt;&gt;"CONC","OK",IF(N($Q986)=0,IF(AND(ISNUMBER($E986),$E986&gt;=DATE(2024,1,1)),"FALTA EN evol_conc","OK"),IF(INDEX(evol_conc!$H:$H,$Q986)&lt;&gt;$F986,"FIRMA DISTINTA EN evol_conc ("&amp;IF(INDEX(evol_conc!$H:$H,$Q986)="","vacía",DAY(INDEX(evol_conc!$H:$H,$Q986))&amp;"/"&amp;MONTH(INDEX(evol_conc!$H:$H,$Q986))&amp;"/"&amp;YEAR(INDEX(evol_conc!$H:$H,$Q986)))&amp;")",IF(INDEX(evol_conc!$G:$G,$Q986)&lt;&gt;$E986,"INGRESO DISTINTO EN evol_conc ("&amp;IF(INDEX(evol_conc!$G:$G,$Q986)="","vacía",DAY(INDEX(evol_conc!$G:$G,$Q986))&amp;"/"&amp;MONTH(INDEX(evol_conc!$G:$G,$Q986))&amp;"/"&amp;YEAR(INDEX(evol_conc!$G:$G,$Q986)))&amp;")","OK"))))))))</f>
        <v/>
      </c>
      <c r="Q986" t="str">
        <f ca="1">IF($N986="","",IFERROR(MATCH($N986,evol_conc!$P:$P,0),0))</f>
        <v/>
      </c>
    </row>
    <row r="987" spans="12:17" ht="18" hidden="1" customHeight="1" x14ac:dyDescent="0.25">
      <c r="L987" s="53" t="str">
        <f t="shared" si="30"/>
        <v/>
      </c>
      <c r="M987" s="19" t="str">
        <f t="shared" si="31"/>
        <v/>
      </c>
      <c r="N987" t="str">
        <f ca="1">IF(TRIM(SUBSTITUTE($B987,CHAR(160)," "))="","",IFERROR(IF(ISNUMBER(SEARCH("INC",$B987)),"INC",IF(ISNUMBER(SEARCH("OPI",$B987)),"OPI",IF(ISNUMBER(SEARCH("DP",$B987)),"DP","CONC")))&amp;" "&amp;TEXT(LOOKUP(9.99E+307,--MID(SUBSTITUTE($B987,CHAR(160)," "),SUMPRODUCT(MIN(FIND({0,1,2,3,4,5,6,7,8,9},SUBSTITUTE($B987,CHAR(160)," ")&amp;"0123456789"))),ROW(INDIRECT("1:6")))),"0"),"SIN NUMERO"))</f>
        <v/>
      </c>
      <c r="O987" t="str">
        <f ca="1">IF($N987="","",IF(LEFT(UPPER($P987),9)="VERIFICAR","VERIFICAR",IF(AND($H987&lt;&gt;"",COUNTIFS($N$2:$N$1000,$N987,$H$2:$H$1000,$H987)&gt;1),"DUPLICADA",IF(TRIM(IF($A987="","tipo ","")&amp;IF($F987="","fecha de firma ","")&amp;IF($G987="","decisión ","")&amp;IF($H987="","N° resolución ","")&amp;IF($I987="","N° dictamen",""))&lt;&gt;"","INCOMPLETA: "&amp;TRIM(IF($A987="","tipo ","")&amp;IF($F987="","fecha de firma ","")&amp;IF($G987="","decisión ","")&amp;IF($H987="","N° resolución ","")&amp;IF($I987="","N° dictamen","")),IF(LEFT($N987,4)&lt;&gt;"CONC","OK",IF(N($Q987)=0,IF(AND(ISNUMBER($E987),$E987&gt;=DATE(2024,1,1)),"FALTA EN evol_conc","OK"),IF(INDEX(evol_conc!$H:$H,$Q987)&lt;&gt;$F987,"FIRMA DISTINTA EN evol_conc ("&amp;IF(INDEX(evol_conc!$H:$H,$Q987)="","vacía",DAY(INDEX(evol_conc!$H:$H,$Q987))&amp;"/"&amp;MONTH(INDEX(evol_conc!$H:$H,$Q987))&amp;"/"&amp;YEAR(INDEX(evol_conc!$H:$H,$Q987)))&amp;")",IF(INDEX(evol_conc!$G:$G,$Q987)&lt;&gt;$E987,"INGRESO DISTINTO EN evol_conc ("&amp;IF(INDEX(evol_conc!$G:$G,$Q987)="","vacía",DAY(INDEX(evol_conc!$G:$G,$Q987))&amp;"/"&amp;MONTH(INDEX(evol_conc!$G:$G,$Q987))&amp;"/"&amp;YEAR(INDEX(evol_conc!$G:$G,$Q987)))&amp;")","OK"))))))))</f>
        <v/>
      </c>
      <c r="Q987" t="str">
        <f ca="1">IF($N987="","",IFERROR(MATCH($N987,evol_conc!$P:$P,0),0))</f>
        <v/>
      </c>
    </row>
    <row r="988" spans="12:17" ht="18" hidden="1" customHeight="1" x14ac:dyDescent="0.25">
      <c r="L988" s="53" t="str">
        <f t="shared" si="30"/>
        <v/>
      </c>
      <c r="M988" s="19" t="str">
        <f t="shared" si="31"/>
        <v/>
      </c>
      <c r="N988" t="str">
        <f ca="1">IF(TRIM(SUBSTITUTE($B988,CHAR(160)," "))="","",IFERROR(IF(ISNUMBER(SEARCH("INC",$B988)),"INC",IF(ISNUMBER(SEARCH("OPI",$B988)),"OPI",IF(ISNUMBER(SEARCH("DP",$B988)),"DP","CONC")))&amp;" "&amp;TEXT(LOOKUP(9.99E+307,--MID(SUBSTITUTE($B988,CHAR(160)," "),SUMPRODUCT(MIN(FIND({0,1,2,3,4,5,6,7,8,9},SUBSTITUTE($B988,CHAR(160)," ")&amp;"0123456789"))),ROW(INDIRECT("1:6")))),"0"),"SIN NUMERO"))</f>
        <v/>
      </c>
      <c r="O988" t="str">
        <f ca="1">IF($N988="","",IF(LEFT(UPPER($P988),9)="VERIFICAR","VERIFICAR",IF(AND($H988&lt;&gt;"",COUNTIFS($N$2:$N$1000,$N988,$H$2:$H$1000,$H988)&gt;1),"DUPLICADA",IF(TRIM(IF($A988="","tipo ","")&amp;IF($F988="","fecha de firma ","")&amp;IF($G988="","decisión ","")&amp;IF($H988="","N° resolución ","")&amp;IF($I988="","N° dictamen",""))&lt;&gt;"","INCOMPLETA: "&amp;TRIM(IF($A988="","tipo ","")&amp;IF($F988="","fecha de firma ","")&amp;IF($G988="","decisión ","")&amp;IF($H988="","N° resolución ","")&amp;IF($I988="","N° dictamen","")),IF(LEFT($N988,4)&lt;&gt;"CONC","OK",IF(N($Q988)=0,IF(AND(ISNUMBER($E988),$E988&gt;=DATE(2024,1,1)),"FALTA EN evol_conc","OK"),IF(INDEX(evol_conc!$H:$H,$Q988)&lt;&gt;$F988,"FIRMA DISTINTA EN evol_conc ("&amp;IF(INDEX(evol_conc!$H:$H,$Q988)="","vacía",DAY(INDEX(evol_conc!$H:$H,$Q988))&amp;"/"&amp;MONTH(INDEX(evol_conc!$H:$H,$Q988))&amp;"/"&amp;YEAR(INDEX(evol_conc!$H:$H,$Q988)))&amp;")",IF(INDEX(evol_conc!$G:$G,$Q988)&lt;&gt;$E988,"INGRESO DISTINTO EN evol_conc ("&amp;IF(INDEX(evol_conc!$G:$G,$Q988)="","vacía",DAY(INDEX(evol_conc!$G:$G,$Q988))&amp;"/"&amp;MONTH(INDEX(evol_conc!$G:$G,$Q988))&amp;"/"&amp;YEAR(INDEX(evol_conc!$G:$G,$Q988)))&amp;")","OK"))))))))</f>
        <v/>
      </c>
      <c r="Q988" t="str">
        <f ca="1">IF($N988="","",IFERROR(MATCH($N988,evol_conc!$P:$P,0),0))</f>
        <v/>
      </c>
    </row>
    <row r="989" spans="12:17" ht="18" hidden="1" customHeight="1" x14ac:dyDescent="0.25">
      <c r="L989" s="53" t="str">
        <f t="shared" si="30"/>
        <v/>
      </c>
      <c r="M989" s="19" t="str">
        <f t="shared" si="31"/>
        <v/>
      </c>
      <c r="N989" t="str">
        <f ca="1">IF(TRIM(SUBSTITUTE($B989,CHAR(160)," "))="","",IFERROR(IF(ISNUMBER(SEARCH("INC",$B989)),"INC",IF(ISNUMBER(SEARCH("OPI",$B989)),"OPI",IF(ISNUMBER(SEARCH("DP",$B989)),"DP","CONC")))&amp;" "&amp;TEXT(LOOKUP(9.99E+307,--MID(SUBSTITUTE($B989,CHAR(160)," "),SUMPRODUCT(MIN(FIND({0,1,2,3,4,5,6,7,8,9},SUBSTITUTE($B989,CHAR(160)," ")&amp;"0123456789"))),ROW(INDIRECT("1:6")))),"0"),"SIN NUMERO"))</f>
        <v/>
      </c>
      <c r="O989" t="str">
        <f ca="1">IF($N989="","",IF(LEFT(UPPER($P989),9)="VERIFICAR","VERIFICAR",IF(AND($H989&lt;&gt;"",COUNTIFS($N$2:$N$1000,$N989,$H$2:$H$1000,$H989)&gt;1),"DUPLICADA",IF(TRIM(IF($A989="","tipo ","")&amp;IF($F989="","fecha de firma ","")&amp;IF($G989="","decisión ","")&amp;IF($H989="","N° resolución ","")&amp;IF($I989="","N° dictamen",""))&lt;&gt;"","INCOMPLETA: "&amp;TRIM(IF($A989="","tipo ","")&amp;IF($F989="","fecha de firma ","")&amp;IF($G989="","decisión ","")&amp;IF($H989="","N° resolución ","")&amp;IF($I989="","N° dictamen","")),IF(LEFT($N989,4)&lt;&gt;"CONC","OK",IF(N($Q989)=0,IF(AND(ISNUMBER($E989),$E989&gt;=DATE(2024,1,1)),"FALTA EN evol_conc","OK"),IF(INDEX(evol_conc!$H:$H,$Q989)&lt;&gt;$F989,"FIRMA DISTINTA EN evol_conc ("&amp;IF(INDEX(evol_conc!$H:$H,$Q989)="","vacía",DAY(INDEX(evol_conc!$H:$H,$Q989))&amp;"/"&amp;MONTH(INDEX(evol_conc!$H:$H,$Q989))&amp;"/"&amp;YEAR(INDEX(evol_conc!$H:$H,$Q989)))&amp;")",IF(INDEX(evol_conc!$G:$G,$Q989)&lt;&gt;$E989,"INGRESO DISTINTO EN evol_conc ("&amp;IF(INDEX(evol_conc!$G:$G,$Q989)="","vacía",DAY(INDEX(evol_conc!$G:$G,$Q989))&amp;"/"&amp;MONTH(INDEX(evol_conc!$G:$G,$Q989))&amp;"/"&amp;YEAR(INDEX(evol_conc!$G:$G,$Q989)))&amp;")","OK"))))))))</f>
        <v/>
      </c>
      <c r="Q989" t="str">
        <f ca="1">IF($N989="","",IFERROR(MATCH($N989,evol_conc!$P:$P,0),0))</f>
        <v/>
      </c>
    </row>
    <row r="990" spans="12:17" ht="18" hidden="1" customHeight="1" x14ac:dyDescent="0.25">
      <c r="L990" s="53" t="str">
        <f t="shared" si="30"/>
        <v/>
      </c>
      <c r="M990" s="19" t="str">
        <f t="shared" si="31"/>
        <v/>
      </c>
      <c r="N990" t="str">
        <f ca="1">IF(TRIM(SUBSTITUTE($B990,CHAR(160)," "))="","",IFERROR(IF(ISNUMBER(SEARCH("INC",$B990)),"INC",IF(ISNUMBER(SEARCH("OPI",$B990)),"OPI",IF(ISNUMBER(SEARCH("DP",$B990)),"DP","CONC")))&amp;" "&amp;TEXT(LOOKUP(9.99E+307,--MID(SUBSTITUTE($B990,CHAR(160)," "),SUMPRODUCT(MIN(FIND({0,1,2,3,4,5,6,7,8,9},SUBSTITUTE($B990,CHAR(160)," ")&amp;"0123456789"))),ROW(INDIRECT("1:6")))),"0"),"SIN NUMERO"))</f>
        <v/>
      </c>
      <c r="O990" t="str">
        <f ca="1">IF($N990="","",IF(LEFT(UPPER($P990),9)="VERIFICAR","VERIFICAR",IF(AND($H990&lt;&gt;"",COUNTIFS($N$2:$N$1000,$N990,$H$2:$H$1000,$H990)&gt;1),"DUPLICADA",IF(TRIM(IF($A990="","tipo ","")&amp;IF($F990="","fecha de firma ","")&amp;IF($G990="","decisión ","")&amp;IF($H990="","N° resolución ","")&amp;IF($I990="","N° dictamen",""))&lt;&gt;"","INCOMPLETA: "&amp;TRIM(IF($A990="","tipo ","")&amp;IF($F990="","fecha de firma ","")&amp;IF($G990="","decisión ","")&amp;IF($H990="","N° resolución ","")&amp;IF($I990="","N° dictamen","")),IF(LEFT($N990,4)&lt;&gt;"CONC","OK",IF(N($Q990)=0,IF(AND(ISNUMBER($E990),$E990&gt;=DATE(2024,1,1)),"FALTA EN evol_conc","OK"),IF(INDEX(evol_conc!$H:$H,$Q990)&lt;&gt;$F990,"FIRMA DISTINTA EN evol_conc ("&amp;IF(INDEX(evol_conc!$H:$H,$Q990)="","vacía",DAY(INDEX(evol_conc!$H:$H,$Q990))&amp;"/"&amp;MONTH(INDEX(evol_conc!$H:$H,$Q990))&amp;"/"&amp;YEAR(INDEX(evol_conc!$H:$H,$Q990)))&amp;")",IF(INDEX(evol_conc!$G:$G,$Q990)&lt;&gt;$E990,"INGRESO DISTINTO EN evol_conc ("&amp;IF(INDEX(evol_conc!$G:$G,$Q990)="","vacía",DAY(INDEX(evol_conc!$G:$G,$Q990))&amp;"/"&amp;MONTH(INDEX(evol_conc!$G:$G,$Q990))&amp;"/"&amp;YEAR(INDEX(evol_conc!$G:$G,$Q990)))&amp;")","OK"))))))))</f>
        <v/>
      </c>
      <c r="Q990" t="str">
        <f ca="1">IF($N990="","",IFERROR(MATCH($N990,evol_conc!$P:$P,0),0))</f>
        <v/>
      </c>
    </row>
    <row r="991" spans="12:17" ht="18" hidden="1" customHeight="1" x14ac:dyDescent="0.25">
      <c r="L991" s="53" t="str">
        <f t="shared" si="30"/>
        <v/>
      </c>
      <c r="M991" s="19" t="str">
        <f t="shared" si="31"/>
        <v/>
      </c>
      <c r="N991" t="str">
        <f ca="1">IF(TRIM(SUBSTITUTE($B991,CHAR(160)," "))="","",IFERROR(IF(ISNUMBER(SEARCH("INC",$B991)),"INC",IF(ISNUMBER(SEARCH("OPI",$B991)),"OPI",IF(ISNUMBER(SEARCH("DP",$B991)),"DP","CONC")))&amp;" "&amp;TEXT(LOOKUP(9.99E+307,--MID(SUBSTITUTE($B991,CHAR(160)," "),SUMPRODUCT(MIN(FIND({0,1,2,3,4,5,6,7,8,9},SUBSTITUTE($B991,CHAR(160)," ")&amp;"0123456789"))),ROW(INDIRECT("1:6")))),"0"),"SIN NUMERO"))</f>
        <v/>
      </c>
      <c r="O991" t="str">
        <f ca="1">IF($N991="","",IF(LEFT(UPPER($P991),9)="VERIFICAR","VERIFICAR",IF(AND($H991&lt;&gt;"",COUNTIFS($N$2:$N$1000,$N991,$H$2:$H$1000,$H991)&gt;1),"DUPLICADA",IF(TRIM(IF($A991="","tipo ","")&amp;IF($F991="","fecha de firma ","")&amp;IF($G991="","decisión ","")&amp;IF($H991="","N° resolución ","")&amp;IF($I991="","N° dictamen",""))&lt;&gt;"","INCOMPLETA: "&amp;TRIM(IF($A991="","tipo ","")&amp;IF($F991="","fecha de firma ","")&amp;IF($G991="","decisión ","")&amp;IF($H991="","N° resolución ","")&amp;IF($I991="","N° dictamen","")),IF(LEFT($N991,4)&lt;&gt;"CONC","OK",IF(N($Q991)=0,IF(AND(ISNUMBER($E991),$E991&gt;=DATE(2024,1,1)),"FALTA EN evol_conc","OK"),IF(INDEX(evol_conc!$H:$H,$Q991)&lt;&gt;$F991,"FIRMA DISTINTA EN evol_conc ("&amp;IF(INDEX(evol_conc!$H:$H,$Q991)="","vacía",DAY(INDEX(evol_conc!$H:$H,$Q991))&amp;"/"&amp;MONTH(INDEX(evol_conc!$H:$H,$Q991))&amp;"/"&amp;YEAR(INDEX(evol_conc!$H:$H,$Q991)))&amp;")",IF(INDEX(evol_conc!$G:$G,$Q991)&lt;&gt;$E991,"INGRESO DISTINTO EN evol_conc ("&amp;IF(INDEX(evol_conc!$G:$G,$Q991)="","vacía",DAY(INDEX(evol_conc!$G:$G,$Q991))&amp;"/"&amp;MONTH(INDEX(evol_conc!$G:$G,$Q991))&amp;"/"&amp;YEAR(INDEX(evol_conc!$G:$G,$Q991)))&amp;")","OK"))))))))</f>
        <v/>
      </c>
      <c r="Q991" t="str">
        <f ca="1">IF($N991="","",IFERROR(MATCH($N991,evol_conc!$P:$P,0),0))</f>
        <v/>
      </c>
    </row>
    <row r="992" spans="12:17" ht="18" hidden="1" customHeight="1" x14ac:dyDescent="0.25">
      <c r="L992" s="53" t="str">
        <f t="shared" si="30"/>
        <v/>
      </c>
      <c r="M992" s="19" t="str">
        <f t="shared" si="31"/>
        <v/>
      </c>
      <c r="N992" t="str">
        <f ca="1">IF(TRIM(SUBSTITUTE($B992,CHAR(160)," "))="","",IFERROR(IF(ISNUMBER(SEARCH("INC",$B992)),"INC",IF(ISNUMBER(SEARCH("OPI",$B992)),"OPI",IF(ISNUMBER(SEARCH("DP",$B992)),"DP","CONC")))&amp;" "&amp;TEXT(LOOKUP(9.99E+307,--MID(SUBSTITUTE($B992,CHAR(160)," "),SUMPRODUCT(MIN(FIND({0,1,2,3,4,5,6,7,8,9},SUBSTITUTE($B992,CHAR(160)," ")&amp;"0123456789"))),ROW(INDIRECT("1:6")))),"0"),"SIN NUMERO"))</f>
        <v/>
      </c>
      <c r="O992" t="str">
        <f ca="1">IF($N992="","",IF(LEFT(UPPER($P992),9)="VERIFICAR","VERIFICAR",IF(AND($H992&lt;&gt;"",COUNTIFS($N$2:$N$1000,$N992,$H$2:$H$1000,$H992)&gt;1),"DUPLICADA",IF(TRIM(IF($A992="","tipo ","")&amp;IF($F992="","fecha de firma ","")&amp;IF($G992="","decisión ","")&amp;IF($H992="","N° resolución ","")&amp;IF($I992="","N° dictamen",""))&lt;&gt;"","INCOMPLETA: "&amp;TRIM(IF($A992="","tipo ","")&amp;IF($F992="","fecha de firma ","")&amp;IF($G992="","decisión ","")&amp;IF($H992="","N° resolución ","")&amp;IF($I992="","N° dictamen","")),IF(LEFT($N992,4)&lt;&gt;"CONC","OK",IF(N($Q992)=0,IF(AND(ISNUMBER($E992),$E992&gt;=DATE(2024,1,1)),"FALTA EN evol_conc","OK"),IF(INDEX(evol_conc!$H:$H,$Q992)&lt;&gt;$F992,"FIRMA DISTINTA EN evol_conc ("&amp;IF(INDEX(evol_conc!$H:$H,$Q992)="","vacía",DAY(INDEX(evol_conc!$H:$H,$Q992))&amp;"/"&amp;MONTH(INDEX(evol_conc!$H:$H,$Q992))&amp;"/"&amp;YEAR(INDEX(evol_conc!$H:$H,$Q992)))&amp;")",IF(INDEX(evol_conc!$G:$G,$Q992)&lt;&gt;$E992,"INGRESO DISTINTO EN evol_conc ("&amp;IF(INDEX(evol_conc!$G:$G,$Q992)="","vacía",DAY(INDEX(evol_conc!$G:$G,$Q992))&amp;"/"&amp;MONTH(INDEX(evol_conc!$G:$G,$Q992))&amp;"/"&amp;YEAR(INDEX(evol_conc!$G:$G,$Q992)))&amp;")","OK"))))))))</f>
        <v/>
      </c>
      <c r="Q992" t="str">
        <f ca="1">IF($N992="","",IFERROR(MATCH($N992,evol_conc!$P:$P,0),0))</f>
        <v/>
      </c>
    </row>
    <row r="993" spans="12:17" ht="18" hidden="1" customHeight="1" x14ac:dyDescent="0.25">
      <c r="L993" s="53" t="str">
        <f t="shared" si="30"/>
        <v/>
      </c>
      <c r="M993" s="19" t="str">
        <f t="shared" si="31"/>
        <v/>
      </c>
      <c r="N993" t="str">
        <f ca="1">IF(TRIM(SUBSTITUTE($B993,CHAR(160)," "))="","",IFERROR(IF(ISNUMBER(SEARCH("INC",$B993)),"INC",IF(ISNUMBER(SEARCH("OPI",$B993)),"OPI",IF(ISNUMBER(SEARCH("DP",$B993)),"DP","CONC")))&amp;" "&amp;TEXT(LOOKUP(9.99E+307,--MID(SUBSTITUTE($B993,CHAR(160)," "),SUMPRODUCT(MIN(FIND({0,1,2,3,4,5,6,7,8,9},SUBSTITUTE($B993,CHAR(160)," ")&amp;"0123456789"))),ROW(INDIRECT("1:6")))),"0"),"SIN NUMERO"))</f>
        <v/>
      </c>
      <c r="O993" t="str">
        <f ca="1">IF($N993="","",IF(LEFT(UPPER($P993),9)="VERIFICAR","VERIFICAR",IF(AND($H993&lt;&gt;"",COUNTIFS($N$2:$N$1000,$N993,$H$2:$H$1000,$H993)&gt;1),"DUPLICADA",IF(TRIM(IF($A993="","tipo ","")&amp;IF($F993="","fecha de firma ","")&amp;IF($G993="","decisión ","")&amp;IF($H993="","N° resolución ","")&amp;IF($I993="","N° dictamen",""))&lt;&gt;"","INCOMPLETA: "&amp;TRIM(IF($A993="","tipo ","")&amp;IF($F993="","fecha de firma ","")&amp;IF($G993="","decisión ","")&amp;IF($H993="","N° resolución ","")&amp;IF($I993="","N° dictamen","")),IF(LEFT($N993,4)&lt;&gt;"CONC","OK",IF(N($Q993)=0,IF(AND(ISNUMBER($E993),$E993&gt;=DATE(2024,1,1)),"FALTA EN evol_conc","OK"),IF(INDEX(evol_conc!$H:$H,$Q993)&lt;&gt;$F993,"FIRMA DISTINTA EN evol_conc ("&amp;IF(INDEX(evol_conc!$H:$H,$Q993)="","vacía",DAY(INDEX(evol_conc!$H:$H,$Q993))&amp;"/"&amp;MONTH(INDEX(evol_conc!$H:$H,$Q993))&amp;"/"&amp;YEAR(INDEX(evol_conc!$H:$H,$Q993)))&amp;")",IF(INDEX(evol_conc!$G:$G,$Q993)&lt;&gt;$E993,"INGRESO DISTINTO EN evol_conc ("&amp;IF(INDEX(evol_conc!$G:$G,$Q993)="","vacía",DAY(INDEX(evol_conc!$G:$G,$Q993))&amp;"/"&amp;MONTH(INDEX(evol_conc!$G:$G,$Q993))&amp;"/"&amp;YEAR(INDEX(evol_conc!$G:$G,$Q993)))&amp;")","OK"))))))))</f>
        <v/>
      </c>
      <c r="Q993" t="str">
        <f ca="1">IF($N993="","",IFERROR(MATCH($N993,evol_conc!$P:$P,0),0))</f>
        <v/>
      </c>
    </row>
    <row r="994" spans="12:17" ht="18" hidden="1" customHeight="1" x14ac:dyDescent="0.25">
      <c r="L994" s="53" t="str">
        <f t="shared" si="30"/>
        <v/>
      </c>
      <c r="M994" s="19" t="str">
        <f t="shared" si="31"/>
        <v/>
      </c>
      <c r="N994" t="str">
        <f ca="1">IF(TRIM(SUBSTITUTE($B994,CHAR(160)," "))="","",IFERROR(IF(ISNUMBER(SEARCH("INC",$B994)),"INC",IF(ISNUMBER(SEARCH("OPI",$B994)),"OPI",IF(ISNUMBER(SEARCH("DP",$B994)),"DP","CONC")))&amp;" "&amp;TEXT(LOOKUP(9.99E+307,--MID(SUBSTITUTE($B994,CHAR(160)," "),SUMPRODUCT(MIN(FIND({0,1,2,3,4,5,6,7,8,9},SUBSTITUTE($B994,CHAR(160)," ")&amp;"0123456789"))),ROW(INDIRECT("1:6")))),"0"),"SIN NUMERO"))</f>
        <v/>
      </c>
      <c r="O994" t="str">
        <f ca="1">IF($N994="","",IF(LEFT(UPPER($P994),9)="VERIFICAR","VERIFICAR",IF(AND($H994&lt;&gt;"",COUNTIFS($N$2:$N$1000,$N994,$H$2:$H$1000,$H994)&gt;1),"DUPLICADA",IF(TRIM(IF($A994="","tipo ","")&amp;IF($F994="","fecha de firma ","")&amp;IF($G994="","decisión ","")&amp;IF($H994="","N° resolución ","")&amp;IF($I994="","N° dictamen",""))&lt;&gt;"","INCOMPLETA: "&amp;TRIM(IF($A994="","tipo ","")&amp;IF($F994="","fecha de firma ","")&amp;IF($G994="","decisión ","")&amp;IF($H994="","N° resolución ","")&amp;IF($I994="","N° dictamen","")),IF(LEFT($N994,4)&lt;&gt;"CONC","OK",IF(N($Q994)=0,IF(AND(ISNUMBER($E994),$E994&gt;=DATE(2024,1,1)),"FALTA EN evol_conc","OK"),IF(INDEX(evol_conc!$H:$H,$Q994)&lt;&gt;$F994,"FIRMA DISTINTA EN evol_conc ("&amp;IF(INDEX(evol_conc!$H:$H,$Q994)="","vacía",DAY(INDEX(evol_conc!$H:$H,$Q994))&amp;"/"&amp;MONTH(INDEX(evol_conc!$H:$H,$Q994))&amp;"/"&amp;YEAR(INDEX(evol_conc!$H:$H,$Q994)))&amp;")",IF(INDEX(evol_conc!$G:$G,$Q994)&lt;&gt;$E994,"INGRESO DISTINTO EN evol_conc ("&amp;IF(INDEX(evol_conc!$G:$G,$Q994)="","vacía",DAY(INDEX(evol_conc!$G:$G,$Q994))&amp;"/"&amp;MONTH(INDEX(evol_conc!$G:$G,$Q994))&amp;"/"&amp;YEAR(INDEX(evol_conc!$G:$G,$Q994)))&amp;")","OK"))))))))</f>
        <v/>
      </c>
      <c r="Q994" t="str">
        <f ca="1">IF($N994="","",IFERROR(MATCH($N994,evol_conc!$P:$P,0),0))</f>
        <v/>
      </c>
    </row>
    <row r="995" spans="12:17" ht="18" hidden="1" customHeight="1" x14ac:dyDescent="0.25">
      <c r="L995" s="53" t="str">
        <f t="shared" si="30"/>
        <v/>
      </c>
      <c r="M995" s="19" t="str">
        <f t="shared" si="31"/>
        <v/>
      </c>
      <c r="N995" t="str">
        <f ca="1">IF(TRIM(SUBSTITUTE($B995,CHAR(160)," "))="","",IFERROR(IF(ISNUMBER(SEARCH("INC",$B995)),"INC",IF(ISNUMBER(SEARCH("OPI",$B995)),"OPI",IF(ISNUMBER(SEARCH("DP",$B995)),"DP","CONC")))&amp;" "&amp;TEXT(LOOKUP(9.99E+307,--MID(SUBSTITUTE($B995,CHAR(160)," "),SUMPRODUCT(MIN(FIND({0,1,2,3,4,5,6,7,8,9},SUBSTITUTE($B995,CHAR(160)," ")&amp;"0123456789"))),ROW(INDIRECT("1:6")))),"0"),"SIN NUMERO"))</f>
        <v/>
      </c>
      <c r="O995" t="str">
        <f ca="1">IF($N995="","",IF(LEFT(UPPER($P995),9)="VERIFICAR","VERIFICAR",IF(AND($H995&lt;&gt;"",COUNTIFS($N$2:$N$1000,$N995,$H$2:$H$1000,$H995)&gt;1),"DUPLICADA",IF(TRIM(IF($A995="","tipo ","")&amp;IF($F995="","fecha de firma ","")&amp;IF($G995="","decisión ","")&amp;IF($H995="","N° resolución ","")&amp;IF($I995="","N° dictamen",""))&lt;&gt;"","INCOMPLETA: "&amp;TRIM(IF($A995="","tipo ","")&amp;IF($F995="","fecha de firma ","")&amp;IF($G995="","decisión ","")&amp;IF($H995="","N° resolución ","")&amp;IF($I995="","N° dictamen","")),IF(LEFT($N995,4)&lt;&gt;"CONC","OK",IF(N($Q995)=0,IF(AND(ISNUMBER($E995),$E995&gt;=DATE(2024,1,1)),"FALTA EN evol_conc","OK"),IF(INDEX(evol_conc!$H:$H,$Q995)&lt;&gt;$F995,"FIRMA DISTINTA EN evol_conc ("&amp;IF(INDEX(evol_conc!$H:$H,$Q995)="","vacía",DAY(INDEX(evol_conc!$H:$H,$Q995))&amp;"/"&amp;MONTH(INDEX(evol_conc!$H:$H,$Q995))&amp;"/"&amp;YEAR(INDEX(evol_conc!$H:$H,$Q995)))&amp;")",IF(INDEX(evol_conc!$G:$G,$Q995)&lt;&gt;$E995,"INGRESO DISTINTO EN evol_conc ("&amp;IF(INDEX(evol_conc!$G:$G,$Q995)="","vacía",DAY(INDEX(evol_conc!$G:$G,$Q995))&amp;"/"&amp;MONTH(INDEX(evol_conc!$G:$G,$Q995))&amp;"/"&amp;YEAR(INDEX(evol_conc!$G:$G,$Q995)))&amp;")","OK"))))))))</f>
        <v/>
      </c>
      <c r="Q995" t="str">
        <f ca="1">IF($N995="","",IFERROR(MATCH($N995,evol_conc!$P:$P,0),0))</f>
        <v/>
      </c>
    </row>
    <row r="996" spans="12:17" ht="18" hidden="1" customHeight="1" x14ac:dyDescent="0.25">
      <c r="L996" s="53" t="str">
        <f t="shared" si="30"/>
        <v/>
      </c>
      <c r="M996" s="19" t="str">
        <f t="shared" si="31"/>
        <v/>
      </c>
      <c r="N996" t="str">
        <f ca="1">IF(TRIM(SUBSTITUTE($B996,CHAR(160)," "))="","",IFERROR(IF(ISNUMBER(SEARCH("INC",$B996)),"INC",IF(ISNUMBER(SEARCH("OPI",$B996)),"OPI",IF(ISNUMBER(SEARCH("DP",$B996)),"DP","CONC")))&amp;" "&amp;TEXT(LOOKUP(9.99E+307,--MID(SUBSTITUTE($B996,CHAR(160)," "),SUMPRODUCT(MIN(FIND({0,1,2,3,4,5,6,7,8,9},SUBSTITUTE($B996,CHAR(160)," ")&amp;"0123456789"))),ROW(INDIRECT("1:6")))),"0"),"SIN NUMERO"))</f>
        <v/>
      </c>
      <c r="O996" t="str">
        <f ca="1">IF($N996="","",IF(LEFT(UPPER($P996),9)="VERIFICAR","VERIFICAR",IF(AND($H996&lt;&gt;"",COUNTIFS($N$2:$N$1000,$N996,$H$2:$H$1000,$H996)&gt;1),"DUPLICADA",IF(TRIM(IF($A996="","tipo ","")&amp;IF($F996="","fecha de firma ","")&amp;IF($G996="","decisión ","")&amp;IF($H996="","N° resolución ","")&amp;IF($I996="","N° dictamen",""))&lt;&gt;"","INCOMPLETA: "&amp;TRIM(IF($A996="","tipo ","")&amp;IF($F996="","fecha de firma ","")&amp;IF($G996="","decisión ","")&amp;IF($H996="","N° resolución ","")&amp;IF($I996="","N° dictamen","")),IF(LEFT($N996,4)&lt;&gt;"CONC","OK",IF(N($Q996)=0,IF(AND(ISNUMBER($E996),$E996&gt;=DATE(2024,1,1)),"FALTA EN evol_conc","OK"),IF(INDEX(evol_conc!$H:$H,$Q996)&lt;&gt;$F996,"FIRMA DISTINTA EN evol_conc ("&amp;IF(INDEX(evol_conc!$H:$H,$Q996)="","vacía",DAY(INDEX(evol_conc!$H:$H,$Q996))&amp;"/"&amp;MONTH(INDEX(evol_conc!$H:$H,$Q996))&amp;"/"&amp;YEAR(INDEX(evol_conc!$H:$H,$Q996)))&amp;")",IF(INDEX(evol_conc!$G:$G,$Q996)&lt;&gt;$E996,"INGRESO DISTINTO EN evol_conc ("&amp;IF(INDEX(evol_conc!$G:$G,$Q996)="","vacía",DAY(INDEX(evol_conc!$G:$G,$Q996))&amp;"/"&amp;MONTH(INDEX(evol_conc!$G:$G,$Q996))&amp;"/"&amp;YEAR(INDEX(evol_conc!$G:$G,$Q996)))&amp;")","OK"))))))))</f>
        <v/>
      </c>
      <c r="Q996" t="str">
        <f ca="1">IF($N996="","",IFERROR(MATCH($N996,evol_conc!$P:$P,0),0))</f>
        <v/>
      </c>
    </row>
    <row r="997" spans="12:17" ht="18" hidden="1" customHeight="1" x14ac:dyDescent="0.25">
      <c r="L997" s="53" t="str">
        <f t="shared" si="30"/>
        <v/>
      </c>
      <c r="M997" s="19" t="str">
        <f t="shared" si="31"/>
        <v/>
      </c>
      <c r="N997" t="str">
        <f ca="1">IF(TRIM(SUBSTITUTE($B997,CHAR(160)," "))="","",IFERROR(IF(ISNUMBER(SEARCH("INC",$B997)),"INC",IF(ISNUMBER(SEARCH("OPI",$B997)),"OPI",IF(ISNUMBER(SEARCH("DP",$B997)),"DP","CONC")))&amp;" "&amp;TEXT(LOOKUP(9.99E+307,--MID(SUBSTITUTE($B997,CHAR(160)," "),SUMPRODUCT(MIN(FIND({0,1,2,3,4,5,6,7,8,9},SUBSTITUTE($B997,CHAR(160)," ")&amp;"0123456789"))),ROW(INDIRECT("1:6")))),"0"),"SIN NUMERO"))</f>
        <v/>
      </c>
      <c r="O997" t="str">
        <f ca="1">IF($N997="","",IF(LEFT(UPPER($P997),9)="VERIFICAR","VERIFICAR",IF(AND($H997&lt;&gt;"",COUNTIFS($N$2:$N$1000,$N997,$H$2:$H$1000,$H997)&gt;1),"DUPLICADA",IF(TRIM(IF($A997="","tipo ","")&amp;IF($F997="","fecha de firma ","")&amp;IF($G997="","decisión ","")&amp;IF($H997="","N° resolución ","")&amp;IF($I997="","N° dictamen",""))&lt;&gt;"","INCOMPLETA: "&amp;TRIM(IF($A997="","tipo ","")&amp;IF($F997="","fecha de firma ","")&amp;IF($G997="","decisión ","")&amp;IF($H997="","N° resolución ","")&amp;IF($I997="","N° dictamen","")),IF(LEFT($N997,4)&lt;&gt;"CONC","OK",IF(N($Q997)=0,IF(AND(ISNUMBER($E997),$E997&gt;=DATE(2024,1,1)),"FALTA EN evol_conc","OK"),IF(INDEX(evol_conc!$H:$H,$Q997)&lt;&gt;$F997,"FIRMA DISTINTA EN evol_conc ("&amp;IF(INDEX(evol_conc!$H:$H,$Q997)="","vacía",DAY(INDEX(evol_conc!$H:$H,$Q997))&amp;"/"&amp;MONTH(INDEX(evol_conc!$H:$H,$Q997))&amp;"/"&amp;YEAR(INDEX(evol_conc!$H:$H,$Q997)))&amp;")",IF(INDEX(evol_conc!$G:$G,$Q997)&lt;&gt;$E997,"INGRESO DISTINTO EN evol_conc ("&amp;IF(INDEX(evol_conc!$G:$G,$Q997)="","vacía",DAY(INDEX(evol_conc!$G:$G,$Q997))&amp;"/"&amp;MONTH(INDEX(evol_conc!$G:$G,$Q997))&amp;"/"&amp;YEAR(INDEX(evol_conc!$G:$G,$Q997)))&amp;")","OK"))))))))</f>
        <v/>
      </c>
      <c r="Q997" t="str">
        <f ca="1">IF($N997="","",IFERROR(MATCH($N997,evol_conc!$P:$P,0),0))</f>
        <v/>
      </c>
    </row>
    <row r="998" spans="12:17" ht="18" hidden="1" customHeight="1" x14ac:dyDescent="0.25">
      <c r="L998" s="53" t="str">
        <f t="shared" si="30"/>
        <v/>
      </c>
      <c r="M998" s="19" t="str">
        <f t="shared" si="31"/>
        <v/>
      </c>
      <c r="N998" t="str">
        <f ca="1">IF(TRIM(SUBSTITUTE($B998,CHAR(160)," "))="","",IFERROR(IF(ISNUMBER(SEARCH("INC",$B998)),"INC",IF(ISNUMBER(SEARCH("OPI",$B998)),"OPI",IF(ISNUMBER(SEARCH("DP",$B998)),"DP","CONC")))&amp;" "&amp;TEXT(LOOKUP(9.99E+307,--MID(SUBSTITUTE($B998,CHAR(160)," "),SUMPRODUCT(MIN(FIND({0,1,2,3,4,5,6,7,8,9},SUBSTITUTE($B998,CHAR(160)," ")&amp;"0123456789"))),ROW(INDIRECT("1:6")))),"0"),"SIN NUMERO"))</f>
        <v/>
      </c>
      <c r="O998" t="str">
        <f ca="1">IF($N998="","",IF(LEFT(UPPER($P998),9)="VERIFICAR","VERIFICAR",IF(AND($H998&lt;&gt;"",COUNTIFS($N$2:$N$1000,$N998,$H$2:$H$1000,$H998)&gt;1),"DUPLICADA",IF(TRIM(IF($A998="","tipo ","")&amp;IF($F998="","fecha de firma ","")&amp;IF($G998="","decisión ","")&amp;IF($H998="","N° resolución ","")&amp;IF($I998="","N° dictamen",""))&lt;&gt;"","INCOMPLETA: "&amp;TRIM(IF($A998="","tipo ","")&amp;IF($F998="","fecha de firma ","")&amp;IF($G998="","decisión ","")&amp;IF($H998="","N° resolución ","")&amp;IF($I998="","N° dictamen","")),IF(LEFT($N998,4)&lt;&gt;"CONC","OK",IF(N($Q998)=0,IF(AND(ISNUMBER($E998),$E998&gt;=DATE(2024,1,1)),"FALTA EN evol_conc","OK"),IF(INDEX(evol_conc!$H:$H,$Q998)&lt;&gt;$F998,"FIRMA DISTINTA EN evol_conc ("&amp;IF(INDEX(evol_conc!$H:$H,$Q998)="","vacía",DAY(INDEX(evol_conc!$H:$H,$Q998))&amp;"/"&amp;MONTH(INDEX(evol_conc!$H:$H,$Q998))&amp;"/"&amp;YEAR(INDEX(evol_conc!$H:$H,$Q998)))&amp;")",IF(INDEX(evol_conc!$G:$G,$Q998)&lt;&gt;$E998,"INGRESO DISTINTO EN evol_conc ("&amp;IF(INDEX(evol_conc!$G:$G,$Q998)="","vacía",DAY(INDEX(evol_conc!$G:$G,$Q998))&amp;"/"&amp;MONTH(INDEX(evol_conc!$G:$G,$Q998))&amp;"/"&amp;YEAR(INDEX(evol_conc!$G:$G,$Q998)))&amp;")","OK"))))))))</f>
        <v/>
      </c>
      <c r="Q998" t="str">
        <f ca="1">IF($N998="","",IFERROR(MATCH($N998,evol_conc!$P:$P,0),0))</f>
        <v/>
      </c>
    </row>
    <row r="999" spans="12:17" ht="18" hidden="1" customHeight="1" x14ac:dyDescent="0.25">
      <c r="L999" s="53" t="str">
        <f t="shared" si="30"/>
        <v/>
      </c>
      <c r="M999" s="19" t="str">
        <f t="shared" si="31"/>
        <v/>
      </c>
      <c r="N999" t="str">
        <f ca="1">IF(TRIM(SUBSTITUTE($B999,CHAR(160)," "))="","",IFERROR(IF(ISNUMBER(SEARCH("INC",$B999)),"INC",IF(ISNUMBER(SEARCH("OPI",$B999)),"OPI",IF(ISNUMBER(SEARCH("DP",$B999)),"DP","CONC")))&amp;" "&amp;TEXT(LOOKUP(9.99E+307,--MID(SUBSTITUTE($B999,CHAR(160)," "),SUMPRODUCT(MIN(FIND({0,1,2,3,4,5,6,7,8,9},SUBSTITUTE($B999,CHAR(160)," ")&amp;"0123456789"))),ROW(INDIRECT("1:6")))),"0"),"SIN NUMERO"))</f>
        <v/>
      </c>
      <c r="O999" t="str">
        <f ca="1">IF($N999="","",IF(LEFT(UPPER($P999),9)="VERIFICAR","VERIFICAR",IF(AND($H999&lt;&gt;"",COUNTIFS($N$2:$N$1000,$N999,$H$2:$H$1000,$H999)&gt;1),"DUPLICADA",IF(TRIM(IF($A999="","tipo ","")&amp;IF($F999="","fecha de firma ","")&amp;IF($G999="","decisión ","")&amp;IF($H999="","N° resolución ","")&amp;IF($I999="","N° dictamen",""))&lt;&gt;"","INCOMPLETA: "&amp;TRIM(IF($A999="","tipo ","")&amp;IF($F999="","fecha de firma ","")&amp;IF($G999="","decisión ","")&amp;IF($H999="","N° resolución ","")&amp;IF($I999="","N° dictamen","")),IF(LEFT($N999,4)&lt;&gt;"CONC","OK",IF(N($Q999)=0,IF(AND(ISNUMBER($E999),$E999&gt;=DATE(2024,1,1)),"FALTA EN evol_conc","OK"),IF(INDEX(evol_conc!$H:$H,$Q999)&lt;&gt;$F999,"FIRMA DISTINTA EN evol_conc ("&amp;IF(INDEX(evol_conc!$H:$H,$Q999)="","vacía",DAY(INDEX(evol_conc!$H:$H,$Q999))&amp;"/"&amp;MONTH(INDEX(evol_conc!$H:$H,$Q999))&amp;"/"&amp;YEAR(INDEX(evol_conc!$H:$H,$Q999)))&amp;")",IF(INDEX(evol_conc!$G:$G,$Q999)&lt;&gt;$E999,"INGRESO DISTINTO EN evol_conc ("&amp;IF(INDEX(evol_conc!$G:$G,$Q999)="","vacía",DAY(INDEX(evol_conc!$G:$G,$Q999))&amp;"/"&amp;MONTH(INDEX(evol_conc!$G:$G,$Q999))&amp;"/"&amp;YEAR(INDEX(evol_conc!$G:$G,$Q999)))&amp;")","OK"))))))))</f>
        <v/>
      </c>
      <c r="Q999" t="str">
        <f ca="1">IF($N999="","",IFERROR(MATCH($N999,evol_conc!$P:$P,0),0))</f>
        <v/>
      </c>
    </row>
    <row r="1000" spans="12:17" ht="18" hidden="1" customHeight="1" x14ac:dyDescent="0.25">
      <c r="L1000" s="53" t="str">
        <f t="shared" si="30"/>
        <v/>
      </c>
      <c r="M1000" s="19" t="str">
        <f t="shared" si="31"/>
        <v/>
      </c>
      <c r="N1000" t="str">
        <f ca="1">IF(TRIM(SUBSTITUTE($B1000,CHAR(160)," "))="","",IFERROR(IF(ISNUMBER(SEARCH("INC",$B1000)),"INC",IF(ISNUMBER(SEARCH("OPI",$B1000)),"OPI",IF(ISNUMBER(SEARCH("DP",$B1000)),"DP","CONC")))&amp;" "&amp;TEXT(LOOKUP(9.99E+307,--MID(SUBSTITUTE($B1000,CHAR(160)," "),SUMPRODUCT(MIN(FIND({0,1,2,3,4,5,6,7,8,9},SUBSTITUTE($B1000,CHAR(160)," ")&amp;"0123456789"))),ROW(INDIRECT("1:6")))),"0"),"SIN NUMERO"))</f>
        <v/>
      </c>
      <c r="O1000" t="str">
        <f ca="1">IF($N1000="","",IF(LEFT(UPPER($P1000),9)="VERIFICAR","VERIFICAR",IF(AND($H1000&lt;&gt;"",COUNTIFS($N$2:$N$1000,$N1000,$H$2:$H$1000,$H1000)&gt;1),"DUPLICADA",IF(TRIM(IF($A1000="","tipo ","")&amp;IF($F1000="","fecha de firma ","")&amp;IF($G1000="","decisión ","")&amp;IF($H1000="","N° resolución ","")&amp;IF($I1000="","N° dictamen",""))&lt;&gt;"","INCOMPLETA: "&amp;TRIM(IF($A1000="","tipo ","")&amp;IF($F1000="","fecha de firma ","")&amp;IF($G1000="","decisión ","")&amp;IF($H1000="","N° resolución ","")&amp;IF($I1000="","N° dictamen","")),IF(LEFT($N1000,4)&lt;&gt;"CONC","OK",IF(N($Q1000)=0,IF(AND(ISNUMBER($E1000),$E1000&gt;=DATE(2024,1,1)),"FALTA EN evol_conc","OK"),IF(INDEX(evol_conc!$H:$H,$Q1000)&lt;&gt;$F1000,"FIRMA DISTINTA EN evol_conc ("&amp;IF(INDEX(evol_conc!$H:$H,$Q1000)="","vacía",DAY(INDEX(evol_conc!$H:$H,$Q1000))&amp;"/"&amp;MONTH(INDEX(evol_conc!$H:$H,$Q1000))&amp;"/"&amp;YEAR(INDEX(evol_conc!$H:$H,$Q1000)))&amp;")",IF(INDEX(evol_conc!$G:$G,$Q1000)&lt;&gt;$E1000,"INGRESO DISTINTO EN evol_conc ("&amp;IF(INDEX(evol_conc!$G:$G,$Q1000)="","vacía",DAY(INDEX(evol_conc!$G:$G,$Q1000))&amp;"/"&amp;MONTH(INDEX(evol_conc!$G:$G,$Q1000))&amp;"/"&amp;YEAR(INDEX(evol_conc!$G:$G,$Q1000)))&amp;")","OK"))))))))</f>
        <v/>
      </c>
      <c r="Q1000" t="str">
        <f ca="1">IF($N1000="","",IFERROR(MATCH($N1000,evol_conc!$P:$P,0),0))</f>
        <v/>
      </c>
    </row>
    <row r="1001" spans="12:17" ht="18" hidden="1" customHeight="1" x14ac:dyDescent="0.25"/>
    <row r="1002" spans="12:17" ht="18" hidden="1" customHeight="1" x14ac:dyDescent="0.25"/>
    <row r="1003" spans="12:17" ht="18" hidden="1" customHeight="1" x14ac:dyDescent="0.25"/>
    <row r="1004" spans="12:17" ht="18" hidden="1" customHeight="1" x14ac:dyDescent="0.25"/>
    <row r="1005" spans="12:17" ht="18" hidden="1" customHeight="1" x14ac:dyDescent="0.25"/>
    <row r="1006" spans="12:17" ht="18" hidden="1" customHeight="1" x14ac:dyDescent="0.25"/>
    <row r="1007" spans="12:17" ht="18" hidden="1" customHeight="1" x14ac:dyDescent="0.25"/>
    <row r="1008" spans="12:17" ht="18" hidden="1" customHeight="1" x14ac:dyDescent="0.25"/>
    <row r="1009" ht="18" hidden="1" customHeight="1" x14ac:dyDescent="0.25"/>
    <row r="1010" ht="18" hidden="1" customHeight="1" x14ac:dyDescent="0.25"/>
    <row r="1011" ht="18" hidden="1" customHeight="1" x14ac:dyDescent="0.25"/>
    <row r="1012" ht="18" hidden="1" customHeight="1" x14ac:dyDescent="0.25"/>
    <row r="1013" ht="18" hidden="1" customHeight="1" x14ac:dyDescent="0.25"/>
    <row r="1014" ht="18" hidden="1" customHeight="1" x14ac:dyDescent="0.25"/>
    <row r="1015" ht="18" hidden="1" customHeight="1" x14ac:dyDescent="0.25"/>
    <row r="1016" ht="18" hidden="1" customHeight="1" x14ac:dyDescent="0.25"/>
    <row r="1017" ht="18" hidden="1" customHeight="1" x14ac:dyDescent="0.25"/>
    <row r="1018" ht="18" hidden="1" customHeight="1" x14ac:dyDescent="0.25"/>
    <row r="1019" ht="18" hidden="1" customHeight="1" x14ac:dyDescent="0.25"/>
    <row r="1020" ht="18" hidden="1" customHeight="1" x14ac:dyDescent="0.25"/>
    <row r="1021" ht="18" hidden="1" customHeight="1" x14ac:dyDescent="0.25"/>
    <row r="1022" ht="18" hidden="1" customHeight="1" x14ac:dyDescent="0.25"/>
    <row r="1023" ht="18" hidden="1" customHeight="1" x14ac:dyDescent="0.25"/>
    <row r="1024" ht="18" hidden="1" customHeight="1" x14ac:dyDescent="0.25"/>
    <row r="1025" ht="18" hidden="1" customHeight="1" x14ac:dyDescent="0.25"/>
    <row r="1026" ht="18" hidden="1" customHeight="1" x14ac:dyDescent="0.25"/>
    <row r="1027" ht="18" hidden="1" customHeight="1" x14ac:dyDescent="0.25"/>
    <row r="1028" ht="18" hidden="1" customHeight="1" x14ac:dyDescent="0.25"/>
    <row r="1029" ht="18" hidden="1" customHeight="1" x14ac:dyDescent="0.25"/>
    <row r="1030" ht="18" hidden="1" customHeight="1" x14ac:dyDescent="0.25"/>
    <row r="1031" ht="18" hidden="1" customHeight="1" x14ac:dyDescent="0.25"/>
    <row r="1032" ht="18" hidden="1" customHeight="1" x14ac:dyDescent="0.25"/>
    <row r="1033" ht="18" hidden="1" customHeight="1" x14ac:dyDescent="0.25"/>
    <row r="1034" ht="18" hidden="1" customHeight="1" x14ac:dyDescent="0.25"/>
    <row r="1035" ht="18" hidden="1" customHeight="1" x14ac:dyDescent="0.25"/>
    <row r="1036" ht="18" hidden="1" customHeight="1" x14ac:dyDescent="0.25"/>
    <row r="1037" ht="18" hidden="1" customHeight="1" x14ac:dyDescent="0.25"/>
    <row r="1038" ht="18" hidden="1" customHeight="1" x14ac:dyDescent="0.25"/>
    <row r="1039" ht="18" hidden="1" customHeight="1" x14ac:dyDescent="0.25"/>
    <row r="1040" ht="18" hidden="1" customHeight="1" x14ac:dyDescent="0.25"/>
    <row r="1041" ht="18" hidden="1" customHeight="1" x14ac:dyDescent="0.25"/>
    <row r="1042" ht="18" hidden="1" customHeight="1" x14ac:dyDescent="0.25"/>
    <row r="1043" ht="18" hidden="1" customHeight="1" x14ac:dyDescent="0.25"/>
    <row r="1044" ht="18" hidden="1" customHeight="1" x14ac:dyDescent="0.25"/>
    <row r="1045" ht="18" hidden="1" customHeight="1" x14ac:dyDescent="0.25"/>
    <row r="1046" ht="18" hidden="1" customHeight="1" x14ac:dyDescent="0.25"/>
    <row r="1047" ht="18" hidden="1" customHeight="1" x14ac:dyDescent="0.25"/>
    <row r="1048" ht="18" hidden="1" customHeight="1" x14ac:dyDescent="0.25"/>
    <row r="1049" ht="18" hidden="1" customHeight="1" x14ac:dyDescent="0.25"/>
    <row r="1050" ht="18" hidden="1" customHeight="1" x14ac:dyDescent="0.25"/>
    <row r="1051" ht="18" hidden="1" customHeight="1" x14ac:dyDescent="0.25"/>
    <row r="1052" ht="18" hidden="1" customHeight="1" x14ac:dyDescent="0.25"/>
    <row r="1053" ht="18" hidden="1" customHeight="1" x14ac:dyDescent="0.25"/>
    <row r="1054" ht="18" hidden="1" customHeight="1" x14ac:dyDescent="0.25"/>
    <row r="1055" ht="18" hidden="1" customHeight="1" x14ac:dyDescent="0.25"/>
    <row r="1056" ht="18" hidden="1" customHeight="1" x14ac:dyDescent="0.25"/>
    <row r="1057" ht="18" hidden="1" customHeight="1" x14ac:dyDescent="0.25"/>
    <row r="1058" ht="18" hidden="1" customHeight="1" x14ac:dyDescent="0.25"/>
    <row r="1059" ht="18" hidden="1" customHeight="1" x14ac:dyDescent="0.25"/>
    <row r="1060" ht="18" hidden="1" customHeight="1" x14ac:dyDescent="0.25"/>
    <row r="1061" ht="18" hidden="1" customHeight="1" x14ac:dyDescent="0.25"/>
    <row r="1062" ht="18" hidden="1" customHeight="1" x14ac:dyDescent="0.25"/>
    <row r="1063" ht="18" hidden="1" customHeight="1" x14ac:dyDescent="0.25"/>
    <row r="1064" ht="18" hidden="1" customHeight="1" x14ac:dyDescent="0.25"/>
    <row r="1065" ht="18" hidden="1" customHeight="1" x14ac:dyDescent="0.25"/>
    <row r="1066" ht="18" hidden="1" customHeight="1" x14ac:dyDescent="0.25"/>
    <row r="1067" ht="18" hidden="1" customHeight="1" x14ac:dyDescent="0.25"/>
    <row r="1068" ht="18" hidden="1" customHeight="1" x14ac:dyDescent="0.25"/>
    <row r="1069" ht="18" hidden="1" customHeight="1" x14ac:dyDescent="0.25"/>
    <row r="1070" ht="18" hidden="1" customHeight="1" x14ac:dyDescent="0.25"/>
    <row r="1071" ht="18" hidden="1" customHeight="1" x14ac:dyDescent="0.25"/>
    <row r="1072" ht="18" hidden="1" customHeight="1" x14ac:dyDescent="0.25"/>
    <row r="1073" ht="18" hidden="1" customHeight="1" x14ac:dyDescent="0.25"/>
    <row r="1074" ht="18" hidden="1" customHeight="1" x14ac:dyDescent="0.25"/>
    <row r="1075" ht="18" hidden="1" customHeight="1" x14ac:dyDescent="0.25"/>
    <row r="1076" ht="18" hidden="1" customHeight="1" x14ac:dyDescent="0.25"/>
    <row r="1077" ht="18" hidden="1" customHeight="1" x14ac:dyDescent="0.25"/>
    <row r="1078" ht="18" hidden="1" customHeight="1" x14ac:dyDescent="0.25"/>
    <row r="1079" ht="18" hidden="1" customHeight="1" x14ac:dyDescent="0.25"/>
    <row r="1080" ht="18" hidden="1" customHeight="1" x14ac:dyDescent="0.25"/>
    <row r="1081" ht="18" hidden="1" customHeight="1" x14ac:dyDescent="0.25"/>
    <row r="1082" ht="18" hidden="1" customHeight="1" x14ac:dyDescent="0.25"/>
    <row r="1083" ht="18" hidden="1" customHeight="1" x14ac:dyDescent="0.25"/>
    <row r="1084" ht="18" hidden="1" customHeight="1" x14ac:dyDescent="0.25"/>
    <row r="1085" ht="18" hidden="1" customHeight="1" x14ac:dyDescent="0.25"/>
    <row r="1086" ht="18" hidden="1" customHeight="1" x14ac:dyDescent="0.25"/>
    <row r="1087" ht="18" hidden="1" customHeight="1" x14ac:dyDescent="0.25"/>
    <row r="1088" ht="18" hidden="1" customHeight="1" x14ac:dyDescent="0.25"/>
    <row r="1089" ht="18" hidden="1" customHeight="1" x14ac:dyDescent="0.25"/>
    <row r="1090" ht="18" hidden="1" customHeight="1" x14ac:dyDescent="0.25"/>
    <row r="1091" ht="18" hidden="1" customHeight="1" x14ac:dyDescent="0.25"/>
    <row r="1092" ht="18" hidden="1" customHeight="1" x14ac:dyDescent="0.25"/>
    <row r="1093" ht="18" hidden="1" customHeight="1" x14ac:dyDescent="0.25"/>
    <row r="1094" ht="18" hidden="1" customHeight="1" x14ac:dyDescent="0.25"/>
    <row r="1095" ht="18" hidden="1" customHeight="1" x14ac:dyDescent="0.25"/>
    <row r="1096" ht="18" hidden="1" customHeight="1" x14ac:dyDescent="0.25"/>
    <row r="1097" ht="18" hidden="1" customHeight="1" x14ac:dyDescent="0.25"/>
    <row r="1098" ht="18" hidden="1" customHeight="1" x14ac:dyDescent="0.25"/>
    <row r="1099" ht="18" hidden="1" customHeight="1" x14ac:dyDescent="0.25"/>
    <row r="1100" ht="18" hidden="1" customHeight="1" x14ac:dyDescent="0.25"/>
    <row r="1101" ht="18" hidden="1" customHeight="1" x14ac:dyDescent="0.25"/>
    <row r="1102" ht="18" hidden="1" customHeight="1" x14ac:dyDescent="0.25"/>
    <row r="1103" ht="18" hidden="1" customHeight="1" x14ac:dyDescent="0.25"/>
    <row r="1104" ht="18" hidden="1" customHeight="1" x14ac:dyDescent="0.25"/>
    <row r="1105" ht="18" hidden="1" customHeight="1" x14ac:dyDescent="0.25"/>
    <row r="1106" ht="18" hidden="1" customHeight="1" x14ac:dyDescent="0.25"/>
    <row r="1107" ht="18" hidden="1" customHeight="1" x14ac:dyDescent="0.25"/>
    <row r="1108" ht="18" hidden="1" customHeight="1" x14ac:dyDescent="0.25"/>
    <row r="1109" ht="18" hidden="1" customHeight="1" x14ac:dyDescent="0.25"/>
    <row r="1110" ht="18" hidden="1" customHeight="1" x14ac:dyDescent="0.25"/>
    <row r="1111" ht="18" hidden="1" customHeight="1" x14ac:dyDescent="0.25"/>
    <row r="1112" ht="18" hidden="1" customHeight="1" x14ac:dyDescent="0.25"/>
    <row r="1113" ht="18" hidden="1" customHeight="1" x14ac:dyDescent="0.25"/>
    <row r="1114" ht="18" hidden="1" customHeight="1" x14ac:dyDescent="0.25"/>
    <row r="1115" ht="18" hidden="1" customHeight="1" x14ac:dyDescent="0.25"/>
    <row r="1116" ht="18" hidden="1" customHeight="1" x14ac:dyDescent="0.25"/>
    <row r="1117" ht="18" hidden="1" customHeight="1" x14ac:dyDescent="0.25"/>
    <row r="1118" ht="18" hidden="1" customHeight="1" x14ac:dyDescent="0.25"/>
    <row r="1119" ht="18" hidden="1" customHeight="1" x14ac:dyDescent="0.25"/>
    <row r="1120" ht="18" hidden="1" customHeight="1" x14ac:dyDescent="0.25"/>
    <row r="1121" ht="18" hidden="1" customHeight="1" x14ac:dyDescent="0.25"/>
    <row r="1122" ht="18" hidden="1" customHeight="1" x14ac:dyDescent="0.25"/>
    <row r="1123" ht="18" hidden="1" customHeight="1" x14ac:dyDescent="0.25"/>
    <row r="1124" ht="18" hidden="1" customHeight="1" x14ac:dyDescent="0.25"/>
    <row r="1125" ht="18" hidden="1" customHeight="1" x14ac:dyDescent="0.25"/>
    <row r="1126" ht="18" hidden="1" customHeight="1" x14ac:dyDescent="0.25"/>
    <row r="1127" ht="18" hidden="1" customHeight="1" x14ac:dyDescent="0.25"/>
    <row r="1128" ht="18" hidden="1" customHeight="1" x14ac:dyDescent="0.25"/>
    <row r="1129" ht="18" hidden="1" customHeight="1" x14ac:dyDescent="0.25"/>
    <row r="1130" ht="18" hidden="1" customHeight="1" x14ac:dyDescent="0.25"/>
    <row r="1131" ht="18" hidden="1" customHeight="1" x14ac:dyDescent="0.25"/>
    <row r="1132" ht="18" hidden="1" customHeight="1" x14ac:dyDescent="0.25"/>
    <row r="1133" ht="18" hidden="1" customHeight="1" x14ac:dyDescent="0.25"/>
    <row r="1134" ht="18" hidden="1" customHeight="1" x14ac:dyDescent="0.25"/>
    <row r="1135" ht="18" hidden="1" customHeight="1" x14ac:dyDescent="0.25"/>
    <row r="1136" ht="18" hidden="1" customHeight="1" x14ac:dyDescent="0.25"/>
    <row r="1137" ht="18" hidden="1" customHeight="1" x14ac:dyDescent="0.25"/>
    <row r="1138" ht="18" hidden="1" customHeight="1" x14ac:dyDescent="0.25"/>
    <row r="1139" ht="18" hidden="1" customHeight="1" x14ac:dyDescent="0.25"/>
    <row r="1140" ht="18" hidden="1" customHeight="1" x14ac:dyDescent="0.25"/>
    <row r="1141" ht="18" hidden="1" customHeight="1" x14ac:dyDescent="0.25"/>
    <row r="1142" ht="18" hidden="1" customHeight="1" x14ac:dyDescent="0.25"/>
    <row r="1143" ht="18" hidden="1" customHeight="1" x14ac:dyDescent="0.25"/>
    <row r="1144" ht="18" hidden="1" customHeight="1" x14ac:dyDescent="0.25"/>
    <row r="1145" ht="18" hidden="1" customHeight="1" x14ac:dyDescent="0.25"/>
    <row r="1146" ht="18" hidden="1" customHeight="1" x14ac:dyDescent="0.25"/>
    <row r="1147" ht="18" hidden="1" customHeight="1" x14ac:dyDescent="0.25"/>
    <row r="1148" ht="18" hidden="1" customHeight="1" x14ac:dyDescent="0.25"/>
    <row r="1149" ht="18" hidden="1" customHeight="1" x14ac:dyDescent="0.25"/>
    <row r="1150" ht="18" hidden="1" customHeight="1" x14ac:dyDescent="0.25"/>
    <row r="1151" ht="18" hidden="1" customHeight="1" x14ac:dyDescent="0.25"/>
    <row r="1152" ht="18" hidden="1" customHeight="1" x14ac:dyDescent="0.25"/>
    <row r="1153" ht="18" hidden="1" customHeight="1" x14ac:dyDescent="0.25"/>
    <row r="1154" ht="18" hidden="1" customHeight="1" x14ac:dyDescent="0.25"/>
    <row r="1155" ht="18" hidden="1" customHeight="1" x14ac:dyDescent="0.25"/>
    <row r="1156" ht="18" hidden="1" customHeight="1" x14ac:dyDescent="0.25"/>
    <row r="1157" ht="18" hidden="1" customHeight="1" x14ac:dyDescent="0.25"/>
    <row r="1158" ht="18" hidden="1" customHeight="1" x14ac:dyDescent="0.25"/>
    <row r="1159" ht="18" hidden="1" customHeight="1" x14ac:dyDescent="0.25"/>
    <row r="1160" ht="18" hidden="1" customHeight="1" x14ac:dyDescent="0.25"/>
    <row r="1161" ht="18" hidden="1" customHeight="1" x14ac:dyDescent="0.25"/>
    <row r="1162" ht="18" hidden="1" customHeight="1" x14ac:dyDescent="0.25"/>
    <row r="1163" ht="18" hidden="1" customHeight="1" x14ac:dyDescent="0.25"/>
    <row r="1164" ht="18" hidden="1" customHeight="1" x14ac:dyDescent="0.25"/>
    <row r="1165" ht="18" hidden="1" customHeight="1" x14ac:dyDescent="0.25"/>
    <row r="1166" ht="18" hidden="1" customHeight="1" x14ac:dyDescent="0.25"/>
    <row r="1167" ht="18" hidden="1" customHeight="1" x14ac:dyDescent="0.25"/>
    <row r="1168" ht="18" hidden="1" customHeight="1" x14ac:dyDescent="0.25"/>
    <row r="1169" ht="18" hidden="1" customHeight="1" x14ac:dyDescent="0.25"/>
    <row r="1170" ht="18" hidden="1" customHeight="1" x14ac:dyDescent="0.25"/>
    <row r="1171" ht="18" hidden="1" customHeight="1" x14ac:dyDescent="0.25"/>
    <row r="1172" ht="18" hidden="1" customHeight="1" x14ac:dyDescent="0.25"/>
    <row r="1173" ht="18" hidden="1" customHeight="1" x14ac:dyDescent="0.25"/>
    <row r="1174" ht="18" hidden="1" customHeight="1" x14ac:dyDescent="0.25"/>
    <row r="1175" ht="18" hidden="1" customHeight="1" x14ac:dyDescent="0.25"/>
    <row r="1176" ht="18" hidden="1" customHeight="1" x14ac:dyDescent="0.25"/>
    <row r="1177" ht="18" hidden="1" customHeight="1" x14ac:dyDescent="0.25"/>
    <row r="1178" ht="18" hidden="1" customHeight="1" x14ac:dyDescent="0.25"/>
    <row r="1179" ht="18" hidden="1" customHeight="1" x14ac:dyDescent="0.25"/>
    <row r="1180" ht="18" hidden="1" customHeight="1" x14ac:dyDescent="0.25"/>
    <row r="1181" ht="18" hidden="1" customHeight="1" x14ac:dyDescent="0.25"/>
    <row r="1182" ht="18" hidden="1" customHeight="1" x14ac:dyDescent="0.25"/>
    <row r="1183" ht="18" hidden="1" customHeight="1" x14ac:dyDescent="0.25"/>
    <row r="1184" ht="18" hidden="1" customHeight="1" x14ac:dyDescent="0.25"/>
    <row r="1185" ht="18" hidden="1" customHeight="1" x14ac:dyDescent="0.25"/>
    <row r="1186" ht="18" hidden="1" customHeight="1" x14ac:dyDescent="0.25"/>
    <row r="1187" ht="18" hidden="1" customHeight="1" x14ac:dyDescent="0.25"/>
    <row r="1188" ht="18" hidden="1" customHeight="1" x14ac:dyDescent="0.25"/>
    <row r="1189" ht="18" hidden="1" customHeight="1" x14ac:dyDescent="0.25"/>
    <row r="1190" ht="18" hidden="1" customHeight="1" x14ac:dyDescent="0.25"/>
    <row r="1191" ht="18" hidden="1" customHeight="1" x14ac:dyDescent="0.25"/>
    <row r="1192" ht="18" hidden="1" customHeight="1" x14ac:dyDescent="0.25"/>
    <row r="1193" ht="18" hidden="1" customHeight="1" x14ac:dyDescent="0.25"/>
    <row r="1194" ht="18" hidden="1" customHeight="1" x14ac:dyDescent="0.25"/>
    <row r="1195" ht="18" hidden="1" customHeight="1" x14ac:dyDescent="0.25"/>
    <row r="1196" ht="18" hidden="1" customHeight="1" x14ac:dyDescent="0.25"/>
    <row r="1197" ht="18" hidden="1" customHeight="1" x14ac:dyDescent="0.25"/>
    <row r="1198" ht="18" hidden="1" customHeight="1" x14ac:dyDescent="0.25"/>
    <row r="1199" ht="18" hidden="1" customHeight="1" x14ac:dyDescent="0.25"/>
    <row r="1200" ht="18" hidden="1" customHeight="1" x14ac:dyDescent="0.25"/>
    <row r="1201" ht="18" hidden="1" customHeight="1" x14ac:dyDescent="0.25"/>
    <row r="1202" ht="18" hidden="1" customHeight="1" x14ac:dyDescent="0.25"/>
    <row r="1203" ht="18" hidden="1" customHeight="1" x14ac:dyDescent="0.25"/>
    <row r="1204" ht="18" hidden="1" customHeight="1" x14ac:dyDescent="0.25"/>
    <row r="1205" ht="18" hidden="1" customHeight="1" x14ac:dyDescent="0.25"/>
    <row r="1206" ht="18" hidden="1" customHeight="1" x14ac:dyDescent="0.25"/>
    <row r="1207" ht="18" hidden="1" customHeight="1" x14ac:dyDescent="0.25"/>
    <row r="1208" ht="18" hidden="1" customHeight="1" x14ac:dyDescent="0.25"/>
    <row r="1209" ht="18" hidden="1" customHeight="1" x14ac:dyDescent="0.25"/>
    <row r="1210" ht="18" hidden="1" customHeight="1" x14ac:dyDescent="0.25"/>
    <row r="1211" ht="18" hidden="1" customHeight="1" x14ac:dyDescent="0.25"/>
    <row r="1212" ht="18" hidden="1" customHeight="1" x14ac:dyDescent="0.25"/>
    <row r="1213" ht="18" hidden="1" customHeight="1" x14ac:dyDescent="0.25"/>
    <row r="1214" ht="18" hidden="1" customHeight="1" x14ac:dyDescent="0.25"/>
    <row r="1215" ht="18" hidden="1" customHeight="1" x14ac:dyDescent="0.25"/>
    <row r="1216" ht="18" hidden="1" customHeight="1" x14ac:dyDescent="0.25"/>
    <row r="1217" ht="18" hidden="1" customHeight="1" x14ac:dyDescent="0.25"/>
    <row r="1218" ht="18" hidden="1" customHeight="1" x14ac:dyDescent="0.25"/>
    <row r="1219" ht="18" hidden="1" customHeight="1" x14ac:dyDescent="0.25"/>
    <row r="1220" ht="18" hidden="1" customHeight="1" x14ac:dyDescent="0.25"/>
    <row r="1221" ht="18" hidden="1" customHeight="1" x14ac:dyDescent="0.25"/>
    <row r="1222" ht="18" hidden="1" customHeight="1" x14ac:dyDescent="0.25"/>
    <row r="1223" ht="18" hidden="1" customHeight="1" x14ac:dyDescent="0.25"/>
    <row r="1224" ht="18" hidden="1" customHeight="1" x14ac:dyDescent="0.25"/>
    <row r="1225" ht="18" hidden="1" customHeight="1" x14ac:dyDescent="0.25"/>
    <row r="1226" ht="18" hidden="1" customHeight="1" x14ac:dyDescent="0.25"/>
    <row r="1227" ht="18" hidden="1" customHeight="1" x14ac:dyDescent="0.25"/>
    <row r="1228" ht="18" hidden="1" customHeight="1" x14ac:dyDescent="0.25"/>
    <row r="1229" ht="18" hidden="1" customHeight="1" x14ac:dyDescent="0.25"/>
    <row r="1230" ht="18" hidden="1" customHeight="1" x14ac:dyDescent="0.25"/>
    <row r="1231" ht="18" hidden="1" customHeight="1" x14ac:dyDescent="0.25"/>
    <row r="1232" ht="18" hidden="1" customHeight="1" x14ac:dyDescent="0.25"/>
    <row r="1233" ht="18" hidden="1" customHeight="1" x14ac:dyDescent="0.25"/>
    <row r="1234" ht="18" hidden="1" customHeight="1" x14ac:dyDescent="0.25"/>
    <row r="1235" ht="18" hidden="1" customHeight="1" x14ac:dyDescent="0.25"/>
    <row r="1236" ht="18" hidden="1" customHeight="1" x14ac:dyDescent="0.25"/>
    <row r="1237" ht="18" hidden="1" customHeight="1" x14ac:dyDescent="0.25"/>
    <row r="1238" ht="18" hidden="1" customHeight="1" x14ac:dyDescent="0.25"/>
    <row r="1239" ht="18" hidden="1" customHeight="1" x14ac:dyDescent="0.25"/>
    <row r="1240" ht="18" hidden="1" customHeight="1" x14ac:dyDescent="0.25"/>
    <row r="1241" ht="18" hidden="1" customHeight="1" x14ac:dyDescent="0.25"/>
    <row r="1242" ht="18" hidden="1" customHeight="1" x14ac:dyDescent="0.25"/>
    <row r="1243" ht="18" hidden="1" customHeight="1" x14ac:dyDescent="0.25"/>
    <row r="1244" ht="18" hidden="1" customHeight="1" x14ac:dyDescent="0.25"/>
    <row r="1245" ht="18" hidden="1" customHeight="1" x14ac:dyDescent="0.25"/>
    <row r="1246" ht="18" hidden="1" customHeight="1" x14ac:dyDescent="0.25"/>
    <row r="1247" ht="18" hidden="1" customHeight="1" x14ac:dyDescent="0.25"/>
    <row r="1248" ht="18" hidden="1" customHeight="1" x14ac:dyDescent="0.25"/>
    <row r="1249" ht="18" hidden="1" customHeight="1" x14ac:dyDescent="0.25"/>
    <row r="1250" ht="18" hidden="1" customHeight="1" x14ac:dyDescent="0.25"/>
    <row r="1251" ht="18" hidden="1" customHeight="1" x14ac:dyDescent="0.25"/>
    <row r="1252" ht="18" hidden="1" customHeight="1" x14ac:dyDescent="0.25"/>
    <row r="1253" ht="18" hidden="1" customHeight="1" x14ac:dyDescent="0.25"/>
    <row r="1254" ht="18" hidden="1" customHeight="1" x14ac:dyDescent="0.25"/>
    <row r="1255" ht="18" hidden="1" customHeight="1" x14ac:dyDescent="0.25"/>
    <row r="1256" ht="18" hidden="1" customHeight="1" x14ac:dyDescent="0.25"/>
    <row r="1257" ht="18" hidden="1" customHeight="1" x14ac:dyDescent="0.25"/>
    <row r="1258" ht="18" hidden="1" customHeight="1" x14ac:dyDescent="0.25"/>
    <row r="1259" ht="18" hidden="1" customHeight="1" x14ac:dyDescent="0.25"/>
    <row r="1260" ht="18" hidden="1" customHeight="1" x14ac:dyDescent="0.25"/>
    <row r="1261" ht="18" hidden="1" customHeight="1" x14ac:dyDescent="0.25"/>
    <row r="1262" ht="18" hidden="1" customHeight="1" x14ac:dyDescent="0.25"/>
    <row r="1263" ht="18" hidden="1" customHeight="1" x14ac:dyDescent="0.25"/>
    <row r="1264" ht="18" hidden="1" customHeight="1" x14ac:dyDescent="0.25"/>
    <row r="1265" ht="18" hidden="1" customHeight="1" x14ac:dyDescent="0.25"/>
    <row r="1266" ht="18" hidden="1" customHeight="1" x14ac:dyDescent="0.25"/>
    <row r="1267" ht="18" hidden="1" customHeight="1" x14ac:dyDescent="0.25"/>
    <row r="1268" ht="18" hidden="1" customHeight="1" x14ac:dyDescent="0.25"/>
    <row r="1269" ht="18" hidden="1" customHeight="1" x14ac:dyDescent="0.25"/>
    <row r="1270" ht="18" hidden="1" customHeight="1" x14ac:dyDescent="0.25"/>
    <row r="1271" ht="18" hidden="1" customHeight="1" x14ac:dyDescent="0.25"/>
    <row r="1272" ht="18" hidden="1" customHeight="1" x14ac:dyDescent="0.25"/>
    <row r="1273" ht="18" hidden="1" customHeight="1" x14ac:dyDescent="0.25"/>
    <row r="1274" ht="18" hidden="1" customHeight="1" x14ac:dyDescent="0.25"/>
    <row r="1275" ht="18" hidden="1" customHeight="1" x14ac:dyDescent="0.25"/>
    <row r="1276" ht="18" hidden="1" customHeight="1" x14ac:dyDescent="0.25"/>
    <row r="1277" ht="18" hidden="1" customHeight="1" x14ac:dyDescent="0.25"/>
    <row r="1278" ht="18" hidden="1" customHeight="1" x14ac:dyDescent="0.25"/>
    <row r="1279" ht="18" hidden="1" customHeight="1" x14ac:dyDescent="0.25"/>
    <row r="1280" ht="18" hidden="1" customHeight="1" x14ac:dyDescent="0.25"/>
    <row r="1281" ht="18" hidden="1" customHeight="1" x14ac:dyDescent="0.25"/>
    <row r="1282" ht="18" hidden="1" customHeight="1" x14ac:dyDescent="0.25"/>
    <row r="1283" ht="18" hidden="1" customHeight="1" x14ac:dyDescent="0.25"/>
    <row r="1284" ht="18" hidden="1" customHeight="1" x14ac:dyDescent="0.25"/>
    <row r="1285" ht="18" hidden="1" customHeight="1" x14ac:dyDescent="0.25"/>
    <row r="1286" ht="18" hidden="1" customHeight="1" x14ac:dyDescent="0.25"/>
    <row r="1287" ht="18" hidden="1" customHeight="1" x14ac:dyDescent="0.25"/>
    <row r="1288" ht="18" hidden="1" customHeight="1" x14ac:dyDescent="0.25"/>
    <row r="1289" ht="18" hidden="1" customHeight="1" x14ac:dyDescent="0.25"/>
    <row r="1290" ht="18" hidden="1" customHeight="1" x14ac:dyDescent="0.25"/>
    <row r="1291" ht="18" hidden="1" customHeight="1" x14ac:dyDescent="0.25"/>
    <row r="1292" ht="18" hidden="1" customHeight="1" x14ac:dyDescent="0.25"/>
    <row r="1293" ht="18" hidden="1" customHeight="1" x14ac:dyDescent="0.25"/>
    <row r="1294" ht="18" hidden="1" customHeight="1" x14ac:dyDescent="0.25"/>
    <row r="1295" ht="18" hidden="1" customHeight="1" x14ac:dyDescent="0.25"/>
    <row r="1296" ht="18" hidden="1" customHeight="1" x14ac:dyDescent="0.25"/>
    <row r="1297" ht="18" hidden="1" customHeight="1" x14ac:dyDescent="0.25"/>
    <row r="1298" ht="18" hidden="1" customHeight="1" x14ac:dyDescent="0.25"/>
    <row r="1299" ht="18" hidden="1" customHeight="1" x14ac:dyDescent="0.25"/>
    <row r="1300" ht="18" hidden="1" customHeight="1" x14ac:dyDescent="0.25"/>
    <row r="1301" ht="18" hidden="1" customHeight="1" x14ac:dyDescent="0.25"/>
    <row r="1302" ht="18" hidden="1" customHeight="1" x14ac:dyDescent="0.25"/>
    <row r="1303" ht="18" hidden="1" customHeight="1" x14ac:dyDescent="0.25"/>
    <row r="1304" ht="18" hidden="1" customHeight="1" x14ac:dyDescent="0.25"/>
    <row r="1305" ht="18" hidden="1" customHeight="1" x14ac:dyDescent="0.25"/>
    <row r="1306" ht="18" hidden="1" customHeight="1" x14ac:dyDescent="0.25"/>
    <row r="1307" ht="18" hidden="1" customHeight="1" x14ac:dyDescent="0.25"/>
    <row r="1308" ht="18" hidden="1" customHeight="1" x14ac:dyDescent="0.25"/>
    <row r="1309" ht="18" hidden="1" customHeight="1" x14ac:dyDescent="0.25"/>
    <row r="1310" ht="18" hidden="1" customHeight="1" x14ac:dyDescent="0.25"/>
    <row r="1311" ht="18" hidden="1" customHeight="1" x14ac:dyDescent="0.25"/>
    <row r="1312" ht="18" hidden="1" customHeight="1" x14ac:dyDescent="0.25"/>
    <row r="1313" ht="18" hidden="1" customHeight="1" x14ac:dyDescent="0.25"/>
    <row r="1314" ht="18" hidden="1" customHeight="1" x14ac:dyDescent="0.25"/>
    <row r="1315" ht="18" hidden="1" customHeight="1" x14ac:dyDescent="0.25"/>
    <row r="1316" ht="18" hidden="1" customHeight="1" x14ac:dyDescent="0.25"/>
    <row r="1317" ht="18" hidden="1" customHeight="1" x14ac:dyDescent="0.25"/>
    <row r="1318" ht="18" hidden="1" customHeight="1" x14ac:dyDescent="0.25"/>
    <row r="1319" ht="18" hidden="1" customHeight="1" x14ac:dyDescent="0.25"/>
    <row r="1320" ht="18" hidden="1" customHeight="1" x14ac:dyDescent="0.25"/>
    <row r="1321" ht="18" hidden="1" customHeight="1" x14ac:dyDescent="0.25"/>
    <row r="1322" ht="18" hidden="1" customHeight="1" x14ac:dyDescent="0.25"/>
    <row r="1323" ht="18" hidden="1" customHeight="1" x14ac:dyDescent="0.25"/>
    <row r="1324" ht="18" hidden="1" customHeight="1" x14ac:dyDescent="0.25"/>
    <row r="1325" ht="18" hidden="1" customHeight="1" x14ac:dyDescent="0.25"/>
    <row r="1326" ht="18" hidden="1" customHeight="1" x14ac:dyDescent="0.25"/>
    <row r="1327" ht="18" hidden="1" customHeight="1" x14ac:dyDescent="0.25"/>
    <row r="1328" ht="18" hidden="1" customHeight="1" x14ac:dyDescent="0.25"/>
    <row r="1329" ht="18" hidden="1" customHeight="1" x14ac:dyDescent="0.25"/>
    <row r="1330" ht="18" hidden="1" customHeight="1" x14ac:dyDescent="0.25"/>
    <row r="1331" ht="18" hidden="1" customHeight="1" x14ac:dyDescent="0.25"/>
    <row r="1332" ht="18" hidden="1" customHeight="1" x14ac:dyDescent="0.25"/>
    <row r="1333" ht="18" hidden="1" customHeight="1" x14ac:dyDescent="0.25"/>
    <row r="1334" ht="18" hidden="1" customHeight="1" x14ac:dyDescent="0.25"/>
    <row r="1335" ht="18" hidden="1" customHeight="1" x14ac:dyDescent="0.25"/>
    <row r="1336" ht="18" hidden="1" customHeight="1" x14ac:dyDescent="0.25"/>
    <row r="1337" ht="18" hidden="1" customHeight="1" x14ac:dyDescent="0.25"/>
    <row r="1338" ht="18" hidden="1" customHeight="1" x14ac:dyDescent="0.25"/>
    <row r="1339" ht="18" hidden="1" customHeight="1" x14ac:dyDescent="0.25"/>
    <row r="1340" ht="18" hidden="1" customHeight="1" x14ac:dyDescent="0.25"/>
    <row r="1341" ht="18" hidden="1" customHeight="1" x14ac:dyDescent="0.25"/>
    <row r="1342" ht="18" hidden="1" customHeight="1" x14ac:dyDescent="0.25"/>
    <row r="1343" ht="18" hidden="1" customHeight="1" x14ac:dyDescent="0.25"/>
    <row r="1344" ht="18" hidden="1" customHeight="1" x14ac:dyDescent="0.25"/>
    <row r="1345" ht="18" hidden="1" customHeight="1" x14ac:dyDescent="0.25"/>
    <row r="1346" ht="18" hidden="1" customHeight="1" x14ac:dyDescent="0.25"/>
    <row r="1347" ht="18" hidden="1" customHeight="1" x14ac:dyDescent="0.25"/>
    <row r="1348" ht="18" hidden="1" customHeight="1" x14ac:dyDescent="0.25"/>
    <row r="1349" ht="18" hidden="1" customHeight="1" x14ac:dyDescent="0.25"/>
    <row r="1350" ht="18" hidden="1" customHeight="1" x14ac:dyDescent="0.25"/>
    <row r="1351" ht="18" hidden="1" customHeight="1" x14ac:dyDescent="0.25"/>
    <row r="1352" ht="18" hidden="1" customHeight="1" x14ac:dyDescent="0.25"/>
    <row r="1353" ht="18" hidden="1" customHeight="1" x14ac:dyDescent="0.25"/>
    <row r="1354" ht="18" hidden="1" customHeight="1" x14ac:dyDescent="0.25"/>
    <row r="1355" ht="18" hidden="1" customHeight="1" x14ac:dyDescent="0.25"/>
    <row r="1356" ht="18" hidden="1" customHeight="1" x14ac:dyDescent="0.25"/>
    <row r="1357" ht="18" hidden="1" customHeight="1" x14ac:dyDescent="0.25"/>
    <row r="1358" ht="18" hidden="1" customHeight="1" x14ac:dyDescent="0.25"/>
    <row r="1359" ht="18" hidden="1" customHeight="1" x14ac:dyDescent="0.25"/>
    <row r="1360" ht="18" hidden="1" customHeight="1" x14ac:dyDescent="0.25"/>
    <row r="1361" ht="18" hidden="1" customHeight="1" x14ac:dyDescent="0.25"/>
    <row r="1362" ht="18" hidden="1" customHeight="1" x14ac:dyDescent="0.25"/>
    <row r="1363" ht="18" hidden="1" customHeight="1" x14ac:dyDescent="0.25"/>
    <row r="1364" ht="18" hidden="1" customHeight="1" x14ac:dyDescent="0.25"/>
    <row r="1365" ht="18" hidden="1" customHeight="1" x14ac:dyDescent="0.25"/>
    <row r="1366" ht="18" hidden="1" customHeight="1" x14ac:dyDescent="0.25"/>
    <row r="1367" ht="18" hidden="1" customHeight="1" x14ac:dyDescent="0.25"/>
    <row r="1368" ht="18" hidden="1" customHeight="1" x14ac:dyDescent="0.25"/>
    <row r="1369" ht="18" hidden="1" customHeight="1" x14ac:dyDescent="0.25"/>
    <row r="1370" ht="18" hidden="1" customHeight="1" x14ac:dyDescent="0.25"/>
    <row r="1371" ht="18" hidden="1" customHeight="1" x14ac:dyDescent="0.25"/>
    <row r="1372" ht="18" hidden="1" customHeight="1" x14ac:dyDescent="0.25"/>
    <row r="1373" ht="18" hidden="1" customHeight="1" x14ac:dyDescent="0.25"/>
    <row r="1374" ht="18" hidden="1" customHeight="1" x14ac:dyDescent="0.25"/>
    <row r="1375" ht="18" hidden="1" customHeight="1" x14ac:dyDescent="0.25"/>
    <row r="1376" ht="18" hidden="1" customHeight="1" x14ac:dyDescent="0.25"/>
    <row r="1377" ht="18" hidden="1" customHeight="1" x14ac:dyDescent="0.25"/>
    <row r="1378" ht="18" hidden="1" customHeight="1" x14ac:dyDescent="0.25"/>
    <row r="1379" ht="18" hidden="1" customHeight="1" x14ac:dyDescent="0.25"/>
    <row r="1380" ht="18" hidden="1" customHeight="1" x14ac:dyDescent="0.25"/>
    <row r="1381" ht="18" hidden="1" customHeight="1" x14ac:dyDescent="0.25"/>
    <row r="1382" ht="18" hidden="1" customHeight="1" x14ac:dyDescent="0.25"/>
    <row r="1383" ht="18" hidden="1" customHeight="1" x14ac:dyDescent="0.25"/>
    <row r="1384" ht="18" hidden="1" customHeight="1" x14ac:dyDescent="0.25"/>
    <row r="1385" ht="18" hidden="1" customHeight="1" x14ac:dyDescent="0.25"/>
    <row r="1386" ht="18" hidden="1" customHeight="1" x14ac:dyDescent="0.25"/>
    <row r="1387" ht="18" hidden="1" customHeight="1" x14ac:dyDescent="0.25"/>
    <row r="1388" ht="18" hidden="1" customHeight="1" x14ac:dyDescent="0.25"/>
    <row r="1389" ht="18" hidden="1" customHeight="1" x14ac:dyDescent="0.25"/>
    <row r="1390" ht="18" hidden="1" customHeight="1" x14ac:dyDescent="0.25"/>
    <row r="1391" ht="18" hidden="1" customHeight="1" x14ac:dyDescent="0.25"/>
    <row r="1392" ht="18" hidden="1" customHeight="1" x14ac:dyDescent="0.25"/>
    <row r="1393" ht="18" hidden="1" customHeight="1" x14ac:dyDescent="0.25"/>
    <row r="1394" ht="18" hidden="1" customHeight="1" x14ac:dyDescent="0.25"/>
    <row r="1395" ht="18" hidden="1" customHeight="1" x14ac:dyDescent="0.25"/>
    <row r="1396" ht="18" hidden="1" customHeight="1" x14ac:dyDescent="0.25"/>
    <row r="1397" ht="18" hidden="1" customHeight="1" x14ac:dyDescent="0.25"/>
    <row r="1398" ht="18" hidden="1" customHeight="1" x14ac:dyDescent="0.25"/>
    <row r="1399" ht="18" hidden="1" customHeight="1" x14ac:dyDescent="0.25"/>
    <row r="1400" ht="18" hidden="1" customHeight="1" x14ac:dyDescent="0.25"/>
    <row r="1401" ht="18" hidden="1" customHeight="1" x14ac:dyDescent="0.25"/>
    <row r="1402" ht="18" hidden="1" customHeight="1" x14ac:dyDescent="0.25"/>
    <row r="1403" ht="18" hidden="1" customHeight="1" x14ac:dyDescent="0.25"/>
    <row r="1404" ht="18" hidden="1" customHeight="1" x14ac:dyDescent="0.25"/>
    <row r="1405" ht="18" hidden="1" customHeight="1" x14ac:dyDescent="0.25"/>
    <row r="1406" ht="18" hidden="1" customHeight="1" x14ac:dyDescent="0.25"/>
    <row r="1407" ht="18" hidden="1" customHeight="1" x14ac:dyDescent="0.25"/>
    <row r="1408" ht="18" hidden="1" customHeight="1" x14ac:dyDescent="0.25"/>
    <row r="1409" ht="18" hidden="1" customHeight="1" x14ac:dyDescent="0.25"/>
    <row r="1410" ht="18" hidden="1" customHeight="1" x14ac:dyDescent="0.25"/>
    <row r="1411" ht="18" hidden="1" customHeight="1" x14ac:dyDescent="0.25"/>
    <row r="1412" ht="18" hidden="1" customHeight="1" x14ac:dyDescent="0.25"/>
    <row r="1413" ht="18" hidden="1" customHeight="1" x14ac:dyDescent="0.25"/>
    <row r="1414" ht="18" hidden="1" customHeight="1" x14ac:dyDescent="0.25"/>
    <row r="1415" ht="18" hidden="1" customHeight="1" x14ac:dyDescent="0.25"/>
    <row r="1416" ht="18" hidden="1" customHeight="1" x14ac:dyDescent="0.25"/>
    <row r="1417" ht="18" hidden="1" customHeight="1" x14ac:dyDescent="0.25"/>
    <row r="1418" ht="18" hidden="1" customHeight="1" x14ac:dyDescent="0.25"/>
    <row r="1419" ht="18" hidden="1" customHeight="1" x14ac:dyDescent="0.25"/>
    <row r="1420" ht="18" hidden="1" customHeight="1" x14ac:dyDescent="0.25"/>
    <row r="1421" ht="18" hidden="1" customHeight="1" x14ac:dyDescent="0.25"/>
    <row r="1422" ht="18" hidden="1" customHeight="1" x14ac:dyDescent="0.25"/>
    <row r="1423" ht="18" hidden="1" customHeight="1" x14ac:dyDescent="0.25"/>
    <row r="1424" ht="18" hidden="1" customHeight="1" x14ac:dyDescent="0.25"/>
    <row r="1425" ht="18" hidden="1" customHeight="1" x14ac:dyDescent="0.25"/>
    <row r="1426" ht="18" hidden="1" customHeight="1" x14ac:dyDescent="0.25"/>
    <row r="1427" ht="18" hidden="1" customHeight="1" x14ac:dyDescent="0.25"/>
    <row r="1428" ht="18" hidden="1" customHeight="1" x14ac:dyDescent="0.25"/>
    <row r="1429" ht="18" hidden="1" customHeight="1" x14ac:dyDescent="0.25"/>
    <row r="1430" ht="18" hidden="1" customHeight="1" x14ac:dyDescent="0.25"/>
    <row r="1431" ht="18" hidden="1" customHeight="1" x14ac:dyDescent="0.25"/>
    <row r="1432" ht="18" hidden="1" customHeight="1" x14ac:dyDescent="0.25"/>
    <row r="1433" ht="18" hidden="1" customHeight="1" x14ac:dyDescent="0.25"/>
    <row r="1434" ht="18" hidden="1" customHeight="1" x14ac:dyDescent="0.25"/>
    <row r="1435" ht="18" hidden="1" customHeight="1" x14ac:dyDescent="0.25"/>
    <row r="1436" ht="18" hidden="1" customHeight="1" x14ac:dyDescent="0.25"/>
    <row r="1437" ht="18" hidden="1" customHeight="1" x14ac:dyDescent="0.25"/>
    <row r="1438" ht="18" hidden="1" customHeight="1" x14ac:dyDescent="0.25"/>
    <row r="1439" ht="18" hidden="1" customHeight="1" x14ac:dyDescent="0.25"/>
    <row r="1440" ht="18" hidden="1" customHeight="1" x14ac:dyDescent="0.25"/>
    <row r="1441" ht="18" hidden="1" customHeight="1" x14ac:dyDescent="0.25"/>
    <row r="1442" ht="18" hidden="1" customHeight="1" x14ac:dyDescent="0.25"/>
    <row r="1443" ht="18" hidden="1" customHeight="1" x14ac:dyDescent="0.25"/>
    <row r="1444" ht="18" hidden="1" customHeight="1" x14ac:dyDescent="0.25"/>
    <row r="1445" ht="18" hidden="1" customHeight="1" x14ac:dyDescent="0.25"/>
    <row r="1446" ht="18" hidden="1" customHeight="1" x14ac:dyDescent="0.25"/>
    <row r="1447" ht="18" hidden="1" customHeight="1" x14ac:dyDescent="0.25"/>
    <row r="1448" ht="18" hidden="1" customHeight="1" x14ac:dyDescent="0.25"/>
    <row r="1449" ht="18" hidden="1" customHeight="1" x14ac:dyDescent="0.25"/>
    <row r="1450" ht="18" hidden="1" customHeight="1" x14ac:dyDescent="0.25"/>
    <row r="1451" ht="18" hidden="1" customHeight="1" x14ac:dyDescent="0.25"/>
    <row r="1452" ht="18" hidden="1" customHeight="1" x14ac:dyDescent="0.25"/>
    <row r="1453" ht="18" hidden="1" customHeight="1" x14ac:dyDescent="0.25"/>
    <row r="1454" ht="18" hidden="1" customHeight="1" x14ac:dyDescent="0.25"/>
    <row r="1455" ht="18" hidden="1" customHeight="1" x14ac:dyDescent="0.25"/>
    <row r="1456" ht="18" hidden="1" customHeight="1" x14ac:dyDescent="0.25"/>
    <row r="1457" ht="18" hidden="1" customHeight="1" x14ac:dyDescent="0.25"/>
    <row r="1458" ht="18" hidden="1" customHeight="1" x14ac:dyDescent="0.25"/>
    <row r="1459" ht="18" hidden="1" customHeight="1" x14ac:dyDescent="0.25"/>
    <row r="1460" ht="18" hidden="1" customHeight="1" x14ac:dyDescent="0.25"/>
    <row r="1461" ht="18" hidden="1" customHeight="1" x14ac:dyDescent="0.25"/>
    <row r="1462" ht="18" hidden="1" customHeight="1" x14ac:dyDescent="0.25"/>
    <row r="1463" ht="18" hidden="1" customHeight="1" x14ac:dyDescent="0.25"/>
    <row r="1464" ht="18" hidden="1" customHeight="1" x14ac:dyDescent="0.25"/>
    <row r="1465" ht="18" hidden="1" customHeight="1" x14ac:dyDescent="0.25"/>
    <row r="1466" ht="18" hidden="1" customHeight="1" x14ac:dyDescent="0.25"/>
    <row r="1467" ht="18" hidden="1" customHeight="1" x14ac:dyDescent="0.25"/>
    <row r="1468" ht="18" hidden="1" customHeight="1" x14ac:dyDescent="0.25"/>
    <row r="1469" ht="18" hidden="1" customHeight="1" x14ac:dyDescent="0.25"/>
    <row r="1470" ht="18" hidden="1" customHeight="1" x14ac:dyDescent="0.25"/>
    <row r="1471" ht="18" hidden="1" customHeight="1" x14ac:dyDescent="0.25"/>
    <row r="1472" ht="18" hidden="1" customHeight="1" x14ac:dyDescent="0.25"/>
    <row r="1473" ht="18" hidden="1" customHeight="1" x14ac:dyDescent="0.25"/>
    <row r="1474" ht="18" hidden="1" customHeight="1" x14ac:dyDescent="0.25"/>
    <row r="1475" ht="18" hidden="1" customHeight="1" x14ac:dyDescent="0.25"/>
    <row r="1476" ht="18" hidden="1" customHeight="1" x14ac:dyDescent="0.25"/>
    <row r="1477" ht="18" hidden="1" customHeight="1" x14ac:dyDescent="0.25"/>
    <row r="1478" ht="18" hidden="1" customHeight="1" x14ac:dyDescent="0.25"/>
    <row r="1479" ht="18" hidden="1" customHeight="1" x14ac:dyDescent="0.25"/>
    <row r="1480" ht="18" hidden="1" customHeight="1" x14ac:dyDescent="0.25"/>
    <row r="1481" ht="18" hidden="1" customHeight="1" x14ac:dyDescent="0.25"/>
    <row r="1482" ht="18" hidden="1" customHeight="1" x14ac:dyDescent="0.25"/>
    <row r="1483" ht="18" hidden="1" customHeight="1" x14ac:dyDescent="0.25"/>
    <row r="1484" ht="18" hidden="1" customHeight="1" x14ac:dyDescent="0.25"/>
    <row r="1485" ht="18" hidden="1" customHeight="1" x14ac:dyDescent="0.25"/>
    <row r="1486" ht="18" hidden="1" customHeight="1" x14ac:dyDescent="0.25"/>
    <row r="1487" ht="18" hidden="1" customHeight="1" x14ac:dyDescent="0.25"/>
    <row r="1488" ht="18" hidden="1" customHeight="1" x14ac:dyDescent="0.25"/>
    <row r="1489" ht="18" hidden="1" customHeight="1" x14ac:dyDescent="0.25"/>
    <row r="1490" ht="18" hidden="1" customHeight="1" x14ac:dyDescent="0.25"/>
    <row r="1491" ht="18" hidden="1" customHeight="1" x14ac:dyDescent="0.25"/>
    <row r="1492" ht="18" hidden="1" customHeight="1" x14ac:dyDescent="0.25"/>
    <row r="1493" ht="18" hidden="1" customHeight="1" x14ac:dyDescent="0.25"/>
    <row r="1494" ht="18" hidden="1" customHeight="1" x14ac:dyDescent="0.25"/>
    <row r="1495" ht="18" hidden="1" customHeight="1" x14ac:dyDescent="0.25"/>
    <row r="1496" ht="18" hidden="1" customHeight="1" x14ac:dyDescent="0.25"/>
    <row r="1497" ht="18" hidden="1" customHeight="1" x14ac:dyDescent="0.25"/>
    <row r="1498" ht="18" hidden="1" customHeight="1" x14ac:dyDescent="0.25"/>
    <row r="1499" ht="18" hidden="1" customHeight="1" x14ac:dyDescent="0.25"/>
    <row r="1500" ht="18" hidden="1" customHeight="1" x14ac:dyDescent="0.25"/>
    <row r="1501" ht="18" hidden="1" customHeight="1" x14ac:dyDescent="0.25"/>
    <row r="1502" ht="18" hidden="1" customHeight="1" x14ac:dyDescent="0.25"/>
    <row r="1503" ht="18" hidden="1" customHeight="1" x14ac:dyDescent="0.25"/>
    <row r="1504" ht="18" hidden="1" customHeight="1" x14ac:dyDescent="0.25"/>
    <row r="1505" ht="18" hidden="1" customHeight="1" x14ac:dyDescent="0.25"/>
    <row r="1506" ht="18" hidden="1" customHeight="1" x14ac:dyDescent="0.25"/>
    <row r="1507" ht="18" hidden="1" customHeight="1" x14ac:dyDescent="0.25"/>
    <row r="1508" ht="18" hidden="1" customHeight="1" x14ac:dyDescent="0.25"/>
    <row r="1509" ht="18" hidden="1" customHeight="1" x14ac:dyDescent="0.25"/>
    <row r="1510" ht="18" hidden="1" customHeight="1" x14ac:dyDescent="0.25"/>
    <row r="1511" ht="18" hidden="1" customHeight="1" x14ac:dyDescent="0.25"/>
    <row r="1512" ht="18" hidden="1" customHeight="1" x14ac:dyDescent="0.25"/>
    <row r="1513" ht="18" hidden="1" customHeight="1" x14ac:dyDescent="0.25"/>
    <row r="1514" ht="18" hidden="1" customHeight="1" x14ac:dyDescent="0.25"/>
    <row r="1515" ht="18" hidden="1" customHeight="1" x14ac:dyDescent="0.25"/>
    <row r="1516" ht="18" hidden="1" customHeight="1" x14ac:dyDescent="0.25"/>
    <row r="1517" ht="18" hidden="1" customHeight="1" x14ac:dyDescent="0.25"/>
    <row r="1518" ht="18" hidden="1" customHeight="1" x14ac:dyDescent="0.25"/>
    <row r="1519" ht="18" hidden="1" customHeight="1" x14ac:dyDescent="0.25"/>
    <row r="1520" ht="18" hidden="1" customHeight="1" x14ac:dyDescent="0.25"/>
    <row r="1521" ht="18" hidden="1" customHeight="1" x14ac:dyDescent="0.25"/>
    <row r="1522" ht="18" hidden="1" customHeight="1" x14ac:dyDescent="0.25"/>
    <row r="1523" ht="18" hidden="1" customHeight="1" x14ac:dyDescent="0.25"/>
    <row r="1524" ht="18" hidden="1" customHeight="1" x14ac:dyDescent="0.25"/>
    <row r="1525" ht="18" hidden="1" customHeight="1" x14ac:dyDescent="0.25"/>
    <row r="1526" ht="18" hidden="1" customHeight="1" x14ac:dyDescent="0.25"/>
    <row r="1527" ht="18" hidden="1" customHeight="1" x14ac:dyDescent="0.25"/>
    <row r="1528" ht="18" hidden="1" customHeight="1" x14ac:dyDescent="0.25"/>
    <row r="1529" ht="18" hidden="1" customHeight="1" x14ac:dyDescent="0.25"/>
    <row r="1530" ht="18" hidden="1" customHeight="1" x14ac:dyDescent="0.25"/>
    <row r="1531" ht="18" hidden="1" customHeight="1" x14ac:dyDescent="0.25"/>
    <row r="1532" ht="18" hidden="1" customHeight="1" x14ac:dyDescent="0.25"/>
    <row r="1533" ht="18" hidden="1" customHeight="1" x14ac:dyDescent="0.25"/>
    <row r="1534" ht="18" hidden="1" customHeight="1" x14ac:dyDescent="0.25"/>
    <row r="1535" ht="18" hidden="1" customHeight="1" x14ac:dyDescent="0.25"/>
    <row r="1536" ht="18" hidden="1" customHeight="1" x14ac:dyDescent="0.25"/>
    <row r="1537" ht="18" hidden="1" customHeight="1" x14ac:dyDescent="0.25"/>
    <row r="1538" ht="18" hidden="1" customHeight="1" x14ac:dyDescent="0.25"/>
    <row r="1539" ht="18" hidden="1" customHeight="1" x14ac:dyDescent="0.25"/>
    <row r="1540" ht="18" hidden="1" customHeight="1" x14ac:dyDescent="0.25"/>
    <row r="1541" ht="18" hidden="1" customHeight="1" x14ac:dyDescent="0.25"/>
    <row r="1542" ht="18" hidden="1" customHeight="1" x14ac:dyDescent="0.25"/>
    <row r="1543" ht="18" hidden="1" customHeight="1" x14ac:dyDescent="0.25"/>
    <row r="1544" ht="18" hidden="1" customHeight="1" x14ac:dyDescent="0.25"/>
    <row r="1545" ht="18" hidden="1" customHeight="1" x14ac:dyDescent="0.25"/>
    <row r="1546" ht="18" hidden="1" customHeight="1" x14ac:dyDescent="0.25"/>
    <row r="1547" ht="18" hidden="1" customHeight="1" x14ac:dyDescent="0.25"/>
    <row r="1548" ht="18" hidden="1" customHeight="1" x14ac:dyDescent="0.25"/>
    <row r="1549" ht="18" hidden="1" customHeight="1" x14ac:dyDescent="0.25"/>
    <row r="1550" ht="18" hidden="1" customHeight="1" x14ac:dyDescent="0.25"/>
    <row r="1551" ht="18" hidden="1" customHeight="1" x14ac:dyDescent="0.25"/>
    <row r="1552" ht="18" hidden="1" customHeight="1" x14ac:dyDescent="0.25"/>
    <row r="1553" ht="18" hidden="1" customHeight="1" x14ac:dyDescent="0.25"/>
    <row r="1554" ht="18" hidden="1" customHeight="1" x14ac:dyDescent="0.25"/>
    <row r="1555" ht="18" hidden="1" customHeight="1" x14ac:dyDescent="0.25"/>
    <row r="1556" ht="18" hidden="1" customHeight="1" x14ac:dyDescent="0.25"/>
    <row r="1557" ht="18" hidden="1" customHeight="1" x14ac:dyDescent="0.25"/>
    <row r="1558" ht="18" hidden="1" customHeight="1" x14ac:dyDescent="0.25"/>
    <row r="1559" ht="18" hidden="1" customHeight="1" x14ac:dyDescent="0.25"/>
    <row r="1560" ht="18" hidden="1" customHeight="1" x14ac:dyDescent="0.25"/>
    <row r="1561" ht="18" hidden="1" customHeight="1" x14ac:dyDescent="0.25"/>
    <row r="1562" ht="18" hidden="1" customHeight="1" x14ac:dyDescent="0.25"/>
    <row r="1563" ht="18" hidden="1" customHeight="1" x14ac:dyDescent="0.25"/>
    <row r="1564" ht="18" hidden="1" customHeight="1" x14ac:dyDescent="0.25"/>
    <row r="1565" ht="18" hidden="1" customHeight="1" x14ac:dyDescent="0.25"/>
    <row r="1566" ht="18" hidden="1" customHeight="1" x14ac:dyDescent="0.25"/>
    <row r="1567" ht="18" hidden="1" customHeight="1" x14ac:dyDescent="0.25"/>
    <row r="1568" ht="18" hidden="1" customHeight="1" x14ac:dyDescent="0.25"/>
    <row r="1569" ht="18" hidden="1" customHeight="1" x14ac:dyDescent="0.25"/>
    <row r="1570" ht="18" hidden="1" customHeight="1" x14ac:dyDescent="0.25"/>
    <row r="1571" ht="18" hidden="1" customHeight="1" x14ac:dyDescent="0.25"/>
    <row r="1572" ht="18" hidden="1" customHeight="1" x14ac:dyDescent="0.25"/>
    <row r="1573" ht="18" hidden="1" customHeight="1" x14ac:dyDescent="0.25"/>
    <row r="1574" ht="18" hidden="1" customHeight="1" x14ac:dyDescent="0.25"/>
    <row r="1575" ht="18" hidden="1" customHeight="1" x14ac:dyDescent="0.25"/>
    <row r="1576" ht="18" hidden="1" customHeight="1" x14ac:dyDescent="0.25"/>
    <row r="1577" ht="18" hidden="1" customHeight="1" x14ac:dyDescent="0.25"/>
    <row r="1578" ht="18" hidden="1" customHeight="1" x14ac:dyDescent="0.25"/>
    <row r="1579" ht="18" hidden="1" customHeight="1" x14ac:dyDescent="0.25"/>
    <row r="1580" ht="18" hidden="1" customHeight="1" x14ac:dyDescent="0.25"/>
    <row r="1581" ht="18" hidden="1" customHeight="1" x14ac:dyDescent="0.25"/>
    <row r="1582" ht="18" hidden="1" customHeight="1" x14ac:dyDescent="0.25"/>
    <row r="1583" ht="18" hidden="1" customHeight="1" x14ac:dyDescent="0.25"/>
    <row r="1584" ht="18" hidden="1" customHeight="1" x14ac:dyDescent="0.25"/>
    <row r="1585" ht="18" hidden="1" customHeight="1" x14ac:dyDescent="0.25"/>
    <row r="1586" ht="18" hidden="1" customHeight="1" x14ac:dyDescent="0.25"/>
    <row r="1587" ht="18" hidden="1" customHeight="1" x14ac:dyDescent="0.25"/>
    <row r="1588" ht="18" hidden="1" customHeight="1" x14ac:dyDescent="0.25"/>
    <row r="1589" ht="18" hidden="1" customHeight="1" x14ac:dyDescent="0.25"/>
    <row r="1590" ht="18" hidden="1" customHeight="1" x14ac:dyDescent="0.25"/>
    <row r="1591" ht="18" hidden="1" customHeight="1" x14ac:dyDescent="0.25"/>
    <row r="1592" ht="18" hidden="1" customHeight="1" x14ac:dyDescent="0.25"/>
    <row r="1593" ht="18" hidden="1" customHeight="1" x14ac:dyDescent="0.25"/>
    <row r="1594" ht="18" hidden="1" customHeight="1" x14ac:dyDescent="0.25"/>
    <row r="1595" ht="18" hidden="1" customHeight="1" x14ac:dyDescent="0.25"/>
    <row r="1596" ht="18" hidden="1" customHeight="1" x14ac:dyDescent="0.25"/>
    <row r="1597" ht="18" hidden="1" customHeight="1" x14ac:dyDescent="0.25"/>
    <row r="1598" ht="18" hidden="1" customHeight="1" x14ac:dyDescent="0.25"/>
    <row r="1599" ht="18" hidden="1" customHeight="1" x14ac:dyDescent="0.25"/>
    <row r="1600" ht="18" hidden="1" customHeight="1" x14ac:dyDescent="0.25"/>
    <row r="1601" ht="18" hidden="1" customHeight="1" x14ac:dyDescent="0.25"/>
    <row r="1602" ht="18" hidden="1" customHeight="1" x14ac:dyDescent="0.25"/>
    <row r="1603" ht="18" hidden="1" customHeight="1" x14ac:dyDescent="0.25"/>
    <row r="1604" ht="18" hidden="1" customHeight="1" x14ac:dyDescent="0.25"/>
    <row r="1605" ht="18" hidden="1" customHeight="1" x14ac:dyDescent="0.25"/>
    <row r="1606" ht="18" hidden="1" customHeight="1" x14ac:dyDescent="0.25"/>
    <row r="1607" ht="18" hidden="1" customHeight="1" x14ac:dyDescent="0.25"/>
    <row r="1608" ht="18" hidden="1" customHeight="1" x14ac:dyDescent="0.25"/>
    <row r="1609" ht="18" hidden="1" customHeight="1" x14ac:dyDescent="0.25"/>
    <row r="1610" ht="18" hidden="1" customHeight="1" x14ac:dyDescent="0.25"/>
    <row r="1611" ht="18" hidden="1" customHeight="1" x14ac:dyDescent="0.25"/>
    <row r="1612" ht="18" hidden="1" customHeight="1" x14ac:dyDescent="0.25"/>
    <row r="1613" ht="18" hidden="1" customHeight="1" x14ac:dyDescent="0.25"/>
    <row r="1614" ht="18" hidden="1" customHeight="1" x14ac:dyDescent="0.25"/>
    <row r="1615" ht="18" hidden="1" customHeight="1" x14ac:dyDescent="0.25"/>
    <row r="1616" ht="18" hidden="1" customHeight="1" x14ac:dyDescent="0.25"/>
    <row r="1617" ht="18" hidden="1" customHeight="1" x14ac:dyDescent="0.25"/>
    <row r="1618" ht="18" hidden="1" customHeight="1" x14ac:dyDescent="0.25"/>
    <row r="1619" ht="18" hidden="1" customHeight="1" x14ac:dyDescent="0.25"/>
    <row r="1620" ht="18" hidden="1" customHeight="1" x14ac:dyDescent="0.25"/>
    <row r="1621" ht="18" hidden="1" customHeight="1" x14ac:dyDescent="0.25"/>
    <row r="1622" ht="18" hidden="1" customHeight="1" x14ac:dyDescent="0.25"/>
    <row r="1623" ht="18" hidden="1" customHeight="1" x14ac:dyDescent="0.25"/>
    <row r="1624" ht="18" hidden="1" customHeight="1" x14ac:dyDescent="0.25"/>
    <row r="1625" ht="18" hidden="1" customHeight="1" x14ac:dyDescent="0.25"/>
    <row r="1626" ht="18" hidden="1" customHeight="1" x14ac:dyDescent="0.25"/>
    <row r="1627" ht="18" hidden="1" customHeight="1" x14ac:dyDescent="0.25"/>
    <row r="1628" ht="18" hidden="1" customHeight="1" x14ac:dyDescent="0.25"/>
    <row r="1629" ht="18" hidden="1" customHeight="1" x14ac:dyDescent="0.25"/>
    <row r="1630" ht="18" hidden="1" customHeight="1" x14ac:dyDescent="0.25"/>
    <row r="1631" ht="18" hidden="1" customHeight="1" x14ac:dyDescent="0.25"/>
    <row r="1632" ht="18" hidden="1" customHeight="1" x14ac:dyDescent="0.25"/>
    <row r="1633" ht="18" hidden="1" customHeight="1" x14ac:dyDescent="0.25"/>
    <row r="1634" ht="18" hidden="1" customHeight="1" x14ac:dyDescent="0.25"/>
    <row r="1635" ht="18" hidden="1" customHeight="1" x14ac:dyDescent="0.25"/>
    <row r="1636" ht="18" hidden="1" customHeight="1" x14ac:dyDescent="0.25"/>
    <row r="1637" ht="18" hidden="1" customHeight="1" x14ac:dyDescent="0.25"/>
    <row r="1638" ht="18" hidden="1" customHeight="1" x14ac:dyDescent="0.25"/>
    <row r="1639" ht="18" hidden="1" customHeight="1" x14ac:dyDescent="0.25"/>
    <row r="1640" ht="18" hidden="1" customHeight="1" x14ac:dyDescent="0.25"/>
    <row r="1641" ht="18" hidden="1" customHeight="1" x14ac:dyDescent="0.25"/>
    <row r="1642" ht="18" hidden="1" customHeight="1" x14ac:dyDescent="0.25"/>
    <row r="1643" ht="18" hidden="1" customHeight="1" x14ac:dyDescent="0.25"/>
    <row r="1644" ht="18" hidden="1" customHeight="1" x14ac:dyDescent="0.25"/>
    <row r="1645" ht="18" hidden="1" customHeight="1" x14ac:dyDescent="0.25"/>
    <row r="1646" ht="18" hidden="1" customHeight="1" x14ac:dyDescent="0.25"/>
    <row r="1647" ht="18" hidden="1" customHeight="1" x14ac:dyDescent="0.25"/>
    <row r="1648" ht="18" hidden="1" customHeight="1" x14ac:dyDescent="0.25"/>
    <row r="1649" ht="18" hidden="1" customHeight="1" x14ac:dyDescent="0.25"/>
    <row r="1650" ht="18" hidden="1" customHeight="1" x14ac:dyDescent="0.25"/>
    <row r="1651" ht="18" hidden="1" customHeight="1" x14ac:dyDescent="0.25"/>
    <row r="1652" ht="18" hidden="1" customHeight="1" x14ac:dyDescent="0.25"/>
    <row r="1653" ht="18" hidden="1" customHeight="1" x14ac:dyDescent="0.25"/>
    <row r="1654" ht="18" hidden="1" customHeight="1" x14ac:dyDescent="0.25"/>
    <row r="1655" ht="18" hidden="1" customHeight="1" x14ac:dyDescent="0.25"/>
    <row r="1656" ht="18" hidden="1" customHeight="1" x14ac:dyDescent="0.25"/>
    <row r="1657" ht="18" hidden="1" customHeight="1" x14ac:dyDescent="0.25"/>
    <row r="1658" ht="18" hidden="1" customHeight="1" x14ac:dyDescent="0.25"/>
    <row r="1659" ht="18" hidden="1" customHeight="1" x14ac:dyDescent="0.25"/>
    <row r="1660" ht="18" hidden="1" customHeight="1" x14ac:dyDescent="0.25"/>
    <row r="1661" ht="18" hidden="1" customHeight="1" x14ac:dyDescent="0.25"/>
    <row r="1662" ht="18" hidden="1" customHeight="1" x14ac:dyDescent="0.25"/>
    <row r="1663" ht="18" hidden="1" customHeight="1" x14ac:dyDescent="0.25"/>
    <row r="1664" ht="18" hidden="1" customHeight="1" x14ac:dyDescent="0.25"/>
    <row r="1665" ht="18" hidden="1" customHeight="1" x14ac:dyDescent="0.25"/>
    <row r="1666" ht="18" hidden="1" customHeight="1" x14ac:dyDescent="0.25"/>
    <row r="1667" ht="18" hidden="1" customHeight="1" x14ac:dyDescent="0.25"/>
    <row r="1668" ht="18" hidden="1" customHeight="1" x14ac:dyDescent="0.25"/>
    <row r="1669" ht="18" hidden="1" customHeight="1" x14ac:dyDescent="0.25"/>
    <row r="1670" ht="18" hidden="1" customHeight="1" x14ac:dyDescent="0.25"/>
    <row r="1671" ht="18" hidden="1" customHeight="1" x14ac:dyDescent="0.25"/>
    <row r="1672" ht="18" hidden="1" customHeight="1" x14ac:dyDescent="0.25"/>
    <row r="1673" ht="18" hidden="1" customHeight="1" x14ac:dyDescent="0.25"/>
    <row r="1674" ht="18" hidden="1" customHeight="1" x14ac:dyDescent="0.25"/>
    <row r="1675" ht="18" hidden="1" customHeight="1" x14ac:dyDescent="0.25"/>
    <row r="1676" ht="18" hidden="1" customHeight="1" x14ac:dyDescent="0.25"/>
    <row r="1677" ht="18" hidden="1" customHeight="1" x14ac:dyDescent="0.25"/>
    <row r="1678" ht="18" hidden="1" customHeight="1" x14ac:dyDescent="0.25"/>
    <row r="1679" ht="18" hidden="1" customHeight="1" x14ac:dyDescent="0.25"/>
    <row r="1680" ht="18" hidden="1" customHeight="1" x14ac:dyDescent="0.25"/>
    <row r="1681" ht="18" hidden="1" customHeight="1" x14ac:dyDescent="0.25"/>
    <row r="1682" ht="18" hidden="1" customHeight="1" x14ac:dyDescent="0.25"/>
    <row r="1683" ht="18" hidden="1" customHeight="1" x14ac:dyDescent="0.25"/>
    <row r="1684" ht="18" hidden="1" customHeight="1" x14ac:dyDescent="0.25"/>
    <row r="1685" ht="18" hidden="1" customHeight="1" x14ac:dyDescent="0.25"/>
    <row r="1686" ht="18" hidden="1" customHeight="1" x14ac:dyDescent="0.25"/>
    <row r="1687" ht="18" hidden="1" customHeight="1" x14ac:dyDescent="0.25"/>
    <row r="1688" ht="18" hidden="1" customHeight="1" x14ac:dyDescent="0.25"/>
    <row r="1689" ht="18" hidden="1" customHeight="1" x14ac:dyDescent="0.25"/>
    <row r="1690" ht="18" hidden="1" customHeight="1" x14ac:dyDescent="0.25"/>
    <row r="1691" ht="18" hidden="1" customHeight="1" x14ac:dyDescent="0.25"/>
    <row r="1692" ht="18" hidden="1" customHeight="1" x14ac:dyDescent="0.25"/>
    <row r="1693" ht="18" hidden="1" customHeight="1" x14ac:dyDescent="0.25"/>
    <row r="1694" ht="18" hidden="1" customHeight="1" x14ac:dyDescent="0.25"/>
    <row r="1695" ht="18" hidden="1" customHeight="1" x14ac:dyDescent="0.25"/>
    <row r="1696" ht="18" hidden="1" customHeight="1" x14ac:dyDescent="0.25"/>
    <row r="1697" ht="18" hidden="1" customHeight="1" x14ac:dyDescent="0.25"/>
    <row r="1698" ht="18" hidden="1" customHeight="1" x14ac:dyDescent="0.25"/>
    <row r="1699" ht="18" hidden="1" customHeight="1" x14ac:dyDescent="0.25"/>
    <row r="1700" ht="18" hidden="1" customHeight="1" x14ac:dyDescent="0.25"/>
    <row r="1701" ht="18" hidden="1" customHeight="1" x14ac:dyDescent="0.25"/>
    <row r="1702" ht="18" hidden="1" customHeight="1" x14ac:dyDescent="0.25"/>
    <row r="1703" ht="18" hidden="1" customHeight="1" x14ac:dyDescent="0.25"/>
    <row r="1704" ht="18" hidden="1" customHeight="1" x14ac:dyDescent="0.25"/>
    <row r="1705" ht="18" hidden="1" customHeight="1" x14ac:dyDescent="0.25"/>
    <row r="1706" ht="18" hidden="1" customHeight="1" x14ac:dyDescent="0.25"/>
    <row r="1707" ht="18" hidden="1" customHeight="1" x14ac:dyDescent="0.25"/>
    <row r="1708" ht="18" hidden="1" customHeight="1" x14ac:dyDescent="0.25"/>
    <row r="1709" ht="18" hidden="1" customHeight="1" x14ac:dyDescent="0.25"/>
    <row r="1710" ht="18" hidden="1" customHeight="1" x14ac:dyDescent="0.25"/>
    <row r="1711" ht="18" hidden="1" customHeight="1" x14ac:dyDescent="0.25"/>
    <row r="1712" ht="18" hidden="1" customHeight="1" x14ac:dyDescent="0.25"/>
    <row r="1713" ht="18" hidden="1" customHeight="1" x14ac:dyDescent="0.25"/>
    <row r="1714" ht="18" hidden="1" customHeight="1" x14ac:dyDescent="0.25"/>
    <row r="1715" ht="18" hidden="1" customHeight="1" x14ac:dyDescent="0.25"/>
    <row r="1716" ht="18" hidden="1" customHeight="1" x14ac:dyDescent="0.25"/>
    <row r="1717" ht="18" hidden="1" customHeight="1" x14ac:dyDescent="0.25"/>
    <row r="1718" ht="18" hidden="1" customHeight="1" x14ac:dyDescent="0.25"/>
    <row r="1719" ht="18" hidden="1" customHeight="1" x14ac:dyDescent="0.25"/>
    <row r="1720" ht="18" hidden="1" customHeight="1" x14ac:dyDescent="0.25"/>
    <row r="1721" ht="18" hidden="1" customHeight="1" x14ac:dyDescent="0.25"/>
    <row r="1722" ht="18" hidden="1" customHeight="1" x14ac:dyDescent="0.25"/>
    <row r="1723" ht="18" hidden="1" customHeight="1" x14ac:dyDescent="0.25"/>
    <row r="1724" ht="18" hidden="1" customHeight="1" x14ac:dyDescent="0.25"/>
    <row r="1725" ht="18" hidden="1" customHeight="1" x14ac:dyDescent="0.25"/>
    <row r="1726" ht="18" hidden="1" customHeight="1" x14ac:dyDescent="0.25"/>
    <row r="1727" ht="18" hidden="1" customHeight="1" x14ac:dyDescent="0.25"/>
    <row r="1728" ht="18" hidden="1" customHeight="1" x14ac:dyDescent="0.25"/>
    <row r="1729" ht="18" hidden="1" customHeight="1" x14ac:dyDescent="0.25"/>
    <row r="1730" ht="18" hidden="1" customHeight="1" x14ac:dyDescent="0.25"/>
    <row r="1731" ht="18" hidden="1" customHeight="1" x14ac:dyDescent="0.25"/>
    <row r="1732" ht="18" hidden="1" customHeight="1" x14ac:dyDescent="0.25"/>
    <row r="1733" ht="18" hidden="1" customHeight="1" x14ac:dyDescent="0.25"/>
    <row r="1734" ht="18" hidden="1" customHeight="1" x14ac:dyDescent="0.25"/>
    <row r="1735" ht="18" hidden="1" customHeight="1" x14ac:dyDescent="0.25"/>
    <row r="1736" ht="18" hidden="1" customHeight="1" x14ac:dyDescent="0.25"/>
    <row r="1737" ht="18" hidden="1" customHeight="1" x14ac:dyDescent="0.25"/>
    <row r="1738" ht="18" hidden="1" customHeight="1" x14ac:dyDescent="0.25"/>
    <row r="1739" ht="18" hidden="1" customHeight="1" x14ac:dyDescent="0.25"/>
    <row r="1740" ht="18" hidden="1" customHeight="1" x14ac:dyDescent="0.25"/>
    <row r="1741" ht="18" hidden="1" customHeight="1" x14ac:dyDescent="0.25"/>
    <row r="1742" ht="18" hidden="1" customHeight="1" x14ac:dyDescent="0.25"/>
    <row r="1743" ht="18" hidden="1" customHeight="1" x14ac:dyDescent="0.25"/>
    <row r="1744" ht="18" hidden="1" customHeight="1" x14ac:dyDescent="0.25"/>
    <row r="1745" ht="18" hidden="1" customHeight="1" x14ac:dyDescent="0.25"/>
    <row r="1746" ht="18" hidden="1" customHeight="1" x14ac:dyDescent="0.25"/>
    <row r="1747" ht="18" hidden="1" customHeight="1" x14ac:dyDescent="0.25"/>
    <row r="1748" ht="18" hidden="1" customHeight="1" x14ac:dyDescent="0.25"/>
    <row r="1749" ht="18" hidden="1" customHeight="1" x14ac:dyDescent="0.25"/>
    <row r="1750" ht="18" hidden="1" customHeight="1" x14ac:dyDescent="0.25"/>
    <row r="1751" ht="18" hidden="1" customHeight="1" x14ac:dyDescent="0.25"/>
    <row r="1752" ht="18" hidden="1" customHeight="1" x14ac:dyDescent="0.25"/>
    <row r="1753" ht="18" hidden="1" customHeight="1" x14ac:dyDescent="0.25"/>
    <row r="1754" ht="18" hidden="1" customHeight="1" x14ac:dyDescent="0.25"/>
    <row r="1755" ht="18" hidden="1" customHeight="1" x14ac:dyDescent="0.25"/>
    <row r="1756" ht="18" hidden="1" customHeight="1" x14ac:dyDescent="0.25"/>
    <row r="1757" ht="18" hidden="1" customHeight="1" x14ac:dyDescent="0.25"/>
    <row r="1758" ht="18" hidden="1" customHeight="1" x14ac:dyDescent="0.25"/>
    <row r="1759" ht="18" hidden="1" customHeight="1" x14ac:dyDescent="0.25"/>
    <row r="1760" ht="18" hidden="1" customHeight="1" x14ac:dyDescent="0.25"/>
    <row r="1761" ht="18" hidden="1" customHeight="1" x14ac:dyDescent="0.25"/>
    <row r="1762" ht="18" hidden="1" customHeight="1" x14ac:dyDescent="0.25"/>
    <row r="1763" ht="18" hidden="1" customHeight="1" x14ac:dyDescent="0.25"/>
    <row r="1764" ht="18" hidden="1" customHeight="1" x14ac:dyDescent="0.25"/>
    <row r="1765" ht="18" hidden="1" customHeight="1" x14ac:dyDescent="0.25"/>
    <row r="1766" ht="18" hidden="1" customHeight="1" x14ac:dyDescent="0.25"/>
    <row r="1767" ht="18" hidden="1" customHeight="1" x14ac:dyDescent="0.25"/>
    <row r="1768" ht="18" hidden="1" customHeight="1" x14ac:dyDescent="0.25"/>
    <row r="1769" ht="18" hidden="1" customHeight="1" x14ac:dyDescent="0.25"/>
    <row r="1770" ht="18" hidden="1" customHeight="1" x14ac:dyDescent="0.25"/>
    <row r="1771" ht="18" hidden="1" customHeight="1" x14ac:dyDescent="0.25"/>
    <row r="1772" ht="18" hidden="1" customHeight="1" x14ac:dyDescent="0.25"/>
    <row r="1773" ht="18" hidden="1" customHeight="1" x14ac:dyDescent="0.25"/>
    <row r="1774" ht="18" hidden="1" customHeight="1" x14ac:dyDescent="0.25"/>
    <row r="1775" ht="18" hidden="1" customHeight="1" x14ac:dyDescent="0.25"/>
    <row r="1776" ht="18" hidden="1" customHeight="1" x14ac:dyDescent="0.25"/>
    <row r="1777" ht="18" hidden="1" customHeight="1" x14ac:dyDescent="0.25"/>
    <row r="1778" ht="18" hidden="1" customHeight="1" x14ac:dyDescent="0.25"/>
    <row r="1779" ht="18" hidden="1" customHeight="1" x14ac:dyDescent="0.25"/>
    <row r="1780" ht="18" hidden="1" customHeight="1" x14ac:dyDescent="0.25"/>
    <row r="1781" ht="18" hidden="1" customHeight="1" x14ac:dyDescent="0.25"/>
    <row r="1782" ht="18" hidden="1" customHeight="1" x14ac:dyDescent="0.25"/>
    <row r="1783" ht="18" hidden="1" customHeight="1" x14ac:dyDescent="0.25"/>
    <row r="1784" ht="18" hidden="1" customHeight="1" x14ac:dyDescent="0.25"/>
    <row r="1785" ht="18" hidden="1" customHeight="1" x14ac:dyDescent="0.25"/>
    <row r="1786" ht="18" hidden="1" customHeight="1" x14ac:dyDescent="0.25"/>
    <row r="1787" ht="18" hidden="1" customHeight="1" x14ac:dyDescent="0.25"/>
    <row r="1788" ht="18" hidden="1" customHeight="1" x14ac:dyDescent="0.25"/>
    <row r="1789" ht="18" hidden="1" customHeight="1" x14ac:dyDescent="0.25"/>
    <row r="1790" ht="18" hidden="1" customHeight="1" x14ac:dyDescent="0.25"/>
    <row r="1791" ht="18" hidden="1" customHeight="1" x14ac:dyDescent="0.25"/>
    <row r="1792" ht="18" hidden="1" customHeight="1" x14ac:dyDescent="0.25"/>
    <row r="1793" ht="18" hidden="1" customHeight="1" x14ac:dyDescent="0.25"/>
    <row r="1794" ht="18" hidden="1" customHeight="1" x14ac:dyDescent="0.25"/>
    <row r="1795" ht="18" hidden="1" customHeight="1" x14ac:dyDescent="0.25"/>
    <row r="1796" ht="18" hidden="1" customHeight="1" x14ac:dyDescent="0.25"/>
    <row r="1797" ht="18" hidden="1" customHeight="1" x14ac:dyDescent="0.25"/>
    <row r="1798" ht="18" hidden="1" customHeight="1" x14ac:dyDescent="0.25"/>
    <row r="1799" ht="18" hidden="1" customHeight="1" x14ac:dyDescent="0.25"/>
    <row r="1800" ht="18" hidden="1" customHeight="1" x14ac:dyDescent="0.25"/>
    <row r="1801" ht="18" hidden="1" customHeight="1" x14ac:dyDescent="0.25"/>
    <row r="1802" ht="18" hidden="1" customHeight="1" x14ac:dyDescent="0.25"/>
    <row r="1803" ht="18" hidden="1" customHeight="1" x14ac:dyDescent="0.25"/>
    <row r="1804" ht="18" hidden="1" customHeight="1" x14ac:dyDescent="0.25"/>
    <row r="1805" ht="18" hidden="1" customHeight="1" x14ac:dyDescent="0.25"/>
    <row r="1806" ht="18" hidden="1" customHeight="1" x14ac:dyDescent="0.25"/>
    <row r="1807" ht="18" hidden="1" customHeight="1" x14ac:dyDescent="0.25"/>
    <row r="1808" ht="18" hidden="1" customHeight="1" x14ac:dyDescent="0.25"/>
    <row r="1809" ht="18" hidden="1" customHeight="1" x14ac:dyDescent="0.25"/>
    <row r="1810" ht="18" hidden="1" customHeight="1" x14ac:dyDescent="0.25"/>
    <row r="1811" ht="18" hidden="1" customHeight="1" x14ac:dyDescent="0.25"/>
    <row r="1812" ht="18" hidden="1" customHeight="1" x14ac:dyDescent="0.25"/>
    <row r="1813" ht="18" hidden="1" customHeight="1" x14ac:dyDescent="0.25"/>
    <row r="1814" ht="18" hidden="1" customHeight="1" x14ac:dyDescent="0.25"/>
    <row r="1815" ht="18" hidden="1" customHeight="1" x14ac:dyDescent="0.25"/>
    <row r="1816" ht="18" hidden="1" customHeight="1" x14ac:dyDescent="0.25"/>
    <row r="1817" ht="18" hidden="1" customHeight="1" x14ac:dyDescent="0.25"/>
    <row r="1818" ht="18" hidden="1" customHeight="1" x14ac:dyDescent="0.25"/>
    <row r="1819" ht="18" hidden="1" customHeight="1" x14ac:dyDescent="0.25"/>
    <row r="1820" ht="18" hidden="1" customHeight="1" x14ac:dyDescent="0.25"/>
    <row r="1821" ht="18" hidden="1" customHeight="1" x14ac:dyDescent="0.25"/>
    <row r="1822" ht="18" hidden="1" customHeight="1" x14ac:dyDescent="0.25"/>
    <row r="1823" ht="18" hidden="1" customHeight="1" x14ac:dyDescent="0.25"/>
    <row r="1824" ht="18" hidden="1" customHeight="1" x14ac:dyDescent="0.25"/>
    <row r="1825" ht="18" hidden="1" customHeight="1" x14ac:dyDescent="0.25"/>
    <row r="1826" ht="18" hidden="1" customHeight="1" x14ac:dyDescent="0.25"/>
    <row r="1827" ht="18" hidden="1" customHeight="1" x14ac:dyDescent="0.25"/>
    <row r="1828" ht="18" hidden="1" customHeight="1" x14ac:dyDescent="0.25"/>
    <row r="1829" ht="18" hidden="1" customHeight="1" x14ac:dyDescent="0.25"/>
    <row r="1830" ht="18" hidden="1" customHeight="1" x14ac:dyDescent="0.25"/>
    <row r="1831" ht="18" hidden="1" customHeight="1" x14ac:dyDescent="0.25"/>
    <row r="1832" ht="18" hidden="1" customHeight="1" x14ac:dyDescent="0.25"/>
    <row r="1833" ht="18" hidden="1" customHeight="1" x14ac:dyDescent="0.25"/>
    <row r="1834" ht="18" hidden="1" customHeight="1" x14ac:dyDescent="0.25"/>
    <row r="1835" ht="18" hidden="1" customHeight="1" x14ac:dyDescent="0.25"/>
    <row r="1836" ht="18" hidden="1" customHeight="1" x14ac:dyDescent="0.25"/>
    <row r="1837" ht="18" hidden="1" customHeight="1" x14ac:dyDescent="0.25"/>
    <row r="1838" ht="18" hidden="1" customHeight="1" x14ac:dyDescent="0.25"/>
    <row r="1839" ht="18" hidden="1" customHeight="1" x14ac:dyDescent="0.25"/>
    <row r="1840" ht="18" hidden="1" customHeight="1" x14ac:dyDescent="0.25"/>
    <row r="1841" ht="18" hidden="1" customHeight="1" x14ac:dyDescent="0.25"/>
    <row r="1842" ht="18" hidden="1" customHeight="1" x14ac:dyDescent="0.25"/>
    <row r="1843" ht="18" hidden="1" customHeight="1" x14ac:dyDescent="0.25"/>
    <row r="1844" ht="18" hidden="1" customHeight="1" x14ac:dyDescent="0.25"/>
    <row r="1845" ht="18" hidden="1" customHeight="1" x14ac:dyDescent="0.25"/>
    <row r="1846" ht="18" hidden="1" customHeight="1" x14ac:dyDescent="0.25"/>
    <row r="1847" ht="18" hidden="1" customHeight="1" x14ac:dyDescent="0.25"/>
    <row r="1848" ht="18" hidden="1" customHeight="1" x14ac:dyDescent="0.25"/>
    <row r="1849" ht="18" hidden="1" customHeight="1" x14ac:dyDescent="0.25"/>
    <row r="1850" ht="18" hidden="1" customHeight="1" x14ac:dyDescent="0.25"/>
    <row r="1851" ht="18" hidden="1" customHeight="1" x14ac:dyDescent="0.25"/>
    <row r="1852" ht="18" hidden="1" customHeight="1" x14ac:dyDescent="0.25"/>
    <row r="1853" ht="18" hidden="1" customHeight="1" x14ac:dyDescent="0.25"/>
    <row r="1854" ht="18" hidden="1" customHeight="1" x14ac:dyDescent="0.25"/>
    <row r="1855" ht="18" hidden="1" customHeight="1" x14ac:dyDescent="0.25"/>
    <row r="1856" ht="18" hidden="1" customHeight="1" x14ac:dyDescent="0.25"/>
    <row r="1857" ht="18" hidden="1" customHeight="1" x14ac:dyDescent="0.25"/>
    <row r="1858" ht="18" hidden="1" customHeight="1" x14ac:dyDescent="0.25"/>
    <row r="1859" ht="18" hidden="1" customHeight="1" x14ac:dyDescent="0.25"/>
    <row r="1860" ht="18" hidden="1" customHeight="1" x14ac:dyDescent="0.25"/>
    <row r="1861" ht="18" hidden="1" customHeight="1" x14ac:dyDescent="0.25"/>
    <row r="1862" ht="18" hidden="1" customHeight="1" x14ac:dyDescent="0.25"/>
    <row r="1863" ht="18" hidden="1" customHeight="1" x14ac:dyDescent="0.25"/>
    <row r="1864" ht="18" hidden="1" customHeight="1" x14ac:dyDescent="0.25"/>
    <row r="1865" ht="18" hidden="1" customHeight="1" x14ac:dyDescent="0.25"/>
    <row r="1866" ht="18" hidden="1" customHeight="1" x14ac:dyDescent="0.25"/>
    <row r="1867" ht="18" hidden="1" customHeight="1" x14ac:dyDescent="0.25"/>
    <row r="1868" ht="18" hidden="1" customHeight="1" x14ac:dyDescent="0.25"/>
    <row r="1869" ht="18" hidden="1" customHeight="1" x14ac:dyDescent="0.25"/>
    <row r="1870" ht="18" hidden="1" customHeight="1" x14ac:dyDescent="0.25"/>
    <row r="1871" ht="18" hidden="1" customHeight="1" x14ac:dyDescent="0.25"/>
    <row r="1872" ht="18" hidden="1" customHeight="1" x14ac:dyDescent="0.25"/>
    <row r="1873" ht="18" hidden="1" customHeight="1" x14ac:dyDescent="0.25"/>
    <row r="1874" ht="18" hidden="1" customHeight="1" x14ac:dyDescent="0.25"/>
    <row r="1875" ht="18" hidden="1" customHeight="1" x14ac:dyDescent="0.25"/>
    <row r="1876" ht="18" hidden="1" customHeight="1" x14ac:dyDescent="0.25"/>
    <row r="1877" ht="18" hidden="1" customHeight="1" x14ac:dyDescent="0.25"/>
    <row r="1878" ht="18" hidden="1" customHeight="1" x14ac:dyDescent="0.25"/>
    <row r="1879" ht="18" hidden="1" customHeight="1" x14ac:dyDescent="0.25"/>
    <row r="1880" ht="18" hidden="1" customHeight="1" x14ac:dyDescent="0.25"/>
    <row r="1881" ht="18" hidden="1" customHeight="1" x14ac:dyDescent="0.25"/>
    <row r="1882" ht="18" hidden="1" customHeight="1" x14ac:dyDescent="0.25"/>
    <row r="1883" ht="18" hidden="1" customHeight="1" x14ac:dyDescent="0.25"/>
    <row r="1884" ht="18" hidden="1" customHeight="1" x14ac:dyDescent="0.25"/>
    <row r="1885" ht="18" hidden="1" customHeight="1" x14ac:dyDescent="0.25"/>
    <row r="1886" ht="18" hidden="1" customHeight="1" x14ac:dyDescent="0.25"/>
    <row r="1887" ht="18" hidden="1" customHeight="1" x14ac:dyDescent="0.25"/>
    <row r="1888" ht="18" hidden="1" customHeight="1" x14ac:dyDescent="0.25"/>
    <row r="1889" ht="18" hidden="1" customHeight="1" x14ac:dyDescent="0.25"/>
    <row r="1890" ht="18" hidden="1" customHeight="1" x14ac:dyDescent="0.25"/>
    <row r="1891" ht="18" hidden="1" customHeight="1" x14ac:dyDescent="0.25"/>
    <row r="1892" ht="18" hidden="1" customHeight="1" x14ac:dyDescent="0.25"/>
    <row r="1893" ht="18" hidden="1" customHeight="1" x14ac:dyDescent="0.25"/>
    <row r="1894" ht="18" hidden="1" customHeight="1" x14ac:dyDescent="0.25"/>
    <row r="1895" ht="18" hidden="1" customHeight="1" x14ac:dyDescent="0.25"/>
    <row r="1896" ht="18" hidden="1" customHeight="1" x14ac:dyDescent="0.25"/>
    <row r="1897" ht="18" hidden="1" customHeight="1" x14ac:dyDescent="0.25"/>
    <row r="1898" ht="18" hidden="1" customHeight="1" x14ac:dyDescent="0.25"/>
    <row r="1899" ht="18" hidden="1" customHeight="1" x14ac:dyDescent="0.25"/>
    <row r="1900" ht="18" hidden="1" customHeight="1" x14ac:dyDescent="0.25"/>
    <row r="1901" ht="18" hidden="1" customHeight="1" x14ac:dyDescent="0.25"/>
    <row r="1902" ht="18" hidden="1" customHeight="1" x14ac:dyDescent="0.25"/>
    <row r="1903" ht="18" hidden="1" customHeight="1" x14ac:dyDescent="0.25"/>
    <row r="1904" ht="18" hidden="1" customHeight="1" x14ac:dyDescent="0.25"/>
    <row r="1905" ht="18" hidden="1" customHeight="1" x14ac:dyDescent="0.25"/>
    <row r="1906" ht="18" hidden="1" customHeight="1" x14ac:dyDescent="0.25"/>
    <row r="1907" ht="18" hidden="1" customHeight="1" x14ac:dyDescent="0.25"/>
    <row r="1908" ht="18" hidden="1" customHeight="1" x14ac:dyDescent="0.25"/>
    <row r="1909" ht="18" hidden="1" customHeight="1" x14ac:dyDescent="0.25"/>
    <row r="1910" ht="18" hidden="1" customHeight="1" x14ac:dyDescent="0.25"/>
    <row r="1911" ht="18" hidden="1" customHeight="1" x14ac:dyDescent="0.25"/>
    <row r="1912" ht="18" hidden="1" customHeight="1" x14ac:dyDescent="0.25"/>
    <row r="1913" ht="18" hidden="1" customHeight="1" x14ac:dyDescent="0.25"/>
    <row r="1914" ht="18" hidden="1" customHeight="1" x14ac:dyDescent="0.25"/>
    <row r="1915" ht="18" hidden="1" customHeight="1" x14ac:dyDescent="0.25"/>
    <row r="1916" ht="18" hidden="1" customHeight="1" x14ac:dyDescent="0.25"/>
    <row r="1917" ht="18" hidden="1" customHeight="1" x14ac:dyDescent="0.25"/>
    <row r="1918" ht="18" hidden="1" customHeight="1" x14ac:dyDescent="0.25"/>
    <row r="1919" ht="18" hidden="1" customHeight="1" x14ac:dyDescent="0.25"/>
    <row r="1920" ht="18" hidden="1" customHeight="1" x14ac:dyDescent="0.25"/>
    <row r="1921" ht="18" hidden="1" customHeight="1" x14ac:dyDescent="0.25"/>
    <row r="1922" ht="18" hidden="1" customHeight="1" x14ac:dyDescent="0.25"/>
    <row r="1923" ht="18" hidden="1" customHeight="1" x14ac:dyDescent="0.25"/>
    <row r="1924" ht="18" hidden="1" customHeight="1" x14ac:dyDescent="0.25"/>
    <row r="1925" ht="18" hidden="1" customHeight="1" x14ac:dyDescent="0.25"/>
    <row r="1926" ht="18" hidden="1" customHeight="1" x14ac:dyDescent="0.25"/>
    <row r="1927" ht="18" hidden="1" customHeight="1" x14ac:dyDescent="0.25"/>
    <row r="1928" ht="18" hidden="1" customHeight="1" x14ac:dyDescent="0.25"/>
    <row r="1929" ht="18" hidden="1" customHeight="1" x14ac:dyDescent="0.25"/>
    <row r="1930" ht="18" hidden="1" customHeight="1" x14ac:dyDescent="0.25"/>
    <row r="1931" ht="18" hidden="1" customHeight="1" x14ac:dyDescent="0.25"/>
    <row r="1932" ht="18" hidden="1" customHeight="1" x14ac:dyDescent="0.25"/>
    <row r="1933" ht="18" hidden="1" customHeight="1" x14ac:dyDescent="0.25"/>
    <row r="1934" ht="18" hidden="1" customHeight="1" x14ac:dyDescent="0.25"/>
    <row r="1935" ht="18" hidden="1" customHeight="1" x14ac:dyDescent="0.25"/>
    <row r="1936" ht="18" hidden="1" customHeight="1" x14ac:dyDescent="0.25"/>
    <row r="1937" ht="18" hidden="1" customHeight="1" x14ac:dyDescent="0.25"/>
    <row r="1938" ht="18" hidden="1" customHeight="1" x14ac:dyDescent="0.25"/>
    <row r="1939" ht="18" hidden="1" customHeight="1" x14ac:dyDescent="0.25"/>
    <row r="1940" ht="18" hidden="1" customHeight="1" x14ac:dyDescent="0.25"/>
    <row r="1941" ht="18" hidden="1" customHeight="1" x14ac:dyDescent="0.25"/>
    <row r="1942" ht="18" hidden="1" customHeight="1" x14ac:dyDescent="0.25"/>
    <row r="1943" ht="18" hidden="1" customHeight="1" x14ac:dyDescent="0.25"/>
    <row r="1944" ht="18" hidden="1" customHeight="1" x14ac:dyDescent="0.25"/>
    <row r="1945" ht="18" hidden="1" customHeight="1" x14ac:dyDescent="0.25"/>
    <row r="1946" ht="18" hidden="1" customHeight="1" x14ac:dyDescent="0.25"/>
    <row r="1947" ht="18" hidden="1" customHeight="1" x14ac:dyDescent="0.25"/>
    <row r="1948" ht="18" hidden="1" customHeight="1" x14ac:dyDescent="0.25"/>
    <row r="1949" ht="18" hidden="1" customHeight="1" x14ac:dyDescent="0.25"/>
    <row r="1950" ht="18" hidden="1" customHeight="1" x14ac:dyDescent="0.25"/>
    <row r="1951" ht="18" hidden="1" customHeight="1" x14ac:dyDescent="0.25"/>
    <row r="1952" ht="18" hidden="1" customHeight="1" x14ac:dyDescent="0.25"/>
    <row r="1953" ht="18" hidden="1" customHeight="1" x14ac:dyDescent="0.25"/>
    <row r="1954" ht="18" hidden="1" customHeight="1" x14ac:dyDescent="0.25"/>
    <row r="1955" ht="18" hidden="1" customHeight="1" x14ac:dyDescent="0.25"/>
    <row r="1956" ht="18" hidden="1" customHeight="1" x14ac:dyDescent="0.25"/>
    <row r="1957" ht="18" hidden="1" customHeight="1" x14ac:dyDescent="0.25"/>
    <row r="1958" ht="18" hidden="1" customHeight="1" x14ac:dyDescent="0.25"/>
    <row r="1959" ht="18" hidden="1" customHeight="1" x14ac:dyDescent="0.25"/>
    <row r="1960" ht="18" hidden="1" customHeight="1" x14ac:dyDescent="0.25"/>
    <row r="1961" ht="18" hidden="1" customHeight="1" x14ac:dyDescent="0.25"/>
    <row r="1962" ht="18" hidden="1" customHeight="1" x14ac:dyDescent="0.25"/>
    <row r="1963" ht="18" hidden="1" customHeight="1" x14ac:dyDescent="0.25"/>
    <row r="1964" ht="18" hidden="1" customHeight="1" x14ac:dyDescent="0.25"/>
    <row r="1965" ht="18" hidden="1" customHeight="1" x14ac:dyDescent="0.25"/>
    <row r="1966" ht="18" hidden="1" customHeight="1" x14ac:dyDescent="0.25"/>
    <row r="1967" ht="18" hidden="1" customHeight="1" x14ac:dyDescent="0.25"/>
    <row r="1968" ht="18" hidden="1" customHeight="1" x14ac:dyDescent="0.25"/>
    <row r="1969" ht="18" hidden="1" customHeight="1" x14ac:dyDescent="0.25"/>
    <row r="1970" ht="18" hidden="1" customHeight="1" x14ac:dyDescent="0.25"/>
    <row r="1971" ht="18" hidden="1" customHeight="1" x14ac:dyDescent="0.25"/>
    <row r="1972" ht="18" hidden="1" customHeight="1" x14ac:dyDescent="0.25"/>
    <row r="1973" ht="18" hidden="1" customHeight="1" x14ac:dyDescent="0.25"/>
    <row r="1974" ht="18" hidden="1" customHeight="1" x14ac:dyDescent="0.25"/>
    <row r="1975" ht="18" hidden="1" customHeight="1" x14ac:dyDescent="0.25"/>
    <row r="1976" ht="18" hidden="1" customHeight="1" x14ac:dyDescent="0.25"/>
    <row r="1977" ht="18" hidden="1" customHeight="1" x14ac:dyDescent="0.25"/>
    <row r="1978" ht="18" hidden="1" customHeight="1" x14ac:dyDescent="0.25"/>
    <row r="1979" ht="18" hidden="1" customHeight="1" x14ac:dyDescent="0.25"/>
    <row r="1980" ht="18" hidden="1" customHeight="1" x14ac:dyDescent="0.25"/>
    <row r="1981" ht="18" hidden="1" customHeight="1" x14ac:dyDescent="0.25"/>
    <row r="1982" ht="18" hidden="1" customHeight="1" x14ac:dyDescent="0.25"/>
    <row r="1983" ht="18" hidden="1" customHeight="1" x14ac:dyDescent="0.25"/>
    <row r="1984" ht="18" hidden="1" customHeight="1" x14ac:dyDescent="0.25"/>
    <row r="1985" ht="18" hidden="1" customHeight="1" x14ac:dyDescent="0.25"/>
    <row r="1986" ht="18" hidden="1" customHeight="1" x14ac:dyDescent="0.25"/>
    <row r="1987" ht="18" hidden="1" customHeight="1" x14ac:dyDescent="0.25"/>
    <row r="1988" ht="18" hidden="1" customHeight="1" x14ac:dyDescent="0.25"/>
    <row r="1989" ht="18" hidden="1" customHeight="1" x14ac:dyDescent="0.25"/>
    <row r="1990" ht="18" hidden="1" customHeight="1" x14ac:dyDescent="0.25"/>
    <row r="1991" ht="18" hidden="1" customHeight="1" x14ac:dyDescent="0.25"/>
  </sheetData>
  <autoFilter ref="A1:Q273" xr:uid="{00000000-0009-0000-0000-000002000000}">
    <filterColumn colId="5">
      <filters>
        <dateGroupItem year="2026" dateTimeGrouping="year"/>
      </filters>
    </filterColumn>
    <sortState ref="A2:M1991">
      <sortCondition ref="F1:F1991"/>
    </sortState>
  </autoFilter>
  <conditionalFormatting sqref="O2:O1000">
    <cfRule type="expression" dxfId="2" priority="1" stopIfTrue="1">
      <formula>$O2="VERIFICAR"</formula>
    </cfRule>
    <cfRule type="expression" dxfId="1" priority="2">
      <formula>AND($O2&lt;&gt;"",$O2&lt;&gt;"OK")</formula>
    </cfRule>
  </conditionalFormatting>
  <conditionalFormatting sqref="E2:F1000">
    <cfRule type="expression" dxfId="0" priority="3">
      <formula>AND(ISNUMBER(E2),WEEKDAY(E2,2)&gt;5)</formula>
    </cfRule>
  </conditionalFormatting>
  <dataValidations count="4">
    <dataValidation type="list" allowBlank="1" showErrorMessage="1" errorTitle="Tipo de trámite" error="Elegí un valor de la lista desplegable." sqref="A2:A1000" xr:uid="{00000000-0002-0000-0200-000000000000}">
      <formula1>TIPO_TR</formula1>
    </dataValidation>
    <dataValidation type="list" allowBlank="1" showErrorMessage="1" errorTitle="Excluible" error="Elegí un valor de la lista desplegable." sqref="C2:C1000" xr:uid="{00000000-0002-0000-0200-000001000000}">
      <formula1>SI_NO</formula1>
    </dataValidation>
    <dataValidation type="list" allowBlank="1" showErrorMessage="1" errorTitle="Relación económica" error="Elegí un valor de la lista desplegable." sqref="K2:K1000" xr:uid="{00000000-0002-0000-0200-000002000000}">
      <formula1>REL_ECON</formula1>
    </dataValidation>
    <dataValidation type="date" allowBlank="1" showErrorMessage="1" errorTitle="Fecha" error="Cargá una fecha válida (dd/mm/aaaa)." sqref="E2:F1000" xr:uid="{00000000-0002-0000-0200-000003000000}">
      <formula1>36526</formula1>
      <formula2>73415</formula2>
    </dataValidation>
  </dataValidations>
  <hyperlinks>
    <hyperlink ref="H2" r:id="rId1" tooltip="C:\INETPUB\WWWROOT\CXXC\DOCUMENTOS\2022-132813460\33402\CONC1884RESOL.PDF" display="http://mordelon.crabdance.com:2359/cxxc/usr_vistaprevia.asp?IdMov=33402" xr:uid="{00000000-0004-0000-0200-000000000000}"/>
    <hyperlink ref="I2" r:id="rId2" tooltip="C:\INETPUB\WWWROOT\CXXC\DOCUMENTOS\2022-132813460\33091\CONC1884.PDF" display="http://mordelon.crabdance.com:2359/cxxc/usr_vistaprevia.asp?IdMov=33091" xr:uid="{00000000-0004-0000-0200-000001000000}"/>
    <hyperlink ref="H3" r:id="rId3" tooltip="C:\INETPUB\WWWROOT\CXXC\DOCUMENTOS\2022-33138213\33433\RESOL1846.PDF" display="http://mordelon.crabdance.com:2359/cxxc/usr_vistaprevia.asp?IdMov=33433" xr:uid="{00000000-0004-0000-0200-000002000000}"/>
    <hyperlink ref="I3" r:id="rId4" tooltip="C:\INETPUB\WWWROOT\CXXC\DOCUMENTOS\2022-33138213\33500\CONC1846DICT14A.PDF" display="http://mordelon.crabdance.com:2359/cxxc/usr_vistaprevia.asp?IdMov=33500" xr:uid="{00000000-0004-0000-0200-000003000000}"/>
    <hyperlink ref="H4" r:id="rId5" tooltip="C:\INETPUB\WWWROOT\CXXC\DOCUMENTOS\2023-25043358\33400\RESOL1905.PDF" display="http://mordelon.crabdance.com:2359/cxxc/usr_vistaprevia.asp?IdMov=33400" xr:uid="{00000000-0004-0000-0200-000004000000}"/>
    <hyperlink ref="I4" r:id="rId6" tooltip="C:\INETPUB\WWWROOT\CXXC\DOCUMENTOS\2023-25043358\33100\CONC1905.PDF" display="http://mordelon.crabdance.com:2359/cxxc/usr_vistaprevia.asp?IdMov=33100" xr:uid="{00000000-0004-0000-0200-000005000000}"/>
    <hyperlink ref="H5" r:id="rId7" tooltip="C:\INETPUB\WWWROOT\CXXC\DOCUMENTOS\2023-51652931\33418\RESOL1913.PDF" display="http://mordelon.crabdance.com:2359/cxxc/usr_vistaprevia.asp?IdMov=33418" xr:uid="{00000000-0004-0000-0200-000006000000}"/>
    <hyperlink ref="H6" r:id="rId8" tooltip="C:\INETPUB\WWWROOT\CXXC\DOCUMENTOS\2023-51714318\33435\RESOL1915.PDF" display="http://mordelon.crabdance.com:2359/cxxc/usr_vistaprevia.asp?IdMov=33435" xr:uid="{00000000-0004-0000-0200-000007000000}"/>
    <hyperlink ref="I6" r:id="rId9" tooltip="C:\INETPUB\WWWROOT\CXXC\DOCUMENTOS\2023-51714318\33298\DIC1915.PDF" display="http://mordelon.crabdance.com:2359/cxxc/usr_vistaprevia.asp?IdMov=33298" xr:uid="{00000000-0004-0000-0200-000008000000}"/>
    <hyperlink ref="H7" r:id="rId10" tooltip="C:\INETPUB\WWWROOT\CXXC\DOCUMENTOS\2023-89017669\33432\RESOL1931.PDF" display="http://mordelon.crabdance.com:2359/cxxc/usr_vistaprevia.asp?IdMov=33432" xr:uid="{00000000-0004-0000-0200-000009000000}"/>
    <hyperlink ref="H8" r:id="rId11" tooltip="C:\INETPUB\WWWROOT\CXXC\DOCUMENTOS\2022-29901274\33419\RESOLCONC1845.PDF" display="http://mordelon.crabdance.com:2359/cxxc/usr_vistaprevia.asp?IdMov=33419" xr:uid="{00000000-0004-0000-0200-00000A000000}"/>
    <hyperlink ref="I8" r:id="rId12" tooltip="C:\INETPUB\WWWROOT\CXXC\DOCUMENTOS\2022-29901274\33515\CONC1845.PDF" display="http://mordelon.crabdance.com:2359/cxxc/usr_vistaprevia.asp?IdMov=33515" xr:uid="{00000000-0004-0000-0200-00000B000000}"/>
    <hyperlink ref="H9" r:id="rId13" tooltip="C:\INETPUB\WWWROOT\CXXC\DOCUMENTOS\2023-51682739\33756\CONC1914.PDF" display="http://mordelon.crabdance.com:2359/cxxc/usr_vistaprevia.asp?IdMov=33756" xr:uid="{00000000-0004-0000-0200-00000C000000}"/>
    <hyperlink ref="I9" r:id="rId14" tooltip="C:\INETPUB\WWWROOT\CXXC\DOCUMENTOS\2023-51682739\33558\DIC1914.PDF" display="http://mordelon.crabdance.com:2359/cxxc/usr_vistaprevia.asp?IdMov=33558" xr:uid="{00000000-0004-0000-0200-00000D000000}"/>
    <hyperlink ref="H10" r:id="rId15" tooltip="C:\INETPUB\WWWROOT\CXXC\DOCUMENTOS\2023-83654164\33598\CONC1927.PDF" display="http://mordelon.crabdance.com:2359/cxxc/usr_vistaprevia.asp?IdMov=33598" xr:uid="{00000000-0004-0000-0200-00000E000000}"/>
    <hyperlink ref="H11" r:id="rId16" tooltip="C:\INETPUB\WWWROOT\CXXC\DOCUMENTOS\2023-78391557\34807\RESO1923.PDF" display="http://mordelon.crabdance.com:2359/cxxc/usr_vistaprevia.asp?IdMov=34807" xr:uid="{00000000-0004-0000-0200-00000F000000}"/>
    <hyperlink ref="I11" r:id="rId17" tooltip="C:\INETPUB\WWWROOT\CXXC\DOCUMENTOS\2023-78391557\33893\CONC1923DIC.PDF" display="http://mordelon.crabdance.com:2359/cxxc/usr_vistaprevia.asp?IdMov=33893" xr:uid="{00000000-0004-0000-0200-000010000000}"/>
    <hyperlink ref="H12" r:id="rId18" tooltip="C:\INETPUB\WWWROOT\CXXC\DOCUMENTOS\2023-80090456\34898\RESOL1924.PDF" display="http://mordelon.crabdance.com:2359/cxxc/usr_vistaprevia.asp?IdMov=34898" xr:uid="{00000000-0004-0000-0200-000011000000}"/>
    <hyperlink ref="H13" r:id="rId19" tooltip="C:\INETPUB\WWWROOT\CXXC\DOCUMENTOS\2023-84372926\33522\RESOL1928.PDF" display="http://mordelon.crabdance.com:2359/cxxc/usr_vistaprevia.asp?IdMov=33522" xr:uid="{00000000-0004-0000-0200-000012000000}"/>
    <hyperlink ref="I13" r:id="rId20" tooltip="C:\INETPUB\WWWROOT\CXXC\DOCUMENTOS\2023-84372926\33518\DICTAMEN1928.PDF" display="http://mordelon.crabdance.com:2359/cxxc/usr_vistaprevia.asp?IdMov=33518" xr:uid="{00000000-0004-0000-0200-000013000000}"/>
    <hyperlink ref="H14" r:id="rId21" tooltip="C:\INETPUB\WWWROOT\CXXC\DOCUMENTOS\2023-98453038\34900\RESOCONC1935.PDF" display="http://mordelon.crabdance.com:2359/cxxc/usr_vistaprevia.asp?IdMov=34900" xr:uid="{00000000-0004-0000-0200-000014000000}"/>
    <hyperlink ref="H15" r:id="rId22" tooltip="C:\INETPUB\WWWROOT\CXXC\DOCUMENTOS\2021-120257978\34901\CONC1940RESOAUTO.PDF" display="http://mordelon.crabdance.com:2359/cxxc/usr_vistaprevia.asp?IdMov=34901" xr:uid="{00000000-0004-0000-0200-000015000000}"/>
    <hyperlink ref="H16" r:id="rId23" tooltip="C:\INETPUB\WWWROOT\CXXC\DOCUMENTOS\2023-127009975\35885\DS1944.PDF" display="http://mordelon.crabdance.com:2359/cxxc/usr_vistaprevia.asp?IdMov=35885" xr:uid="{00000000-0004-0000-0200-000016000000}"/>
    <hyperlink ref="H18" r:id="rId24" tooltip="C:\INETPUB\WWWROOT\CXXC\DOCUMENTOS\2020-56845766\34903\RESOL1718.PDF" display="http://mordelon.crabdance.com:2359/cxxc/usr_vistaprevia.asp?IdMov=34903" xr:uid="{00000000-0004-0000-0200-000017000000}"/>
    <hyperlink ref="I18" r:id="rId25" tooltip="C:\INETPUB\WWWROOT\CXXC\DOCUMENTOS\2020-56845766\33736\CONC17181AUTO.PDF" display="http://mordelon.crabdance.com:2359/cxxc/usr_vistaprevia.asp?IdMov=33736" xr:uid="{00000000-0004-0000-0200-000018000000}"/>
    <hyperlink ref="I20" r:id="rId26" tooltip="C:\INETPUB\WWWROOT\CXXC\DOCUMENTOS\2022-136558445\33099\1885DIC.PDF" display="http://mordelon.crabdance.com:2359/cxxc/usr_vistaprevia.asp?IdMov=33099" xr:uid="{00000000-0004-0000-0200-000019000000}"/>
    <hyperlink ref="I111" r:id="rId27" tooltip="C:\INETPUB\WWWROOT\CXXC\DOCUMENTOS\2020-87668703\43222\CONC1782.PDF" display="http://mordelon.crabdance.com:2359/cxxc/usr_vistaprevia.asp?IdMov=43222" xr:uid="{00000000-0004-0000-0200-00001A000000}"/>
    <hyperlink ref="I121" r:id="rId28" tooltip="C:\INETPUB\WWWROOT\CXXC\DOCUMENTOS\2021-44193816\43224\DP117.PDF" display="http://mordelon.crabdance.com:2359/cxxc/usr_vistaprevia.asp?IdMov=43224" xr:uid="{00000000-0004-0000-0200-00001B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P25"/>
  <sheetViews>
    <sheetView topLeftCell="D10" workbookViewId="0">
      <selection activeCell="F7" sqref="F7"/>
    </sheetView>
  </sheetViews>
  <sheetFormatPr baseColWidth="10" defaultRowHeight="21" customHeight="1" x14ac:dyDescent="0.25"/>
  <cols>
    <col min="1" max="1" width="5.42578125" style="51" bestFit="1" customWidth="1"/>
    <col min="2" max="2" width="6.7109375" style="51" bestFit="1" customWidth="1"/>
    <col min="3" max="3" width="14.85546875" style="51" customWidth="1"/>
    <col min="4" max="4" width="11.28515625" style="51" bestFit="1" customWidth="1"/>
    <col min="5" max="5" width="43" style="51" bestFit="1" customWidth="1"/>
    <col min="6" max="6" width="17.7109375" style="51" bestFit="1" customWidth="1"/>
    <col min="7" max="7" width="67.28515625" style="51" bestFit="1" customWidth="1"/>
    <col min="8" max="8" width="10.7109375" style="16" bestFit="1" customWidth="1"/>
    <col min="9" max="9" width="10.7109375" style="16" customWidth="1"/>
    <col min="10" max="11" width="11" style="51" bestFit="1" customWidth="1"/>
    <col min="12" max="13" width="10" style="51" bestFit="1" customWidth="1"/>
    <col min="14" max="14" width="4.85546875" style="51" bestFit="1" customWidth="1"/>
    <col min="15" max="15" width="52.7109375" style="51" bestFit="1" customWidth="1"/>
  </cols>
  <sheetData>
    <row r="1" spans="1:16" ht="21" customHeight="1" x14ac:dyDescent="0.25">
      <c r="A1" s="11" t="s">
        <v>62</v>
      </c>
      <c r="B1" s="11" t="s">
        <v>63</v>
      </c>
      <c r="C1" s="11" t="s">
        <v>60</v>
      </c>
      <c r="D1" s="18" t="s">
        <v>61</v>
      </c>
      <c r="E1" s="11" t="s">
        <v>77</v>
      </c>
      <c r="F1" s="11" t="s">
        <v>1837</v>
      </c>
      <c r="G1" s="11" t="s">
        <v>65</v>
      </c>
      <c r="H1" s="14" t="s">
        <v>66</v>
      </c>
      <c r="I1" s="14" t="s">
        <v>67</v>
      </c>
      <c r="J1" s="11" t="s">
        <v>68</v>
      </c>
      <c r="K1" s="11" t="s">
        <v>69</v>
      </c>
      <c r="L1" s="11" t="s">
        <v>70</v>
      </c>
      <c r="M1" s="11" t="s">
        <v>71</v>
      </c>
      <c r="N1" s="11" t="s">
        <v>72</v>
      </c>
      <c r="O1" s="11" t="s">
        <v>74</v>
      </c>
      <c r="P1" t="s">
        <v>75</v>
      </c>
    </row>
    <row r="2" spans="1:16" s="6" customFormat="1" ht="21" customHeight="1" x14ac:dyDescent="0.25">
      <c r="A2" s="1" t="s">
        <v>1089</v>
      </c>
      <c r="B2" s="1">
        <v>368</v>
      </c>
      <c r="C2" s="1" t="s">
        <v>1838</v>
      </c>
      <c r="E2" s="5" t="s">
        <v>1839</v>
      </c>
      <c r="F2" s="1" t="s">
        <v>1840</v>
      </c>
      <c r="G2" s="1" t="s">
        <v>1841</v>
      </c>
      <c r="H2" s="2">
        <v>45575</v>
      </c>
      <c r="I2" s="2"/>
      <c r="J2" s="1" t="s">
        <v>93</v>
      </c>
      <c r="K2" s="1" t="s">
        <v>124</v>
      </c>
      <c r="L2" s="1" t="s">
        <v>127</v>
      </c>
      <c r="M2" s="1"/>
      <c r="N2" s="3"/>
      <c r="O2" s="4" t="s">
        <v>1842</v>
      </c>
      <c r="P2" t="s">
        <v>1843</v>
      </c>
    </row>
    <row r="3" spans="1:16" s="6" customFormat="1" ht="21" customHeight="1" x14ac:dyDescent="0.25">
      <c r="A3" s="1" t="s">
        <v>1089</v>
      </c>
      <c r="B3" s="1">
        <v>370</v>
      </c>
      <c r="C3" s="1" t="s">
        <v>1838</v>
      </c>
      <c r="E3" s="5" t="s">
        <v>1844</v>
      </c>
      <c r="F3" s="1" t="s">
        <v>1845</v>
      </c>
      <c r="G3" s="1" t="s">
        <v>1846</v>
      </c>
      <c r="H3" s="2">
        <v>45604</v>
      </c>
      <c r="I3" s="2"/>
      <c r="J3" s="1" t="s">
        <v>138</v>
      </c>
      <c r="K3" s="1" t="s">
        <v>155</v>
      </c>
      <c r="L3" s="1" t="s">
        <v>1847</v>
      </c>
      <c r="M3" s="1"/>
      <c r="N3" s="3"/>
      <c r="O3" s="4" t="s">
        <v>1848</v>
      </c>
      <c r="P3" t="s">
        <v>1194</v>
      </c>
    </row>
    <row r="4" spans="1:16" s="6" customFormat="1" ht="21" customHeight="1" x14ac:dyDescent="0.25">
      <c r="A4" s="1" t="s">
        <v>1089</v>
      </c>
      <c r="B4" s="1">
        <v>371</v>
      </c>
      <c r="C4" s="1" t="s">
        <v>1838</v>
      </c>
      <c r="E4" s="3"/>
      <c r="F4" s="1" t="s">
        <v>1849</v>
      </c>
      <c r="G4" s="7" t="s">
        <v>1850</v>
      </c>
      <c r="H4" s="2">
        <v>45615</v>
      </c>
      <c r="I4" s="2"/>
      <c r="J4" s="1" t="s">
        <v>103</v>
      </c>
      <c r="K4" s="1" t="s">
        <v>155</v>
      </c>
      <c r="L4" s="8"/>
      <c r="M4" s="1"/>
      <c r="N4" s="3"/>
      <c r="O4" s="9" t="s">
        <v>1851</v>
      </c>
      <c r="P4" t="s">
        <v>1114</v>
      </c>
    </row>
    <row r="5" spans="1:16" s="6" customFormat="1" ht="21" customHeight="1" x14ac:dyDescent="0.25">
      <c r="A5" s="1" t="s">
        <v>1089</v>
      </c>
      <c r="B5" s="1">
        <v>372</v>
      </c>
      <c r="C5" s="1" t="s">
        <v>1852</v>
      </c>
      <c r="E5" s="5" t="s">
        <v>1853</v>
      </c>
      <c r="F5" s="1" t="s">
        <v>1854</v>
      </c>
      <c r="G5" s="1" t="s">
        <v>1855</v>
      </c>
      <c r="H5" s="2">
        <v>45646</v>
      </c>
      <c r="I5" s="2"/>
      <c r="J5" s="1" t="s">
        <v>103</v>
      </c>
      <c r="K5" s="1" t="s">
        <v>93</v>
      </c>
      <c r="L5" s="1" t="s">
        <v>228</v>
      </c>
      <c r="M5" s="1" t="s">
        <v>151</v>
      </c>
      <c r="N5" s="3"/>
      <c r="O5" s="4"/>
      <c r="P5" t="s">
        <v>1157</v>
      </c>
    </row>
    <row r="6" spans="1:16" s="6" customFormat="1" ht="21" customHeight="1" x14ac:dyDescent="0.25">
      <c r="A6" s="1" t="s">
        <v>1089</v>
      </c>
      <c r="B6" s="1">
        <v>373</v>
      </c>
      <c r="C6" s="1" t="s">
        <v>1852</v>
      </c>
      <c r="E6" s="3"/>
      <c r="F6" s="1" t="s">
        <v>1856</v>
      </c>
      <c r="G6" s="7" t="s">
        <v>1857</v>
      </c>
      <c r="H6" s="2">
        <v>45652</v>
      </c>
      <c r="I6" s="2"/>
      <c r="J6" s="1" t="s">
        <v>187</v>
      </c>
      <c r="K6" s="1" t="s">
        <v>103</v>
      </c>
      <c r="L6" s="1" t="s">
        <v>96</v>
      </c>
      <c r="M6" s="1" t="s">
        <v>197</v>
      </c>
      <c r="N6" s="3"/>
      <c r="O6" s="10" t="s">
        <v>1858</v>
      </c>
      <c r="P6" t="s">
        <v>1199</v>
      </c>
    </row>
    <row r="7" spans="1:16" s="6" customFormat="1" ht="21" customHeight="1" x14ac:dyDescent="0.25">
      <c r="A7" s="1" t="s">
        <v>1089</v>
      </c>
      <c r="B7" s="1">
        <v>374</v>
      </c>
      <c r="C7" s="1" t="s">
        <v>1852</v>
      </c>
      <c r="E7" s="9" t="s">
        <v>1859</v>
      </c>
      <c r="F7" s="1" t="s">
        <v>1860</v>
      </c>
      <c r="G7" s="7" t="s">
        <v>1861</v>
      </c>
      <c r="H7" s="2">
        <v>45659</v>
      </c>
      <c r="I7" s="2"/>
      <c r="J7" s="1" t="s">
        <v>187</v>
      </c>
      <c r="K7" s="1" t="s">
        <v>103</v>
      </c>
      <c r="L7" s="1" t="s">
        <v>96</v>
      </c>
      <c r="M7" s="1" t="s">
        <v>104</v>
      </c>
      <c r="N7" s="3"/>
      <c r="O7" s="4" t="s">
        <v>1862</v>
      </c>
      <c r="P7" t="s">
        <v>1863</v>
      </c>
    </row>
    <row r="8" spans="1:16" s="6" customFormat="1" ht="21" customHeight="1" x14ac:dyDescent="0.25">
      <c r="A8" s="1" t="s">
        <v>1089</v>
      </c>
      <c r="B8" s="1">
        <v>375</v>
      </c>
      <c r="C8" s="1" t="s">
        <v>1852</v>
      </c>
      <c r="E8" s="5" t="s">
        <v>1864</v>
      </c>
      <c r="F8" s="1" t="s">
        <v>1865</v>
      </c>
      <c r="G8" s="1" t="s">
        <v>1866</v>
      </c>
      <c r="H8" s="2">
        <v>45660</v>
      </c>
      <c r="I8" s="2"/>
      <c r="J8" s="1" t="s">
        <v>93</v>
      </c>
      <c r="K8" s="1" t="s">
        <v>103</v>
      </c>
      <c r="L8" s="1" t="s">
        <v>96</v>
      </c>
      <c r="M8" s="1" t="s">
        <v>112</v>
      </c>
      <c r="N8" s="3"/>
      <c r="O8" s="4"/>
      <c r="P8" t="s">
        <v>1188</v>
      </c>
    </row>
    <row r="9" spans="1:16" s="6" customFormat="1" ht="21" customHeight="1" x14ac:dyDescent="0.25">
      <c r="A9" s="1" t="s">
        <v>1089</v>
      </c>
      <c r="B9" s="1">
        <v>376</v>
      </c>
      <c r="C9" s="1" t="s">
        <v>1852</v>
      </c>
      <c r="E9" s="5" t="s">
        <v>1867</v>
      </c>
      <c r="F9" s="1" t="s">
        <v>1868</v>
      </c>
      <c r="G9" s="1" t="s">
        <v>1869</v>
      </c>
      <c r="H9" s="2">
        <v>45715</v>
      </c>
      <c r="I9" s="2"/>
      <c r="J9" s="1" t="s">
        <v>103</v>
      </c>
      <c r="K9" s="1" t="s">
        <v>124</v>
      </c>
      <c r="L9" s="1" t="s">
        <v>1870</v>
      </c>
      <c r="M9" s="1" t="s">
        <v>96</v>
      </c>
      <c r="N9" s="3"/>
      <c r="O9" s="4"/>
      <c r="P9" t="s">
        <v>1251</v>
      </c>
    </row>
    <row r="10" spans="1:16" s="6" customFormat="1" ht="21" customHeight="1" x14ac:dyDescent="0.25">
      <c r="A10" s="1" t="s">
        <v>1089</v>
      </c>
      <c r="B10" s="1">
        <v>377</v>
      </c>
      <c r="C10" s="1" t="s">
        <v>1852</v>
      </c>
      <c r="E10" s="3"/>
      <c r="F10" s="1" t="s">
        <v>1871</v>
      </c>
      <c r="G10" s="7" t="s">
        <v>1872</v>
      </c>
      <c r="H10" s="2">
        <v>45716</v>
      </c>
      <c r="I10" s="2"/>
      <c r="J10" s="1" t="s">
        <v>115</v>
      </c>
      <c r="K10" s="1" t="s">
        <v>187</v>
      </c>
      <c r="L10" s="1" t="s">
        <v>96</v>
      </c>
      <c r="M10" s="1" t="s">
        <v>228</v>
      </c>
      <c r="N10" s="3"/>
      <c r="O10" s="4" t="s">
        <v>1873</v>
      </c>
      <c r="P10" t="s">
        <v>1090</v>
      </c>
    </row>
    <row r="11" spans="1:16" s="6" customFormat="1" ht="21" customHeight="1" x14ac:dyDescent="0.25">
      <c r="A11" s="1" t="s">
        <v>1089</v>
      </c>
      <c r="B11" s="1">
        <v>378</v>
      </c>
      <c r="C11" s="1" t="s">
        <v>1838</v>
      </c>
      <c r="E11" s="5" t="s">
        <v>1874</v>
      </c>
      <c r="F11" s="1" t="s">
        <v>1875</v>
      </c>
      <c r="G11" s="1" t="s">
        <v>1876</v>
      </c>
      <c r="H11" s="2">
        <v>45729</v>
      </c>
      <c r="I11" s="2"/>
      <c r="J11" s="1" t="s">
        <v>103</v>
      </c>
      <c r="K11" s="1" t="s">
        <v>93</v>
      </c>
      <c r="L11" s="1" t="s">
        <v>228</v>
      </c>
      <c r="M11" s="1" t="s">
        <v>197</v>
      </c>
      <c r="N11" s="3"/>
      <c r="O11" s="4"/>
      <c r="P11" t="s">
        <v>1877</v>
      </c>
    </row>
    <row r="12" spans="1:16" s="6" customFormat="1" ht="21" customHeight="1" x14ac:dyDescent="0.25">
      <c r="A12" s="1" t="s">
        <v>1089</v>
      </c>
      <c r="B12" s="1">
        <v>379</v>
      </c>
      <c r="C12" s="1" t="s">
        <v>1852</v>
      </c>
      <c r="E12" s="5" t="s">
        <v>1878</v>
      </c>
      <c r="F12" s="1" t="s">
        <v>1879</v>
      </c>
      <c r="G12" s="1" t="s">
        <v>1880</v>
      </c>
      <c r="H12" s="2">
        <v>45729</v>
      </c>
      <c r="I12" s="2"/>
      <c r="J12" s="1" t="s">
        <v>103</v>
      </c>
      <c r="K12" s="1" t="s">
        <v>93</v>
      </c>
      <c r="L12" s="1" t="s">
        <v>228</v>
      </c>
      <c r="M12" s="1" t="s">
        <v>197</v>
      </c>
      <c r="N12" s="3"/>
      <c r="O12" s="4"/>
      <c r="P12" t="s">
        <v>1881</v>
      </c>
    </row>
    <row r="13" spans="1:16" s="6" customFormat="1" ht="21" customHeight="1" x14ac:dyDescent="0.25">
      <c r="A13" s="1" t="s">
        <v>1089</v>
      </c>
      <c r="B13" s="1">
        <v>380</v>
      </c>
      <c r="C13" s="1" t="s">
        <v>1852</v>
      </c>
      <c r="E13" s="5"/>
      <c r="F13" s="1" t="s">
        <v>1882</v>
      </c>
      <c r="G13" s="1" t="s">
        <v>1883</v>
      </c>
      <c r="H13" s="2">
        <v>45782</v>
      </c>
      <c r="I13" s="2"/>
      <c r="J13" s="1" t="s">
        <v>187</v>
      </c>
      <c r="K13" s="1" t="s">
        <v>93</v>
      </c>
      <c r="L13" s="1" t="s">
        <v>197</v>
      </c>
      <c r="M13" s="1" t="s">
        <v>127</v>
      </c>
      <c r="N13" s="3"/>
      <c r="O13" s="4"/>
      <c r="P13" t="s">
        <v>1300</v>
      </c>
    </row>
    <row r="14" spans="1:16" s="6" customFormat="1" ht="21" customHeight="1" x14ac:dyDescent="0.25">
      <c r="A14" s="1" t="s">
        <v>1089</v>
      </c>
      <c r="B14" s="1">
        <v>381</v>
      </c>
      <c r="C14" s="1" t="s">
        <v>1852</v>
      </c>
      <c r="E14" s="5" t="s">
        <v>1884</v>
      </c>
      <c r="F14" s="1" t="s">
        <v>1885</v>
      </c>
      <c r="G14" s="1" t="s">
        <v>1886</v>
      </c>
      <c r="H14" s="2">
        <v>45821</v>
      </c>
      <c r="I14" s="2"/>
      <c r="J14" s="1" t="s">
        <v>187</v>
      </c>
      <c r="K14" s="1" t="s">
        <v>93</v>
      </c>
      <c r="L14" s="1" t="s">
        <v>198</v>
      </c>
      <c r="M14" s="1" t="s">
        <v>197</v>
      </c>
      <c r="N14" s="3"/>
      <c r="O14" s="4"/>
      <c r="P14" t="s">
        <v>1349</v>
      </c>
    </row>
    <row r="15" spans="1:16" ht="21" customHeight="1" x14ac:dyDescent="0.25">
      <c r="A15" s="1" t="s">
        <v>1089</v>
      </c>
      <c r="B15" s="1">
        <v>381</v>
      </c>
      <c r="C15" s="15" t="s">
        <v>1852</v>
      </c>
      <c r="E15" s="20" t="s">
        <v>1884</v>
      </c>
      <c r="H15" s="16">
        <v>46055</v>
      </c>
      <c r="I15" s="16">
        <v>46113</v>
      </c>
      <c r="P15" t="s">
        <v>1349</v>
      </c>
    </row>
    <row r="16" spans="1:16" ht="21" customHeight="1" x14ac:dyDescent="0.25">
      <c r="A16" s="1" t="s">
        <v>1089</v>
      </c>
      <c r="B16" s="1">
        <v>382</v>
      </c>
      <c r="C16" s="20" t="s">
        <v>1852</v>
      </c>
      <c r="E16" s="20" t="s">
        <v>1884</v>
      </c>
      <c r="H16" s="21">
        <v>46055</v>
      </c>
      <c r="I16" s="21">
        <v>46113</v>
      </c>
      <c r="P16" s="47" t="s">
        <v>1887</v>
      </c>
    </row>
    <row r="17" spans="1:16" ht="21" customHeight="1" x14ac:dyDescent="0.25">
      <c r="A17" s="1" t="s">
        <v>1089</v>
      </c>
      <c r="B17" s="1">
        <v>383</v>
      </c>
      <c r="C17" s="20" t="s">
        <v>1852</v>
      </c>
      <c r="E17" s="20" t="s">
        <v>1884</v>
      </c>
      <c r="H17" s="21">
        <v>46055</v>
      </c>
      <c r="I17" s="21">
        <v>46113</v>
      </c>
      <c r="P17" s="47" t="s">
        <v>1382</v>
      </c>
    </row>
    <row r="18" spans="1:16" ht="21" customHeight="1" x14ac:dyDescent="0.25">
      <c r="A18" s="1" t="s">
        <v>1089</v>
      </c>
      <c r="B18" s="1">
        <v>384</v>
      </c>
      <c r="C18" s="20" t="s">
        <v>1852</v>
      </c>
      <c r="E18" s="20" t="s">
        <v>1884</v>
      </c>
      <c r="H18" s="21">
        <v>46055</v>
      </c>
      <c r="I18" s="21">
        <v>46113</v>
      </c>
      <c r="P18" s="47" t="s">
        <v>1888</v>
      </c>
    </row>
    <row r="19" spans="1:16" ht="21" customHeight="1" x14ac:dyDescent="0.25">
      <c r="A19" s="1" t="s">
        <v>1089</v>
      </c>
      <c r="B19" s="1">
        <v>385</v>
      </c>
      <c r="C19" s="20" t="s">
        <v>1852</v>
      </c>
      <c r="E19" s="20" t="s">
        <v>1884</v>
      </c>
      <c r="H19" s="21">
        <v>46055</v>
      </c>
      <c r="I19" s="21">
        <v>46113</v>
      </c>
      <c r="P19" s="47" t="s">
        <v>1398</v>
      </c>
    </row>
    <row r="20" spans="1:16" ht="21" customHeight="1" x14ac:dyDescent="0.25">
      <c r="A20" s="1" t="s">
        <v>1089</v>
      </c>
      <c r="B20" s="1">
        <v>386</v>
      </c>
      <c r="C20" s="20" t="s">
        <v>1852</v>
      </c>
      <c r="E20" s="20" t="s">
        <v>1884</v>
      </c>
      <c r="H20" s="21">
        <v>46055</v>
      </c>
      <c r="I20" s="21">
        <v>46113</v>
      </c>
      <c r="P20" s="47" t="s">
        <v>1339</v>
      </c>
    </row>
    <row r="21" spans="1:16" ht="21" customHeight="1" x14ac:dyDescent="0.25">
      <c r="A21" s="1" t="s">
        <v>1089</v>
      </c>
      <c r="B21" s="1">
        <v>387</v>
      </c>
      <c r="C21" s="20" t="s">
        <v>1852</v>
      </c>
      <c r="E21" s="20" t="s">
        <v>1884</v>
      </c>
      <c r="H21" s="21">
        <v>46055</v>
      </c>
      <c r="I21" s="21">
        <v>46113</v>
      </c>
      <c r="P21" s="47" t="s">
        <v>1491</v>
      </c>
    </row>
    <row r="22" spans="1:16" ht="21" customHeight="1" x14ac:dyDescent="0.25">
      <c r="A22" s="1" t="s">
        <v>1089</v>
      </c>
      <c r="B22" s="1">
        <v>388</v>
      </c>
      <c r="C22" s="20" t="s">
        <v>1852</v>
      </c>
      <c r="E22" s="20" t="s">
        <v>1884</v>
      </c>
      <c r="H22" s="21">
        <v>46055</v>
      </c>
      <c r="I22" s="21">
        <v>46113</v>
      </c>
      <c r="P22" s="47" t="s">
        <v>1306</v>
      </c>
    </row>
    <row r="23" spans="1:16" ht="21" customHeight="1" x14ac:dyDescent="0.25">
      <c r="A23" s="1" t="s">
        <v>1089</v>
      </c>
      <c r="B23" s="1">
        <v>389</v>
      </c>
      <c r="C23" s="20" t="s">
        <v>1852</v>
      </c>
      <c r="E23" s="20" t="s">
        <v>1884</v>
      </c>
      <c r="H23" s="21">
        <v>46055</v>
      </c>
      <c r="I23" s="21">
        <v>46113</v>
      </c>
      <c r="P23" s="47" t="s">
        <v>1889</v>
      </c>
    </row>
    <row r="24" spans="1:16" ht="21" customHeight="1" x14ac:dyDescent="0.25">
      <c r="A24" s="44" t="s">
        <v>1089</v>
      </c>
      <c r="B24" s="44">
        <v>229</v>
      </c>
      <c r="C24" s="44" t="s">
        <v>84</v>
      </c>
      <c r="E24" s="44" t="s">
        <v>84</v>
      </c>
      <c r="F24" s="44" t="s">
        <v>1890</v>
      </c>
      <c r="G24" s="44" t="s">
        <v>1891</v>
      </c>
      <c r="H24" s="50">
        <v>41381</v>
      </c>
      <c r="J24" s="44" t="s">
        <v>138</v>
      </c>
      <c r="P24" t="s">
        <v>1892</v>
      </c>
    </row>
    <row r="25" spans="1:16" ht="21" customHeight="1" x14ac:dyDescent="0.25">
      <c r="A25" s="44" t="s">
        <v>1089</v>
      </c>
      <c r="B25" s="44">
        <v>343</v>
      </c>
      <c r="C25" s="44" t="s">
        <v>84</v>
      </c>
      <c r="E25" s="44" t="s">
        <v>1893</v>
      </c>
      <c r="F25" s="44" t="s">
        <v>1894</v>
      </c>
      <c r="G25" s="44" t="s">
        <v>1895</v>
      </c>
      <c r="H25" s="50">
        <v>44606</v>
      </c>
      <c r="J25" s="44" t="s">
        <v>138</v>
      </c>
      <c r="K25" s="44" t="s">
        <v>124</v>
      </c>
      <c r="P25" t="s">
        <v>1896</v>
      </c>
    </row>
  </sheetData>
  <autoFilter ref="A1:O14" xr:uid="{00000000-0009-0000-0000-000003000000}"/>
  <dataValidations count="2">
    <dataValidation type="list" allowBlank="1" showErrorMessage="1" errorTitle="Valor no permitido" error="Elegí una opción de la lista desplegable." sqref="C2:C2000" xr:uid="{00000000-0002-0000-0300-000000000000}">
      <formula1>EST_OPI</formula1>
    </dataValidation>
    <dataValidation type="list" allowBlank="1" showErrorMessage="1" errorTitle="Valor no permitido" error="Elegí una opción de la lista desplegable." sqref="D2:D2000" xr:uid="{00000000-0002-0000-0300-000001000000}">
      <formula1>SI_NO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P11"/>
  <sheetViews>
    <sheetView workbookViewId="0">
      <selection activeCell="F9" sqref="F9"/>
    </sheetView>
  </sheetViews>
  <sheetFormatPr baseColWidth="10" defaultRowHeight="17.25" customHeight="1" x14ac:dyDescent="0.25"/>
  <cols>
    <col min="1" max="1" width="5.42578125" style="51" bestFit="1" customWidth="1"/>
    <col min="2" max="2" width="6.7109375" style="51" bestFit="1" customWidth="1"/>
    <col min="3" max="3" width="20.42578125" style="51" customWidth="1"/>
    <col min="4" max="4" width="23" style="51" customWidth="1"/>
    <col min="5" max="5" width="11.28515625" style="51" bestFit="1" customWidth="1"/>
    <col min="6" max="6" width="53" style="51" customWidth="1"/>
    <col min="7" max="7" width="73.140625" style="51" bestFit="1" customWidth="1"/>
    <col min="8" max="8" width="11" style="51" bestFit="1" customWidth="1"/>
    <col min="9" max="9" width="11" style="51" customWidth="1"/>
    <col min="10" max="10" width="11" style="51" bestFit="1" customWidth="1"/>
    <col min="11" max="11" width="9.7109375" style="51" bestFit="1" customWidth="1"/>
    <col min="12" max="12" width="10" style="51" bestFit="1" customWidth="1"/>
    <col min="13" max="13" width="4.85546875" style="51" bestFit="1" customWidth="1"/>
    <col min="14" max="14" width="19.140625" style="51" bestFit="1" customWidth="1"/>
    <col min="15" max="15" width="34.140625" style="51" bestFit="1" customWidth="1"/>
  </cols>
  <sheetData>
    <row r="1" spans="1:16" ht="17.25" customHeight="1" x14ac:dyDescent="0.25">
      <c r="A1" s="11" t="s">
        <v>62</v>
      </c>
      <c r="B1" s="11" t="s">
        <v>63</v>
      </c>
      <c r="C1" s="11" t="s">
        <v>1897</v>
      </c>
      <c r="D1" s="11" t="s">
        <v>77</v>
      </c>
      <c r="E1" s="18" t="s">
        <v>61</v>
      </c>
      <c r="F1" s="11" t="s">
        <v>1837</v>
      </c>
      <c r="G1" s="11" t="s">
        <v>65</v>
      </c>
      <c r="H1" s="14" t="s">
        <v>66</v>
      </c>
      <c r="I1" s="14" t="s">
        <v>67</v>
      </c>
      <c r="J1" s="11" t="s">
        <v>1898</v>
      </c>
      <c r="K1" s="11" t="s">
        <v>1899</v>
      </c>
      <c r="L1" s="11" t="s">
        <v>1900</v>
      </c>
      <c r="M1" s="11" t="s">
        <v>1901</v>
      </c>
      <c r="N1" s="11" t="s">
        <v>72</v>
      </c>
      <c r="O1" s="11" t="s">
        <v>74</v>
      </c>
      <c r="P1" t="s">
        <v>75</v>
      </c>
    </row>
    <row r="2" spans="1:16" ht="17.25" customHeight="1" x14ac:dyDescent="0.25">
      <c r="A2" s="1" t="s">
        <v>1902</v>
      </c>
      <c r="B2" s="1">
        <v>131</v>
      </c>
      <c r="C2" s="1" t="s">
        <v>1852</v>
      </c>
      <c r="D2" s="12"/>
      <c r="F2" s="1" t="s">
        <v>1903</v>
      </c>
      <c r="G2" s="1" t="s">
        <v>1904</v>
      </c>
      <c r="H2" s="2">
        <v>45401</v>
      </c>
      <c r="I2" s="2">
        <v>46023</v>
      </c>
      <c r="J2" s="1" t="s">
        <v>138</v>
      </c>
      <c r="K2" s="1" t="s">
        <v>115</v>
      </c>
      <c r="L2" s="1" t="s">
        <v>133</v>
      </c>
      <c r="M2" s="1"/>
      <c r="N2" s="3"/>
      <c r="O2" s="9"/>
      <c r="P2" t="s">
        <v>1905</v>
      </c>
    </row>
    <row r="3" spans="1:16" ht="17.25" customHeight="1" x14ac:dyDescent="0.25">
      <c r="A3" s="1" t="s">
        <v>50</v>
      </c>
      <c r="B3" s="1">
        <v>139</v>
      </c>
      <c r="C3" s="1" t="s">
        <v>1852</v>
      </c>
      <c r="D3" s="5" t="s">
        <v>1906</v>
      </c>
      <c r="F3" s="1" t="s">
        <v>1907</v>
      </c>
      <c r="G3" s="1" t="s">
        <v>1908</v>
      </c>
      <c r="H3" s="2">
        <v>45441</v>
      </c>
      <c r="I3" s="2"/>
      <c r="J3" s="1" t="s">
        <v>93</v>
      </c>
      <c r="K3" s="1" t="s">
        <v>103</v>
      </c>
      <c r="L3" s="1" t="s">
        <v>127</v>
      </c>
      <c r="M3" s="1"/>
      <c r="N3" s="3"/>
      <c r="O3" s="9"/>
      <c r="P3" t="s">
        <v>1909</v>
      </c>
    </row>
    <row r="4" spans="1:16" ht="17.25" customHeight="1" x14ac:dyDescent="0.25">
      <c r="A4" s="1" t="s">
        <v>50</v>
      </c>
      <c r="B4" s="1">
        <v>140</v>
      </c>
      <c r="C4" s="1" t="s">
        <v>1852</v>
      </c>
      <c r="D4" s="13" t="s">
        <v>1910</v>
      </c>
      <c r="F4" s="1" t="s">
        <v>1911</v>
      </c>
      <c r="G4" s="1" t="s">
        <v>1912</v>
      </c>
      <c r="H4" s="2">
        <v>45597</v>
      </c>
      <c r="I4" s="2"/>
      <c r="J4" s="1" t="s">
        <v>103</v>
      </c>
      <c r="K4" s="1" t="s">
        <v>187</v>
      </c>
      <c r="L4" s="8"/>
      <c r="M4" s="1"/>
      <c r="N4" s="3"/>
      <c r="O4" s="9"/>
      <c r="P4" t="s">
        <v>1913</v>
      </c>
    </row>
    <row r="5" spans="1:16" ht="17.25" customHeight="1" x14ac:dyDescent="0.25">
      <c r="A5" s="1" t="s">
        <v>50</v>
      </c>
      <c r="B5" s="1">
        <v>141</v>
      </c>
      <c r="C5" s="1" t="s">
        <v>1852</v>
      </c>
      <c r="D5" s="12"/>
      <c r="F5" s="1" t="s">
        <v>1914</v>
      </c>
      <c r="G5" s="1" t="s">
        <v>1915</v>
      </c>
      <c r="H5" s="2">
        <v>45617</v>
      </c>
      <c r="I5" s="2"/>
      <c r="J5" s="1" t="s">
        <v>138</v>
      </c>
      <c r="K5" s="1" t="s">
        <v>103</v>
      </c>
      <c r="L5" s="1" t="s">
        <v>133</v>
      </c>
      <c r="M5" s="1" t="s">
        <v>127</v>
      </c>
      <c r="N5" s="3"/>
      <c r="O5" s="9"/>
      <c r="P5" t="s">
        <v>1916</v>
      </c>
    </row>
    <row r="6" spans="1:16" ht="17.25" customHeight="1" x14ac:dyDescent="0.25">
      <c r="A6" s="1" t="s">
        <v>50</v>
      </c>
      <c r="B6" s="1">
        <v>142</v>
      </c>
      <c r="C6" s="1" t="s">
        <v>1852</v>
      </c>
      <c r="D6" s="5" t="s">
        <v>1917</v>
      </c>
      <c r="F6" s="1" t="s">
        <v>1918</v>
      </c>
      <c r="G6" s="1" t="s">
        <v>1919</v>
      </c>
      <c r="H6" s="2">
        <v>45617</v>
      </c>
      <c r="I6" s="2"/>
      <c r="J6" s="1" t="s">
        <v>284</v>
      </c>
      <c r="K6" s="1" t="s">
        <v>1920</v>
      </c>
      <c r="L6" s="8" t="s">
        <v>197</v>
      </c>
      <c r="M6" s="1" t="s">
        <v>228</v>
      </c>
      <c r="N6" s="3"/>
      <c r="O6" s="9"/>
      <c r="P6" t="s">
        <v>1921</v>
      </c>
    </row>
    <row r="7" spans="1:16" ht="17.25" customHeight="1" x14ac:dyDescent="0.25">
      <c r="A7" s="1" t="s">
        <v>50</v>
      </c>
      <c r="B7" s="1">
        <v>144</v>
      </c>
      <c r="C7" s="1" t="s">
        <v>1852</v>
      </c>
      <c r="D7" s="5" t="s">
        <v>1922</v>
      </c>
      <c r="F7" s="1" t="s">
        <v>1923</v>
      </c>
      <c r="G7" s="1" t="s">
        <v>1924</v>
      </c>
      <c r="H7" s="2">
        <v>45638</v>
      </c>
      <c r="I7" s="2"/>
      <c r="J7" s="1" t="s">
        <v>187</v>
      </c>
      <c r="K7" s="1" t="s">
        <v>1920</v>
      </c>
      <c r="L7" s="8" t="s">
        <v>197</v>
      </c>
      <c r="M7" s="1" t="s">
        <v>151</v>
      </c>
      <c r="N7" s="3"/>
      <c r="O7" s="9"/>
      <c r="P7" t="s">
        <v>1925</v>
      </c>
    </row>
    <row r="8" spans="1:16" ht="17.25" customHeight="1" x14ac:dyDescent="0.25">
      <c r="A8" s="1" t="s">
        <v>50</v>
      </c>
      <c r="B8" s="1">
        <v>145</v>
      </c>
      <c r="C8" s="1" t="s">
        <v>1852</v>
      </c>
      <c r="D8" s="12"/>
      <c r="F8" s="1" t="s">
        <v>1926</v>
      </c>
      <c r="G8" s="1" t="s">
        <v>1927</v>
      </c>
      <c r="H8" s="2">
        <v>45653</v>
      </c>
      <c r="I8" s="2"/>
      <c r="J8" s="1" t="s">
        <v>93</v>
      </c>
      <c r="K8" s="1" t="s">
        <v>103</v>
      </c>
      <c r="L8" s="8" t="s">
        <v>228</v>
      </c>
      <c r="M8" s="1" t="s">
        <v>96</v>
      </c>
      <c r="N8" s="3"/>
      <c r="O8" s="9"/>
      <c r="P8" t="s">
        <v>1928</v>
      </c>
    </row>
    <row r="9" spans="1:16" ht="17.25" customHeight="1" x14ac:dyDescent="0.25">
      <c r="A9" s="1" t="s">
        <v>50</v>
      </c>
      <c r="B9" s="1">
        <v>105</v>
      </c>
      <c r="C9" s="1" t="s">
        <v>1852</v>
      </c>
      <c r="D9" s="12"/>
      <c r="F9" s="1" t="s">
        <v>1929</v>
      </c>
      <c r="G9" s="1" t="s">
        <v>1930</v>
      </c>
      <c r="H9" s="2">
        <v>43006</v>
      </c>
      <c r="I9" s="2"/>
      <c r="J9" s="1" t="s">
        <v>103</v>
      </c>
      <c r="K9" s="1"/>
      <c r="L9" s="8"/>
      <c r="M9" s="1"/>
      <c r="N9" s="3"/>
      <c r="O9" s="5" t="s">
        <v>1931</v>
      </c>
      <c r="P9" t="s">
        <v>1932</v>
      </c>
    </row>
    <row r="10" spans="1:16" ht="17.25" customHeight="1" x14ac:dyDescent="0.25">
      <c r="A10" s="1" t="s">
        <v>50</v>
      </c>
      <c r="B10" s="1">
        <v>137</v>
      </c>
      <c r="C10" s="1" t="s">
        <v>1852</v>
      </c>
      <c r="D10" s="12"/>
      <c r="F10" s="1" t="s">
        <v>1933</v>
      </c>
      <c r="G10" s="1" t="s">
        <v>1934</v>
      </c>
      <c r="H10" s="2">
        <v>45441</v>
      </c>
      <c r="I10" s="2"/>
      <c r="J10" s="1" t="s">
        <v>103</v>
      </c>
      <c r="K10" s="1" t="s">
        <v>138</v>
      </c>
      <c r="L10" s="8"/>
      <c r="M10" s="1"/>
      <c r="N10" s="3"/>
      <c r="O10" s="5" t="s">
        <v>1935</v>
      </c>
      <c r="P10" t="s">
        <v>1936</v>
      </c>
    </row>
    <row r="11" spans="1:16" ht="17.25" customHeight="1" x14ac:dyDescent="0.25">
      <c r="A11" s="44" t="s">
        <v>50</v>
      </c>
      <c r="B11" s="44">
        <v>77</v>
      </c>
      <c r="C11" s="44" t="s">
        <v>84</v>
      </c>
      <c r="D11" s="44" t="s">
        <v>84</v>
      </c>
      <c r="F11" s="44" t="s">
        <v>1937</v>
      </c>
      <c r="G11" s="44" t="s">
        <v>1938</v>
      </c>
      <c r="H11" s="50">
        <v>2012</v>
      </c>
      <c r="J11" s="44" t="s">
        <v>88</v>
      </c>
      <c r="K11" s="44" t="s">
        <v>103</v>
      </c>
      <c r="P11" t="s">
        <v>1939</v>
      </c>
    </row>
  </sheetData>
  <dataValidations count="2">
    <dataValidation type="list" allowBlank="1" showErrorMessage="1" errorTitle="Valor no permitido" error="Elegí una opción de la lista desplegable." sqref="C2:C2000" xr:uid="{00000000-0002-0000-0400-000000000000}">
      <formula1>EST_DP</formula1>
    </dataValidation>
    <dataValidation type="list" allowBlank="1" showErrorMessage="1" errorTitle="Valor no permitido" error="Elegí una opción de la lista desplegable." sqref="E2:E2000" xr:uid="{00000000-0002-0000-0400-000001000000}">
      <formula1>SI_NO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15"/>
  <sheetViews>
    <sheetView workbookViewId="0"/>
  </sheetViews>
  <sheetFormatPr baseColWidth="10" defaultColWidth="9.140625" defaultRowHeight="15" x14ac:dyDescent="0.25"/>
  <cols>
    <col min="1" max="1" width="27" style="51" customWidth="1"/>
    <col min="2" max="4" width="16" style="51" customWidth="1"/>
    <col min="5" max="5" width="23" style="51" customWidth="1"/>
    <col min="6" max="6" width="17" style="51" customWidth="1"/>
  </cols>
  <sheetData>
    <row r="1" spans="1:6" x14ac:dyDescent="0.25">
      <c r="A1" s="39" t="s">
        <v>1940</v>
      </c>
      <c r="B1" s="39" t="s">
        <v>1941</v>
      </c>
      <c r="C1" s="39" t="s">
        <v>1942</v>
      </c>
      <c r="D1" s="39" t="s">
        <v>61</v>
      </c>
      <c r="E1" s="39" t="s">
        <v>543</v>
      </c>
      <c r="F1" s="39" t="s">
        <v>1943</v>
      </c>
    </row>
    <row r="2" spans="1:6" x14ac:dyDescent="0.25">
      <c r="A2" t="s">
        <v>1944</v>
      </c>
      <c r="B2" t="s">
        <v>1944</v>
      </c>
      <c r="C2" t="s">
        <v>1944</v>
      </c>
      <c r="D2" t="s">
        <v>202</v>
      </c>
      <c r="E2" t="s">
        <v>592</v>
      </c>
      <c r="F2" t="s">
        <v>547</v>
      </c>
    </row>
    <row r="3" spans="1:6" x14ac:dyDescent="0.25">
      <c r="A3" t="s">
        <v>1945</v>
      </c>
      <c r="B3" t="s">
        <v>1945</v>
      </c>
      <c r="C3" t="s">
        <v>1945</v>
      </c>
      <c r="D3" t="s">
        <v>83</v>
      </c>
      <c r="E3" t="s">
        <v>554</v>
      </c>
      <c r="F3" t="s">
        <v>50</v>
      </c>
    </row>
    <row r="4" spans="1:6" x14ac:dyDescent="0.25">
      <c r="A4" t="s">
        <v>1852</v>
      </c>
      <c r="B4" t="s">
        <v>1852</v>
      </c>
      <c r="C4" t="s">
        <v>1852</v>
      </c>
      <c r="E4" t="s">
        <v>560</v>
      </c>
      <c r="F4" t="s">
        <v>1061</v>
      </c>
    </row>
    <row r="5" spans="1:6" x14ac:dyDescent="0.25">
      <c r="A5" t="s">
        <v>319</v>
      </c>
      <c r="B5" t="s">
        <v>319</v>
      </c>
      <c r="C5" t="s">
        <v>319</v>
      </c>
      <c r="E5" t="s">
        <v>581</v>
      </c>
      <c r="F5" t="s">
        <v>624</v>
      </c>
    </row>
    <row r="6" spans="1:6" x14ac:dyDescent="0.25">
      <c r="A6" t="s">
        <v>100</v>
      </c>
      <c r="B6" t="s">
        <v>100</v>
      </c>
      <c r="C6" t="s">
        <v>100</v>
      </c>
      <c r="E6" t="s">
        <v>1541</v>
      </c>
      <c r="F6" t="s">
        <v>1089</v>
      </c>
    </row>
    <row r="7" spans="1:6" x14ac:dyDescent="0.25">
      <c r="A7" t="s">
        <v>1946</v>
      </c>
      <c r="B7" t="s">
        <v>1947</v>
      </c>
      <c r="C7" t="s">
        <v>1948</v>
      </c>
      <c r="E7" t="s">
        <v>1126</v>
      </c>
      <c r="F7" t="s">
        <v>1119</v>
      </c>
    </row>
    <row r="8" spans="1:6" x14ac:dyDescent="0.25">
      <c r="A8" t="s">
        <v>1947</v>
      </c>
      <c r="B8" t="s">
        <v>1838</v>
      </c>
      <c r="C8" t="s">
        <v>1949</v>
      </c>
      <c r="E8" t="s">
        <v>660</v>
      </c>
    </row>
    <row r="9" spans="1:6" x14ac:dyDescent="0.25">
      <c r="A9" t="s">
        <v>274</v>
      </c>
      <c r="B9" t="s">
        <v>84</v>
      </c>
      <c r="C9" t="s">
        <v>1947</v>
      </c>
      <c r="E9" t="s">
        <v>748</v>
      </c>
    </row>
    <row r="10" spans="1:6" x14ac:dyDescent="0.25">
      <c r="A10" t="s">
        <v>80</v>
      </c>
      <c r="B10" t="s">
        <v>1950</v>
      </c>
      <c r="C10" t="s">
        <v>1838</v>
      </c>
    </row>
    <row r="11" spans="1:6" x14ac:dyDescent="0.25">
      <c r="A11" t="s">
        <v>141</v>
      </c>
      <c r="B11" t="s">
        <v>242</v>
      </c>
      <c r="C11" t="s">
        <v>84</v>
      </c>
    </row>
    <row r="12" spans="1:6" x14ac:dyDescent="0.25">
      <c r="A12" t="s">
        <v>84</v>
      </c>
      <c r="B12" t="s">
        <v>1951</v>
      </c>
      <c r="C12" t="s">
        <v>1950</v>
      </c>
    </row>
    <row r="13" spans="1:6" x14ac:dyDescent="0.25">
      <c r="A13" t="s">
        <v>1950</v>
      </c>
      <c r="C13" t="s">
        <v>242</v>
      </c>
    </row>
    <row r="14" spans="1:6" x14ac:dyDescent="0.25">
      <c r="A14" t="s">
        <v>242</v>
      </c>
      <c r="C14" t="s">
        <v>1951</v>
      </c>
    </row>
    <row r="15" spans="1:6" x14ac:dyDescent="0.25">
      <c r="A15" t="s">
        <v>1951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General</vt:lpstr>
      <vt:lpstr>evol_conc</vt:lpstr>
      <vt:lpstr>firmadas</vt:lpstr>
      <vt:lpstr>OPIs</vt:lpstr>
      <vt:lpstr>DP</vt:lpstr>
      <vt:lpstr>_listas</vt:lpstr>
      <vt:lpstr>EST_CONC</vt:lpstr>
      <vt:lpstr>EST_DP</vt:lpstr>
      <vt:lpstr>EST_OPI</vt:lpstr>
      <vt:lpstr>REL_ECON</vt:lpstr>
      <vt:lpstr>SI_NO</vt:lpstr>
      <vt:lpstr>TIPO_TR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Maria Micaela Perez Moreno</cp:lastModifiedBy>
  <dcterms:created xsi:type="dcterms:W3CDTF">2026-06-22T14:28:56Z</dcterms:created>
  <dcterms:modified xsi:type="dcterms:W3CDTF">2026-10-01T18:22:14Z</dcterms:modified>
</cp:coreProperties>
</file>