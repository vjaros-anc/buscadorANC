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6" customWidth="1" min="4" max="4"/>
    <col width="30" customWidth="1" min="5" max="5"/>
    <col width="60" customWidth="1" min="6" max="6"/>
    <col width="14" customWidth="1" min="7" max="7"/>
    <col width="13" customWidth="1" min="8" max="8"/>
    <col width="26" customWidth="1" min="9" max="9"/>
    <col width="26" customWidth="1" min="10" max="10"/>
    <col width="30" customWidth="1" min="11" max="11"/>
    <col width="50" customWidth="1" min="12" max="12"/>
    <col width="20" customWidth="1" min="13" max="13"/>
    <col width="8" customWidth="1" min="14" max="14"/>
  </cols>
  <sheetData>
    <row r="1">
      <c r="A1" s="1" t="inlineStr">
        <is>
          <t>tipo</t>
        </is>
      </c>
      <c r="B1" s="1" t="inlineStr">
        <is>
          <t>Carpeta</t>
        </is>
      </c>
      <c r="C1" s="1" t="inlineStr">
        <is>
          <t>Excluible</t>
        </is>
      </c>
      <c r="D1" s="1" t="inlineStr">
        <is>
          <t>Carátula</t>
        </is>
      </c>
      <c r="E1" s="1" t="inlineStr">
        <is>
          <t>Grupo/Empresa</t>
        </is>
      </c>
      <c r="F1" s="1" t="inlineStr">
        <is>
          <t>Empresas involucradas</t>
        </is>
      </c>
      <c r="G1" s="1" t="inlineStr">
        <is>
          <t>Fecha_Ingreso</t>
        </is>
      </c>
      <c r="H1" s="1" t="inlineStr">
        <is>
          <t>Fecha_firma</t>
        </is>
      </c>
      <c r="I1" s="1" t="inlineStr">
        <is>
          <t>Decisión</t>
        </is>
      </c>
      <c r="J1" s="1" t="inlineStr">
        <is>
          <t>Número de Resolución</t>
        </is>
      </c>
      <c r="K1" s="1" t="inlineStr">
        <is>
          <t>Número de Dictamen</t>
        </is>
      </c>
      <c r="L1" s="1" t="inlineStr">
        <is>
          <t>Mercados relevantes</t>
        </is>
      </c>
      <c r="M1" s="1" t="inlineStr">
        <is>
          <t>Relaciones económicas</t>
        </is>
      </c>
      <c r="N1" s="1" t="inlineStr">
        <is>
          <t>meses</t>
        </is>
      </c>
    </row>
    <row r="2">
      <c r="A2" t="inlineStr">
        <is>
          <t>CONC</t>
        </is>
      </c>
      <c r="B2" t="inlineStr">
        <is>
          <t>OPI-288</t>
        </is>
      </c>
      <c r="D2" s="2" t="inlineStr">
        <is>
          <t>POINTARGENTUM MASTER FUND LP, BIENVILLE ARGENTINA OPPORTUNITIES MASTER FUND LP Y FEDERICO WEIL S/NOTIFICACIÓN ART. 8 DE LA LEY 25.156</t>
        </is>
      </c>
      <c r="E2" s="2" t="inlineStr">
        <is>
          <t>POINTARGENTUM MASTER FUND LP, BIENVILLE ARGENTINA OPPORTUNITIES MASTER FUND LP Y FEDERICO WEIL</t>
        </is>
      </c>
      <c r="F2" s="2" t="n"/>
      <c r="H2" s="3" t="n">
        <v>43083</v>
      </c>
      <c r="J2" t="inlineStr">
        <is>
          <t>RESOL-2018-330-APN-SECC#MP</t>
        </is>
      </c>
      <c r="K2" t="inlineStr">
        <is>
          <t>IF-2017-32960823-APN-CNDC#MP</t>
        </is>
      </c>
      <c r="L2" s="2" t="n"/>
      <c r="N2">
        <f>IF(AND(G2&lt;&gt;"",H2&lt;&gt;""),DATEDIF(G2,H2,"m"),"")</f>
        <v/>
      </c>
    </row>
    <row r="3">
      <c r="A3" t="inlineStr">
        <is>
          <t>CONC</t>
        </is>
      </c>
      <c r="B3" t="inlineStr">
        <is>
          <t>CONC-344</t>
        </is>
      </c>
      <c r="D3" s="2" t="inlineStr">
        <is>
          <t>SCC POWER PLC S/NOTIFICACIÓN ART.9 DE LA LEY 27.442</t>
        </is>
      </c>
      <c r="E3" s="2" t="inlineStr">
        <is>
          <t>SCC POWER PLC</t>
        </is>
      </c>
      <c r="F3" s="2" t="n"/>
      <c r="H3" s="3" t="n">
        <v>45077</v>
      </c>
      <c r="J3" t="inlineStr">
        <is>
          <t>RESOL-2023-1007-APN-SC#MEC</t>
        </is>
      </c>
      <c r="K3" t="inlineStr">
        <is>
          <t>IF-2023-15303262-APN-CNDC#MEC</t>
        </is>
      </c>
      <c r="L3" s="2" t="n"/>
      <c r="N3">
        <f>IF(AND(G3&lt;&gt;"",H3&lt;&gt;""),DATEDIF(G3,H3,"m"),"")</f>
        <v/>
      </c>
    </row>
    <row r="4">
      <c r="A4" t="inlineStr">
        <is>
          <t>CONC</t>
        </is>
      </c>
      <c r="B4" t="inlineStr">
        <is>
          <t>CONC-575</t>
        </is>
      </c>
      <c r="D4" s="2" t="inlineStr">
        <is>
          <t>YPF INVERSORA ENERGÉTICA SA. y Otros S/ APELACIÓN RESOLUCIÓN COMISIÓN NACIONAL DE DEFENSA DE LA COMPETENCIA</t>
        </is>
      </c>
      <c r="E4" s="2" t="n"/>
      <c r="F4" s="2" t="n"/>
      <c r="I4" t="inlineStr">
        <is>
          <t>Autoriza Art.13 a) Ley 25.156</t>
        </is>
      </c>
      <c r="J4" t="inlineStr">
        <is>
          <t>IF-2019-107804948-APN-CNDC#MPYT</t>
        </is>
      </c>
      <c r="K4" t="inlineStr">
        <is>
          <t>IF-2019-107804948-APN-CNDC#MPYT</t>
        </is>
      </c>
      <c r="L4" s="2" t="n"/>
      <c r="N4">
        <f>IF(AND(G4&lt;&gt;"",H4&lt;&gt;""),DATEDIF(G4,H4,"m"),"")</f>
        <v/>
      </c>
    </row>
    <row r="5">
      <c r="A5" t="inlineStr">
        <is>
          <t>CONC</t>
        </is>
      </c>
      <c r="B5" t="inlineStr">
        <is>
          <t>CONC-930</t>
        </is>
      </c>
      <c r="D5" s="2" t="n"/>
      <c r="E5" s="2" t="n"/>
      <c r="F5" s="2" t="n"/>
      <c r="L5" s="2" t="n"/>
      <c r="N5">
        <f>IF(AND(G5&lt;&gt;"",H5&lt;&gt;""),DATEDIF(G5,H5,"m"),"")</f>
        <v/>
      </c>
    </row>
    <row r="6">
      <c r="A6" t="inlineStr">
        <is>
          <t>CONC</t>
        </is>
      </c>
      <c r="B6" t="inlineStr">
        <is>
          <t>CONC-990</t>
        </is>
      </c>
      <c r="D6" s="2" t="inlineStr">
        <is>
          <t>EMGASUD S.A., EMGASUD RENOVABLES S.A., FIDES GROUP S.A. Y S/ NOTIFIACIÓN ART 8° LEY 25.156</t>
        </is>
      </c>
      <c r="E6" s="2" t="inlineStr">
        <is>
          <t>EMGASUD S.A. y EMGASUD RENOVABLES S.A.</t>
        </is>
      </c>
      <c r="F6" s="2" t="n"/>
      <c r="H6" s="3" t="n">
        <v>43083</v>
      </c>
      <c r="I6" t="inlineStr">
        <is>
          <t>Autoriza Art.13 a) Ley 25.156</t>
        </is>
      </c>
      <c r="J6" t="inlineStr">
        <is>
          <t>RESOL-2018-64-APN-SECC#MP</t>
        </is>
      </c>
      <c r="K6" t="inlineStr">
        <is>
          <t>IF-2017-32919258-APN-CNDC#MP</t>
        </is>
      </c>
      <c r="L6" s="2" t="n"/>
      <c r="N6">
        <f>IF(AND(G6&lt;&gt;"",H6&lt;&gt;""),DATEDIF(G6,H6,"m"),"")</f>
        <v/>
      </c>
    </row>
    <row r="7">
      <c r="A7" t="inlineStr">
        <is>
          <t>CONC</t>
        </is>
      </c>
      <c r="B7" t="inlineStr">
        <is>
          <t>CONC-997</t>
        </is>
      </c>
      <c r="D7" s="2" t="inlineStr">
        <is>
          <t>GLENCORE INTERNATIONAL PLC y XSTRATA PLC S/NOTIFICACIÓN ARTÍCULO 8° LEY 25.156 (CONC. 997).</t>
        </is>
      </c>
      <c r="E7" s="2" t="inlineStr">
        <is>
          <t>GLENCORE INTERNATIONAL PLC y XSTRATA PLC</t>
        </is>
      </c>
      <c r="F7" s="2" t="inlineStr">
        <is>
          <t>[{"rol": "comprador", "nombre": "ADVANCED ORGANIC MATERIALS S.A."}, {"rol": "comprador", "nombre": "ARANDU NEGOCIOS AGROPECUARIOS S.A."}, {"rol": "comprador", "nombre": "AR ZINC S.A."}, {"rol": "comprador", "nombre": "COMPAÑÍA MINERA AGUILAR S.A."}, {"rol": "comprador", "nombre": "FERNÁNDEZ CANDIA S.A."}, {"rol": "comprador", "nombre": "GLENCORE ARGENTINA S.A."}, {"rol": "comprador", "nombre": "GLENCORE CEREALES S.A."}, {"rol": "comprador", "nombre": "GLENSA S.A."}, {"rol": "comprador", "nombre": "LARTIRIGOYEN Y CÍA. S.A."}, {"rol": "comprador", "nombre": "MOLINOS LIBRES S.A."}, {"rol": "comprador", "nombre": "OLEAGINOSA MORENO HERMANOS S.A.C.I.F.I.y A."}, {"rol": "comprador", "nombre": "RENOVA S.A."}, {"rol": "comprador", "nombre": "SUCESIÓN DE ANTONIO MORENO S.A.C.A.I.F. eI."}, {"rol": "comprador", "nombre": "SUYMAR S.A.:."}, {"rol": "comprador", "nombre": "XSTORAGE S.A."}, {"rol": "comprador", "nombre": "GLENCORE INTERNATIONAL AG"}, {"rol": "objeto", "nombre": "MIM ARGENTINA EXPLORACIONES S.A."}, {"rol": "objeto", "nombre": "XSTRATA PACHÓN S.A."}, {"rol": "objeto", "nombre": "MINERA ALUMBRERA LIMITED SUCURSAL ARGENTINA (XSTRATA)"}]</t>
        </is>
      </c>
      <c r="G7" s="3" t="n">
        <v>41031</v>
      </c>
      <c r="I7" t="inlineStr">
        <is>
          <t>Autoriza Art.13 a) Ley 25.156</t>
        </is>
      </c>
      <c r="J7" t="inlineStr">
        <is>
          <t>RESOL-2018-152-APN-SECC#MP</t>
        </is>
      </c>
      <c r="K7" t="inlineStr">
        <is>
          <t>IF-2018-06640834-APN-CNDC#MP</t>
        </is>
      </c>
      <c r="L7" s="2" t="n"/>
      <c r="M7" t="inlineStr">
        <is>
          <t>Conglomerado</t>
        </is>
      </c>
      <c r="N7">
        <f>IF(AND(G7&lt;&gt;"",H7&lt;&gt;""),DATEDIF(G7,H7,"m"),"")</f>
        <v/>
      </c>
    </row>
    <row r="8">
      <c r="A8" t="inlineStr">
        <is>
          <t>CONC</t>
        </is>
      </c>
      <c r="B8" t="inlineStr">
        <is>
          <t>CONC-1003</t>
        </is>
      </c>
      <c r="D8" s="2" t="n"/>
      <c r="E8" s="2" t="n"/>
      <c r="F8" s="2" t="n"/>
      <c r="L8" s="2" t="n"/>
      <c r="N8">
        <f>IF(AND(G8&lt;&gt;"",H8&lt;&gt;""),DATEDIF(G8,H8,"m"),"")</f>
        <v/>
      </c>
    </row>
    <row r="9">
      <c r="A9" t="inlineStr">
        <is>
          <t>CONC</t>
        </is>
      </c>
      <c r="B9" t="inlineStr">
        <is>
          <t>CONC-1098</t>
        </is>
      </c>
      <c r="D9" s="2" t="inlineStr">
        <is>
          <t>JBS S.A. Y MARFRIG ALIMENTOS S.A. S/ NOTIFICACIÓN ART. 8º DE LA LEY Nº 25.156</t>
        </is>
      </c>
      <c r="E9" s="2" t="inlineStr">
        <is>
          <t>JBS S.A. Y MARFRIG ALIMENTOS S.A.</t>
        </is>
      </c>
      <c r="F9" s="2" t="inlineStr">
        <is>
          <t>[{"rol": "objeto", "nombre": "NEGOCIO SEARA DEL GRUPO MARFRIG"}, {"rol": "objeto", "nombre": "NEGOCIO ZENDA DEL GRUPO MARFRIG"}, {"rol": "comprador", "nombre": "JBS ARGENTINA"}, {"rol": "comprador", "nombre": "J&amp;F ARGENTINA"}, {"rol": "comprador", "nombre": "JBS MENDOZA"}, {"rol": "comprador", "nombre": "CONSIGNACIONES RURALES S.A.C.A.I.y F"}, {"rol": "comprador", "nombre": "ARGENVASES"}, {"rol": "comprador", "nombre": "JBS AVES LTDA"}, {"rol": "comprador", "nombre": "NOVAPROM FOOD INGREDIENTS LTDA"}]</t>
        </is>
      </c>
      <c r="G9" s="3" t="n">
        <v>41554</v>
      </c>
      <c r="H9" s="3" t="n">
        <v>43069</v>
      </c>
      <c r="I9" t="inlineStr">
        <is>
          <t>Autoriza Art.13 a) Ley 25.156</t>
        </is>
      </c>
      <c r="J9" t="inlineStr">
        <is>
          <t>RESOL-2018-1-APN-SECC#MP</t>
        </is>
      </c>
      <c r="K9" t="inlineStr">
        <is>
          <t>IF-2017-30702137-APN-CNDC#MP</t>
        </is>
      </c>
      <c r="L9" s="2" t="n"/>
      <c r="M9" t="inlineStr">
        <is>
          <t>Vertical</t>
        </is>
      </c>
      <c r="N9">
        <f>IF(AND(G9&lt;&gt;"",H9&lt;&gt;""),DATEDIF(G9,H9,"m"),"")</f>
        <v/>
      </c>
    </row>
    <row r="10">
      <c r="A10" t="inlineStr">
        <is>
          <t>CONC</t>
        </is>
      </c>
      <c r="B10" t="inlineStr">
        <is>
          <t>CONC-1106</t>
        </is>
      </c>
      <c r="D10" s="2" t="inlineStr">
        <is>
          <t>RYAN CONTINENTAL CORP., ALFREDO GUSTAVO ROMERO, KIETERY S.A. Y ALVENY TRADING S.A. S/NOTIFICACIÓN ART. 8º DE LA LEY 25.156</t>
        </is>
      </c>
      <c r="E10" s="2" t="inlineStr">
        <is>
          <t>RYAN CONTINENTAL CORP., ALFREDO GUSTAVO ROMERO, KIETERY S.A. Y ALVENY TRADING S.A.</t>
        </is>
      </c>
      <c r="F10" s="2" t="inlineStr">
        <is>
          <t>[{"rol": "objeto", "nombre": "ORGANIZACIÓN COORDINADORA ARGENTINA S.A. (“OCA”)"}, {"rol": "objeto", "nombre": "SERVICIO PRIVADO DE TRANSPORTE S.A. (“SEPRIT”)"}, {"rol": "objeto", "nombre": "GPS SERVICIOS S.A."}, {"rol": "comprador", "nombre": "SLAM SERVICIOS S.A."}, {"rol": "comprador", "nombre": "OXFORD PARTNERS S.A."}, {"rol": "comprador", "nombre": "FORCE ONE S.A."}, {"rol": "comprador", "nombre": "RHUO DELIVERY"}, {"rol": "comprador", "nombre": "PLANOBRA S.A."}]</t>
        </is>
      </c>
      <c r="I10" t="inlineStr">
        <is>
          <t>Autoriza Art.13 a) Ley 25.156</t>
        </is>
      </c>
      <c r="J10" t="inlineStr">
        <is>
          <t>RESOL-2018-154-APN-SECC#MP</t>
        </is>
      </c>
      <c r="K10" t="inlineStr">
        <is>
          <t>IF-2018-06642427-APN-CNDC#MP</t>
        </is>
      </c>
      <c r="L10" s="2" t="inlineStr">
        <is>
          <t>-SLAM SERVICIOS S.A. Provee recursos humanos para promociones en punto de venta y vía pública, organiza eventos y acciones promocionales, desarrollo y producción de Artículos promocionales, servicios de reposición en supermercados y canales alternativos.; -OXFORD PARTNERS S.A. Provee recursos humanos empresariales en el campo de la búsqueda y selección de ejecutivos de alto nivel. En la actualidad</t>
        </is>
      </c>
      <c r="M10" t="inlineStr">
        <is>
          <t>Horizontal</t>
        </is>
      </c>
      <c r="N10">
        <f>IF(AND(G10&lt;&gt;"",H10&lt;&gt;""),DATEDIF(G10,H10,"m"),"")</f>
        <v/>
      </c>
    </row>
    <row r="11">
      <c r="A11" t="inlineStr">
        <is>
          <t>CONC</t>
        </is>
      </c>
      <c r="B11" t="inlineStr">
        <is>
          <t>CONC-1171</t>
        </is>
      </c>
      <c r="D11" s="2" t="inlineStr">
        <is>
          <t>HABITAT ECOLÓGICO S.A., SOMA S.A., GUSTAVO OSVALDO SOLARI, GUSTAVO GABRIEL MAURO Y FERNANDO JAVIER MAURO S/ NOTIFICACION ART 8º DE LA LEY 25.156</t>
        </is>
      </c>
      <c r="E11" s="2" t="inlineStr">
        <is>
          <t>HABITAT ECOLÓGICO S.A., SOMA S.A., GUSTAVO OSVALDO SOLARI, GUSTAVO GABRIEL MAURO Y FERNANDO JAVIER MAURO</t>
        </is>
      </c>
      <c r="F11" s="2" t="n"/>
      <c r="G11" s="3" t="n">
        <v>42859</v>
      </c>
      <c r="I11" t="inlineStr">
        <is>
          <t>Autoriza Art.13 a) Ley 25.156</t>
        </is>
      </c>
      <c r="J11" t="inlineStr">
        <is>
          <t>RESOL-2018-98-APN-SECC#MP</t>
        </is>
      </c>
      <c r="K11" t="inlineStr">
        <is>
          <t>IF-2018-03116725-APN-CNDC#MP</t>
        </is>
      </c>
      <c r="L11" s="2" t="n"/>
      <c r="M11" t="inlineStr">
        <is>
          <t>Vertical</t>
        </is>
      </c>
      <c r="N11">
        <f>IF(AND(G11&lt;&gt;"",H11&lt;&gt;""),DATEDIF(G11,H11,"m"),"")</f>
        <v/>
      </c>
    </row>
    <row r="12">
      <c r="A12" t="inlineStr">
        <is>
          <t>CONC</t>
        </is>
      </c>
      <c r="B12" t="inlineStr">
        <is>
          <t>CONC-1178</t>
        </is>
      </c>
      <c r="D12" s="2" t="n"/>
      <c r="E12" s="2" t="n"/>
      <c r="F12" s="2" t="n"/>
      <c r="H12" s="3" t="n">
        <v>42941</v>
      </c>
      <c r="J12" t="inlineStr">
        <is>
          <t>RESOL-2017-659-APN-SECC#MP</t>
        </is>
      </c>
      <c r="L12" s="2" t="n"/>
      <c r="N12">
        <f>IF(AND(G12&lt;&gt;"",H12&lt;&gt;""),DATEDIF(G12,H12,"m"),"")</f>
        <v/>
      </c>
    </row>
    <row r="13">
      <c r="A13" t="inlineStr">
        <is>
          <t>CONC</t>
        </is>
      </c>
      <c r="B13" t="inlineStr">
        <is>
          <t>CONC-1208</t>
        </is>
      </c>
      <c r="D13" s="2" t="n"/>
      <c r="E13" s="2" t="n"/>
      <c r="F13" s="2" t="n"/>
      <c r="G13" s="3" t="n">
        <v>42031</v>
      </c>
      <c r="H13" s="3" t="n">
        <v>43004</v>
      </c>
      <c r="J13" t="inlineStr">
        <is>
          <t>RESOL-2017-847-APN-SECC#MP</t>
        </is>
      </c>
      <c r="L13" s="2" t="n"/>
      <c r="N13">
        <f>IF(AND(G13&lt;&gt;"",H13&lt;&gt;""),DATEDIF(G13,H13,"m"),"")</f>
        <v/>
      </c>
    </row>
    <row r="14">
      <c r="A14" t="inlineStr">
        <is>
          <t>CONC</t>
        </is>
      </c>
      <c r="B14" t="inlineStr">
        <is>
          <t>CONC-1209</t>
        </is>
      </c>
      <c r="D14" s="2" t="inlineStr">
        <is>
          <t>MEDTRONIC INC Y COVIDIEN PLC S/NOTIFICACIÓN ARTICULO 8° LEY 25.156</t>
        </is>
      </c>
      <c r="E14" s="2" t="inlineStr">
        <is>
          <t>MEDTRONIC INC Y COVIDIEN PLC</t>
        </is>
      </c>
      <c r="F14" s="2" t="inlineStr">
        <is>
          <t>[{"rol": "objeto", "nombre": "COVIDIEN"}, {"rol": "comprador", "nombre": "MEDTRONIC LATIN AMERICA INC. SUCURSAL ARGENTINA"}, {"rol": "comprador", "nombre": "MEDTRONIC LOGISTICS LLC"}]</t>
        </is>
      </c>
      <c r="G14" s="3" t="n">
        <v>42037</v>
      </c>
      <c r="I14" t="inlineStr">
        <is>
          <t>Autoriza Art.13 a) Ley 25.156</t>
        </is>
      </c>
      <c r="J14" t="inlineStr">
        <is>
          <t>RESOL-2018-159-APN-SECC#MP</t>
        </is>
      </c>
      <c r="K14" t="inlineStr">
        <is>
          <t>IF-2018-06640684-APN-CNDC#MP</t>
        </is>
      </c>
      <c r="L14" s="2" t="n"/>
      <c r="N14">
        <f>IF(AND(G14&lt;&gt;"",H14&lt;&gt;""),DATEDIF(G14,H14,"m"),"")</f>
        <v/>
      </c>
    </row>
    <row r="15">
      <c r="A15" t="inlineStr">
        <is>
          <t>CONC</t>
        </is>
      </c>
      <c r="B15" t="inlineStr">
        <is>
          <t>CONC-1222</t>
        </is>
      </c>
      <c r="D15" s="2" t="inlineStr">
        <is>
          <t>COMPAÑÍA GENERAL DE COMBUSTIBLES S.A. y PETROBRAS ARGENTINA S.A. S/ NOTIFICACIÓN ART. 8º DE LA LEY Nº 25.156</t>
        </is>
      </c>
      <c r="E15" s="2" t="inlineStr">
        <is>
          <t>COMPAÑÍA GENERAL DE COMBUSTIBLES S.A. y PETROBRAS ARGENTINA S.A.</t>
        </is>
      </c>
      <c r="F15" s="2" t="inlineStr">
        <is>
          <t>[{"rol": "objeto", "nombre": "todas las instalaciones de transporte, almacenamiento, procesamiento y compresión de hidrocarburos ubicadas en las áreas objeto de las concesiones de explotación, y (v) los derechos y obligaciones sobre el uso, operación, mantenimiento y explotación del muelle Arturo U. Illia bajo el contrato entre PETROBRAS e YPF S.A. del 15 de febrero de 2001 y una participación indivisa del 29% sobre dicho muelle."}, {"rol": "comprador", "nombre": "COMPAÑÍA GENERAL DE COMBUSTIBLES S.A."}, {"rol": "comprador", "nombre": "UNITEC ENERGY S.A."}, {"rol": "comprador", "nombre": "TRANSPORTADORA GAS DEL MERCOSUR S.A."}, {"rol": "comprador", "nombre": "TRANSPORTADORA DE GAS DEL NORTE S.A."}, {"rol": "comprador", "nombre": "GASODUCTO GASANDES ARGENTINA S.A."}]</t>
        </is>
      </c>
      <c r="I15" t="inlineStr">
        <is>
          <t>Autoriza Art.13 a) Ley 25.156</t>
        </is>
      </c>
      <c r="J15" t="inlineStr">
        <is>
          <t>RESOL-2018-222-APN-SECC#MP</t>
        </is>
      </c>
      <c r="K15" t="inlineStr">
        <is>
          <t>IF-2018-11785439-APN-CNDC#MP</t>
        </is>
      </c>
      <c r="L15" s="2" t="inlineStr">
        <is>
          <t>Actividad económica principal</t>
        </is>
      </c>
      <c r="M15" t="inlineStr">
        <is>
          <t>Horizontal + vertical</t>
        </is>
      </c>
      <c r="N15">
        <f>IF(AND(G15&lt;&gt;"",H15&lt;&gt;""),DATEDIF(G15,H15,"m"),"")</f>
        <v/>
      </c>
    </row>
    <row r="16">
      <c r="A16" t="inlineStr">
        <is>
          <t>CONC</t>
        </is>
      </c>
      <c r="B16" t="inlineStr">
        <is>
          <t>CONC-1237</t>
        </is>
      </c>
      <c r="D16" s="2" t="n"/>
      <c r="E16" s="2" t="n"/>
      <c r="F16" s="2" t="n"/>
      <c r="H16" s="3" t="n">
        <v>43623</v>
      </c>
      <c r="J16" t="inlineStr">
        <is>
          <t>RESOL-2019-265-APN-SCI#MPYT</t>
        </is>
      </c>
      <c r="L16" s="2" t="n"/>
      <c r="N16">
        <f>IF(AND(G16&lt;&gt;"",H16&lt;&gt;""),DATEDIF(G16,H16,"m"),"")</f>
        <v/>
      </c>
    </row>
    <row r="17">
      <c r="A17" t="inlineStr">
        <is>
          <t>CONC</t>
        </is>
      </c>
      <c r="B17" t="inlineStr">
        <is>
          <t>CONC-1241</t>
        </is>
      </c>
      <c r="D17" s="2" t="inlineStr">
        <is>
          <t>GRUPO PEÑAFLOR S.A., PEÑAVID, TWG SH LLC y THE WINE GROUP INC. S/ NOTIFICACION ART. 8 DE LA LEY N° 25.156</t>
        </is>
      </c>
      <c r="E17" s="2" t="inlineStr">
        <is>
          <t>GRUPO PEÑAFLOR S.A., PEÑAVID, TWG SH LLC y THE WINE GROUP INC.</t>
        </is>
      </c>
      <c r="F17" s="2" t="inlineStr">
        <is>
          <t>[{"rol": "objeto", "nombre": "BODEGA SAN MARTÍN"}, {"rol": "comprador", "nombre": "GRUPO PEÑAFLOR"}, {"rol": "comprador", "nombre": "PEÑAVID S.A."}, {"rol": "comprador", "nombre": "SUTER S.A."}]</t>
        </is>
      </c>
      <c r="G17" s="3" t="n">
        <v>42160</v>
      </c>
      <c r="H17" s="3" t="n">
        <v>43076</v>
      </c>
      <c r="I17" t="inlineStr">
        <is>
          <t>Autoriza Art.13 a) Ley 25.156</t>
        </is>
      </c>
      <c r="J17" t="inlineStr">
        <is>
          <t>RESOL-2018-31-APN-SECC#MP</t>
        </is>
      </c>
      <c r="K17" t="inlineStr">
        <is>
          <t>IF-2017-31850816-APN-CNDC#MP</t>
        </is>
      </c>
      <c r="L17" s="2" t="n"/>
      <c r="N17">
        <f>IF(AND(G17&lt;&gt;"",H17&lt;&gt;""),DATEDIF(G17,H17,"m"),"")</f>
        <v/>
      </c>
    </row>
    <row r="18">
      <c r="A18" t="inlineStr">
        <is>
          <t>CONC</t>
        </is>
      </c>
      <c r="B18" t="inlineStr">
        <is>
          <t>CONC-1247</t>
        </is>
      </c>
      <c r="D18" s="2" t="inlineStr">
        <is>
          <t>OMEGA ACQUISITION BIDCO LIMITED Y TI FLUID SYSTEMS LIMITED S/NOTIFICACIÓN ARTICULO 8° LEY 25.156</t>
        </is>
      </c>
      <c r="E18" s="2" t="inlineStr">
        <is>
          <t>OMEGA ACQUISITION BIDCO LIMITED Y TI FLUID SYSTEMS LIMITED</t>
        </is>
      </c>
      <c r="F18" s="2" t="inlineStr">
        <is>
          <t>[{"rol": "comprador", "nombre": "CENTROS DE CONTACTO SALTA S.A."}, {"rol": "comprador", "nombre": "BMC SOFTWARE DE ARGENTINA S.A."}, {"rol": "comprador", "nombre": "FTE AUTOMOTIVE"}, {"rol": "comprador", "nombre": "THE WEATHER COMPANY"}, {"rol": "comprador", "nombre": "WITTUR S.A."}, {"rol": "objeto", "nombre": "TI AUTOMOTIVE ARGENTINA S.A."}]</t>
        </is>
      </c>
      <c r="G18" s="3" t="n">
        <v>42192</v>
      </c>
      <c r="H18" s="3" t="n">
        <v>43097</v>
      </c>
      <c r="I18" t="inlineStr">
        <is>
          <t>Autoriza Art.13 a) Ley 25.156</t>
        </is>
      </c>
      <c r="J18" t="inlineStr">
        <is>
          <t>RESOL-2018-40-APN-SECC#MP</t>
        </is>
      </c>
      <c r="K18" t="inlineStr">
        <is>
          <t>IF-2017-35482188-APN-CNDC#MP</t>
        </is>
      </c>
      <c r="L18" s="2" t="inlineStr">
        <is>
          <t> Comercializa líneas y tubos de freno y combustible.</t>
        </is>
      </c>
      <c r="M18" t="inlineStr">
        <is>
          <t>Vertical</t>
        </is>
      </c>
      <c r="N18">
        <f>IF(AND(G18&lt;&gt;"",H18&lt;&gt;""),DATEDIF(G18,H18,"m"),"")</f>
        <v/>
      </c>
    </row>
    <row r="19">
      <c r="A19" t="inlineStr">
        <is>
          <t>CONC</t>
        </is>
      </c>
      <c r="B19" t="inlineStr">
        <is>
          <t>CONC-1255</t>
        </is>
      </c>
      <c r="D19" s="2" t="inlineStr">
        <is>
          <t>QBE HOLDINGS (AMERITAS) PTY LIMITED, QBE LATIN AMERICA INSURANCE HOLDINGS S.L., WST S.A. Y LA CAJA ASEGURADORA DE RIESGOS DEL TRABAJO ART S.A. S/NOTIFICACION ARTICULO 8° LEY 25.156</t>
        </is>
      </c>
      <c r="E19" s="2" t="inlineStr">
        <is>
          <t>QBE HOLDINGS (AMERITAS) PTY LIMITED, QBE LATIN AMERICA INSURANCE HOLDINGS S.L., WST S.A. Y LA CAJA ASEGURADORA DE RIESGOS DEL TRABAJO ART S.A.</t>
        </is>
      </c>
      <c r="F19" s="2" t="n"/>
      <c r="I19" t="inlineStr">
        <is>
          <t>Autoriza Art.13 a) Ley 25.156</t>
        </is>
      </c>
      <c r="J19" t="inlineStr">
        <is>
          <t>RESOL-2018-120-APN-SECC#MP</t>
        </is>
      </c>
      <c r="K19" t="inlineStr">
        <is>
          <t>IF-2018-04644798-APN-CNDC#MP</t>
        </is>
      </c>
      <c r="L19" s="2" t="n"/>
      <c r="M19" t="inlineStr">
        <is>
          <t>Vertical</t>
        </is>
      </c>
      <c r="N19">
        <f>IF(AND(G19&lt;&gt;"",H19&lt;&gt;""),DATEDIF(G19,H19,"m"),"")</f>
        <v/>
      </c>
    </row>
    <row r="20">
      <c r="A20" t="inlineStr">
        <is>
          <t>CONC</t>
        </is>
      </c>
      <c r="B20" t="inlineStr">
        <is>
          <t>CONC-1256</t>
        </is>
      </c>
      <c r="D20" s="2" t="inlineStr">
        <is>
          <t>CHINA NATIONAL TIRE &amp; RUBBER CO. LTD., PIRELLI &amp; CO. S.P.A. Y CAMFIN S.P.A. S/NOTIFICACIÓN ART. 8 LEY 25.156 (CONC. 1256).</t>
        </is>
      </c>
      <c r="E20" s="2" t="inlineStr">
        <is>
          <t>CHINA NATIONAL TIRE &amp; RUBBER CO. LTD., PIRELLI &amp; CO. S.P.A. Y CAMFIN S.P.A.</t>
        </is>
      </c>
      <c r="F20" s="2" t="inlineStr">
        <is>
          <t>[{"rol": "objeto", "nombre": " CHINA NATIONAL TIRE &amp; RUBBER CO. LTD (República Popular China) Grupo Comprador"}, {"rol": "objeto", "nombre": " YIYANG RUBBER &amp; PLASTICS MACHINERY GROUP CO. LTD. (República Popular China) Grupo Comprador"}, {"rol": "objeto", "nombre": " GUILIN RUBBER MACHINERY AND FUJIAN SAMMING DOUBLEWHEEL CHEMICAL MACHINERY CO., LTD. (República Popular China) Grupo Comprador"}, {"rol": "objeto", "nombre": " CHINA PETROLEUM &amp; CHEMICAL CORPORATION («SINOPEC») (República Popular China) Grupo Comprador"}, {"rol": "objeto", "nombre": " CHINA NATIONAL OFFSHORE OIL CORPORATION (República Popular China) Grupo Comprador"}, {"rol": "objeto", "nombre": " SINOCHEM CORPORATION (República Popular China) Grupo Comprador"}, {"rol": "objeto", "nombre": " FAW GROUP CORPORATION (República Popular China) Grupo Comprador"}, {"rol": "comprador", "nombre": " CHINA NATIONAL PETROLEUM CORPORATION (República Popular China) Grupo Comprador"}, {"rol": "comprador", "nombre": " CHINA NATIONAL AGROCHEMICAL CORPORATION (República Argentina) Grupo Comprador"}, {"rol": "comprador", "nombre": " ADAMA ARGENTINA S.A. (República Argentina) Grupo Comprador"}, {"rol": "comprador", "nombre": " PIRELLI NEUMÁTICOS S.A.I.C. (República Argentina) Empresa Objeto"}]</t>
        </is>
      </c>
      <c r="H20" s="3" t="n">
        <v>43081</v>
      </c>
      <c r="I20" t="inlineStr">
        <is>
          <t>Autoriza Art.13 a) Ley 25.156</t>
        </is>
      </c>
      <c r="J20" t="inlineStr">
        <is>
          <t>RESOL-2018-2-APN-SECC#MP</t>
        </is>
      </c>
      <c r="K20" t="inlineStr">
        <is>
          <t>IF-2017-32244792-APN-CNDC#MP</t>
        </is>
      </c>
      <c r="L20" s="2" t="n"/>
      <c r="M20" t="inlineStr">
        <is>
          <t>Horizontal</t>
        </is>
      </c>
      <c r="N20">
        <f>IF(AND(G20&lt;&gt;"",H20&lt;&gt;""),DATEDIF(G20,H20,"m"),"")</f>
        <v/>
      </c>
    </row>
    <row r="21">
      <c r="A21" t="inlineStr">
        <is>
          <t>CONC</t>
        </is>
      </c>
      <c r="B21" t="inlineStr">
        <is>
          <t>CONC-1259</t>
        </is>
      </c>
      <c r="D21" s="2" t="inlineStr">
        <is>
          <t>BBVA BANCO FRANCES S.A., VOLKSWAGEN FINANCIAL SERVICES HOLDING ARGENTINA S.R.L., VOLKSWAGEN FINANCIAL SERVICES A.G. Y VOLKSWAGEN ARGENTINA S.A. S/NOTIFICACIÓN ART. 8 LEY N° 25.156</t>
        </is>
      </c>
      <c r="E21" s="2" t="inlineStr">
        <is>
          <t>BBVA BANCO FRANCES S.A., VOLKSWAGEN FINANCIAL SERVICES HOLDING ARGENTINA S.R.L., VOLKSWAGEN FINANCIAL SERVICES A.G. Y VOLKSWAGEN ARGENTINA S.A.</t>
        </is>
      </c>
      <c r="F21" s="2" t="inlineStr">
        <is>
          <t>[{"rol": "comprador", "nombre": "BBVA BANCO FRANCÉS S.A."}, {"rol": "comprador", "nombre": "PSA FINANCE"}, {"rol": "comprador", "nombre": "ROMBO"}, {"rol": "comprador", "nombre": "BBVA FRANCÉS VALORES S.A."}, {"rol": "comprador", "nombre": "BBVA FRANCÉS ASSET MANAGEMENT S.A."}]</t>
        </is>
      </c>
      <c r="I21" t="inlineStr">
        <is>
          <t>Autoriza Art.13 a) Ley 25.156</t>
        </is>
      </c>
      <c r="J21" t="inlineStr">
        <is>
          <t>RESOL-2018-239-APN-SECC#MP</t>
        </is>
      </c>
      <c r="K21" t="inlineStr">
        <is>
          <t>IF-2018-12592504-APN-CNDC#MP</t>
        </is>
      </c>
      <c r="L21" s="2" t="n"/>
      <c r="M21" t="inlineStr">
        <is>
          <t>Vertical</t>
        </is>
      </c>
      <c r="N21">
        <f>IF(AND(G21&lt;&gt;"",H21&lt;&gt;""),DATEDIF(G21,H21,"m"),"")</f>
        <v/>
      </c>
    </row>
    <row r="22">
      <c r="A22" t="inlineStr">
        <is>
          <t>CONC</t>
        </is>
      </c>
      <c r="B22" t="inlineStr">
        <is>
          <t>CONC-1261</t>
        </is>
      </c>
      <c r="D22" s="2" t="n"/>
      <c r="E22" s="2" t="n"/>
      <c r="F22" s="2" t="n"/>
      <c r="L22" s="2" t="n"/>
      <c r="N22">
        <f>IF(AND(G22&lt;&gt;"",H22&lt;&gt;""),DATEDIF(G22,H22,"m"),"")</f>
        <v/>
      </c>
    </row>
    <row r="23">
      <c r="A23" t="inlineStr">
        <is>
          <t>CONC</t>
        </is>
      </c>
      <c r="B23" t="inlineStr">
        <is>
          <t>CONC-1272</t>
        </is>
      </c>
      <c r="D23" s="2" t="n"/>
      <c r="E23" s="2" t="n"/>
      <c r="F23" s="2" t="n"/>
      <c r="L23" s="2" t="n"/>
      <c r="N23">
        <f>IF(AND(G23&lt;&gt;"",H23&lt;&gt;""),DATEDIF(G23,H23,"m"),"")</f>
        <v/>
      </c>
    </row>
    <row r="24">
      <c r="A24" t="inlineStr">
        <is>
          <t>CONC</t>
        </is>
      </c>
      <c r="B24" t="inlineStr">
        <is>
          <t>CONC-1277</t>
        </is>
      </c>
      <c r="D24" s="2" t="inlineStr">
        <is>
          <t>ARGENTUM INVESTMENTS I LLC, FIDES GROUP S.A., ALEJANDRO PEDRO IVANISSEVICH, JUAN MANUEL ARIAS Y PRADO LARGO S.A. S/NOTIFICACIÓN ART. 8 LEY 25156</t>
        </is>
      </c>
      <c r="E24" s="2" t="inlineStr">
        <is>
          <t>ARGENTUM INVESTMENTS I LLC, FIDES GROUP S.A., ALEJANDRO PEDRO IVANISSEVICH, JUAN MANUEL ARIAS Y PRADO LARGO S.A.</t>
        </is>
      </c>
      <c r="F24" s="2" t="inlineStr">
        <is>
          <t>[{"rol": "objeto", "nombre": "GENNEIA S.A."}, {"rol": "objeto", "nombre": "GENNEIA DESARROLLOS S.A."}, {"rol": "comprador", "nombre": "TGLT S.A."}, {"rol": "comprador", "nombre": "MARINA RÍO LUJÁN S.A."}, {"rol": "comprador", "nombre": "CANFOT S.A."}, {"rol": "comprador", "nombre": "SITIA S.A."}]</t>
        </is>
      </c>
      <c r="G24" s="3" t="n">
        <v>42349</v>
      </c>
      <c r="H24" s="3" t="n">
        <v>43224</v>
      </c>
      <c r="I24" t="inlineStr">
        <is>
          <t>Autoriza Art.13 a) Ley 25.156</t>
        </is>
      </c>
      <c r="J24" t="inlineStr">
        <is>
          <t>RESOL-2018-261-APN-SECC#MP</t>
        </is>
      </c>
      <c r="K24" t="inlineStr">
        <is>
          <t>IF-2018-15161620-APN-CNDC#MP</t>
        </is>
      </c>
      <c r="L24" s="2" t="inlineStr">
        <is>
          <t>(i) Generación de energía eléctrica y su comercialización, mediante la construcción, operación y explotación bajo cualquier forma de centrales y equipos para la generación, producción, autogeneración y/o cogeneración de energía eléctrica. (ii) Comercialización de gas natural y capacidad de transporte, construcción y operación de redes, gasoductos e instalaciones complementarias, industriales y dom</t>
        </is>
      </c>
      <c r="N24">
        <f>IF(AND(G24&lt;&gt;"",H24&lt;&gt;""),DATEDIF(G24,H24,"m"),"")</f>
        <v/>
      </c>
    </row>
    <row r="25">
      <c r="A25" t="inlineStr">
        <is>
          <t>CONC</t>
        </is>
      </c>
      <c r="B25" t="inlineStr">
        <is>
          <t>CONC-1280</t>
        </is>
      </c>
      <c r="D25" s="2" t="inlineStr">
        <is>
          <t>DELPHI INTERNATIONAL S.A.R.L, DELPHI GLOBAL HOLDING SARL Y CAREX ELECTRONICS LLC S/ NOTIFICACIÓN ART. 8° LEY 25.156</t>
        </is>
      </c>
      <c r="E25" s="2" t="inlineStr">
        <is>
          <t>DELPHI INTERNATIONAL S.A.R.L, DELPHI GLOBAL HOLDING SARL Y CAREX ELECTRONICS LLC</t>
        </is>
      </c>
      <c r="F25" s="2" t="inlineStr">
        <is>
          <t>[{"rol": "objeto", "nombre": "FAMAR"}, {"rol": "objeto", "nombre": "ELECTROTÉCNICA"}, {"rol": "comprador", "nombre": "ITEC SAN JUAN S.A."}, {"rol": "comprador", "nombre": "CONARSA S.A."}]</t>
        </is>
      </c>
      <c r="G25" s="3" t="n">
        <v>42416</v>
      </c>
      <c r="I25" t="inlineStr">
        <is>
          <t>Autoriza Art.13 a) Ley 25.156</t>
        </is>
      </c>
      <c r="J25" t="inlineStr">
        <is>
          <t>RESOL-2018-148-APN-SECC#MP</t>
        </is>
      </c>
      <c r="K25" t="inlineStr">
        <is>
          <t>IF-2018-06639526-APN-CNDC#MP</t>
        </is>
      </c>
      <c r="L25" s="2" t="n"/>
      <c r="M25" t="inlineStr">
        <is>
          <t>Conglomerado</t>
        </is>
      </c>
      <c r="N25">
        <f>IF(AND(G25&lt;&gt;"",H25&lt;&gt;""),DATEDIF(G25,H25,"m"),"")</f>
        <v/>
      </c>
    </row>
    <row r="26">
      <c r="A26" t="inlineStr">
        <is>
          <t>CONC</t>
        </is>
      </c>
      <c r="B26" t="inlineStr">
        <is>
          <t>CONC-1295</t>
        </is>
      </c>
      <c r="D26" s="2" t="inlineStr">
        <is>
          <t>THE PROCTER &amp; GAMBLE COMPANY, GALLERIA CO., COTY INC. y ACQUISITION SUB INC. S/ NOTIFIACIÓN ART 8° LEY 25.156</t>
        </is>
      </c>
      <c r="E26" s="2" t="inlineStr">
        <is>
          <t>COTY INC. de una parte</t>
        </is>
      </c>
      <c r="F26" s="2" t="inlineStr">
        <is>
          <t>[{"rol": "comprador", "nombre": "COTY GENEVA SA VERSOIX"}]</t>
        </is>
      </c>
      <c r="G26" s="3" t="n">
        <v>43145</v>
      </c>
      <c r="I26" t="inlineStr">
        <is>
          <t>Autoriza Art.13 a) Ley 25.156</t>
        </is>
      </c>
      <c r="J26" t="inlineStr">
        <is>
          <t>RESOL-2018-232-APN-SECC#MP</t>
        </is>
      </c>
      <c r="K26" t="inlineStr">
        <is>
          <t>IF-2018-07280842-APN-CNDC#MP</t>
        </is>
      </c>
      <c r="L26" s="2" t="n"/>
      <c r="M26" t="inlineStr">
        <is>
          <t>Horizontal</t>
        </is>
      </c>
      <c r="N26">
        <f>IF(AND(G26&lt;&gt;"",H26&lt;&gt;""),DATEDIF(G26,H26,"m"),"")</f>
        <v/>
      </c>
    </row>
    <row r="27">
      <c r="A27" t="inlineStr">
        <is>
          <t>CONC</t>
        </is>
      </c>
      <c r="B27" t="inlineStr">
        <is>
          <t>CONC-1310</t>
        </is>
      </c>
      <c r="D27" s="2" t="inlineStr">
        <is>
          <t>FRIGORÍFICO PALADINI S.A. y ESPUÑA S.R.L. S/NOTIFICACIÓN ART. 8 DE LA LEY 25.156</t>
        </is>
      </c>
      <c r="E27" s="2" t="inlineStr">
        <is>
          <t>FRIGORÍFICO PALADINI S.A. y ESPUÑA S.R.L.</t>
        </is>
      </c>
      <c r="F27" s="2" t="inlineStr">
        <is>
          <t>[{"rol": "objeto", "nombre": "ESPUÑA S.R.L."}]</t>
        </is>
      </c>
      <c r="G27" s="3" t="n">
        <v>42438</v>
      </c>
      <c r="H27" s="3" t="n">
        <v>43097</v>
      </c>
      <c r="I27" t="inlineStr">
        <is>
          <t>Autoriza Art.13 a) Ley 25.156</t>
        </is>
      </c>
      <c r="J27" t="inlineStr">
        <is>
          <t>RESOL-2018-50-APN-SECC#MP</t>
        </is>
      </c>
      <c r="K27" t="inlineStr">
        <is>
          <t>IF-2017-35484647-APN-CNDC#MP</t>
        </is>
      </c>
      <c r="L27" s="2" t="n"/>
      <c r="N27">
        <f>IF(AND(G27&lt;&gt;"",H27&lt;&gt;""),DATEDIF(G27,H27,"m"),"")</f>
        <v/>
      </c>
    </row>
    <row r="28">
      <c r="A28" t="inlineStr">
        <is>
          <t>CONC</t>
        </is>
      </c>
      <c r="B28" t="inlineStr">
        <is>
          <t>CONC-1316</t>
        </is>
      </c>
      <c r="D28" s="2" t="inlineStr">
        <is>
          <t>EUROFARMA ARGENTINA S.A. Y SANOFI-AVENTIS ARGENTINA S.A. S/NOTIFICACIÓN ART. 8 DE LA LEY 25.156</t>
        </is>
      </c>
      <c r="E28" s="2" t="inlineStr">
        <is>
          <t>EUROFARMA ARGENTINA S.A. Y SANOFI-AVENTIS ARGENTINA S.A.</t>
        </is>
      </c>
      <c r="F28" s="2" t="n"/>
      <c r="G28" s="3" t="n">
        <v>42467</v>
      </c>
      <c r="I28" t="inlineStr">
        <is>
          <t>Autoriza Art.13 a) Ley 25.156</t>
        </is>
      </c>
      <c r="J28" t="inlineStr">
        <is>
          <t>IF-2018-27361487-APN-CNDC#MP</t>
        </is>
      </c>
      <c r="K28" t="inlineStr">
        <is>
          <t>IF-2018-27361487-APN-CNDC#MP</t>
        </is>
      </c>
      <c r="L28" s="2" t="n"/>
      <c r="M28" t="inlineStr">
        <is>
          <t>Vertical</t>
        </is>
      </c>
      <c r="N28">
        <f>IF(AND(G28&lt;&gt;"",H28&lt;&gt;""),DATEDIF(G28,H28,"m"),"")</f>
        <v/>
      </c>
    </row>
    <row r="29">
      <c r="A29" t="inlineStr">
        <is>
          <t>CONC</t>
        </is>
      </c>
      <c r="B29" t="inlineStr">
        <is>
          <t>CONC-1331</t>
        </is>
      </c>
      <c r="D29" s="2" t="inlineStr">
        <is>
          <t>MOLINOS RÍO DE LA PLATA S.A., VIÑA COBOS S.A., DUILIO ARIEL NUÑEZ POROLLI, LUIS BARRAUD, ANDREA CECILIA MARCHIORI, FRANCISCO JAVIER CORTES LEPIS Y PAUL JAMES HOBBS S/ NOTIFICACIÓN ART. 8º DE LA LEY 25.156</t>
        </is>
      </c>
      <c r="E29" s="2" t="inlineStr">
        <is>
          <t>MOLINOS RÍO DE LA PLATA S.A., VIÑA COBOS S.A., DUILIO ARIEL NUÑEZ POROLLI, LUIS BARRAUD, ANDREA CECILIA MARCHIORI, FRANCISCO JAVIER CORTES LEPIS Y PAUL JAMES HOBBS</t>
        </is>
      </c>
      <c r="F29" s="2" t="inlineStr">
        <is>
          <t>[{"rol": "objeto", "nombre": "VIÑA COBOS S.A."}, {"rol": "comprador", "nombre": "MOLINOS RÍO DE LA PLATA S.A."}, {"rol": "comprador", "nombre": "BODEGAS RUCA MALÉN S.A."}]</t>
        </is>
      </c>
      <c r="G29" s="3" t="n">
        <v>42601</v>
      </c>
      <c r="H29" s="3" t="n">
        <v>43069</v>
      </c>
      <c r="I29" t="inlineStr">
        <is>
          <t>Autoriza Art.13 a) Ley 25.156</t>
        </is>
      </c>
      <c r="J29" t="inlineStr">
        <is>
          <t>RESOL-2018-28-APN-SECC#MP</t>
        </is>
      </c>
      <c r="K29" t="inlineStr">
        <is>
          <t>IF-2017-30645644-APN-CNDC#MP</t>
        </is>
      </c>
      <c r="L29" s="2" t="n"/>
      <c r="M29" t="inlineStr">
        <is>
          <t>Horizontal</t>
        </is>
      </c>
      <c r="N29">
        <f>IF(AND(G29&lt;&gt;"",H29&lt;&gt;""),DATEDIF(G29,H29,"m"),"")</f>
        <v/>
      </c>
    </row>
    <row r="30">
      <c r="A30" t="inlineStr">
        <is>
          <t>CONC</t>
        </is>
      </c>
      <c r="B30" t="inlineStr">
        <is>
          <t>CONC-1347</t>
        </is>
      </c>
      <c r="D30" s="2" t="inlineStr">
        <is>
          <t>WST S.A., GRUPO INVERSOR PETROQUÍMICA S.L. y PCT LLC, PAMPA ENERGÍA S.A., PAMPA PARTICIPACIONES S.A. y PAMPA INVERSIONES S.A. S/ NOTIFICACIÓN ART. 8 DE LA LEY N° 25.156</t>
        </is>
      </c>
      <c r="E30" s="2" t="inlineStr">
        <is>
          <t>WST S.A., GRUPO INVERSOR PETROQUÍMICA S.L. y PCT LLC, PAMPA ENERGÍA S.A., PAMPA PARTICIPACIONES S.A. y PAMPA INVERSIONES S.A.</t>
        </is>
      </c>
      <c r="F30" s="2" t="n"/>
      <c r="G30" s="3" t="n">
        <v>42585</v>
      </c>
      <c r="I30" t="inlineStr">
        <is>
          <t>Autoriza Art.13 a) Ley 25.156</t>
        </is>
      </c>
      <c r="J30" t="inlineStr">
        <is>
          <t>RESOL-2018-69-APN-SECC#MP</t>
        </is>
      </c>
      <c r="K30" t="inlineStr">
        <is>
          <t>IF-2018-01836557-APN-CNDC#MP</t>
        </is>
      </c>
      <c r="L30" s="2" t="n"/>
      <c r="M30" t="inlineStr">
        <is>
          <t>Horizontal</t>
        </is>
      </c>
      <c r="N30">
        <f>IF(AND(G30&lt;&gt;"",H30&lt;&gt;""),DATEDIF(G30,H30,"m"),"")</f>
        <v/>
      </c>
    </row>
    <row r="31">
      <c r="A31" t="inlineStr">
        <is>
          <t>CONC</t>
        </is>
      </c>
      <c r="B31" t="inlineStr">
        <is>
          <t>CONC-1348</t>
        </is>
      </c>
      <c r="D31" s="2" t="n"/>
      <c r="E31" s="2" t="n"/>
      <c r="F31" s="2" t="n"/>
      <c r="H31" s="3" t="n">
        <v>42688</v>
      </c>
      <c r="J31" t="inlineStr">
        <is>
          <t>RESOL-2017-16-APN-SECC#MP</t>
        </is>
      </c>
      <c r="K31" t="inlineStr">
        <is>
          <t>IF-2016-03279567-APN-CNDC#MP</t>
        </is>
      </c>
      <c r="L31" s="2" t="n"/>
      <c r="N31">
        <f>IF(AND(G31&lt;&gt;"",H31&lt;&gt;""),DATEDIF(G31,H31,"m"),"")</f>
        <v/>
      </c>
    </row>
    <row r="32">
      <c r="A32" t="inlineStr">
        <is>
          <t>CONC</t>
        </is>
      </c>
      <c r="B32" t="inlineStr">
        <is>
          <t>CONC-1349</t>
        </is>
      </c>
      <c r="D32" s="2" t="inlineStr">
        <is>
          <t>TIMEX SRL, PETROQUÍMICA COMODORO RIVADAVIA SA Y PETROMIX SA S/NOTIFICACIÓN ART. 8 DE LA LEY 25.156</t>
        </is>
      </c>
      <c r="E32" s="2" t="inlineStr">
        <is>
          <t>TIMEX SRL, PETROQUÍMICA COMODORO RIVADAVIA SA Y PETROMIX SA</t>
        </is>
      </c>
      <c r="F32" s="2" t="inlineStr">
        <is>
          <t>[{"rol": "objeto", "nombre": "TIMEX S.R.L."}, {"rol": "comprador", "nombre": "PETROQUÍMICA COMODORO RIVADAVIA S.A."}, {"rol": "comprador", "nombre": "PETROMIX S.A."}, {"rol": "comprador", "nombre": "SURPAT S.A."}, {"rol": "comprador", "nombre": "RENTAL PATAGONIA S.A.(1)"}, {"rol": "comprador", "nombre": "APMB SERVICIOS Y TRANSPORTES S.A.(2)"}, {"rol": "comprador", "nombre": "PCR LOGÍSTICA S.A."}]</t>
        </is>
      </c>
      <c r="G32" s="3" t="n">
        <v>43129</v>
      </c>
      <c r="I32" t="inlineStr">
        <is>
          <t>Autoriza Art.13 a) Ley 25.156</t>
        </is>
      </c>
      <c r="J32" t="inlineStr">
        <is>
          <t>RESOL-2018-177-APN-SECC#MP</t>
        </is>
      </c>
      <c r="K32" t="inlineStr">
        <is>
          <t>IF-2018-08194220-APN-CNDC#MP</t>
        </is>
      </c>
      <c r="L32" s="2" t="inlineStr">
        <is>
          <t>Brinda servicios de apoyo para la minería, en particular, servicios de extracción de materias primas de las canteras y trituración primaria en el marco de la primera etapa dentro del proceso de producción de cemento Portland, entre ellos: servicios de perforación; muestreo de material; voladuras; despacho y achique de piedra; servicios de movimientos de tierras/suelos; mantenimiento de caminos y c</t>
        </is>
      </c>
      <c r="M32" t="inlineStr">
        <is>
          <t>Horizontal + vertical</t>
        </is>
      </c>
      <c r="N32">
        <f>IF(AND(G32&lt;&gt;"",H32&lt;&gt;""),DATEDIF(G32,H32,"m"),"")</f>
        <v/>
      </c>
    </row>
    <row r="33">
      <c r="A33" t="inlineStr">
        <is>
          <t>CONC</t>
        </is>
      </c>
      <c r="B33" t="inlineStr">
        <is>
          <t>CONC-1369</t>
        </is>
      </c>
      <c r="D33" s="2" t="inlineStr">
        <is>
          <t>APEX TECHNOLOGY CO. LTD Y LEXMARK INTERNATIONAL INC. S/NOTIFICACIÓN ART. 8 DE LA LEY N° 25.156</t>
        </is>
      </c>
      <c r="E33" s="2" t="inlineStr">
        <is>
          <t>APEX TECHNOLOGY CO. LTD Y LEXMARK INTERNATIONAL INC.</t>
        </is>
      </c>
      <c r="F33" s="2" t="inlineStr">
        <is>
          <t>[{"rol": "objeto", "nombre": "Lexmark Sucursal Argentina"}]</t>
        </is>
      </c>
      <c r="I33" t="inlineStr">
        <is>
          <t>Autoriza Art.13 a) Ley 25.156</t>
        </is>
      </c>
      <c r="J33" t="inlineStr">
        <is>
          <t>RESOL-2018-150-APN-SECC#MP</t>
        </is>
      </c>
      <c r="K33" t="inlineStr">
        <is>
          <t>IF-2018-04615512-APN-CNDC#MP</t>
        </is>
      </c>
      <c r="L33" s="2" t="n"/>
      <c r="N33">
        <f>IF(AND(G33&lt;&gt;"",H33&lt;&gt;""),DATEDIF(G33,H33,"m"),"")</f>
        <v/>
      </c>
    </row>
    <row r="34">
      <c r="A34" t="inlineStr">
        <is>
          <t>CONC</t>
        </is>
      </c>
      <c r="B34" t="inlineStr">
        <is>
          <t>CONC-1370</t>
        </is>
      </c>
      <c r="D34" s="2" t="inlineStr">
        <is>
          <t>H&amp;F GIANT LUX S.A. R.L., EMERLUX S.A.R.L. Y EMERLUX 2 S.A.R.L. S/ NOTIFICACIÓN ART. 8º DE LA LEY 25.156</t>
        </is>
      </c>
      <c r="E34" s="2" t="inlineStr">
        <is>
          <t>H&amp;F GIANT LUX S.A. R.L., EMERLUX S.A.R.L. Y EMERLUX 2 S.A.R.L.</t>
        </is>
      </c>
      <c r="F34" s="2" t="inlineStr">
        <is>
          <t>[{"rol": "objeto", "nombre": "GENESYS"}, {"rol": "comprador", "nombre": "KRONOS"}, {"rol": "comprador", "nombre": "PPD ARGENTINA"}]</t>
        </is>
      </c>
      <c r="G34" s="3" t="n">
        <v>42642</v>
      </c>
      <c r="I34" t="inlineStr">
        <is>
          <t>Autoriza Art.13 a) Ley 25.156</t>
        </is>
      </c>
      <c r="J34" t="inlineStr">
        <is>
          <t>RESOL-2018-140-APN-SECC#MP</t>
        </is>
      </c>
      <c r="K34" t="inlineStr">
        <is>
          <t>IF-2018-02177894-APN-CNDC#MP</t>
        </is>
      </c>
      <c r="L34" s="2" t="n"/>
      <c r="N34">
        <f>IF(AND(G34&lt;&gt;"",H34&lt;&gt;""),DATEDIF(G34,H34,"m"),"")</f>
        <v/>
      </c>
    </row>
    <row r="35">
      <c r="A35" t="inlineStr">
        <is>
          <t>CONC</t>
        </is>
      </c>
      <c r="B35" t="inlineStr">
        <is>
          <t>CONC-1374</t>
        </is>
      </c>
      <c r="D35" s="2" t="inlineStr">
        <is>
          <t>PAI PARTNERS S.A.S., FRONERI ARGENTINA S.A., NESTLÉ S.A. y NESTLÉ ARGENTINA S.A. S/ NOTIFICACION ART. 8 DE LA LEY N° 25.156</t>
        </is>
      </c>
      <c r="E35" s="2" t="inlineStr">
        <is>
          <t>PAI PARTNERS S.A.S., FRONERI ARGENTINA S.A., NESTLÉ S.A. y NESTLÉ ARGENTINA S.A.</t>
        </is>
      </c>
      <c r="F35" s="2" t="inlineStr">
        <is>
          <t>[{"rol": "objeto", "nombre": "FRONERI ARGENTINA"}, {"rol": "objeto", "nombre": "IPH SAS (Francia)"}, {"rol": "objeto", "nombre": "MARCOLIN S.p.A. (Italia)"}, {"rol": "objeto", "nombre": "INNOVISTA SEENSORS TOPCO LTD. (Reino Unido)"}, {"rol": "objeto", "nombre": "KONECTA SERVICIOS ADMINISTRATIVOS Y TECNOLÓGICOS S.L.- SUCURSAL ARGENTINA"}]</t>
        </is>
      </c>
      <c r="G35" s="3" t="n">
        <v>42650</v>
      </c>
      <c r="I35" t="inlineStr">
        <is>
          <t>Autoriza Art.13 a) Ley 25.156</t>
        </is>
      </c>
      <c r="J35" t="inlineStr">
        <is>
          <t>IF-2018-60763135-APN-CNDC#MPYT</t>
        </is>
      </c>
      <c r="K35" t="inlineStr">
        <is>
          <t>IF-2018-60763135-APN-CNDC#MPYT</t>
        </is>
      </c>
      <c r="L35" s="2" t="inlineStr">
        <is>
          <t>(Francia) adicciones.; IPH SAS (Francia) Comercialización de partes de maquinarias y equipos industriales.; MARCOLIN S.p.A. (Italia) Comercialización de gafas.; PERSTORP (Suecia) Comercialización de aditivos químicos para la industria de revestimientos y resinas.; INNOVISTA SEENSORS TOPCO LTD. (Reino Unido) Comercialización de sensores y controles de movimiento para la industria, el transporte y l</t>
        </is>
      </c>
      <c r="M35" t="inlineStr">
        <is>
          <t>Conglomerado</t>
        </is>
      </c>
      <c r="N35">
        <f>IF(AND(G35&lt;&gt;"",H35&lt;&gt;""),DATEDIF(G35,H35,"m"),"")</f>
        <v/>
      </c>
    </row>
    <row r="36">
      <c r="A36" t="inlineStr">
        <is>
          <t>CONC</t>
        </is>
      </c>
      <c r="B36" t="inlineStr">
        <is>
          <t>CONC-1386</t>
        </is>
      </c>
      <c r="D36" s="2" t="inlineStr">
        <is>
          <t>GRUPO MONARCA INVERSIONES S.A., GONZALO MONARCA, BASTIA TORINESE Y CONO S.A. S/ NOTIFICACIÓN ART. 8 DE LA LEY N° 25.156</t>
        </is>
      </c>
      <c r="E36" s="2" t="inlineStr">
        <is>
          <t>GRUPO MONARCA INVERSIONES S.A., GONZALO MONARCA, BASTIA TORINESE Y CONO S.A.</t>
        </is>
      </c>
      <c r="F36" s="2" t="n"/>
      <c r="G36" s="3" t="n">
        <v>42853</v>
      </c>
      <c r="H36" s="3" t="n">
        <v>43076</v>
      </c>
      <c r="J36" t="inlineStr">
        <is>
          <t>RESOL-2018-52-APN-SECC#MP</t>
        </is>
      </c>
      <c r="K36" t="inlineStr">
        <is>
          <t>IF-2017-31892901-APN-CNDC#MP</t>
        </is>
      </c>
      <c r="L36" s="2" t="n"/>
      <c r="N36">
        <f>IF(AND(G36&lt;&gt;"",H36&lt;&gt;""),DATEDIF(G36,H36,"m"),"")</f>
        <v/>
      </c>
    </row>
    <row r="37">
      <c r="A37" t="inlineStr">
        <is>
          <t>CONC</t>
        </is>
      </c>
      <c r="B37" t="inlineStr">
        <is>
          <t>CONC-1404</t>
        </is>
      </c>
      <c r="D37" s="2" t="inlineStr">
        <is>
          <t>CANADA PENSION PLAN INVESTMENT BOARD, GLENCORE PLC S/ NOTIFICACIÓN ART. 8 DE LA LEY N° 25.156</t>
        </is>
      </c>
      <c r="E37" s="2" t="inlineStr">
        <is>
          <t>CANADA PENSION PLAN INVESTMENT BOARD, GLENCORE PLC</t>
        </is>
      </c>
      <c r="F37" s="2" t="inlineStr">
        <is>
          <t>[{"rol": "comprador", "nombre": "Kinetic Concepts Inc"}]</t>
        </is>
      </c>
      <c r="G37" s="3" t="n">
        <v>42711</v>
      </c>
      <c r="H37" s="3" t="n">
        <v>43031</v>
      </c>
      <c r="I37" t="inlineStr">
        <is>
          <t>Autoriza Art.13 a) Ley 25.156</t>
        </is>
      </c>
      <c r="J37" t="inlineStr">
        <is>
          <t>RESOL-2017-911-APN-SECC#MP</t>
        </is>
      </c>
      <c r="K37" t="inlineStr">
        <is>
          <t>IF-2017-25069338-APN-CNDC#MP</t>
        </is>
      </c>
      <c r="L37" s="2" t="n"/>
      <c r="M37" t="inlineStr">
        <is>
          <t>Conglomerado</t>
        </is>
      </c>
      <c r="N37">
        <f>IF(AND(G37&lt;&gt;"",H37&lt;&gt;""),DATEDIF(G37,H37,"m"),"")</f>
        <v/>
      </c>
    </row>
    <row r="38">
      <c r="A38" t="inlineStr">
        <is>
          <t>CONC</t>
        </is>
      </c>
      <c r="B38" t="inlineStr">
        <is>
          <t>CONC-1406</t>
        </is>
      </c>
      <c r="D38" s="2" t="inlineStr">
        <is>
          <t>VSAP AGRISERVICES LP, GRUPO LOS GROBO LLC, VERKLAND SA., KILTECHNO SA, PRAKELT SA, PRILDER SA Y PCP (CAYMAN) LP S/NOTIFICACIÓN ART. 8° LEY 25.156</t>
        </is>
      </c>
      <c r="E38" s="2" t="inlineStr">
        <is>
          <t>VSAP AGRISERVICES LP, GRUPO LOS GROBO LLC, VERKLAND SA., KILTECHNO SA, PRAKELT SA, PRILDER SA Y PCP (CAYMAN) LP</t>
        </is>
      </c>
      <c r="F38" s="2" t="inlineStr">
        <is>
          <t>[{"rol": "comprador", "nombre": "SATUS AGER"}, {"rol": "objeto", "nombre": "AGROFINA"}, {"rol": "objeto", "nombre": "CANEPA HERMANOS"}, {"rol": "objeto", "nombre": "CHAIN SERVICES"}, {"rol": "objeto", "nombre": "LOS GROBO S.G.R."}, {"rol": "objeto", "nombre": "FRONTEC"}]</t>
        </is>
      </c>
      <c r="G38" s="3" t="n">
        <v>42718</v>
      </c>
      <c r="I38" t="inlineStr">
        <is>
          <t>Autoriza Art.13 a) Ley 25.156</t>
        </is>
      </c>
      <c r="J38" t="inlineStr">
        <is>
          <t>RESOL-2018-230-APN-SECC#MP</t>
        </is>
      </c>
      <c r="K38" t="inlineStr">
        <is>
          <t>IF-2018-12319887-APN-CNDC#MP</t>
        </is>
      </c>
      <c r="L38" s="2" t="n"/>
      <c r="N38">
        <f>IF(AND(G38&lt;&gt;"",H38&lt;&gt;""),DATEDIF(G38,H38,"m"),"")</f>
        <v/>
      </c>
    </row>
    <row r="39">
      <c r="A39" t="inlineStr">
        <is>
          <t>CONC</t>
        </is>
      </c>
      <c r="B39" t="inlineStr">
        <is>
          <t>CONC-1409</t>
        </is>
      </c>
      <c r="D39" s="2" t="n"/>
      <c r="E39" s="2" t="n"/>
      <c r="F39" s="2" t="n"/>
      <c r="L39" s="2" t="n"/>
      <c r="N39">
        <f>IF(AND(G39&lt;&gt;"",H39&lt;&gt;""),DATEDIF(G39,H39,"m"),"")</f>
        <v/>
      </c>
    </row>
    <row r="40">
      <c r="A40" t="inlineStr">
        <is>
          <t>CONC</t>
        </is>
      </c>
      <c r="B40" t="inlineStr">
        <is>
          <t>CONC-1412</t>
        </is>
      </c>
      <c r="D40" s="2" t="inlineStr">
        <is>
          <t>SOCIEDAD COMERCIAL DEL PLATA S.A. Y MOLTTA CONSULTORÍA E MARKETING S/ NOTIFICACIÓN ART. 8 LEY 25.156</t>
        </is>
      </c>
      <c r="E40" s="2" t="inlineStr">
        <is>
          <t>SOCIEDAD COMERCIAL DEL PLATA S.A. Y MOLTTA CONSULTORÍA E MARKETING</t>
        </is>
      </c>
      <c r="F40" s="2" t="inlineStr">
        <is>
          <t>[{"rol": "objeto", "nombre": "DESTILERIA DE PETROLEO (DAPSA)"}, {"rol": "objeto", "nombre": "GALPOSUR S.A."}, {"rol": "objeto", "nombre": "COMPAÑÍA PETROLERA, REFINADORA, COMERCIALIZADORA Y DISTRIBUIDORA DEL PLATA S.A."}, {"rol": "comprador", "nombre": "MOLTTA CONSULTADORIA E MARKETING S.A. (MOLTTA)1"}]</t>
        </is>
      </c>
      <c r="G40" s="3" t="n">
        <v>42740</v>
      </c>
      <c r="H40" s="3" t="n">
        <v>43097</v>
      </c>
      <c r="I40" t="inlineStr">
        <is>
          <t>Autoriza Art.13 a) Ley 25.156</t>
        </is>
      </c>
      <c r="J40" t="inlineStr">
        <is>
          <t>RESOL-2018-51-APN-SECC#MP</t>
        </is>
      </c>
      <c r="K40" t="inlineStr">
        <is>
          <t>IF-2017-35436640-APN-CNDC#MP</t>
        </is>
      </c>
      <c r="L40" s="2" t="inlineStr">
        <is>
          <t>Productos/ Servicios; Objeto de la operación:; Fabricación y venta de productos de; refinación de petróleo y venta al por mayor de combustibles y lubricantes para automotores.</t>
        </is>
      </c>
      <c r="N40">
        <f>IF(AND(G40&lt;&gt;"",H40&lt;&gt;""),DATEDIF(G40,H40,"m"),"")</f>
        <v/>
      </c>
    </row>
    <row r="41">
      <c r="A41" t="inlineStr">
        <is>
          <t>CONC</t>
        </is>
      </c>
      <c r="B41" t="inlineStr">
        <is>
          <t>CONC-1414</t>
        </is>
      </c>
      <c r="D41" s="2" t="inlineStr">
        <is>
          <t>BOHERINGER INGELHEIM INTERNATIONAL GMBH Y SANOFI S.A. S/ NOTIFICACIÓN ART. 8º DE LA LEY Nº 25.156</t>
        </is>
      </c>
      <c r="E41" s="2" t="inlineStr">
        <is>
          <t>BOHERINGER INGELHEIM INTERNATIONAL GMBH Y SANOFI S.A.</t>
        </is>
      </c>
      <c r="F41" s="2" t="inlineStr">
        <is>
          <t>[{"rol": "comprador", "nombre": "BOEHRINGER INGELHEIM S.A."}, {"rol": "objeto", "nombre": "MERIAL ARGENTINA S.A."}]</t>
        </is>
      </c>
      <c r="G41" s="3" t="n">
        <v>42741</v>
      </c>
      <c r="H41" s="3" t="n">
        <v>43061</v>
      </c>
      <c r="I41" t="inlineStr">
        <is>
          <t>Autoriza Art.13 a) Ley 25.156</t>
        </is>
      </c>
      <c r="J41" t="inlineStr">
        <is>
          <t>RESOL-2018-60-APN-SECC#MP</t>
        </is>
      </c>
      <c r="K41" t="inlineStr">
        <is>
          <t>IF-2017-29341266-APN-CNDC#MPde</t>
        </is>
      </c>
      <c r="L41" s="2" t="n"/>
      <c r="M41" t="inlineStr">
        <is>
          <t>Horizontal</t>
        </is>
      </c>
      <c r="N41">
        <f>IF(AND(G41&lt;&gt;"",H41&lt;&gt;""),DATEDIF(G41,H41,"m"),"")</f>
        <v/>
      </c>
    </row>
    <row r="42">
      <c r="A42" t="inlineStr">
        <is>
          <t>CONC</t>
        </is>
      </c>
      <c r="B42" t="inlineStr">
        <is>
          <t>CONC-1415</t>
        </is>
      </c>
      <c r="D42" s="2" t="inlineStr">
        <is>
          <t>BOLDT S.A. Y SOCIEDAD COMERCIAL DEL PLATA S.A. S/NOTIFICACIÓN ART. 8º DE LA LEY Nº 25.156</t>
        </is>
      </c>
      <c r="E42" s="2" t="inlineStr">
        <is>
          <t>BOLDT S.A. Y SOCIEDAD COMERCIAL DEL PLATA S.A.</t>
        </is>
      </c>
      <c r="F42" s="2" t="inlineStr">
        <is>
          <t>[{"rol": "objeto", "nombre": "TRILENIUM"}, {"rol": "objeto", "nombre": "S.A."}, {"rol": "comprador", "nombre": "BOLDT S.A."}, {"rol": "comprador", "nombre": "Boldt S.A.- Tecnovía UT"}, {"rol": "comprador", "nombre": "Erich Utsch Sudamericana S.A."}, {"rol": "comprador", "nombre": "Servicios Para el Transporte de Información S.A."}, {"rol": "comprador", "nombre": "CASINO PUERTO SANTA FE S.A."}, {"rol": "comprador", "nombre": "CASINO MELINCUÉ S.A."}]</t>
        </is>
      </c>
      <c r="G42" s="3" t="n">
        <v>42741</v>
      </c>
      <c r="I42" t="inlineStr">
        <is>
          <t>Autoriza Art.13 a) Ley 25.156</t>
        </is>
      </c>
      <c r="J42" t="inlineStr">
        <is>
          <t>RESOL-2018-113-APN-SECC#MP</t>
        </is>
      </c>
      <c r="K42" t="inlineStr">
        <is>
          <t>IF-2018-04644532-APN-CNDC#MP</t>
        </is>
      </c>
      <c r="L42" s="2" t="inlineStr">
        <is>
          <t>Realiza la explotación del casino Trilenium ubicado en el partido de Tigre y presta servicio de procesamiento de datos; para terceros, en particular, el procesamiento de datos para el Instituto de Loterías y Casinos de la Provincia de Buenos Aires respecto del Casino Trilenium.</t>
        </is>
      </c>
      <c r="N42">
        <f>IF(AND(G42&lt;&gt;"",H42&lt;&gt;""),DATEDIF(G42,H42,"m"),"")</f>
        <v/>
      </c>
    </row>
    <row r="43">
      <c r="A43" t="inlineStr">
        <is>
          <t>CONC</t>
        </is>
      </c>
      <c r="B43" t="inlineStr">
        <is>
          <t>CONC-1418</t>
        </is>
      </c>
      <c r="D43" s="2" t="n"/>
      <c r="E43" s="2" t="n"/>
      <c r="F43" s="2" t="n"/>
      <c r="L43" s="2" t="n"/>
      <c r="N43">
        <f>IF(AND(G43&lt;&gt;"",H43&lt;&gt;""),DATEDIF(G43,H43,"m"),"")</f>
        <v/>
      </c>
    </row>
    <row r="44">
      <c r="A44" t="inlineStr">
        <is>
          <t>CONC</t>
        </is>
      </c>
      <c r="B44" t="inlineStr">
        <is>
          <t>CONC-1431</t>
        </is>
      </c>
      <c r="D44" s="2" t="inlineStr">
        <is>
          <t>SMG INVESTMENT S.A. Y FRANCISCO DE NARVAEZ STEUER S/ NOTIFICACIÓN ART. 8 DE LA LEY 25.156 (Conc.1431)</t>
        </is>
      </c>
      <c r="E44" s="2" t="inlineStr">
        <is>
          <t>SMG INVESTMENT S.A. Y FRANCISCO DE NARVAEZ STEUER</t>
        </is>
      </c>
      <c r="F44" s="2" t="n"/>
      <c r="G44" s="3" t="n">
        <v>38852</v>
      </c>
      <c r="I44" t="inlineStr">
        <is>
          <t>Autoriza Art.13 a) Ley 25.156</t>
        </is>
      </c>
      <c r="J44" t="inlineStr">
        <is>
          <t>RESOL-2018-146-APN-SECC#MP</t>
        </is>
      </c>
      <c r="K44" t="inlineStr">
        <is>
          <t>IF-2018-06639667-APN-CNDC#MP</t>
        </is>
      </c>
      <c r="L44" s="2" t="n"/>
      <c r="N44">
        <f>IF(AND(G44&lt;&gt;"",H44&lt;&gt;""),DATEDIF(G44,H44,"m"),"")</f>
        <v/>
      </c>
    </row>
    <row r="45">
      <c r="A45" t="inlineStr">
        <is>
          <t>CONC</t>
        </is>
      </c>
      <c r="B45" t="inlineStr">
        <is>
          <t>CONC-1435</t>
        </is>
      </c>
      <c r="D45" s="2" t="inlineStr">
        <is>
          <t>KKR &amp; CO. L.P. Y GFK- NÛRNBERG GESSELLSCHAFT FUR KOSUM- MARKT- UND ABSATZFORSCHUNG E.V S/NOTIFICACIÓN ART. 8 DE LA LEY N° 25.156 (Conc. 1435)</t>
        </is>
      </c>
      <c r="E45" s="2" t="inlineStr">
        <is>
          <t>KKR &amp; CO. L.P. Y GFK- NÛRNBERG GESSELLSCHAFT FUR KOSUM- MARKT- UND ABSATZFORSCHUNG E.V</t>
        </is>
      </c>
      <c r="F45" s="2" t="inlineStr">
        <is>
          <t>[{"rol": "comprador", "nombre": "FIRST DATA"}, {"rol": "comprador", "nombre": "POSNET"}, {"rol": "comprador", "nombre": "PEGASO"}, {"rol": "comprador", "nombre": "ADMINISTRADOR A DE TARJETAS S.R.L."}, {"rol": "comprador", "nombre": "ACECO ARGENTINA S.A."}, {"rol": "comprador", "nombre": "SOFTWAREONE ARGENTINA S.R.L."}, {"rol": "comprador", "nombre": "EPICOR ARGENTINA"}, {"rol": "comprador", "nombre": "CAPSUGEL"}, {"rol": "comprador", "nombre": "CROSBY GROUP"}, {"rol": "comprador", "nombre": "GO DADDY"}, {"rol": "comprador", "nombre": "INTERNET BRANDS, INC."}, {"rol": "comprador", "nombre": "JBF GLOBAL PTE. LTD"}, {"rol": "comprador", "nombre": "LGC SCIENCE GROUP LIMITED"}, {"rol": "comprador", "nombre": "NATIONAL VISION"}, {"rol": "comprador", "nombre": "PANASONIC HEALTHCARE CO. LTD."}, {"rol": "comprador", "nombre": "PT BERLIN LAJU TANKER TBK"}, {"rol": "comprador", "nombre": "UNITED GROUP SBB"}, {"rol": "comprador", "nombre": "WINOA GROUP"}]</t>
        </is>
      </c>
      <c r="G45" s="3" t="n">
        <v>42872</v>
      </c>
      <c r="H45" s="3" t="n">
        <v>43076</v>
      </c>
      <c r="I45" t="inlineStr">
        <is>
          <t>Autoriza Art.13 a) Ley 25.156</t>
        </is>
      </c>
      <c r="J45" t="inlineStr">
        <is>
          <t>RESOL-2018-35-APN-SECC#MP</t>
        </is>
      </c>
      <c r="K45" t="inlineStr">
        <is>
          <t>IF-2017-31851267-APN-CNDC#MP</t>
        </is>
      </c>
      <c r="L45" s="2" t="n"/>
      <c r="M45" t="inlineStr">
        <is>
          <t>Conglomerado</t>
        </is>
      </c>
      <c r="N45">
        <f>IF(AND(G45&lt;&gt;"",H45&lt;&gt;""),DATEDIF(G45,H45,"m"),"")</f>
        <v/>
      </c>
    </row>
    <row r="46">
      <c r="A46" t="inlineStr">
        <is>
          <t>CONC</t>
        </is>
      </c>
      <c r="B46" t="inlineStr">
        <is>
          <t>CONC-1437</t>
        </is>
      </c>
      <c r="D46" s="2" t="inlineStr">
        <is>
          <t>EMPRESA INVERSORA ENERGÉTICA S.A., ALEJANDRO MACFARLANE, MILL HILL INVESTMENTS N.V., PEDRO AGUIRRE SARAVIA, PATRICIO MARTÍN GRANDE, JAIME JAVIER BARBA, JORGE MIGUEL GRECCO Y OTROS S/ NOTIFICACION ARTICULO 8° LEY 25.156</t>
        </is>
      </c>
      <c r="E46" s="2" t="inlineStr">
        <is>
          <t>EMPRESA INVERSORA ENERGÉTICA S.A., ALEJANDRO MACFARLANE, MILL HILL INVESTMENTS N.V., PEDRO AGUIRRE SARAVIA, PATRICIO MARTÍN GRANDE, JAIME JAVIER BARBA, JORGE MIGUEL GRECCO Y OTROS</t>
        </is>
      </c>
      <c r="F46" s="2" t="inlineStr">
        <is>
          <t>[{"rol": "objeto", "nombre": "EDELAP"}, {"rol": "objeto", "nombre": "EDEA"}, {"rol": "comprador", "nombre": "EDES"}, {"rol": "comprador", "nombre": "EDEN"}, {"rol": "comprador", "nombre": "EDESA"}, {"rol": "comprador", "nombre": "ESED"}]</t>
        </is>
      </c>
      <c r="G46" s="3" t="n">
        <v>42817</v>
      </c>
      <c r="H46" s="3" t="n">
        <v>43067</v>
      </c>
      <c r="I46" t="inlineStr">
        <is>
          <t>Autoriza Art.13 a) Ley 25.156</t>
        </is>
      </c>
      <c r="J46" t="inlineStr">
        <is>
          <t>RESOL-2018-25-APN-SECC#MP</t>
        </is>
      </c>
      <c r="K46" t="inlineStr">
        <is>
          <t>IF-2017-30219924-APN-CNDC#MP</t>
        </is>
      </c>
      <c r="L46" s="2" t="inlineStr">
        <is>
          <t>Prestación del servicio de distribución y comercialización de energía eléctrica dentro de ciertos partidos de la Provincia de Buenos Aires (La Plata, Magdalena, Berisso, Ensenada, Coronel Brandsen, Punta Indio).; Prestación del servicio público de distribución y comercialización de energía eléctrica en la zona este de la Provincia de Buenos Aires. Tiene la concesión exclusiva para la distribución</t>
        </is>
      </c>
      <c r="M46" t="inlineStr">
        <is>
          <t>Horizontal</t>
        </is>
      </c>
      <c r="N46">
        <f>IF(AND(G46&lt;&gt;"",H46&lt;&gt;""),DATEDIF(G46,H46,"m"),"")</f>
        <v/>
      </c>
    </row>
    <row r="47">
      <c r="A47" t="inlineStr">
        <is>
          <t>CONC</t>
        </is>
      </c>
      <c r="B47" t="inlineStr">
        <is>
          <t>CONC-1443</t>
        </is>
      </c>
      <c r="D47" s="2" t="inlineStr">
        <is>
          <t>TÍA MARUCA ARG S.A., ALEJANDRO RIPANI, PEPSICO DE ARG S.R.L. Y ELABORADORA ARG DE CEREALES S.R.L. S/NOTIFICACIÓN ART 8º DE LA LEY 25.156</t>
        </is>
      </c>
      <c r="E47" s="2" t="inlineStr">
        <is>
          <t>TÍA MARUCA ARG S.A., ALEJANDRO RIPANI, PEPSICO DE ARG S.R.L. Y ELABORADORA ARG DE CEREALES S.R.L.</t>
        </is>
      </c>
      <c r="F47" s="2" t="inlineStr">
        <is>
          <t>[{"rol": "comprador", "nombre": "Tía Maruca"}]</t>
        </is>
      </c>
      <c r="G47" s="3" t="n">
        <v>42832</v>
      </c>
      <c r="I47" t="inlineStr">
        <is>
          <t>Autoriza Art.13 a) Ley 25.156</t>
        </is>
      </c>
      <c r="J47" t="inlineStr">
        <is>
          <t>RESOL-2018-166-APN-SECC#MP</t>
        </is>
      </c>
      <c r="K47" t="inlineStr">
        <is>
          <t>IF-2018-06644184-APN-CNDC#MP</t>
        </is>
      </c>
      <c r="L47" s="2" t="inlineStr">
        <is>
          <t>Elaboración, distribución y comercialización de productos alimenticios (galletitas dulces y saladas).</t>
        </is>
      </c>
      <c r="M47" t="inlineStr">
        <is>
          <t>Horizontal</t>
        </is>
      </c>
      <c r="N47">
        <f>IF(AND(G47&lt;&gt;"",H47&lt;&gt;""),DATEDIF(G47,H47,"m"),"")</f>
        <v/>
      </c>
    </row>
    <row r="48">
      <c r="A48" t="inlineStr">
        <is>
          <t>CONC</t>
        </is>
      </c>
      <c r="B48" t="inlineStr">
        <is>
          <t>CONC-1448</t>
        </is>
      </c>
      <c r="D48" s="2" t="inlineStr">
        <is>
          <t>COMPAÑÍA INDUSTRIAL CERVECERA S.A. Y MCI INVESTMENTS LLC S/ NOTIFICACIÓN ART. 8º LEY Nº 25.156</t>
        </is>
      </c>
      <c r="E48" s="2" t="inlineStr">
        <is>
          <t>COMPAÑÍA INDUSTRIAL CERVECERA S.A. Y MCI INVESTMENTS LLC</t>
        </is>
      </c>
      <c r="F48" s="2" t="inlineStr">
        <is>
          <t>[{"rol": "comprador", "nombre": "COMPAÑÍA INDUSTRIAL CERVECERA S.A. (CICSA)"}, {"rol": "comprador", "nombre": "LOS HUEMULES S.R.L."}, {"rol": "comprador", "nombre": "SAENZ BRIONES Y COMPAÑÍA S.A.I.C."}, {"rol": "comprador", "nombre": "FINCA LA CELIA S.A."}]</t>
        </is>
      </c>
      <c r="G48" s="3" t="n">
        <v>42814</v>
      </c>
      <c r="I48" t="inlineStr">
        <is>
          <t>Autoriza Art.13 a) Ley 25.156</t>
        </is>
      </c>
      <c r="J48" t="inlineStr">
        <is>
          <t>RESOL-2018-164-APN-SECC#MP</t>
        </is>
      </c>
      <c r="K48" t="inlineStr">
        <is>
          <t>IF-2018-05497825-APN-CNDC#MP</t>
        </is>
      </c>
      <c r="L48" s="2" t="n"/>
      <c r="N48">
        <f>IF(AND(G48&lt;&gt;"",H48&lt;&gt;""),DATEDIF(G48,H48,"m"),"")</f>
        <v/>
      </c>
    </row>
    <row r="49">
      <c r="A49" t="inlineStr">
        <is>
          <t>CONC</t>
        </is>
      </c>
      <c r="B49" t="inlineStr">
        <is>
          <t>CONC-1449</t>
        </is>
      </c>
      <c r="D49" s="2" t="inlineStr">
        <is>
          <t>MANTA HOLDING L.P E INTEL CORPORATION S/NOTIFICACIÓN ART. 8 DE LA LEY 25.156</t>
        </is>
      </c>
      <c r="E49" s="2" t="inlineStr">
        <is>
          <t>MANTA HOLDING L.P E INTEL CORPORATION</t>
        </is>
      </c>
      <c r="F49" s="2" t="inlineStr">
        <is>
          <t>[{"rol": "comprador", "nombre": "Cushman &amp; Wakefield"}, {"rol": "comprador", "nombre": "Caesars Entertainment"}, {"rol": "comprador", "nombre": "Fender Musical Instruments"}, {"rol": "comprador", "nombre": "Saxo Bank"}, {"rol": "comprador", "nombre": "Tes Global"}, {"rol": "comprador", "nombre": "The Warranty Group"}, {"rol": "comprador", "nombre": "Vita Group"}]</t>
        </is>
      </c>
      <c r="G49" s="3" t="n">
        <v>42836</v>
      </c>
      <c r="H49" s="3" t="n">
        <v>43069</v>
      </c>
      <c r="I49" t="inlineStr">
        <is>
          <t>Autoriza Art.13 a) Ley 25.156</t>
        </is>
      </c>
      <c r="J49" t="inlineStr">
        <is>
          <t>RESOL-2018-66-APN-SECC#MP</t>
        </is>
      </c>
      <c r="K49" t="inlineStr">
        <is>
          <t>IF-2017-30645483-APN-CNDC#MP</t>
        </is>
      </c>
      <c r="L49" s="2" t="n"/>
      <c r="M49" t="inlineStr">
        <is>
          <t>Conglomerado</t>
        </is>
      </c>
      <c r="N49">
        <f>IF(AND(G49&lt;&gt;"",H49&lt;&gt;""),DATEDIF(G49,H49,"m"),"")</f>
        <v/>
      </c>
    </row>
    <row r="50">
      <c r="A50" t="inlineStr">
        <is>
          <t>CONC</t>
        </is>
      </c>
      <c r="B50" t="inlineStr">
        <is>
          <t>CONC-1450</t>
        </is>
      </c>
      <c r="D50" s="2" t="inlineStr">
        <is>
          <t>ASOCIACIÓN DEL FUTBOL ARGENTINO, SUPERLIGA PROFESIONAL DEL FUTBOL ARGENTINO ASOCIACIÓN CIVIL E IMAGEN SATELITAL S.A. S/NOTIFICACIÓN ART. 8º DE LA LEY Nº 25.156</t>
        </is>
      </c>
      <c r="E50" s="2" t="inlineStr">
        <is>
          <t>ASOCIACIÓN DEL FUTBOL ARGENTINO, SUPERLIGA PROFESIONAL DEL FUTBOL ARGENTINO ASOCIACIÓN CIVIL E IMAGEN SATELITAL S.A.</t>
        </is>
      </c>
      <c r="F50" s="2" t="inlineStr">
        <is>
          <t>[{"rol": "comprador", "nombre": "Cobranzas Alhambra Argentina SRL"}, {"rol": "comprador", "nombre": "Warner Bros. (South) Inc. Sucursal Argentina"}, {"rol": "comprador", "nombre": "Eyeworks Argentina S.A."}, {"rol": "comprador", "nombre": "Turner Broadcasting System Latin America, inc (subsidiaria extranjera)"}, {"rol": "comprador", "nombre": "HBO Latin America Group (subsidiaria extranjera)"}, {"rol": "comprador", "nombre": "Warner Bros. International Television Distribution Inc (subsidiaria extranjera)"}, {"rol": "comprador", "nombre": "Warner Bros International Television Production Inc (subsidiaria extranjera)"}, {"rol": "comprador", "nombre": "Warner Home Video (subsidiaria extranjera)"}, {"rol": "comprador", "nombre": "Warner Bros. Pictures (subsidiaria extranjera)"}]</t>
        </is>
      </c>
      <c r="G50" s="3" t="n">
        <v>42837</v>
      </c>
      <c r="I50" t="inlineStr">
        <is>
          <t>Autoriza Art.13 a) Ley 25.156</t>
        </is>
      </c>
      <c r="J50" t="inlineStr">
        <is>
          <t>RESOL-2018-155-APN-SECC#MP</t>
        </is>
      </c>
      <c r="K50" t="inlineStr">
        <is>
          <t>IF-2018-06439490-APN-CNDC#MP</t>
        </is>
      </c>
      <c r="L50" s="2" t="n"/>
      <c r="M50" t="inlineStr">
        <is>
          <t>Horizontal</t>
        </is>
      </c>
      <c r="N50">
        <f>IF(AND(G50&lt;&gt;"",H50&lt;&gt;""),DATEDIF(G50,H50,"m"),"")</f>
        <v/>
      </c>
    </row>
    <row r="51">
      <c r="A51" t="inlineStr">
        <is>
          <t>CONC</t>
        </is>
      </c>
      <c r="B51" t="inlineStr">
        <is>
          <t>CONC-1451</t>
        </is>
      </c>
      <c r="D51" s="2" t="inlineStr">
        <is>
          <t>FSLA HOLDINGS LLC, ASOCIACIÓN DEL FUTBOL ARGENTINO Y SUPERLIGA PROFESIONAL DEL FÚTBOL ARGENTINO ASOCIACIÓN CIVIL S/NOTIFICACIÓN ASRT. 8º DE LA LEY Nº 25.156</t>
        </is>
      </c>
      <c r="E51" s="2" t="inlineStr">
        <is>
          <t>FSLA HOLDINGS LLC, ASOCIACIÓN DEL FUTBOL ARGENTINO Y SUPERLIGA PROFESIONAL DEL FÚTBOL ARGENTINO ASOCIACIÓN CIVIL</t>
        </is>
      </c>
      <c r="F51" s="2" t="inlineStr">
        <is>
          <t>[{"rol": "comprador", "nombre": "Fox Sports Latin America SA"}, {"rol": "comprador", "nombre": "Inversora Walcosol SRL"}, {"rol": "comprador", "nombre": "LAPTV LLC"}, {"rol": "comprador", "nombre": "Latin American Pay Television SRL"}]</t>
        </is>
      </c>
      <c r="G51" s="3" t="n">
        <v>42837</v>
      </c>
      <c r="I51" t="inlineStr">
        <is>
          <t>Autoriza Art.13 a) Ley 25.156</t>
        </is>
      </c>
      <c r="J51" t="inlineStr">
        <is>
          <t>RESOL-2018-157-APN-SECC#MP</t>
        </is>
      </c>
      <c r="K51" t="inlineStr">
        <is>
          <t>IF-2018-06439620-APN-CNDC#MP</t>
        </is>
      </c>
      <c r="L51" s="2" t="n"/>
      <c r="M51" t="inlineStr">
        <is>
          <t>Vertical</t>
        </is>
      </c>
      <c r="N51">
        <f>IF(AND(G51&lt;&gt;"",H51&lt;&gt;""),DATEDIF(G51,H51,"m"),"")</f>
        <v/>
      </c>
    </row>
    <row r="52">
      <c r="A52" t="inlineStr">
        <is>
          <t>CONC</t>
        </is>
      </c>
      <c r="B52" t="inlineStr">
        <is>
          <t>CONC-1460</t>
        </is>
      </c>
      <c r="D52" s="2" t="inlineStr">
        <is>
          <t>EMERSON ELECTRIC CO. Y PENTAIR PLC. S/ NOTIFICACIÓN ART. 8° LEY 25.156</t>
        </is>
      </c>
      <c r="E52" s="2" t="inlineStr">
        <is>
          <t>EMERSON ELECTRIC CO. Y PENTAIR PLC.</t>
        </is>
      </c>
      <c r="F52" s="2" t="inlineStr">
        <is>
          <t>[{"rol": "comprador", "nombre": "EMERSON ARGENTINA S.A."}]</t>
        </is>
      </c>
      <c r="G52" s="3" t="n">
        <v>42965</v>
      </c>
      <c r="I52" t="inlineStr">
        <is>
          <t>Autoriza Art.13 a) Ley 25.156</t>
        </is>
      </c>
      <c r="J52" t="inlineStr">
        <is>
          <t>RESOL-2018-211-APN-SECC#MP</t>
        </is>
      </c>
      <c r="K52" t="inlineStr">
        <is>
          <t>IF-2018-09450032-APN-CNDC#MP</t>
        </is>
      </c>
      <c r="L52" s="2" t="n"/>
      <c r="N52">
        <f>IF(AND(G52&lt;&gt;"",H52&lt;&gt;""),DATEDIF(G52,H52,"m"),"")</f>
        <v/>
      </c>
    </row>
    <row r="53">
      <c r="A53" t="inlineStr">
        <is>
          <t>CONC</t>
        </is>
      </c>
      <c r="B53" t="inlineStr">
        <is>
          <t>CONC-1463</t>
        </is>
      </c>
      <c r="D53" s="2" t="inlineStr">
        <is>
          <t>IMAGINA CONTENIDOS AUDIOVISUALES SL Y DANIEL SANDRO BURMAN S/ NOTIFICACIÓN ARTICULO 8° LEY 25.156</t>
        </is>
      </c>
      <c r="E53" s="2" t="inlineStr">
        <is>
          <t>IMAGINA CONTENIDOS AUDIOVISUALES SL Y DANIEL SANDRO BURMAN</t>
        </is>
      </c>
      <c r="F53" s="2" t="inlineStr">
        <is>
          <t>[{"rol": "comprador", "nombre": "IMAGINA CONTENIDOS AUDIOVISUALES (España)"}, {"rol": "comprador", "nombre": "PROMOFILM"}, {"rol": "comprador", "nombre": "PROM TV SAU"}, {"rol": "objeto", "nombre": "OFICINA BURMAN"}]</t>
        </is>
      </c>
      <c r="I53" t="inlineStr">
        <is>
          <t>Autoriza Art.13 a) Ley 25.156</t>
        </is>
      </c>
      <c r="J53" t="inlineStr">
        <is>
          <t>RESOL-2018-142-APN-SECC#MP</t>
        </is>
      </c>
      <c r="K53" t="inlineStr">
        <is>
          <t>IF-2018-06640746-APN-CNDC#MP</t>
        </is>
      </c>
      <c r="L53" s="2" t="n"/>
      <c r="N53">
        <f>IF(AND(G53&lt;&gt;"",H53&lt;&gt;""),DATEDIF(G53,H53,"m"),"")</f>
        <v/>
      </c>
    </row>
    <row r="54">
      <c r="A54" t="inlineStr">
        <is>
          <t>CONC</t>
        </is>
      </c>
      <c r="B54" t="inlineStr">
        <is>
          <t>CONC-1486</t>
        </is>
      </c>
      <c r="D54" s="2" t="inlineStr">
        <is>
          <t>F.H.B. INVERSORA S.A., MOÑO AZUL SOCIEDAD ANONIMA, COMERCIAL, INDUSTRIAL Y AGROPECUARIA Y EXPOFRUT ARGENTINA S.A. S/NOTIFICACIÓN ART. 8 DE LA LEY 25.156.</t>
        </is>
      </c>
      <c r="E54" s="2" t="inlineStr">
        <is>
          <t>F.H.B. INVERSORA S.A., MOÑO AZUL SOCIEDAD ANONIMA, COMERCIAL, INDUSTRIAL Y AGROPECUARIA Y EXPOFRUT ARGENTINA S.A.</t>
        </is>
      </c>
      <c r="F54" s="2" t="n"/>
      <c r="H54" s="3" t="n">
        <v>43034</v>
      </c>
      <c r="I54" t="inlineStr">
        <is>
          <t>Autoriza Art.13 a) Ley 25.156</t>
        </is>
      </c>
      <c r="J54" t="inlineStr">
        <is>
          <t>RESOL-2017-811-APN-SECC#MP</t>
        </is>
      </c>
      <c r="K54" t="inlineStr">
        <is>
          <t>IF-2017-19642172-APN-CNDC#MP</t>
        </is>
      </c>
      <c r="L54" s="2" t="n"/>
      <c r="N54">
        <f>IF(AND(G54&lt;&gt;"",H54&lt;&gt;""),DATEDIF(G54,H54,"m"),"")</f>
        <v/>
      </c>
    </row>
    <row r="55">
      <c r="A55" t="inlineStr">
        <is>
          <t>CONC</t>
        </is>
      </c>
      <c r="B55" t="inlineStr">
        <is>
          <t>CONC-1492</t>
        </is>
      </c>
      <c r="D55" s="2" t="n"/>
      <c r="E55" s="2" t="n"/>
      <c r="F55" s="2" t="n"/>
      <c r="H55" s="3" t="n">
        <v>43664</v>
      </c>
      <c r="J55" t="inlineStr">
        <is>
          <t>PV-2019-65244049-APN-SCI#MPYT</t>
        </is>
      </c>
      <c r="L55" s="2" t="n"/>
      <c r="N55">
        <f>IF(AND(G55&lt;&gt;"",H55&lt;&gt;""),DATEDIF(G55,H55,"m"),"")</f>
        <v/>
      </c>
    </row>
    <row r="56">
      <c r="A56" t="inlineStr">
        <is>
          <t>CONC</t>
        </is>
      </c>
      <c r="B56" t="inlineStr">
        <is>
          <t>CONC-1510</t>
        </is>
      </c>
      <c r="D56" s="2" t="inlineStr">
        <is>
          <t>THE DOW CHEMICAL COMPANY Y SK GLOBAL CHEMICAL CO., LTD S/NOTIFICACIÓN ART. 8 DE LA LEY N° 25.156</t>
        </is>
      </c>
      <c r="E56" s="2" t="inlineStr">
        <is>
          <t>THE DOW CHEMICAL COMPANY Y SK GLOBAL CHEMICAL CO., LTD</t>
        </is>
      </c>
      <c r="F56" s="2" t="inlineStr">
        <is>
          <t>[{"rol": "objeto", "nombre": "Unidades de negocio de copolímeros ácidos e ionómeros de The Dow Chemical Company"}, {"rol": "comprador", "nombre": "SK Networks Co. Ltd. (Corea del Sur)"}, {"rol": "comprador", "nombre": "SK Lubricant Américas Inc. (EE. UU.)"}]</t>
        </is>
      </c>
      <c r="H56" s="3" t="n">
        <v>43262</v>
      </c>
      <c r="I56" t="inlineStr">
        <is>
          <t>Autoriza Art.13 a) Ley 25.156</t>
        </is>
      </c>
      <c r="J56" t="inlineStr">
        <is>
          <t>RESOL-2018-344-APN-SECC#MP</t>
        </is>
      </c>
      <c r="K56" t="inlineStr">
        <is>
          <t>IF-2018-16375714-APN-CNDC#MP</t>
        </is>
      </c>
      <c r="L56" s="2" t="inlineStr">
        <is>
          <t>A nivel global, comprende a los copolímeros ácidos y a los iónomeros, derivados del etileno de alta presión (“HiPED”), utilizados como sellantes y adhesivos en la industria del embalaje. En Argentina, resulta en la transferencia del negocio de ácidos copolímeros. Dow no se encuentra activa en ionómeros en Argentina.</t>
        </is>
      </c>
      <c r="M56" t="inlineStr">
        <is>
          <t>Conglomerado</t>
        </is>
      </c>
      <c r="N56">
        <f>IF(AND(G56&lt;&gt;"",H56&lt;&gt;""),DATEDIF(G56,H56,"m"),"")</f>
        <v/>
      </c>
    </row>
    <row r="57">
      <c r="A57" t="inlineStr">
        <is>
          <t>CONC</t>
        </is>
      </c>
      <c r="B57" t="inlineStr">
        <is>
          <t>CONC-1516</t>
        </is>
      </c>
      <c r="D57" s="2" t="inlineStr">
        <is>
          <t>PFIZER INC Y ASTRAZENECA PLC S/ NOTIFICACIÓN ART. 8 DE LA LEY 25.156</t>
        </is>
      </c>
      <c r="E57" s="2" t="inlineStr">
        <is>
          <t>PFIZER INC Y ASTRAZENECA PLC</t>
        </is>
      </c>
      <c r="F57" s="2" t="n"/>
      <c r="G57" s="3" t="n">
        <v>42999</v>
      </c>
      <c r="H57" s="3" t="n">
        <v>43063</v>
      </c>
      <c r="I57" t="inlineStr">
        <is>
          <t>Autoriza Art.13 a) Ley 25.156</t>
        </is>
      </c>
      <c r="J57" t="inlineStr">
        <is>
          <t>RESOL-2018-3-APN-SECC#MP</t>
        </is>
      </c>
      <c r="K57" t="inlineStr">
        <is>
          <t>IF-2017-29789277-APN-CNDC#MP89</t>
        </is>
      </c>
      <c r="L57" s="2" t="inlineStr">
        <is>
          <t>Actividad;  Fabrica y comercializa productos para la salud humana.;  Fabrica, comercializa, distribuye, fracciona y envasa drogas, productos químicos, biológicos, medicinales y dispositivos médicos.;  Comercializa insumos hospitalarios.;  Medicamentos actualmente comercializados: - MEROZEN (Meropenem) - ZINFORO (Ceftarolina Fosamilo)  Medicamentos en etapa de desarrollo: - ZAVICEFTA-CAZ-AVI (</t>
        </is>
      </c>
      <c r="M57" t="inlineStr">
        <is>
          <t>Horizontal + Conglomerado</t>
        </is>
      </c>
      <c r="N57">
        <f>IF(AND(G57&lt;&gt;"",H57&lt;&gt;""),DATEDIF(G57,H57,"m"),"")</f>
        <v/>
      </c>
    </row>
    <row r="58">
      <c r="A58" t="inlineStr">
        <is>
          <t>CONC</t>
        </is>
      </c>
      <c r="B58" t="inlineStr">
        <is>
          <t>CONC-1523</t>
        </is>
      </c>
      <c r="D58" s="2" t="inlineStr">
        <is>
          <t>F.V. S.A., FRAMUR S.A., JULIÁN GUSTAVO KAUFMAN, DÉBORA CLARA KAUFMAN Y LUCÍA CAROLINA KAUFMAN S/NOTIFICACIÓN ART. 8 DE LA LEY N° 25.156.</t>
        </is>
      </c>
      <c r="E58" s="2" t="inlineStr">
        <is>
          <t>F.V. S.A., FRAMUR S.A., JULIÁN GUSTAVO KAUFMAN, DÉBORA CLARA KAUFMAN Y LUCÍA CAROLINA KAUFMAN</t>
        </is>
      </c>
      <c r="F58" s="2" t="inlineStr">
        <is>
          <t>[{"rol": "comprador", "nombre": "DOS ANCLAS S.A."}, {"rol": "comprador", "nombre": "FERRUM S.A. DE CERÁMICA Y METALURGIA"}, {"rol": "comprador", "nombre": "CANAL DE DISTRIBUCIÓN S.A."}, {"rol": "comprador", "nombre": "PIEDRA GRANDE S.A."}, {"rol": "comprador", "nombre": "FIPLASTO S.A."}, {"rol": "comprador", "nombre": "PULIDOS S.A."}, {"rol": "objeto", "nombre": "P.E.I.S.A."}]</t>
        </is>
      </c>
      <c r="H58" s="3" t="n">
        <v>43062</v>
      </c>
      <c r="I58" t="inlineStr">
        <is>
          <t>Autoriza Art.13 a) Ley 25.156</t>
        </is>
      </c>
      <c r="J58" t="inlineStr">
        <is>
          <t>RESOL-2018-21-APN-SECC#MP</t>
        </is>
      </c>
      <c r="K58" t="inlineStr">
        <is>
          <t>IF-2017-29683999-APN-CNDC#MP</t>
        </is>
      </c>
      <c r="L58" s="2" t="n"/>
      <c r="M58" t="inlineStr">
        <is>
          <t>Conglomerado</t>
        </is>
      </c>
      <c r="N58">
        <f>IF(AND(G58&lt;&gt;"",H58&lt;&gt;""),DATEDIF(G58,H58,"m"),"")</f>
        <v/>
      </c>
    </row>
    <row r="59">
      <c r="A59" t="inlineStr">
        <is>
          <t>CONC</t>
        </is>
      </c>
      <c r="B59" t="inlineStr">
        <is>
          <t>CONC-1535</t>
        </is>
      </c>
      <c r="D59" s="2" t="inlineStr">
        <is>
          <t>MOLINOS AGRO S.A., GANAGRÍN S.A. AGRÍCOLA GANADERA, AGUSTÍN OTERO MONSEGUR, HUGO GABRIEL MENZELLA, HERNÁN JAVIER GARDON Y OTROS S/NOTIFICACIÓN ART. 8 DE LA LEY N° 25.156.</t>
        </is>
      </c>
      <c r="E59" s="2" t="inlineStr">
        <is>
          <t>MOLINOS AGRO S.A., GANAGRÍN S.A. AGRÍCOLA GANADERA, AGUSTÍN OTERO MONSEGUR, HUGO GABRIEL MENZELLA, HERNÁN JAVIER GARDON Y OTROS</t>
        </is>
      </c>
      <c r="F59" s="2" t="inlineStr">
        <is>
          <t>[{"rol": "comprador", "nombre": "GOYAIKE S.A.A.C.I. y F."}, {"rol": "comprador", "nombre": "PECOM SERVICIOS MEDIOAMBIENTALES S.A. (Grupo Adquirente I)"}, {"rol": "comprador", "nombre": "DELVERDE INDUSTRIE ALIMENTARIE S.p.A. (Italia) (Grupo Adquirente I)"}, {"rol": "objeto", "nombre": "KECLON S.A."}]</t>
        </is>
      </c>
      <c r="I59" t="inlineStr">
        <is>
          <t>Autoriza Art.13 a) Ley 25.156</t>
        </is>
      </c>
      <c r="J59" t="inlineStr">
        <is>
          <t>RESOL-2018-151-APN-SECC#MP</t>
        </is>
      </c>
      <c r="K59" t="inlineStr">
        <is>
          <t>IF-2018-04670493-APN-CNDC#MP</t>
        </is>
      </c>
      <c r="L59" s="2" t="n"/>
      <c r="N59">
        <f>IF(AND(G59&lt;&gt;"",H59&lt;&gt;""),DATEDIF(G59,H59,"m"),"")</f>
        <v/>
      </c>
    </row>
    <row r="60">
      <c r="A60" t="inlineStr">
        <is>
          <t>CONC</t>
        </is>
      </c>
      <c r="B60" t="inlineStr">
        <is>
          <t>CONC-1538</t>
        </is>
      </c>
      <c r="D60" s="2" t="inlineStr">
        <is>
          <t>FINLAY EXTRACTS &amp; INGREDIENTS UK LIMITED, JAMES FINLAY INTERNATIONAL HOLDINGS LTD, ANTONIO FERNANDEZ ESPINOSA, CARLOS JAVIER FERNÁNDEZ Y VIVIANA ANDREA DOS SANTOS S/NOTIFICACIÓN ART. 8 DE LA LEY 25.156</t>
        </is>
      </c>
      <c r="E60" s="2" t="inlineStr">
        <is>
          <t>FINLAY EXTRACTS &amp; INGREDIENTS UK LIMITED, JAMES FINLAY INTERNATIONAL HOLDINGS LTD, ANTONIO FERNANDEZ ESPINOSA, CARLOS JAVIER FERNÁNDEZ Y VIVIANA ANDREA DOS SANTOS</t>
        </is>
      </c>
      <c r="F60" s="2" t="inlineStr">
        <is>
          <t>[{"rol": "comprador", "nombre": "CASA FUENTES S.A.C.I.F.I."}]</t>
        </is>
      </c>
      <c r="G60" s="3" t="n">
        <v>43033</v>
      </c>
      <c r="I60" t="inlineStr">
        <is>
          <t>Autoriza Art.13 a) Ley 25.156</t>
        </is>
      </c>
      <c r="J60" t="inlineStr">
        <is>
          <t>RESOL-2018-156-APN-SECC#MP</t>
        </is>
      </c>
      <c r="K60" t="inlineStr">
        <is>
          <t>IF-2018-04233656-APN-CNDC#MP</t>
        </is>
      </c>
      <c r="L60" s="2" t="inlineStr">
        <is>
          <t>Propietaria de 1.010 hectáreas en la provincia de Misiones. La mayor parte de dichas hectáreas no están afectadas a ninguna actividad (son "monte"), teniendo 360 hectáreas afectadas a la plantación de té. En ellas, Argenté produce 3.463 toneladas de brote de hoja de té.</t>
        </is>
      </c>
      <c r="M60" t="inlineStr">
        <is>
          <t>Vertical</t>
        </is>
      </c>
      <c r="N60">
        <f>IF(AND(G60&lt;&gt;"",H60&lt;&gt;""),DATEDIF(G60,H60,"m"),"")</f>
        <v/>
      </c>
    </row>
    <row r="61">
      <c r="A61" t="inlineStr">
        <is>
          <t>CONC</t>
        </is>
      </c>
      <c r="B61" t="inlineStr">
        <is>
          <t>CONC-1542</t>
        </is>
      </c>
      <c r="D61" s="2" t="inlineStr">
        <is>
          <t>HVSC HOLDINGS CORP, HVSC MERGER SUB CORP. y THE RESOLUTE FUND II, L.P. S/ NOTIFICACIÓN ART. 8 DE LA LEY 25.156</t>
        </is>
      </c>
      <c r="E61" s="2" t="inlineStr">
        <is>
          <t>HVSC HOLDINGS CORP, HVSC MERGER SUB CORP. y THE RESOLUTE FUND II, L.P.</t>
        </is>
      </c>
      <c r="F61" s="2" t="inlineStr">
        <is>
          <t>[{"rol": "comprador", "nombre": "HCS GROUP GMBH (RFA)"}, {"rol": "comprador", "nombre": "VALTRIS SPECIALTY CHEMICALS INC (USA)"}, {"rol": "comprador", "nombre": "ATX NETWORKS CORP (CA)"}, {"rol": "comprador", "nombre": "CONSTRUCTIVE MEDIA, LLC (USA)"}, {"rol": "comprador", "nombre": "CONVERTSTAR INCORPORATED (GO2MOBI) (CA)"}, {"rol": "comprador", "nombre": "HELPSYSTEMS LLC (USA)"}, {"rol": "comprador", "nombre": "LULU'S FASHION LOUNGE INC (USA)"}, {"rol": "comprador", "nombre": "M.J. MAILLIS GROUP (GR)"}, {"rol": "comprador", "nombre": "PEGASUS BUSINESS INTELLIGENCE (USA)"}, {"rol": "comprador", "nombre": "ROLLAND ENTERPRISES INC (CA)"}, {"rol": "comprador", "nombre": "BARCELONA04 COMPUTING GROUP S.R.L."}, {"rol": "objeto", "nombre": "VANTAGE SPECIALTY CHEMICALS INC (USA)"}, {"rol": "objeto", "nombre": "AGRINSA AGRO INDUSTRIAL S.A."}, {"rol": "objeto", "nombre": "LIPO CHEMICALS ARGENTINA, S.A."}]</t>
        </is>
      </c>
      <c r="G61" s="3" t="n">
        <v>43041</v>
      </c>
      <c r="I61" t="inlineStr">
        <is>
          <t>Autoriza Art.13 a) Ley 25.156</t>
        </is>
      </c>
      <c r="J61" t="inlineStr">
        <is>
          <t>RESOL-2018-137-APN-SECC#MP</t>
        </is>
      </c>
      <c r="K61" t="inlineStr">
        <is>
          <t>IF-2018-04615444-APN-CNDC#MP</t>
        </is>
      </c>
      <c r="L61" s="2" t="inlineStr">
        <is>
          <t>Tiene instalaciones de formulación y comercializa ingredientes para productos de cuidado personal; Desarrollo de actividades agropecuarias/agroindustriales en sus campos de la Provincia de la Rioja, cultiva semillas de jojoba y recientemente comenzó a procesar aceite de jojoba.; Dedicada a la distribución y comercialización de ingredientes para productos de cuidado personal.</t>
        </is>
      </c>
      <c r="M61" t="inlineStr">
        <is>
          <t>Conglomerado</t>
        </is>
      </c>
      <c r="N61">
        <f>IF(AND(G61&lt;&gt;"",H61&lt;&gt;""),DATEDIF(G61,H61,"m"),"")</f>
        <v/>
      </c>
    </row>
    <row r="62">
      <c r="A62" t="inlineStr">
        <is>
          <t>CONC</t>
        </is>
      </c>
      <c r="B62" t="inlineStr">
        <is>
          <t>CONC-1555</t>
        </is>
      </c>
      <c r="D62" s="2" t="inlineStr">
        <is>
          <t>CULLIGAN ARGENTINA S.A. Y NESTLÉ WATERS ARGENTINA S.A. S/ NOTIFICACIÓN ART. 8 DE LA LEY 25.15</t>
        </is>
      </c>
      <c r="E62" s="2" t="inlineStr">
        <is>
          <t>CULLIGAN ARGENTINA S.A. Y NESTLÉ WATERS ARGENTINA S.A.</t>
        </is>
      </c>
      <c r="F62" s="2" t="inlineStr">
        <is>
          <t>[{"rol": "objeto", "nombre": "NEGOCIO DE BOTELLONES DE AGUA"}, {"rol": "comprador", "nombre": "CULLIGAN ARGENTINA S.A."}, {"rol": "comprador", "nombre": "IDEMIA GROUP"}]</t>
        </is>
      </c>
      <c r="G62" s="3" t="n">
        <v>43068</v>
      </c>
      <c r="H62" s="3" t="n">
        <v>43076</v>
      </c>
      <c r="I62" t="inlineStr">
        <is>
          <t>Autoriza Art.13 a) Ley 25.156</t>
        </is>
      </c>
      <c r="J62" t="inlineStr">
        <is>
          <t>RESOL-2018-61-APN-SECC#MP</t>
        </is>
      </c>
      <c r="K62" t="inlineStr">
        <is>
          <t>IF-2017-31851421-APN-CNDC#MP</t>
        </is>
      </c>
      <c r="L62" s="2" t="inlineStr">
        <is>
          <t>Comprende las actividades relacionadas con el negocio de venta (hogar, corporativo y oficinas y comercio) de botellones de agua de 12 y 20 litros, como así también equipos, activos, vehículos, permisos, contratos y base de clientes.</t>
        </is>
      </c>
      <c r="N62">
        <f>IF(AND(G62&lt;&gt;"",H62&lt;&gt;""),DATEDIF(G62,H62,"m"),"")</f>
        <v/>
      </c>
    </row>
    <row r="63">
      <c r="A63" t="inlineStr">
        <is>
          <t>CONC</t>
        </is>
      </c>
      <c r="B63" t="inlineStr">
        <is>
          <t>CONC-1568</t>
        </is>
      </c>
      <c r="D63" s="2" t="inlineStr">
        <is>
          <t>SIDECO AMERICANA S.A., SOCMA AMERICANA S.A., AVIAN HOLDINGS S.A. Y GERMÁN EFROMOVICH S/NOTIFICACIÓN ART. 8 DE LA LEY 25.156.</t>
        </is>
      </c>
      <c r="E63" s="2" t="inlineStr">
        <is>
          <t>SIDECO AMERICANA S.A., SOCMA AMERICANA S.A., AVIAN HOLDINGS S.A. Y GERMÁN EFROMOVICH</t>
        </is>
      </c>
      <c r="F63" s="2" t="inlineStr">
        <is>
          <t>[{"rol": "comprador", "nombre": "AEROVÍAS DEL CONTINENTE AMERICANO S.A. (AVIANCA) (República de Colombia)"}, {"rol": "comprador", "nombre": "TRANSAMERICAN AIRLINES S.A. (TACA Perú) (República del Perú)"}, {"rol": "objeto", "nombre": "AVIAN LINEAS AÉREAS S.A."}, {"rol": "objeto", "nombre": "MACAIR TRANSPORTE AÉREO S.A."}]</t>
        </is>
      </c>
      <c r="I63" t="inlineStr">
        <is>
          <t>Autoriza Art.13 a) Ley 25.156</t>
        </is>
      </c>
      <c r="J63" t="inlineStr">
        <is>
          <t>RESOL-2018-342-APN-SECC#MP</t>
        </is>
      </c>
      <c r="K63" t="inlineStr">
        <is>
          <t>IF-2018-19079270-APN-CNDC#MP</t>
        </is>
      </c>
      <c r="L63" s="2" t="n"/>
      <c r="M63" t="inlineStr">
        <is>
          <t>Vertical</t>
        </is>
      </c>
      <c r="N63">
        <f>IF(AND(G63&lt;&gt;"",H63&lt;&gt;""),DATEDIF(G63,H63,"m"),"")</f>
        <v/>
      </c>
    </row>
    <row r="64">
      <c r="A64" t="inlineStr">
        <is>
          <t>CONC</t>
        </is>
      </c>
      <c r="B64" t="inlineStr">
        <is>
          <t>CONC-1576</t>
        </is>
      </c>
      <c r="D64" s="2" t="inlineStr">
        <is>
          <t>BAYER AKTIENGESELLSCHAFT Y MONSANTO COMPANY S/ NOTIFICACIÓN ARTÍCULO 8 LEY Nº 25. 156</t>
        </is>
      </c>
      <c r="E64" s="2" t="inlineStr">
        <is>
          <t>BAYER AKTIENGESELLSCHAFT Y MONSANTO COMPANY</t>
        </is>
      </c>
      <c r="F64" s="2" t="inlineStr">
        <is>
          <t>[{"rol": "comprador", "nombre": "BASF ARGENTINA S.A."}, {"rol": "comprador", "nombre": "BASF AGRICULTURAL SPECIALTIES S.A."}, {"rol": "comprador", "nombre": "WINTERSHALL ENERGÍA S.A."}, {"rol": "comprador", "nombre": "COGNIS S.A."}, {"rol": "comprador", "nombre": "CHEMETALL S.R.L."}]</t>
        </is>
      </c>
      <c r="G64" s="3" t="n">
        <v>43140</v>
      </c>
      <c r="I64" t="inlineStr">
        <is>
          <t>Autoriza Art.13 a) Ley 25.156</t>
        </is>
      </c>
      <c r="J64" t="inlineStr">
        <is>
          <t>RESOL-2018-137-APN-SECC#MPYT</t>
        </is>
      </c>
      <c r="K64" t="inlineStr">
        <is>
          <t>IF-2018-53649119-APN-CNDC#MPYT</t>
        </is>
      </c>
      <c r="L64" s="2" t="inlineStr">
        <is>
          <t>algodón.; Todos los registros y las marcas sobre la marca Liberty bajo las cuales se comercializan herbicidas formulados a base del principio activo glufosinato de amonio en Argentina.20; Todos los activos tangibles e intangibles relacionados con el negocio de tratamientos para semillas insecticidas que se comercializa bajo la marca Poncho 60 FS, basado en el ingrediente activo clotiadinina.21 Est</t>
        </is>
      </c>
      <c r="N64">
        <f>IF(AND(G64&lt;&gt;"",H64&lt;&gt;""),DATEDIF(G64,H64,"m"),"")</f>
        <v/>
      </c>
    </row>
    <row r="65">
      <c r="A65" t="inlineStr">
        <is>
          <t>CONC</t>
        </is>
      </c>
      <c r="B65" t="inlineStr">
        <is>
          <t>CONC-1582</t>
        </is>
      </c>
      <c r="D65" s="2" t="n"/>
      <c r="E65" s="2" t="n"/>
      <c r="F65" s="2" t="n"/>
      <c r="H65" s="3" t="n">
        <v>43530</v>
      </c>
      <c r="J65" t="inlineStr">
        <is>
          <t>PV-2019-12957213-APN-SCI#MPYT</t>
        </is>
      </c>
      <c r="L65" s="2" t="n"/>
      <c r="N65">
        <f>IF(AND(G65&lt;&gt;"",H65&lt;&gt;""),DATEDIF(G65,H65,"m"),"")</f>
        <v/>
      </c>
    </row>
    <row r="66">
      <c r="A66" t="inlineStr">
        <is>
          <t>CONC</t>
        </is>
      </c>
      <c r="B66" t="inlineStr">
        <is>
          <t>CONC-1635</t>
        </is>
      </c>
      <c r="D66" s="2" t="inlineStr">
        <is>
          <t>YARA INTERNATIONAL ASA Y VALE S.A. S/NOTIFICACIÓN ART. 8 DE LA LEY 25.156.</t>
        </is>
      </c>
      <c r="E66" s="2" t="inlineStr">
        <is>
          <t>YARA INTERNATIONAL ASA Y VALE S.A.</t>
        </is>
      </c>
      <c r="F66" s="2" t="inlineStr">
        <is>
          <t>[{"rol": "comprador", "nombre": "YARA ARGENTINA S.A."}, {"rol": "objeto", "nombre": "VALE CUBATÃO FERTILIZANTES LTDA."}]</t>
        </is>
      </c>
      <c r="I66" t="inlineStr">
        <is>
          <t>Autoriza Art.13 a) Ley 25.156</t>
        </is>
      </c>
      <c r="J66" t="inlineStr">
        <is>
          <t>RESOL-2018-532-APN-SECC#MP</t>
        </is>
      </c>
      <c r="K66" t="inlineStr">
        <is>
          <t>IF-2018-40293971-APN-CNDC#MP</t>
        </is>
      </c>
      <c r="L66" s="2" t="n"/>
      <c r="N66">
        <f>IF(AND(G66&lt;&gt;"",H66&lt;&gt;""),DATEDIF(G66,H66,"m"),"")</f>
        <v/>
      </c>
    </row>
    <row r="67">
      <c r="A67" t="inlineStr">
        <is>
          <t>CONC</t>
        </is>
      </c>
      <c r="B67" t="inlineStr">
        <is>
          <t>CONC-1646</t>
        </is>
      </c>
      <c r="D67" s="2" t="inlineStr">
        <is>
          <t>GABRIEL ROSSI SILVIA RODRIGUEZ RAYMOS SACI Y LABORATORIOS ROWE SRL S / NOTIFICACIÓN ART 8 DE LA LEY Nº 25156</t>
        </is>
      </c>
      <c r="E67" s="2" t="n"/>
      <c r="F67" s="2" t="inlineStr">
        <is>
          <t>[{"rol": "comprador", "nombre": "LABORATORIOS POEN S.A.C.I.F."}, {"rol": "objeto", "nombre": "MAX VISION S.R.L."}, {"rol": "objeto", "nombre": "RAYMOS S.A.C.I."}, {"rol": "objeto", "nombre": "GEMABIOTECH S.A.U."}, {"rol": "objeto", "nombre": "ZELLTEK S.A."}]</t>
        </is>
      </c>
      <c r="G67" s="3" t="n">
        <v>43301</v>
      </c>
      <c r="H67" s="3" t="n">
        <v>44908</v>
      </c>
      <c r="I67" t="inlineStr">
        <is>
          <t>Autoriza Art.13 a) Ley 25.156</t>
        </is>
      </c>
      <c r="J67" t="inlineStr">
        <is>
          <t>RESOL-2022-140-APN-SC#MEC</t>
        </is>
      </c>
      <c r="K67" t="inlineStr">
        <is>
          <t>IF-2022-127194491-APN-CNDC#MEC</t>
        </is>
      </c>
      <c r="L67" s="2" t="inlineStr">
        <is>
          <t>Elaboración y comercialización de especialidades medicinales oftalmológicas, destinadas el cuidado de la salud ocular.; Elaboración y comercialización de especialidades medicinales. Se encuentra activa en las siguientes áreas terapéuticas: ginecología, dermatología, neurociencias, clínica médica y suplementos dietarios.; Desarrollo, fabricación y comercialización de productos biofarmacéuticos para</t>
        </is>
      </c>
      <c r="M67" t="inlineStr">
        <is>
          <t>Horizontal + Conglomerado</t>
        </is>
      </c>
      <c r="N67">
        <f>IF(AND(G67&lt;&gt;"",H67&lt;&gt;""),DATEDIF(G67,H67,"m"),"")</f>
        <v/>
      </c>
    </row>
    <row r="68">
      <c r="A68" t="inlineStr">
        <is>
          <t>CONC</t>
        </is>
      </c>
      <c r="B68" t="inlineStr">
        <is>
          <t>CONC-1690</t>
        </is>
      </c>
      <c r="D68" s="2" t="inlineStr">
        <is>
          <t>INVESTIGACIÓN DE MERCADO SOBRE LAS CONDICIONES DE COMPETENCIA EN EL MERCADO DE PRODUCTOS DE ACERO NO PLANO</t>
        </is>
      </c>
      <c r="E68" s="2" t="n"/>
      <c r="F68" s="2" t="inlineStr">
        <is>
          <t>[{"rol": "objeto", "nombre": "CENICO S.A. CODIMAT S.A."}]</t>
        </is>
      </c>
      <c r="H68" s="3" t="n">
        <v>45462</v>
      </c>
      <c r="J68" t="inlineStr">
        <is>
          <t>RESOL-2024-126-APN-SIYC#MEC</t>
        </is>
      </c>
      <c r="K68" t="inlineStr">
        <is>
          <t>IF-2024-50383992-APN-CNDC#MEC</t>
        </is>
      </c>
      <c r="L68" s="2" t="n"/>
      <c r="N68">
        <f>IF(AND(G68&lt;&gt;"",H68&lt;&gt;""),DATEDIF(G68,H68,"m"),"")</f>
        <v/>
      </c>
    </row>
    <row r="69">
      <c r="A69" t="inlineStr">
        <is>
          <t>CONC</t>
        </is>
      </c>
      <c r="B69" t="inlineStr">
        <is>
          <t>CONC-1821</t>
        </is>
      </c>
      <c r="D69" s="2" t="inlineStr">
        <is>
          <t>OROCOBRE LIMITED S/ NOTIFICACION ART. 9 DE LA LEY 27.442</t>
        </is>
      </c>
      <c r="E69" s="2" t="inlineStr">
        <is>
          <t>OROCOBRE LIMITED</t>
        </is>
      </c>
      <c r="F69" s="2" t="inlineStr">
        <is>
          <t>[{"rol": "objeto", "nombre": "SOUTH AMERICAN SALARS S.A."}, {"rol": "objeto", "nombre": "ADVANTAGE LITHIUM ARGENTINA S.A."}, {"rol": "comprador", "nombre": "BORAX ARGENTINA S.A."}, {"rol": "comprador", "nombre": "SALES DE JUJUY S.A."}, {"rol": "comprador", "nombre": "EL TRIGAL S.A.U."}, {"rol": "comprador", "nombre": "LOS ANDES COMPAÑÍA MINERA S.A."}, {"rol": "comprador", "nombre": "OLAROZ LITHIUM S.A."}]</t>
        </is>
      </c>
      <c r="G69" s="3" t="n">
        <v>44440</v>
      </c>
      <c r="I69" t="inlineStr">
        <is>
          <t>Autoriza Art.14 a) Ley 27.442</t>
        </is>
      </c>
      <c r="J69" t="inlineStr">
        <is>
          <t>RESOL-2022-12-APN-SC#MEC</t>
        </is>
      </c>
      <c r="K69" t="inlineStr">
        <is>
          <t>IF-2022-65457627-APN-CNDC#MDP</t>
        </is>
      </c>
      <c r="L69" s="2" t="inlineStr">
        <is>
          <t>Exploración de litio en el proyecto “Cauchari”, provincia de Jujuy.; Exploración de litio en el proyecto “Incahuasi”, provincia de Salta.</t>
        </is>
      </c>
      <c r="N69">
        <f>IF(AND(G69&lt;&gt;"",H69&lt;&gt;""),DATEDIF(G69,H69,"m"),"")</f>
        <v/>
      </c>
    </row>
    <row r="70">
      <c r="A70" t="inlineStr">
        <is>
          <t>CONC</t>
        </is>
      </c>
      <c r="B70" t="inlineStr">
        <is>
          <t>CONC-1854</t>
        </is>
      </c>
      <c r="D70" s="2" t="inlineStr">
        <is>
          <t>INTERMEDIATE CAPITAL GROUP PLC S/ NOTIFICACIÓN ART. 9 DE LA LEY 27.442</t>
        </is>
      </c>
      <c r="E70" s="2" t="inlineStr">
        <is>
          <t>INTERMEDIATE CAPITAL GROUP PLC</t>
        </is>
      </c>
      <c r="F70" s="2" t="n"/>
      <c r="G70" s="3" t="n">
        <v>44701</v>
      </c>
      <c r="I70" t="inlineStr">
        <is>
          <t>Autoriza Art.14 a) Ley 27.442</t>
        </is>
      </c>
      <c r="J70" t="inlineStr">
        <is>
          <t>RESOL-2022-73-APN-SC#MEC</t>
        </is>
      </c>
      <c r="K70" t="inlineStr">
        <is>
          <t>IF-2022-105878816-APN-CNDC#MEC</t>
        </is>
      </c>
      <c r="L70" s="2" t="n"/>
      <c r="M70" t="inlineStr">
        <is>
          <t>Conglomerado</t>
        </is>
      </c>
      <c r="N70">
        <f>IF(AND(G70&lt;&gt;"",H70&lt;&gt;""),DATEDIF(G70,H70,"m"),"")</f>
        <v/>
      </c>
    </row>
    <row r="71">
      <c r="A71" t="inlineStr">
        <is>
          <t>CONC</t>
        </is>
      </c>
      <c r="B71" t="inlineStr">
        <is>
          <t>CONC-1861</t>
        </is>
      </c>
      <c r="D71" s="2" t="inlineStr">
        <is>
          <t>PBBPOLISUR S.R.L. (Escobar) S/NOTIFICACIÓN ART. 9 DE LA LEY 27.442</t>
        </is>
      </c>
      <c r="E71" s="2" t="inlineStr">
        <is>
          <t>PBBPOLISUR S.R.L. (Escobar)</t>
        </is>
      </c>
      <c r="F71" s="2" t="inlineStr">
        <is>
          <t>[{"rol": "comprador", "nombre": "PBBPOLISUR S.R.L."}, {"rol": "comprador", "nombre": "DOW INVESTMENT ARGENTINA S.R.L."}, {"rol": "comprador", "nombre": "PERFORMANCE MATERIALS ARGENTINA S.A.U."}, {"rol": "comprador", "nombre": "EL OREJANO"}]</t>
        </is>
      </c>
      <c r="G71" s="3" t="n">
        <v>44763</v>
      </c>
      <c r="I71" t="inlineStr">
        <is>
          <t>Autoriza Art.14 a) Ley 27.442</t>
        </is>
      </c>
      <c r="J71" t="inlineStr">
        <is>
          <t>RESOL-2022-74-APN-SC#MEC</t>
        </is>
      </c>
      <c r="K71" t="inlineStr">
        <is>
          <t>IF-2022-105879356-APN-CNDC#MEC</t>
        </is>
      </c>
      <c r="L71" s="2" t="inlineStr">
        <is>
          <t>Cuatro fracciones de campo, con todo lo plantado, edificado y demás adherido al suelo, ubicada en el Partido de Escobar, Provincia de Buenos Aires.</t>
        </is>
      </c>
      <c r="M71" t="inlineStr">
        <is>
          <t>Conglomerado</t>
        </is>
      </c>
      <c r="N71">
        <f>IF(AND(G71&lt;&gt;"",H71&lt;&gt;""),DATEDIF(G71,H71,"m"),"")</f>
        <v/>
      </c>
    </row>
    <row r="72">
      <c r="A72" t="inlineStr">
        <is>
          <t>CONC</t>
        </is>
      </c>
      <c r="B72" t="inlineStr">
        <is>
          <t>CONC-1929</t>
        </is>
      </c>
      <c r="D72" s="2" t="inlineStr">
        <is>
          <t>FCA AUTOMOBILES ARGENTINA S.A. S/NOTIFICACIÓN ART. 9 DE LA LEY N° 27.442</t>
        </is>
      </c>
      <c r="E72" s="2" t="inlineStr">
        <is>
          <t>FCA AUTOMOBILES ARGENTINA S.A.</t>
        </is>
      </c>
      <c r="F72" s="2" t="n"/>
      <c r="H72" s="3" t="n">
        <v>45666</v>
      </c>
      <c r="I72" t="inlineStr">
        <is>
          <t>Autoriza Art.14 a) Ley 27.442</t>
        </is>
      </c>
      <c r="J72" t="inlineStr">
        <is>
          <t>RESOL-2025-2-APN-SIYC#MEC</t>
        </is>
      </c>
      <c r="K72" t="inlineStr">
        <is>
          <t>IF-2024-133248701-APN-CNDC#MEC</t>
        </is>
      </c>
      <c r="L72" s="2" t="inlineStr">
        <is>
          <t>Ofrece servicios de mantenimiento y reparación automotriz multimarca. Y comercializa repuestos al por menor y accesorios para automóviles de diversas marcas. Así también comercializa lubricantes y anticongelantes.; Servicio Tipo de Servicio (Ligero/Complejo); Cambio de aceite y filtros. Ligero; Cambio de neumáticos. Control de presión y estado de la banda de rodadura, balanceo de ruedas delanteras</t>
        </is>
      </c>
      <c r="M72" t="inlineStr">
        <is>
          <t>Horizontal + vertical</t>
        </is>
      </c>
      <c r="N72">
        <f>IF(AND(G72&lt;&gt;"",H72&lt;&gt;""),DATEDIF(G72,H72,"m"),"")</f>
        <v/>
      </c>
    </row>
    <row r="73">
      <c r="A73" t="inlineStr">
        <is>
          <t>CONC</t>
        </is>
      </c>
      <c r="B73" t="inlineStr">
        <is>
          <t>CONC-2007</t>
        </is>
      </c>
      <c r="D73" s="2" t="inlineStr">
        <is>
          <t>SCHLUMBERGER ARGENTINA S.A. S/NOTIFICACION ART. 9 DE LA LEY 27.442</t>
        </is>
      </c>
      <c r="E73" s="2" t="inlineStr">
        <is>
          <t>SCHLUMBERGER ARGENTINA S.A.</t>
        </is>
      </c>
      <c r="F73" s="2" t="n"/>
      <c r="H73" s="3" t="n">
        <v>45925</v>
      </c>
      <c r="I73" t="inlineStr">
        <is>
          <t>Autoriza Art.14 a) Ley 27.442</t>
        </is>
      </c>
      <c r="J73" t="inlineStr">
        <is>
          <t>RESOL-2025-363-APN-SIYC#MEC</t>
        </is>
      </c>
      <c r="K73" t="inlineStr">
        <is>
          <t>IF-2025-104111044-APN-CNDC#MEC</t>
        </is>
      </c>
      <c r="L73" s="2" t="n"/>
      <c r="M73" t="inlineStr">
        <is>
          <t>Vertical</t>
        </is>
      </c>
      <c r="N73">
        <f>IF(AND(G73&lt;&gt;"",H73&lt;&gt;""),DATEDIF(G73,H73,"m"),"")</f>
        <v/>
      </c>
    </row>
    <row r="74">
      <c r="A74" t="inlineStr">
        <is>
          <t>CONC</t>
        </is>
      </c>
      <c r="B74" t="inlineStr">
        <is>
          <t>CONC-2013</t>
        </is>
      </c>
      <c r="D74" s="2" t="n"/>
      <c r="E74" s="2" t="n"/>
      <c r="F74" s="2" t="n"/>
      <c r="H74" s="3" t="n">
        <v>45854</v>
      </c>
      <c r="I74" t="inlineStr">
        <is>
          <t>Autoriza Art.14 a) Ley 27.442</t>
        </is>
      </c>
      <c r="J74" t="inlineStr">
        <is>
          <t>DISFC-2025-45-APN-CNDC#MEC</t>
        </is>
      </c>
      <c r="K74" t="inlineStr">
        <is>
          <t>IF-2025-74106759-APN-CNDC#MEC</t>
        </is>
      </c>
      <c r="L74" s="2" t="n"/>
      <c r="M74" t="inlineStr">
        <is>
          <t>Conglomerado</t>
        </is>
      </c>
      <c r="N74">
        <f>IF(AND(G74&lt;&gt;"",H74&lt;&gt;""),DATEDIF(G74,H74,"m"),"")</f>
        <v/>
      </c>
    </row>
    <row r="75">
      <c r="A75" t="inlineStr">
        <is>
          <t>CONC</t>
        </is>
      </c>
      <c r="B75" t="inlineStr">
        <is>
          <t>CONC-2022</t>
        </is>
      </c>
      <c r="D75" s="2" t="n"/>
      <c r="E75" s="2" t="n"/>
      <c r="F75" s="2" t="n"/>
      <c r="H75" s="3" t="n">
        <v>45877</v>
      </c>
      <c r="I75" t="inlineStr">
        <is>
          <t>Autoriza Art.14 a) Ley 27.442</t>
        </is>
      </c>
      <c r="J75" t="inlineStr">
        <is>
          <t>DISFC-2025-56-APN-CNDC#MEC</t>
        </is>
      </c>
      <c r="L75" s="2" t="n"/>
      <c r="N75">
        <f>IF(AND(G75&lt;&gt;"",H75&lt;&gt;""),DATEDIF(G75,H75,"m"),"")</f>
        <v/>
      </c>
    </row>
    <row r="76">
      <c r="A76" t="inlineStr">
        <is>
          <t>CONC</t>
        </is>
      </c>
      <c r="B76" t="inlineStr">
        <is>
          <t>CONC-2024</t>
        </is>
      </c>
      <c r="D76" s="2" t="n"/>
      <c r="E76" s="2" t="n"/>
      <c r="F76" s="2" t="n"/>
      <c r="H76" s="3" t="n">
        <v>45504</v>
      </c>
      <c r="I76" t="inlineStr">
        <is>
          <t>Autoriza Art.14 a) Ley 27.442</t>
        </is>
      </c>
      <c r="J76" t="inlineStr">
        <is>
          <t>DISFC-2024-95-APN-CNDC#MEC</t>
        </is>
      </c>
      <c r="L76" s="2" t="n"/>
      <c r="N76">
        <f>IF(AND(G76&lt;&gt;"",H76&lt;&gt;""),DATEDIF(G76,H76,"m"),"")</f>
        <v/>
      </c>
    </row>
    <row r="77">
      <c r="A77" t="inlineStr">
        <is>
          <t>CONC</t>
        </is>
      </c>
      <c r="B77" t="inlineStr">
        <is>
          <t>CONC-2024_2</t>
        </is>
      </c>
      <c r="D77" s="2" t="n"/>
      <c r="E77" s="2" t="n"/>
      <c r="F77" s="2" t="n"/>
      <c r="H77" s="3" t="n">
        <v>45511</v>
      </c>
      <c r="I77" t="inlineStr">
        <is>
          <t>Autoriza Art.14 a) Ley 27.442</t>
        </is>
      </c>
      <c r="J77" t="inlineStr">
        <is>
          <t>DISFC-2024-104-APN-CNDC#MEC</t>
        </is>
      </c>
      <c r="L77" s="2" t="n"/>
      <c r="N77">
        <f>IF(AND(G77&lt;&gt;"",H77&lt;&gt;""),DATEDIF(G77,H77,"m"),"")</f>
        <v/>
      </c>
    </row>
    <row r="78">
      <c r="A78" t="inlineStr">
        <is>
          <t>CONC</t>
        </is>
      </c>
      <c r="B78" t="inlineStr">
        <is>
          <t>CONC-2025</t>
        </is>
      </c>
      <c r="D78" s="2" t="inlineStr">
        <is>
          <t>Inc. Conc. 2025 - Sobre medidas preliminares</t>
        </is>
      </c>
      <c r="E78" s="2" t="n"/>
      <c r="F78" s="2" t="n"/>
      <c r="H78" s="3" t="n">
        <v>45737</v>
      </c>
      <c r="J78" t="inlineStr">
        <is>
          <t>RESOL-2025-63-APN-SIYC#MEC</t>
        </is>
      </c>
      <c r="K78" t="inlineStr">
        <is>
          <t>IF-2025-29930069-APN-CNDC#MEC</t>
        </is>
      </c>
      <c r="L78" s="2" t="n"/>
      <c r="N78">
        <f>IF(AND(G78&lt;&gt;"",H78&lt;&gt;""),DATEDIF(G78,H78,"m"),"")</f>
        <v/>
      </c>
    </row>
    <row r="79">
      <c r="A79" t="inlineStr">
        <is>
          <t>CONC</t>
        </is>
      </c>
      <c r="B79" t="inlineStr">
        <is>
          <t>CONC-2030</t>
        </is>
      </c>
      <c r="D79" s="2" t="inlineStr">
        <is>
          <t>PLUSPETROL RESOURCES CORPORATION S.A. y PLUSPETROL RESOURCES CORPORATION B.V. S/ NOTIFICACION ART. 9 DE LA LEY N° 27.442</t>
        </is>
      </c>
      <c r="E79" s="2" t="inlineStr">
        <is>
          <t>PLUSPETROL RESOURCES CORPORATION S.A. y PLUSPETROL RESOURCES CORPORATION B.V.</t>
        </is>
      </c>
      <c r="F79" s="2" t="inlineStr">
        <is>
          <t>[{"rol": "objeto", "nombre": "WEATHERFORD SERVICIOS INTEGRADOS DE CONSTRUCCIÓN DE POZOS S.R.L."}]</t>
        </is>
      </c>
      <c r="H79" s="3" t="n">
        <v>46010</v>
      </c>
      <c r="I79" t="inlineStr">
        <is>
          <t>Autoriza Art.14 a) Ley 27.442</t>
        </is>
      </c>
      <c r="J79" t="inlineStr">
        <is>
          <t>DI-2025-13-APN-SCE#ANC</t>
        </is>
      </c>
      <c r="K79" t="inlineStr">
        <is>
          <t>IF-2025-78355416-APN-CNDC#MEC</t>
        </is>
      </c>
      <c r="L79" s="2" t="inlineStr">
        <is>
          <t>Servicios de perforación (en particular, de fracturación hidráulica) y de estimulación, limpieza, reparación y terminación de pozos petroleros, de los cuales se desprenden cuatro líneas de negocio relacionadas con reservorios no convencionales10: wireline perforation &amp; plug,11 flowback12, pressure pumping13 y coiled tubing14.</t>
        </is>
      </c>
      <c r="M79" t="inlineStr">
        <is>
          <t>Vertical</t>
        </is>
      </c>
      <c r="N79">
        <f>IF(AND(G79&lt;&gt;"",H79&lt;&gt;""),DATEDIF(G79,H79,"m"),"")</f>
        <v/>
      </c>
    </row>
    <row r="80">
      <c r="A80" t="inlineStr">
        <is>
          <t>CONC</t>
        </is>
      </c>
      <c r="B80" t="inlineStr">
        <is>
          <t>CONC-2033</t>
        </is>
      </c>
      <c r="D80" s="2" t="n"/>
      <c r="E80" s="2" t="n"/>
      <c r="F80" s="2" t="n"/>
      <c r="H80" s="3" t="n">
        <v>45891</v>
      </c>
      <c r="I80" t="inlineStr">
        <is>
          <t>Autoriza Art.14 a) Ley 27.442</t>
        </is>
      </c>
      <c r="J80" t="inlineStr">
        <is>
          <t>DISFC-2025-66-APN-CNDC#MEC</t>
        </is>
      </c>
      <c r="K80" t="inlineStr">
        <is>
          <t>IF-2025-91795973-APN-DNCE#CNDC</t>
        </is>
      </c>
      <c r="L80" s="2" t="n"/>
      <c r="M80" t="inlineStr">
        <is>
          <t>Horizontal + vertical</t>
        </is>
      </c>
      <c r="N80">
        <f>IF(AND(G80&lt;&gt;"",H80&lt;&gt;""),DATEDIF(G80,H80,"m"),"")</f>
        <v/>
      </c>
    </row>
    <row r="81">
      <c r="A81" t="inlineStr">
        <is>
          <t>CONC</t>
        </is>
      </c>
      <c r="B81" t="inlineStr">
        <is>
          <t>CONC-2034</t>
        </is>
      </c>
      <c r="D81" s="2" t="n"/>
      <c r="E81" s="2" t="n"/>
      <c r="F81" s="2" t="n"/>
      <c r="H81" s="3" t="n">
        <v>45867</v>
      </c>
      <c r="I81" t="inlineStr">
        <is>
          <t>Autoriza Art.14 a) Ley 27.442</t>
        </is>
      </c>
      <c r="J81" t="inlineStr">
        <is>
          <t>DISFC-2025-52-APN-CNDC#MEC</t>
        </is>
      </c>
      <c r="L81" s="2" t="n"/>
      <c r="M81" t="inlineStr">
        <is>
          <t>Vertical</t>
        </is>
      </c>
      <c r="N81">
        <f>IF(AND(G81&lt;&gt;"",H81&lt;&gt;""),DATEDIF(G81,H81,"m"),"")</f>
        <v/>
      </c>
    </row>
    <row r="82">
      <c r="A82" t="inlineStr">
        <is>
          <t>CONC</t>
        </is>
      </c>
      <c r="B82" t="inlineStr">
        <is>
          <t>CONC-2035</t>
        </is>
      </c>
      <c r="D82" s="2" t="n"/>
      <c r="E82" s="2" t="n"/>
      <c r="F82" s="2" t="n"/>
      <c r="H82" s="3" t="n">
        <v>45952</v>
      </c>
      <c r="I82" t="inlineStr">
        <is>
          <t>Autoriza Art.14 a) Ley 27.442</t>
        </is>
      </c>
      <c r="J82" t="inlineStr">
        <is>
          <t>DISFC-2025-92-APN-CNDC#MEC</t>
        </is>
      </c>
      <c r="L82" s="2" t="n"/>
      <c r="M82" t="inlineStr">
        <is>
          <t>Horizontal + vertical</t>
        </is>
      </c>
      <c r="N82">
        <f>IF(AND(G82&lt;&gt;"",H82&lt;&gt;""),DATEDIF(G82,H82,"m"),"")</f>
        <v/>
      </c>
    </row>
    <row r="83">
      <c r="A83" t="inlineStr">
        <is>
          <t>CONC</t>
        </is>
      </c>
      <c r="B83" t="inlineStr">
        <is>
          <t>CONC-2036</t>
        </is>
      </c>
      <c r="D83" s="2" t="n"/>
      <c r="E83" s="2" t="n"/>
      <c r="F83" s="2" t="n"/>
      <c r="H83" s="3" t="n">
        <v>45876</v>
      </c>
      <c r="I83" t="inlineStr">
        <is>
          <t>Autoriza Art.14 a) Ley 27.442</t>
        </is>
      </c>
      <c r="J83" t="inlineStr">
        <is>
          <t>DISFC-2025-55-APN-CNDC#MEC</t>
        </is>
      </c>
      <c r="L83" s="2" t="n"/>
      <c r="M83" t="inlineStr">
        <is>
          <t>Conglomerado</t>
        </is>
      </c>
      <c r="N83">
        <f>IF(AND(G83&lt;&gt;"",H83&lt;&gt;""),DATEDIF(G83,H83,"m"),"")</f>
        <v/>
      </c>
    </row>
    <row r="84">
      <c r="A84" t="inlineStr">
        <is>
          <t>CONC</t>
        </is>
      </c>
      <c r="B84" t="inlineStr">
        <is>
          <t>CONC-2041</t>
        </is>
      </c>
      <c r="D84" s="2" t="inlineStr">
        <is>
          <t>OBLITUS INTERNATIONAL LTD S.A. S/ NOTIFICACION ART. 9 DE LA LEY 27.442</t>
        </is>
      </c>
      <c r="E84" s="2" t="inlineStr">
        <is>
          <t>OBLITUS INTERNATIONAL LTD S.A.</t>
        </is>
      </c>
      <c r="F84" s="2" t="inlineStr">
        <is>
          <t>[{"rol": "comprador", "nombre": "CAPETROL S.A."}, {"rol": "objeto", "nombre": "ENAP SIPETROL ARGENTINA S.A."}, {"rol": "objeto", "nombre": "PETROFARO S.A."}]</t>
        </is>
      </c>
      <c r="H84" s="3" t="n">
        <v>45965</v>
      </c>
      <c r="I84" t="inlineStr">
        <is>
          <t>Autoriza Art.14 a) Ley 27.442</t>
        </is>
      </c>
      <c r="J84" t="inlineStr">
        <is>
          <t>DISFC-2025-97-APN-CNDC#MEC</t>
        </is>
      </c>
      <c r="K84" t="inlineStr">
        <is>
          <t>IF-2025-120745707-APN-DNCE#CNDC</t>
        </is>
      </c>
      <c r="L84" s="2" t="inlineStr">
        <is>
          <t>Actividad; Grupo Comprador; Exploración y producción de petróleo y gas</t>
        </is>
      </c>
      <c r="M84" t="inlineStr">
        <is>
          <t>Horizontal</t>
        </is>
      </c>
      <c r="N84">
        <f>IF(AND(G84&lt;&gt;"",H84&lt;&gt;""),DATEDIF(G84,H84,"m"),"")</f>
        <v/>
      </c>
    </row>
    <row r="85">
      <c r="A85" t="inlineStr">
        <is>
          <t>CONC</t>
        </is>
      </c>
      <c r="B85" t="inlineStr">
        <is>
          <t>CONC-2045</t>
        </is>
      </c>
      <c r="D85" s="2" t="inlineStr">
        <is>
          <t>LITION ENERGY HOLDING ARGENTINA S.A.U. (Pipanaco y Volcán Galán) S/ NOTIFICACIÓN ART. 9 DE LA LEY 27.442</t>
        </is>
      </c>
      <c r="E85" s="2" t="inlineStr">
        <is>
          <t>LITION ENERGY HOLDING ARGENTINA S.A.U. (Pipanaco y Volcán Galán)</t>
        </is>
      </c>
      <c r="F85" s="2" t="inlineStr">
        <is>
          <t>[{"rol": "comprador", "nombre": "PAN AMERICAN ENERGY S.L. SUCURSAL ARGENTINA"}, {"rol": "comprador", "nombre": "PARQUE EOLICO DEL SUR S.A."}, {"rol": "comprador", "nombre": "VIENTOS SUDAMERICANOS CHUBUT NORTE IV S.A."}, {"rol": "comprador", "nombre": "VIENTOS PATAGONICOS CHUBUT NORTE III S.A."}, {"rol": "comprador", "nombre": "CENTRAL DOCK SUD S.A."}, {"rol": "comprador", "nombre": "VIENTOS OMBU III S.A."}, {"rol": "comprador", "nombre": "PAN AMERICA SUR S.A. PAN AMERICAN E&amp;P S.A."}, {"rol": "comprador", "nombre": "GAS LINK S.A."}, {"rol": "comprador", "nombre": "FIELD SERVICES ENTERPRISE S.A."}, {"rol": "comprador", "nombre": "BARRANCA SUR MINERA S.A."}, {"rol": "comprador", "nombre": "MANPETROL S.A."}, {"rol": "comprador", "nombre": "OLEODUCTOS DEL VALLLE S.A."}, {"rol": "comprador", "nombre": "TERMINALES MARÍTIMAS PATAGÓNICAS S.A."}, {"rol": "comprador", "nombre": "TERMINAL CP S.A.U."}, {"rol": "comprador", "nombre": "RSE &amp; RCE S.A.U."}, {"rol": "comprador", "nombre": "VMOS S.A."}, {"rol": "comprador", "nombre": "LITHOS ENERGIA S.A."}, {"rol": "comprador", "nombre": "LITHOS MINERALES DEL NORTE S.A."}, {"rol": "comprador", "nombre": "LITHOS DESARROLLOS ENERGÉTICOS S.A."}, {"rol": "comprador", "nombre": "LITHOS DESARROLLOS MINEROS S.A."}, {"rol": "comprador", "nombre": "LITIO DEL NORTE S.A."}, {"rol": "comprador", "nombre": "ALQA LITHIUM S.A."}]</t>
        </is>
      </c>
      <c r="H85" s="3" t="n">
        <v>45965</v>
      </c>
      <c r="I85" t="inlineStr">
        <is>
          <t>Autoriza Art.14 a) Ley 27.442</t>
        </is>
      </c>
      <c r="J85" t="inlineStr">
        <is>
          <t>DISFC-2025-98-APN-CNDC#MEC</t>
        </is>
      </c>
      <c r="K85" t="inlineStr">
        <is>
          <t>IF-2025-00975471-APN-CNDC#MEC</t>
        </is>
      </c>
      <c r="L85" s="2" t="n"/>
      <c r="N85">
        <f>IF(AND(G85&lt;&gt;"",H85&lt;&gt;""),DATEDIF(G85,H85,"m"),"")</f>
        <v/>
      </c>
    </row>
    <row r="86">
      <c r="A86" t="inlineStr">
        <is>
          <t>CONC</t>
        </is>
      </c>
      <c r="B86" t="inlineStr">
        <is>
          <t>CONC-2048</t>
        </is>
      </c>
      <c r="D86" s="2" t="inlineStr">
        <is>
          <t>TOTAL AUSTRAL S.A. (PV LA PERLA S.A.) S/NOTIFICACIÓN ART. 9 DE LA LEY 27.442</t>
        </is>
      </c>
      <c r="E86" s="2" t="inlineStr">
        <is>
          <t>TOTAL AUSTRAL S.A. (PV LA PERLA S.A.)</t>
        </is>
      </c>
      <c r="F86" s="2" t="inlineStr">
        <is>
          <t>[{"rol": "objeto", "nombre": "PV LA PERLA S.A."}]</t>
        </is>
      </c>
      <c r="H86" s="3" t="n">
        <v>45932</v>
      </c>
      <c r="I86" t="inlineStr">
        <is>
          <t>Autoriza Art.14 a) Ley 27.442</t>
        </is>
      </c>
      <c r="J86" t="inlineStr">
        <is>
          <t>DISFC-2025-85-APN-CNDC#MEC</t>
        </is>
      </c>
      <c r="K86" t="inlineStr">
        <is>
          <t>IF-2018-38056898-APN-CNDC#MP</t>
        </is>
      </c>
      <c r="L86" s="2" t="inlineStr">
        <is>
          <t>“Parque Solar Quitilipi”. Se prevé el inicio de la construcción de ambos proyectos entre agosto de 2025 y abril de 2026. Actualmente, no realiza actividades.</t>
        </is>
      </c>
      <c r="M86" t="inlineStr">
        <is>
          <t>Horizontal</t>
        </is>
      </c>
      <c r="N86">
        <f>IF(AND(G86&lt;&gt;"",H86&lt;&gt;""),DATEDIF(G86,H86,"m"),"")</f>
        <v/>
      </c>
    </row>
    <row r="87">
      <c r="A87" t="inlineStr">
        <is>
          <t>CONC</t>
        </is>
      </c>
      <c r="B87" t="inlineStr">
        <is>
          <t>CONC-2050</t>
        </is>
      </c>
      <c r="D87" s="2" t="n"/>
      <c r="E87" s="2" t="n"/>
      <c r="F87" s="2" t="n"/>
      <c r="H87" s="3" t="n">
        <v>45971</v>
      </c>
      <c r="I87" t="inlineStr">
        <is>
          <t>Autoriza Art.14 a) Ley 27.442</t>
        </is>
      </c>
      <c r="J87" t="inlineStr">
        <is>
          <t>DISFC-2025-101-APN-CNDC#MEC</t>
        </is>
      </c>
      <c r="L87" s="2" t="n"/>
      <c r="M87" t="inlineStr">
        <is>
          <t>Conglomerado</t>
        </is>
      </c>
      <c r="N87">
        <f>IF(AND(G87&lt;&gt;"",H87&lt;&gt;""),DATEDIF(G87,H87,"m"),"")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2026-07-23T20:00:30Z</dcterms:created>
  <dcterms:modified xsi:type="dcterms:W3CDTF">2026-07-23T20:00:30Z</dcterms:modified>
</cp:coreProperties>
</file>