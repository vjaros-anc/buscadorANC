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dmin\Documents\GitHub\buscadorANC\"/>
    </mc:Choice>
  </mc:AlternateContent>
  <xr:revisionPtr revIDLastSave="0" documentId="13_ncr:1_{1962EF2E-7689-45A1-952B-2F2EA275461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irmadas" sheetId="1" r:id="rId1"/>
  </sheets>
  <calcPr calcId="191029"/>
</workbook>
</file>

<file path=xl/calcChain.xml><?xml version="1.0" encoding="utf-8"?>
<calcChain xmlns="http://schemas.openxmlformats.org/spreadsheetml/2006/main">
  <c r="N9" i="1" l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<sst xmlns="http://schemas.openxmlformats.org/spreadsheetml/2006/main" count="90" uniqueCount="75">
  <si>
    <t>tipo</t>
  </si>
  <si>
    <t>Carpeta</t>
  </si>
  <si>
    <t>Excluible</t>
  </si>
  <si>
    <t>Carátula</t>
  </si>
  <si>
    <t>Grupo/Empresa</t>
  </si>
  <si>
    <t>Empresas involucradas</t>
  </si>
  <si>
    <t>Fecha_Ingreso</t>
  </si>
  <si>
    <t>Fecha_firma</t>
  </si>
  <si>
    <t>Decisión</t>
  </si>
  <si>
    <t>Número de Resolución</t>
  </si>
  <si>
    <t>Número de Dictamen</t>
  </si>
  <si>
    <t>Mercados relevantes</t>
  </si>
  <si>
    <t>Relaciones económicas</t>
  </si>
  <si>
    <t>meses</t>
  </si>
  <si>
    <t>CONC</t>
  </si>
  <si>
    <t>CONC-2019</t>
  </si>
  <si>
    <t>DEUTSCHE LUFTHANSA AG S/ NOTIFICACIÓN ART. 9 DE LA LEY 27.442</t>
  </si>
  <si>
    <t>DEUTSCHE LUFTHANSA AG</t>
  </si>
  <si>
    <t>[{"rol": "comprador", "nombre": "DEUTSCHE LUFTHANSA AG"}, {"rol": "comprador", "nombre": "SWISS INTERNATIONAL AIR LINES LTD"}, {"rol": "comprador", "nombre": "AUSTRIAN AIRLINES AG"}, {"rol": "comprador", "nombre": "EUROWINGS GMBH"}, {"rol": "comprador", "nombre": "BRUSSELS AIRLINES NV/SA"}, {"rol": "comprador", "nombre": "EW DISCOVER GMBH"}, {"rol": "comprador", "nombre": "LUFTHANSA CARGO AG"}, {"rol": "comprador", "nombre": "LUFTHANSA AVIATION TRAINING GMBH"}, {"rol": "comprador", "nombre": "LUFTHANSA TECHNIK AG"}, {"rol": "comprador", "nombre": "LUFTHANSA TECHNIK COMPONENTS SERVICES LLC"}, {"rol": "comprador", "nombre": "LUFTHANSA TECHNIK AERO ALZEY GMBH"}, {"rol": "comprador", "nombre": "LUFTHANSA SYSTEMS GMBH"}, {"rol": "comprador", "nombre": "LUFTHANSA INDUSTRY SOLUTIONS GMBH &amp; CO. KG"}, {"rol": "objeto", "nombre": "ITALIA TRANSPORTO AEREO S.p.A. (ITA)"}]</t>
  </si>
  <si>
    <t>Autoriza Art.14 a) Ley 27.442</t>
  </si>
  <si>
    <t>RE-2026-70136010-APN-SCE#ANC</t>
  </si>
  <si>
    <t>IF-2020-11912489-APN-CNDC#MDP</t>
  </si>
  <si>
    <t>Vertical</t>
  </si>
  <si>
    <t>CONC-2091</t>
  </si>
  <si>
    <t>AZORRA AVIATION HOLDINGS, LLC S/ NOTIFICACIÓN ART. 9 DE LA LEY 27.442</t>
  </si>
  <si>
    <t>AZORRA AVIATION HOLDINGS, LLC</t>
  </si>
  <si>
    <t>[{"rol": "comprador", "nombre": "Empresas de OAKTREE"}, {"rol": "comprador", "nombre": "Empresas BROOKFIELD"}, {"rol": "comprador", "nombre": "Empresas de CASTLELAKE"}, {"rol": "comprador", "nombre": "AZORRA AVIATION HOLDINGS LLC"}, {"rol": "vendedor", "nombre": "DUBAI AVIATION ENTERPRISE LTD (DAE)"}, {"rol": "objeto", "nombre": "Dos aeronaves y contratos de arrendamiento (activos de DAE)"}]</t>
  </si>
  <si>
    <t>RESFC-2026-43-APN-TDC#ANC</t>
  </si>
  <si>
    <t>RE-2026-69225369-APN-SCE#ANC</t>
  </si>
  <si>
    <t>CONC-2100</t>
  </si>
  <si>
    <t>PATAGONIA ENERGY S.A. S/ NOTIFICACIÓN ART. 9 DE LA LEY 27.442</t>
  </si>
  <si>
    <t>PATAGONIA ENERGY S.A.</t>
  </si>
  <si>
    <t>[{"rol": "comprador", "nombre": "CENTRAL PUERTO S.A."}, {"rol": "comprador", "nombre": "CENTRAL VUELTA DE OBLIGADO S.A."}, {"rol": "comprador", "nombre": "ENEL GENERACIÓN COSTANERA S.A."}, {"rol": "comprador", "nombre": "CP ACHIRAS S.A.U."}, {"rol": "comprador", "nombre": "CP LA CASTELLANA S.A.U."}, {"rol": "comprador", "nombre": "VIENTOS LA GENOVEVA S.A.U."}, {"rol": "comprador", "nombre": "PUERTO ENERGÍAS RENOVABLES (anteriormente, VIENTOS LA GENOVEVA II S.A.U.)"}, {"rol": "comprador", "nombre": "CP CORDILLERA SOLAR S.A."}, {"rol": "comprador", "nombre": "PIEDRA DEL ÁGUILA HIDROELÉCTRICA ARGENTINA S.A."}, {"rol": "comprador", "nombre": "TERMOELECTRICA JOSE DE SAN MARTIN S.A."}, {"rol": "comprador", "nombre": "TERMOELÉCTRICA MANUEL BELGRANO S.A."}, {"rol": "comprador", "nombre": "PS CAFAYATE S.R.L. (anteriormente, FIELDFARE ARGENTINA S.R.L.)"}, {"rol": "comprador", "nombre": "PUERTO ENERGÍA S.A.U."}, {"rol": "comprador", "nombre": "FORESTAL ARGENTINA S.A."}, {"rol": "comprador", "nombre": "LOMA ALTA FORESTAL S.A."}, {"rol": "comprador", "nombre": "CP SERVICIOS RENOVABLES S.A.U. (anteriormente, SCATEC EQUINOR SOLUTIONS ARGENTINA S.A.)"}, {"rol": "vendedor", "nombre": "PATAGONIA ASSETS LTD (PAL)"}, {"rol": "objeto", "nombre": "PATAGONIA ENERGY S.A."}]</t>
  </si>
  <si>
    <t>RESFC-2026-45-APN-TDC#ANC</t>
  </si>
  <si>
    <t>RE-2026-72447351-APN-SCE#ANC</t>
  </si>
  <si>
    <t>Exploración y explotación de hidrocarburos.</t>
  </si>
  <si>
    <t>CONC-2112</t>
  </si>
  <si>
    <t>PETERSEN PROYECTOS INMOBILIARIOS S.A. S/ NOTIFICACIÓN ART. 9 DE LA LEY 27.442</t>
  </si>
  <si>
    <t>PETERSEN PROYECTOS INMOBILIARIOS S.A.</t>
  </si>
  <si>
    <t>[{"rol": "comprador", "nombre": "BANCO DE SAN JUAN S.A."}, {"rol": "comprador", "nombre": "NUEVO BANCO DE ENTRE RÍOS S.A."}, {"rol": "comprador", "nombre": "NUEVO BANCO DE SANTA FE S.A."}, {"rol": "comprador", "nombre": "PETERSEN PROYECTOS INMOBILIARIOS S.A."}, {"rol": "comprador", "nombre": "TERRA INVESTMENT S.A."}, {"rol": "comprador", "nombre": "CORBLAIR S.A."}, {"rol": "vendedor", "nombre": "IRSA INVERSIONES Y REPRESENTACIONES S.A."}, {"rol": "objeto", "nombre": "Edificio República (inmueble, CABA)"}]</t>
  </si>
  <si>
    <t>RESFC-2026-46-APN-TDC#ANC</t>
  </si>
  <si>
    <t>RE-2026-72865963-APN-SCE#ANC</t>
  </si>
  <si>
    <t>Horizontal + Conglomerado</t>
  </si>
  <si>
    <t>CONC-2120</t>
  </si>
  <si>
    <t>HORIZON MERGER SUB, INC. Y EQT FUND MANAGEMENT S.à.r.l S/ NOTIFICACIÓN ART</t>
  </si>
  <si>
    <t>HORIZON MERGER SUB, INC. Y EQT FUND MANAGEMENT S.à.r.l</t>
  </si>
  <si>
    <t>[{"rol": "comprador", "nombre": "GLOBAL INFRASTRUCTURE MANAGEMENT, LLC"}, {"rol": "comprador", "nombre": "EQT FUND MANAGEMENT S.À R.L."}, {"rol": "comprador", "nombre": "HORIZON MERGER SUB, INC."}, {"rol": "comprador", "nombre": "TERMINAL INVESTMENTS LIMITED S.A."}, {"rol": "comprador", "nombre": "ACRONIS INTERNATIONAL GMBH"}, {"rol": "comprador", "nombre": "AVETTA, LLC."}, {"rol": "comprador", "nombre": "ADALVO LIMITED"}, {"rol": "comprador", "nombre": "CLUEPOINTS, INC."}, {"rol": "comprador", "nombre": "EDGECONNEX, INC."}, {"rol": "comprador", "nombre": "FREEPIK COMPANY S.L.U."}, {"rol": "comprador", "nombre": "FUJITEC CO., LTD."}, {"rol": "comprador", "nombre": "LUMENIS BE LTD."}, {"rol": "comprador", "nombre": "MABTECH, INC."}, {"rol": "comprador", "nombre": "OTERRA A/S"}, {"rol": "comprador", "nombre": "PAREXEL INTERNATIONAL (MA) CORPORATION"}, {"rol": "comprador", "nombre": "PERFICIENT INC"}, {"rol": "comprador", "nombre": "STORABLE, INC."}, {"rol": "comprador", "nombre": "WSO2 LLC"}, {"rol": "comprador", "nombre": "SUSE S.A."}, {"rol": "comprador", "nombre": "INDUSTRIAL AND FINANCIAL SYSTEMS, IFS AB"}, {"rol": "comprador", "nombre": "EPIDEMIC SOUND AB"}, {"rol": "comprador", "nombre": "KEYWORDS STUDIOS PLC"}, {"rol": "comprador", "nombre": "PROMETRIC LLC"}, {"rol": "comprador", "nombre": "WSE HONG KONG LIMITED"}, {"rol": "comprador", "nombre": "RECIPHARM AB / BESPAK LIMITED"}, {"rol": "comprador", "nombre": "SAUR (SOCIÉTÉ D'AMÉNAGEMENT URBAIN ET RURAL)"}, {"rol": "comprador", "nombre": "WORLD FREIGHT COMPANY INTERNATIONAL SAS"}, {"rol": "comprador", "nombre": "WS AUDIOLOGY A/S"}, {"rol": "objeto", "nombre": "AES ARGENTINA GENERACIÓN S.A."}, {"rol": "objeto", "nombre": "ENERGÉTICA ARGENTINA S.A."}, {"rol": "objeto", "nombre": "VIENTOS NEUQUINOS I S.A."}, {"rol": "objeto", "nombre": "SIERRAS DEL BUENDÍA S.A."}, {"rol": "objeto", "nombre": "CENTRAL SERRANA S.A."}, {"rol": "objeto", "nombre": "VIENTOS DEL ATLÁNTICO I S.A."}, {"rol": "objeto", "nombre": "CENTRAL TERMOELÉCTRICA GUILLERMO BROWN S.A."}]</t>
  </si>
  <si>
    <t>DI-2026-79-APN-SCE#ANC</t>
  </si>
  <si>
    <t>IF-2026-70948464-APN-DNCE#CNDC</t>
  </si>
  <si>
    <t>Generación eléctrica y servicios públicos, con; un portafolio diversificado que abarca; generación térmica (a gas y carbón), energías; renovables (eólica, solar e hidroeléctrica) y; almacenamiento de energía.; Generación y comercialización de energía; eléctrica a partir de fuentes de energía; renovables.; eléctrica a partir de fuentes de energía eólica,; destinada al abastecimiento del Mercado a</t>
  </si>
  <si>
    <t>Vertical + Conglomerado</t>
  </si>
  <si>
    <t>CONC-2122</t>
  </si>
  <si>
    <t>RUBÉN L. CHERÑAJOVSKY Y PATAGONIA PESQUERA S.A.U. S/ NOTIFICACIÓN ART. 9 DE LA LEY 27.442</t>
  </si>
  <si>
    <t>RUBÉN L. CHERÑAJOVSKY Y PATAGONIA PESQUERA S.A.U.</t>
  </si>
  <si>
    <t>[{"rol": "comprador", "nombre": "Rubén L. Cherñajovsky"}, {"rol": "comprador", "nombre": "PATAGONIA PESQUERA S.A.U."}, {"rol": "comprador", "nombre": "NEWSAN S.A."}, {"rol": "comprador", "nombre": "NEW PGA S.R.L. (EX PROCTER &amp; GAMBLE ARGENTINA S.R.L.)"}, {"rol": "comprador", "nombre": "NEWSAN FOOD S.A.U."}, {"rol": "comprador", "nombre": "GASTRONOMÍA DEL SUR S.A."}, {"rol": "comprador", "nombre": "GN SOLUTIONS S.A."}, {"rol": "comprador", "nombre": "PILISAR S.A."}, {"rol": "comprador", "nombre": "AMERICAN LOGISTIC S.A."}, {"rol": "comprador", "nombre": "PESANTAR S.A."}, {"rol": "comprador", "nombre": "EMPRESA DE DISTRIBUCIÓN ELÉCTRICA DE TUCUMÁN S.A."}, {"rol": "comprador", "nombre": "LÍNEAS DE TRANSMISIÓN DEL LITORAL S.A."}, {"rol": "comprador", "nombre": "CONSORCIO DE EMPRESAS MENDOCINAS PARA POTRERILLOS S.A."}, {"rol": "comprador", "nombre": "DIMATER S.A."}, {"rol": "comprador", "nombre": "ALICURÁ HIDROELÉCTRICA ARGENTINA S.A.U."}, {"rol": "comprador", "nombre": "CERROS COLORADOS HIDROELÉCTRICA ARGENTINA S.A.U."}, {"rol": "comprador", "nombre": "EDISON LAS MADERAS S.A."}, {"rol": "comprador", "nombre": "LÍNEAS MESOPOTÁMICAS S.A."}, {"rol": "comprador", "nombre": "NOANET S.A."}, {"rol": "comprador", "nombre": "EMPRESA DE CONSTRUCCIÓN Y SERVICIOS S.A."}, {"rol": "comprador", "nombre": "EMPRESA JUJEÑA DE ENERGÍA S.A."}, {"rol": "comprador", "nombre": "EMPRESA JUJEÑA DE SISTEMAS ENERGÉTICOS DISPERSOS S.A."}, {"rol": "comprador", "nombre": "PATAGONIA SCALLOP S.A."}, {"rol": "vendedor", "nombre": "CLEARWATER SEAFOODS HOLDINGS, INC."}, {"rol": "vendedor", "nombre": "Eduardo Santiago González Lemmi"}, {"rol": "objeto", "nombre": "GLACIAR PESQUERA S.A."}]</t>
  </si>
  <si>
    <t>DI-2026-72-APN-SCE#ANC</t>
  </si>
  <si>
    <t>IF-2026-65752706-APN-DNCE#CNDC</t>
  </si>
  <si>
    <t>Captura y procesamiento de vieira patagónica.</t>
  </si>
  <si>
    <t>Conglomerado</t>
  </si>
  <si>
    <t>CONC-2126</t>
  </si>
  <si>
    <t>GLORIA FOODS S/NOTIFICACIÓN ART.9 DE LA LEY 27.442</t>
  </si>
  <si>
    <t>GLORIA FOODS</t>
  </si>
  <si>
    <t>[{"rol": "comprador", "nombre": "GLORIA FOODS S.A."}, {"rol": "objeto", "nombre": "MOLTI S.R.L."}, {"rol": "objeto", "nombre": "MOLFINO HERMANOS S.A."}, {"rol": "objeto", "nombre": "SAPUTO REPRESENTAÇÃO COMÉRCIAL DE PRODUTOS LÁCTEOS BRASIL LTDA."}]</t>
  </si>
  <si>
    <t>DI-2026-75-APN-SCE#ANC</t>
  </si>
  <si>
    <t>IF-2026-67184444-APN-DNCE#CNDC</t>
  </si>
  <si>
    <t>Lts./día Lts./día; MOLFINO % conjunta GLORIA MOLFINO % conjunta GLORIA MOLFINO % conjunta</t>
  </si>
  <si>
    <t>Horizontal + Vertical + Conglomerado</t>
  </si>
  <si>
    <t>CONC-2129</t>
  </si>
  <si>
    <t>CABO VIRGENES S.A. (SEA FRESH S.A Y BUQUE SANTIAGO I) S/NOTIFICACIÓN ART.9 DE LA LEY 27.442</t>
  </si>
  <si>
    <t>CABO VIRGENES S.A. (SEA FRESH S.A Y BUQUE SANTIAGO I)</t>
  </si>
  <si>
    <t>[{"rol": "comprador", "nombre": "CABO VÍRGENES S.A."}, {"rol": "comprador", "nombre": "ERIS LLC"}, {"rol": "comprador", "nombre": "AISA LP"}, {"rol": "comprador", "nombre": "INVER S.A."}, {"rol": "comprador", "nombre": "CALICANTO S.A."}, {"rol": "comprador", "nombre": "MINAS ARGENTINAS S.A."}, {"rol": "comprador", "nombre": "EXPORTADORA VITIVINÍCOLA S.A."}, {"rol": "comprador", "nombre": "CHELSEA S.A."}, {"rol": "comprador", "nombre": "ROMYDREA"}, {"rol": "comprador", "nombre": "BAHÍA ROSALES S.A."}, {"rol": "vendedor", "nombre": "PESCARTS S.A."}, {"rol": "vendedor", "nombre": "FOOD ARTS S.A."}, {"rol": "vendedor", "nombre": "Carlos Suaya"}, {"rol": "vendedor", "nombre": "Isaac Andrés Suaya"}, {"rol": "vendedor", "nombre": "César Pablo Suaya"}, {"rol": "vendedor", "nombre": "Fernando Darío Suaya"}, {"rol": "vendedor", "nombre": "Natalia Esther Suaya"}, {"rol": "objeto", "nombre": "Buque tangonero SANTIAGO I"}, {"rol": "objeto", "nombre": "SEA FRESH S.A."}]</t>
  </si>
  <si>
    <t>DI-2026-78-APN-SCE#ANC</t>
  </si>
  <si>
    <t>IF-2026-70517678-APN-DNCE#CNDC</t>
  </si>
  <si>
    <t>Pesca de langostino. Procesamiento de langostino fresco y congelado; en su planta ubicada en la ciudad de Puerto Madryn, provincia de Chubut. IF-2026-70517678-APN-DNCE#CNDC Página 3 de 5</t>
  </si>
  <si>
    <t>Horizontal + 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</si>
</sst>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pane ySplit="1" topLeftCell="A2" activePane="bottomLeft" state="frozen"/>
      <selection pane="bottomLeft" activeCell="E2" sqref="E2:F9"/>
    </sheetView>
  </sheetViews>
  <sheetFormatPr baseColWidth="10" defaultColWidth="9.140625" defaultRowHeight="26.25" customHeight="1" x14ac:dyDescent="0.25"/>
  <cols>
    <col min="1" max="1" width="8" customWidth="1"/>
    <col min="2" max="2" width="14" customWidth="1"/>
    <col min="3" max="3" width="10" customWidth="1"/>
    <col min="4" max="4" width="46" customWidth="1"/>
    <col min="5" max="5" width="30" customWidth="1"/>
    <col min="6" max="6" width="60" customWidth="1"/>
    <col min="7" max="7" width="14" customWidth="1"/>
    <col min="8" max="8" width="13" customWidth="1"/>
    <col min="9" max="10" width="26" customWidth="1"/>
    <col min="11" max="11" width="30" customWidth="1"/>
    <col min="12" max="12" width="50" customWidth="1"/>
    <col min="13" max="13" width="20" customWidth="1"/>
    <col min="14" max="14" width="8" customWidth="1"/>
  </cols>
  <sheetData>
    <row r="1" spans="1:14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6.25" customHeight="1" x14ac:dyDescent="0.25">
      <c r="A2" t="s">
        <v>14</v>
      </c>
      <c r="B2" t="s">
        <v>15</v>
      </c>
      <c r="D2" s="2" t="s">
        <v>16</v>
      </c>
      <c r="E2" s="2" t="s">
        <v>17</v>
      </c>
      <c r="F2" s="2" t="s">
        <v>18</v>
      </c>
      <c r="H2" s="3">
        <v>46223</v>
      </c>
      <c r="I2" t="s">
        <v>19</v>
      </c>
      <c r="J2" t="s">
        <v>20</v>
      </c>
      <c r="K2" t="s">
        <v>21</v>
      </c>
      <c r="L2" s="2"/>
      <c r="M2" t="s">
        <v>22</v>
      </c>
      <c r="N2" t="str">
        <f t="shared" ref="N2:N9" si="0">IF(AND(G2&lt;&gt;"",H2&lt;&gt;""),DATEDIF(G2,H2,"m"),"")</f>
        <v/>
      </c>
    </row>
    <row r="3" spans="1:14" ht="26.25" customHeight="1" x14ac:dyDescent="0.25">
      <c r="A3" t="s">
        <v>14</v>
      </c>
      <c r="B3" t="s">
        <v>23</v>
      </c>
      <c r="D3" s="2" t="s">
        <v>24</v>
      </c>
      <c r="E3" s="2" t="s">
        <v>25</v>
      </c>
      <c r="F3" s="2" t="s">
        <v>26</v>
      </c>
      <c r="H3" s="3">
        <v>46220</v>
      </c>
      <c r="I3" t="s">
        <v>19</v>
      </c>
      <c r="J3" t="s">
        <v>27</v>
      </c>
      <c r="K3" t="s">
        <v>28</v>
      </c>
      <c r="L3" s="2"/>
      <c r="N3" t="str">
        <f t="shared" si="0"/>
        <v/>
      </c>
    </row>
    <row r="4" spans="1:14" ht="26.25" customHeight="1" x14ac:dyDescent="0.25">
      <c r="A4" t="s">
        <v>14</v>
      </c>
      <c r="B4" t="s">
        <v>29</v>
      </c>
      <c r="D4" s="2" t="s">
        <v>30</v>
      </c>
      <c r="E4" s="2" t="s">
        <v>31</v>
      </c>
      <c r="F4" s="2" t="s">
        <v>32</v>
      </c>
      <c r="H4" s="3">
        <v>46231</v>
      </c>
      <c r="I4" t="s">
        <v>19</v>
      </c>
      <c r="J4" t="s">
        <v>33</v>
      </c>
      <c r="K4" t="s">
        <v>34</v>
      </c>
      <c r="L4" s="2" t="s">
        <v>35</v>
      </c>
      <c r="M4" t="s">
        <v>22</v>
      </c>
      <c r="N4" t="str">
        <f t="shared" si="0"/>
        <v/>
      </c>
    </row>
    <row r="5" spans="1:14" ht="26.25" customHeight="1" x14ac:dyDescent="0.25">
      <c r="A5" t="s">
        <v>14</v>
      </c>
      <c r="B5" t="s">
        <v>36</v>
      </c>
      <c r="D5" s="2" t="s">
        <v>37</v>
      </c>
      <c r="E5" s="2" t="s">
        <v>38</v>
      </c>
      <c r="F5" s="2" t="s">
        <v>39</v>
      </c>
      <c r="H5" s="3">
        <v>46231</v>
      </c>
      <c r="I5" t="s">
        <v>19</v>
      </c>
      <c r="J5" t="s">
        <v>40</v>
      </c>
      <c r="K5" t="s">
        <v>41</v>
      </c>
      <c r="L5" s="2"/>
      <c r="M5" t="s">
        <v>42</v>
      </c>
      <c r="N5" t="str">
        <f t="shared" si="0"/>
        <v/>
      </c>
    </row>
    <row r="6" spans="1:14" ht="26.25" customHeight="1" x14ac:dyDescent="0.25">
      <c r="A6" t="s">
        <v>14</v>
      </c>
      <c r="B6" t="s">
        <v>43</v>
      </c>
      <c r="D6" s="2" t="s">
        <v>44</v>
      </c>
      <c r="E6" s="2" t="s">
        <v>45</v>
      </c>
      <c r="F6" s="2" t="s">
        <v>46</v>
      </c>
      <c r="H6" s="3">
        <v>46225</v>
      </c>
      <c r="I6" t="s">
        <v>19</v>
      </c>
      <c r="J6" t="s">
        <v>47</v>
      </c>
      <c r="K6" t="s">
        <v>48</v>
      </c>
      <c r="L6" s="2" t="s">
        <v>49</v>
      </c>
      <c r="M6" t="s">
        <v>50</v>
      </c>
      <c r="N6" t="str">
        <f t="shared" si="0"/>
        <v/>
      </c>
    </row>
    <row r="7" spans="1:14" ht="26.25" customHeight="1" x14ac:dyDescent="0.25">
      <c r="A7" t="s">
        <v>14</v>
      </c>
      <c r="B7" t="s">
        <v>51</v>
      </c>
      <c r="D7" s="2" t="s">
        <v>52</v>
      </c>
      <c r="E7" s="2" t="s">
        <v>53</v>
      </c>
      <c r="F7" s="2" t="s">
        <v>54</v>
      </c>
      <c r="H7" s="3">
        <v>46206</v>
      </c>
      <c r="I7" t="s">
        <v>19</v>
      </c>
      <c r="J7" t="s">
        <v>55</v>
      </c>
      <c r="K7" t="s">
        <v>56</v>
      </c>
      <c r="L7" s="2" t="s">
        <v>57</v>
      </c>
      <c r="M7" t="s">
        <v>58</v>
      </c>
      <c r="N7" t="str">
        <f t="shared" si="0"/>
        <v/>
      </c>
    </row>
    <row r="8" spans="1:14" ht="26.25" customHeight="1" x14ac:dyDescent="0.25">
      <c r="A8" t="s">
        <v>14</v>
      </c>
      <c r="B8" t="s">
        <v>59</v>
      </c>
      <c r="D8" s="2" t="s">
        <v>60</v>
      </c>
      <c r="E8" s="2" t="s">
        <v>61</v>
      </c>
      <c r="F8" s="2" t="s">
        <v>62</v>
      </c>
      <c r="H8" s="3">
        <v>46211</v>
      </c>
      <c r="I8" t="s">
        <v>19</v>
      </c>
      <c r="J8" t="s">
        <v>63</v>
      </c>
      <c r="K8" t="s">
        <v>64</v>
      </c>
      <c r="L8" s="2" t="s">
        <v>65</v>
      </c>
      <c r="M8" t="s">
        <v>66</v>
      </c>
      <c r="N8" t="str">
        <f t="shared" si="0"/>
        <v/>
      </c>
    </row>
    <row r="9" spans="1:14" ht="26.25" customHeight="1" x14ac:dyDescent="0.25">
      <c r="A9" t="s">
        <v>14</v>
      </c>
      <c r="B9" t="s">
        <v>67</v>
      </c>
      <c r="D9" s="2" t="s">
        <v>68</v>
      </c>
      <c r="E9" s="2" t="s">
        <v>69</v>
      </c>
      <c r="F9" s="2" t="s">
        <v>70</v>
      </c>
      <c r="H9" s="3">
        <v>46224</v>
      </c>
      <c r="I9" t="s">
        <v>19</v>
      </c>
      <c r="J9" t="s">
        <v>71</v>
      </c>
      <c r="K9" t="s">
        <v>72</v>
      </c>
      <c r="L9" s="2" t="s">
        <v>73</v>
      </c>
      <c r="M9" t="s">
        <v>74</v>
      </c>
      <c r="N9" t="str">
        <f t="shared" si="0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firmadas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2026-08-04T18:01:36Z</dcterms:created>
  <dcterms:modified xsi:type="dcterms:W3CDTF">2026-08-04T18:30:30Z</dcterms:modified>
</cp:coreProperties>
</file>